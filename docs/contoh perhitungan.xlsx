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G:\.shortcut-targets-by-id\0BxW4gAKLnduJMlh3WVJoNDBvbDg\STIKOM CAREER CENTER (PUSAT LAYANAN KARIR DAN ALUMNI - PLKA)\2025\3. Kepuasan Pengguna\"/>
    </mc:Choice>
  </mc:AlternateContent>
  <bookViews>
    <workbookView xWindow="-120" yWindow="-120" windowWidth="20730" windowHeight="11040" tabRatio="821" firstSheet="1" activeTab="1"/>
  </bookViews>
  <sheets>
    <sheet name="untuk D3 Si (2018-2020)" sheetId="11" state="hidden" r:id="rId1"/>
    <sheet name="Th. Lulus 2024" sheetId="17" r:id="rId2"/>
    <sheet name="Sheet5" sheetId="7" state="hidden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X167" i="17" l="1"/>
  <c r="W167" i="17"/>
  <c r="Q167" i="17"/>
  <c r="J167" i="17"/>
  <c r="I167" i="17"/>
  <c r="C167" i="17"/>
  <c r="W123" i="17"/>
  <c r="Y125" i="17" s="1"/>
  <c r="Y129" i="17" s="1"/>
  <c r="Y206" i="17" s="1"/>
  <c r="P123" i="17"/>
  <c r="P161" i="17" s="1"/>
  <c r="I123" i="17"/>
  <c r="L154" i="17" s="1"/>
  <c r="W78" i="17"/>
  <c r="Y115" i="17" s="1"/>
  <c r="P78" i="17"/>
  <c r="S104" i="17" s="1"/>
  <c r="I78" i="17"/>
  <c r="I111" i="17" s="1"/>
  <c r="B78" i="17"/>
  <c r="D113" i="17" s="1"/>
  <c r="W32" i="17"/>
  <c r="W71" i="17" s="1"/>
  <c r="P32" i="17"/>
  <c r="S73" i="17" s="1"/>
  <c r="I32" i="17"/>
  <c r="J65" i="17" s="1"/>
  <c r="S48" i="17" l="1"/>
  <c r="J50" i="17"/>
  <c r="P56" i="17"/>
  <c r="Q41" i="17"/>
  <c r="Y48" i="17"/>
  <c r="Z52" i="17"/>
  <c r="X153" i="17"/>
  <c r="E81" i="17"/>
  <c r="S156" i="17"/>
  <c r="S160" i="17"/>
  <c r="Q162" i="17"/>
  <c r="P112" i="17"/>
  <c r="K87" i="17"/>
  <c r="Q92" i="17"/>
  <c r="S125" i="17"/>
  <c r="X64" i="17"/>
  <c r="S81" i="17"/>
  <c r="R105" i="17"/>
  <c r="P127" i="17"/>
  <c r="W86" i="17"/>
  <c r="S113" i="17"/>
  <c r="J96" i="17"/>
  <c r="S36" i="17"/>
  <c r="S65" i="17"/>
  <c r="L82" i="17"/>
  <c r="L106" i="17"/>
  <c r="S128" i="17"/>
  <c r="W93" i="17"/>
  <c r="Y80" i="17"/>
  <c r="K105" i="17"/>
  <c r="I37" i="17"/>
  <c r="R66" i="17"/>
  <c r="P82" i="17"/>
  <c r="W107" i="17"/>
  <c r="S134" i="17"/>
  <c r="X80" i="17"/>
  <c r="X56" i="17"/>
  <c r="Q36" i="17"/>
  <c r="Q39" i="17"/>
  <c r="W70" i="17"/>
  <c r="S82" i="17"/>
  <c r="K109" i="17"/>
  <c r="Q137" i="17"/>
  <c r="R89" i="17"/>
  <c r="R80" i="17"/>
  <c r="J125" i="17"/>
  <c r="Z39" i="17"/>
  <c r="P83" i="17"/>
  <c r="W109" i="17"/>
  <c r="S137" i="17"/>
  <c r="P39" i="17"/>
  <c r="X50" i="17"/>
  <c r="I67" i="17"/>
  <c r="L90" i="17"/>
  <c r="J34" i="17"/>
  <c r="X43" i="17"/>
  <c r="Z59" i="17"/>
  <c r="C84" i="17"/>
  <c r="L98" i="17"/>
  <c r="I115" i="17"/>
  <c r="L139" i="17"/>
  <c r="J67" i="17"/>
  <c r="X41" i="17"/>
  <c r="D97" i="17"/>
  <c r="K34" i="17"/>
  <c r="J46" i="17"/>
  <c r="I60" i="17"/>
  <c r="S84" i="17"/>
  <c r="Z100" i="17"/>
  <c r="S116" i="17"/>
  <c r="X141" i="17"/>
  <c r="Q57" i="17"/>
  <c r="P34" i="17"/>
  <c r="K46" i="17"/>
  <c r="X61" i="17"/>
  <c r="B80" i="17"/>
  <c r="Y84" i="17"/>
  <c r="J102" i="17"/>
  <c r="K145" i="17"/>
  <c r="Y34" i="17"/>
  <c r="Y46" i="17"/>
  <c r="S64" i="17"/>
  <c r="D86" i="17"/>
  <c r="Z102" i="17"/>
  <c r="P149" i="17"/>
  <c r="Z34" i="17"/>
  <c r="J37" i="17"/>
  <c r="W40" i="17"/>
  <c r="Y43" i="17"/>
  <c r="Z46" i="17"/>
  <c r="Y50" i="17"/>
  <c r="S55" i="17"/>
  <c r="R57" i="17"/>
  <c r="Y61" i="17"/>
  <c r="X65" i="17"/>
  <c r="Y67" i="17"/>
  <c r="Y71" i="17"/>
  <c r="C80" i="17"/>
  <c r="Y82" i="17"/>
  <c r="D84" i="17"/>
  <c r="E86" i="17"/>
  <c r="L87" i="17"/>
  <c r="P90" i="17"/>
  <c r="X93" i="17"/>
  <c r="E97" i="17"/>
  <c r="K101" i="17"/>
  <c r="B104" i="17"/>
  <c r="Z106" i="17"/>
  <c r="C110" i="17"/>
  <c r="Q112" i="17"/>
  <c r="W116" i="17"/>
  <c r="I130" i="17"/>
  <c r="L136" i="17"/>
  <c r="P139" i="17"/>
  <c r="L145" i="17"/>
  <c r="I151" i="17"/>
  <c r="K157" i="17"/>
  <c r="R162" i="17"/>
  <c r="Z70" i="17"/>
  <c r="X35" i="17"/>
  <c r="W37" i="17"/>
  <c r="X40" i="17"/>
  <c r="Z43" i="17"/>
  <c r="I47" i="17"/>
  <c r="Z50" i="17"/>
  <c r="W55" i="17"/>
  <c r="Y57" i="17"/>
  <c r="Z61" i="17"/>
  <c r="Y65" i="17"/>
  <c r="Z67" i="17"/>
  <c r="Z71" i="17"/>
  <c r="D80" i="17"/>
  <c r="W81" i="17"/>
  <c r="Z82" i="17"/>
  <c r="E84" i="17"/>
  <c r="P86" i="17"/>
  <c r="S87" i="17"/>
  <c r="Q90" i="17"/>
  <c r="Y93" i="17"/>
  <c r="P97" i="17"/>
  <c r="L101" i="17"/>
  <c r="C104" i="17"/>
  <c r="B107" i="17"/>
  <c r="D110" i="17"/>
  <c r="L113" i="17"/>
  <c r="E117" i="17"/>
  <c r="R126" i="17"/>
  <c r="J130" i="17"/>
  <c r="P136" i="17"/>
  <c r="L140" i="17"/>
  <c r="S145" i="17"/>
  <c r="Q153" i="17"/>
  <c r="L157" i="17"/>
  <c r="X67" i="17"/>
  <c r="Y35" i="17"/>
  <c r="X37" i="17"/>
  <c r="Y40" i="17"/>
  <c r="S44" i="17"/>
  <c r="X47" i="17"/>
  <c r="I51" i="17"/>
  <c r="X55" i="17"/>
  <c r="I59" i="17"/>
  <c r="X62" i="17"/>
  <c r="Z65" i="17"/>
  <c r="I68" i="17"/>
  <c r="W72" i="17"/>
  <c r="E80" i="17"/>
  <c r="X81" i="17"/>
  <c r="B83" i="17"/>
  <c r="I84" i="17"/>
  <c r="Q86" i="17"/>
  <c r="B89" i="17"/>
  <c r="R90" i="17"/>
  <c r="I94" i="17"/>
  <c r="Q97" i="17"/>
  <c r="P101" i="17"/>
  <c r="P104" i="17"/>
  <c r="C107" i="17"/>
  <c r="E110" i="17"/>
  <c r="P113" i="17"/>
  <c r="S117" i="17"/>
  <c r="S126" i="17"/>
  <c r="K130" i="17"/>
  <c r="Q136" i="17"/>
  <c r="P140" i="17"/>
  <c r="Q146" i="17"/>
  <c r="R153" i="17"/>
  <c r="S157" i="17"/>
  <c r="Z35" i="17"/>
  <c r="Y37" i="17"/>
  <c r="Z40" i="17"/>
  <c r="X44" i="17"/>
  <c r="Y47" i="17"/>
  <c r="Y51" i="17"/>
  <c r="Y55" i="17"/>
  <c r="J59" i="17"/>
  <c r="Y62" i="17"/>
  <c r="P66" i="17"/>
  <c r="J68" i="17"/>
  <c r="X72" i="17"/>
  <c r="I80" i="17"/>
  <c r="Y81" i="17"/>
  <c r="C83" i="17"/>
  <c r="J84" i="17"/>
  <c r="R86" i="17"/>
  <c r="C89" i="17"/>
  <c r="Z90" i="17"/>
  <c r="J94" i="17"/>
  <c r="R97" i="17"/>
  <c r="Q101" i="17"/>
  <c r="I105" i="17"/>
  <c r="D107" i="17"/>
  <c r="P110" i="17"/>
  <c r="Q113" i="17"/>
  <c r="Y117" i="17"/>
  <c r="Y126" i="17"/>
  <c r="L130" i="17"/>
  <c r="L137" i="17"/>
  <c r="I141" i="17"/>
  <c r="R146" i="17"/>
  <c r="S153" i="17"/>
  <c r="P159" i="17"/>
  <c r="P36" i="17"/>
  <c r="Z37" i="17"/>
  <c r="P41" i="17"/>
  <c r="Y44" i="17"/>
  <c r="Z47" i="17"/>
  <c r="W52" i="17"/>
  <c r="Z55" i="17"/>
  <c r="K59" i="17"/>
  <c r="Z62" i="17"/>
  <c r="Q66" i="17"/>
  <c r="K68" i="17"/>
  <c r="Y72" i="17"/>
  <c r="P80" i="17"/>
  <c r="Z81" i="17"/>
  <c r="D83" i="17"/>
  <c r="K84" i="17"/>
  <c r="S86" i="17"/>
  <c r="D89" i="17"/>
  <c r="P92" i="17"/>
  <c r="Z94" i="17"/>
  <c r="D98" i="17"/>
  <c r="D102" i="17"/>
  <c r="J105" i="17"/>
  <c r="E107" i="17"/>
  <c r="B111" i="17"/>
  <c r="R113" i="17"/>
  <c r="Z117" i="17"/>
  <c r="L127" i="17"/>
  <c r="P130" i="17"/>
  <c r="P137" i="17"/>
  <c r="J141" i="17"/>
  <c r="I148" i="17"/>
  <c r="W153" i="17"/>
  <c r="AA153" i="17" s="1"/>
  <c r="Q159" i="17"/>
  <c r="X68" i="17"/>
  <c r="Y73" i="17"/>
  <c r="B82" i="17"/>
  <c r="E83" i="17"/>
  <c r="E89" i="17"/>
  <c r="E96" i="17"/>
  <c r="E98" i="17"/>
  <c r="E102" i="17"/>
  <c r="C111" i="17"/>
  <c r="C118" i="17"/>
  <c r="L131" i="17"/>
  <c r="J148" i="17"/>
  <c r="J160" i="17"/>
  <c r="Z44" i="17"/>
  <c r="X52" i="17"/>
  <c r="X59" i="17"/>
  <c r="R36" i="17"/>
  <c r="L39" i="17"/>
  <c r="S41" i="17"/>
  <c r="I46" i="17"/>
  <c r="W48" i="17"/>
  <c r="Y52" i="17"/>
  <c r="S56" i="17"/>
  <c r="Y59" i="17"/>
  <c r="W64" i="17"/>
  <c r="Y66" i="17"/>
  <c r="Y68" i="17"/>
  <c r="Z73" i="17"/>
  <c r="W80" i="17"/>
  <c r="C82" i="17"/>
  <c r="I83" i="17"/>
  <c r="X84" i="17"/>
  <c r="C87" i="17"/>
  <c r="J89" i="17"/>
  <c r="Z92" i="17"/>
  <c r="I96" i="17"/>
  <c r="K98" i="17"/>
  <c r="I102" i="17"/>
  <c r="Q105" i="17"/>
  <c r="J109" i="17"/>
  <c r="D111" i="17"/>
  <c r="E115" i="17"/>
  <c r="S118" i="17"/>
  <c r="Q127" i="17"/>
  <c r="P131" i="17"/>
  <c r="R137" i="17"/>
  <c r="I142" i="17"/>
  <c r="K148" i="17"/>
  <c r="K155" i="17"/>
  <c r="K160" i="17"/>
  <c r="Z68" i="17"/>
  <c r="D87" i="17"/>
  <c r="B93" i="17"/>
  <c r="E111" i="17"/>
  <c r="L128" i="17"/>
  <c r="I133" i="17"/>
  <c r="J142" i="17"/>
  <c r="L148" i="17"/>
  <c r="L155" i="17"/>
  <c r="Q83" i="17"/>
  <c r="Z84" i="17"/>
  <c r="E87" i="17"/>
  <c r="S89" i="17"/>
  <c r="C93" i="17"/>
  <c r="K96" i="17"/>
  <c r="P98" i="17"/>
  <c r="K102" i="17"/>
  <c r="S105" i="17"/>
  <c r="L109" i="17"/>
  <c r="Y111" i="17"/>
  <c r="B116" i="17"/>
  <c r="P128" i="17"/>
  <c r="J133" i="17"/>
  <c r="I139" i="17"/>
  <c r="Q144" i="17"/>
  <c r="S148" i="17"/>
  <c r="P156" i="17"/>
  <c r="I161" i="17"/>
  <c r="X53" i="17"/>
  <c r="Y64" i="17"/>
  <c r="W34" i="17"/>
  <c r="Y36" i="17"/>
  <c r="W39" i="17"/>
  <c r="Z41" i="17"/>
  <c r="W46" i="17"/>
  <c r="K50" i="17"/>
  <c r="Y53" i="17"/>
  <c r="Z56" i="17"/>
  <c r="Y60" i="17"/>
  <c r="Z64" i="17"/>
  <c r="R67" i="17"/>
  <c r="X70" i="17"/>
  <c r="C81" i="17"/>
  <c r="Q82" i="17"/>
  <c r="R83" i="17"/>
  <c r="B86" i="17"/>
  <c r="I87" i="17"/>
  <c r="W89" i="17"/>
  <c r="D93" i="17"/>
  <c r="L96" i="17"/>
  <c r="E100" i="17"/>
  <c r="Q102" i="17"/>
  <c r="E106" i="17"/>
  <c r="P109" i="17"/>
  <c r="Z111" i="17"/>
  <c r="C116" i="17"/>
  <c r="Q128" i="17"/>
  <c r="X133" i="17"/>
  <c r="X135" i="17" s="1"/>
  <c r="X208" i="17" s="1"/>
  <c r="J139" i="17"/>
  <c r="R144" i="17"/>
  <c r="K149" i="17"/>
  <c r="Q156" i="17"/>
  <c r="J161" i="17"/>
  <c r="B185" i="17"/>
  <c r="W36" i="17"/>
  <c r="Y41" i="17"/>
  <c r="Y56" i="17"/>
  <c r="X34" i="17"/>
  <c r="Z36" i="17"/>
  <c r="Y39" i="17"/>
  <c r="W43" i="17"/>
  <c r="AA43" i="17" s="1"/>
  <c r="X46" i="17"/>
  <c r="L50" i="17"/>
  <c r="Z53" i="17"/>
  <c r="P57" i="17"/>
  <c r="W61" i="17"/>
  <c r="P65" i="17"/>
  <c r="W67" i="17"/>
  <c r="Y70" i="17"/>
  <c r="D81" i="17"/>
  <c r="R82" i="17"/>
  <c r="W83" i="17"/>
  <c r="C86" i="17"/>
  <c r="J87" i="17"/>
  <c r="K90" i="17"/>
  <c r="E93" i="17"/>
  <c r="B97" i="17"/>
  <c r="Y100" i="17"/>
  <c r="Y102" i="17"/>
  <c r="K106" i="17"/>
  <c r="Q109" i="17"/>
  <c r="E112" i="17"/>
  <c r="R116" i="17"/>
  <c r="I125" i="17"/>
  <c r="R128" i="17"/>
  <c r="R134" i="17"/>
  <c r="K139" i="17"/>
  <c r="S144" i="17"/>
  <c r="L149" i="17"/>
  <c r="R156" i="17"/>
  <c r="P162" i="17"/>
  <c r="I185" i="17"/>
  <c r="Y215" i="17"/>
  <c r="Y216" i="17"/>
  <c r="I40" i="17"/>
  <c r="R46" i="17"/>
  <c r="S66" i="17"/>
  <c r="I70" i="17"/>
  <c r="S34" i="17"/>
  <c r="K35" i="17"/>
  <c r="P37" i="17"/>
  <c r="S39" i="17"/>
  <c r="K40" i="17"/>
  <c r="K43" i="17"/>
  <c r="I44" i="17"/>
  <c r="S46" i="17"/>
  <c r="L47" i="17"/>
  <c r="Q50" i="17"/>
  <c r="P51" i="17"/>
  <c r="J52" i="17"/>
  <c r="J53" i="17"/>
  <c r="P59" i="17"/>
  <c r="P60" i="17"/>
  <c r="J61" i="17"/>
  <c r="J62" i="17"/>
  <c r="P68" i="17"/>
  <c r="J70" i="17"/>
  <c r="J71" i="17"/>
  <c r="J73" i="17"/>
  <c r="Z133" i="17"/>
  <c r="Z135" i="17" s="1"/>
  <c r="Z208" i="17" s="1"/>
  <c r="I61" i="17"/>
  <c r="S67" i="17"/>
  <c r="Y133" i="17"/>
  <c r="Y135" i="17" s="1"/>
  <c r="Y208" i="17" s="1"/>
  <c r="L35" i="17"/>
  <c r="R37" i="17"/>
  <c r="Q51" i="17"/>
  <c r="S59" i="17"/>
  <c r="K62" i="17"/>
  <c r="S68" i="17"/>
  <c r="K72" i="17"/>
  <c r="L62" i="17"/>
  <c r="R70" i="17"/>
  <c r="P72" i="17"/>
  <c r="L73" i="17"/>
  <c r="X127" i="17"/>
  <c r="R34" i="17"/>
  <c r="J40" i="17"/>
  <c r="I52" i="17"/>
  <c r="I71" i="17"/>
  <c r="I73" i="17"/>
  <c r="L71" i="17"/>
  <c r="S37" i="17"/>
  <c r="P40" i="17"/>
  <c r="K44" i="17"/>
  <c r="L48" i="17"/>
  <c r="R51" i="17"/>
  <c r="R52" i="17"/>
  <c r="L53" i="17"/>
  <c r="R60" i="17"/>
  <c r="R61" i="17"/>
  <c r="P35" i="17"/>
  <c r="I36" i="17"/>
  <c r="R40" i="17"/>
  <c r="J41" i="17"/>
  <c r="S43" i="17"/>
  <c r="L44" i="17"/>
  <c r="Q47" i="17"/>
  <c r="S51" i="17"/>
  <c r="S52" i="17"/>
  <c r="I55" i="17"/>
  <c r="I56" i="17"/>
  <c r="S60" i="17"/>
  <c r="S61" i="17"/>
  <c r="I64" i="17"/>
  <c r="I65" i="17"/>
  <c r="S70" i="17"/>
  <c r="P71" i="17"/>
  <c r="R72" i="17"/>
  <c r="I43" i="17"/>
  <c r="J44" i="17"/>
  <c r="I48" i="17"/>
  <c r="S50" i="17"/>
  <c r="K53" i="17"/>
  <c r="Q60" i="17"/>
  <c r="I41" i="17"/>
  <c r="R43" i="17"/>
  <c r="P47" i="17"/>
  <c r="Q35" i="17"/>
  <c r="J36" i="17"/>
  <c r="S40" i="17"/>
  <c r="K41" i="17"/>
  <c r="S47" i="17"/>
  <c r="P48" i="17"/>
  <c r="P53" i="17"/>
  <c r="J55" i="17"/>
  <c r="J56" i="17"/>
  <c r="P62" i="17"/>
  <c r="J64" i="17"/>
  <c r="Q71" i="17"/>
  <c r="S72" i="17"/>
  <c r="P73" i="17"/>
  <c r="I168" i="17"/>
  <c r="K71" i="17"/>
  <c r="K66" i="17"/>
  <c r="K60" i="17"/>
  <c r="K57" i="17"/>
  <c r="K51" i="17"/>
  <c r="K48" i="17"/>
  <c r="K39" i="17"/>
  <c r="K36" i="17"/>
  <c r="L72" i="17"/>
  <c r="J66" i="17"/>
  <c r="J60" i="17"/>
  <c r="J57" i="17"/>
  <c r="J51" i="17"/>
  <c r="J48" i="17"/>
  <c r="J72" i="17"/>
  <c r="L70" i="17"/>
  <c r="L67" i="17"/>
  <c r="L64" i="17"/>
  <c r="L61" i="17"/>
  <c r="L55" i="17"/>
  <c r="L52" i="17"/>
  <c r="L46" i="17"/>
  <c r="L43" i="17"/>
  <c r="L40" i="17"/>
  <c r="L37" i="17"/>
  <c r="L34" i="17"/>
  <c r="B32" i="17"/>
  <c r="I72" i="17"/>
  <c r="K70" i="17"/>
  <c r="K67" i="17"/>
  <c r="K64" i="17"/>
  <c r="K61" i="17"/>
  <c r="K55" i="17"/>
  <c r="K52" i="17"/>
  <c r="L51" i="17"/>
  <c r="I62" i="17"/>
  <c r="X161" i="17"/>
  <c r="X155" i="17"/>
  <c r="X149" i="17"/>
  <c r="X146" i="17"/>
  <c r="W161" i="17"/>
  <c r="AA161" i="17" s="1"/>
  <c r="W155" i="17"/>
  <c r="AA155" i="17" s="1"/>
  <c r="W149" i="17"/>
  <c r="AA149" i="17" s="1"/>
  <c r="W146" i="17"/>
  <c r="AA146" i="17" s="1"/>
  <c r="Z162" i="17"/>
  <c r="Z159" i="17"/>
  <c r="Z163" i="17" s="1"/>
  <c r="Z214" i="17" s="1"/>
  <c r="Z156" i="17"/>
  <c r="Z153" i="17"/>
  <c r="Z150" i="17"/>
  <c r="Z144" i="17"/>
  <c r="Z147" i="17" s="1"/>
  <c r="Z211" i="17" s="1"/>
  <c r="Y162" i="17"/>
  <c r="Y159" i="17"/>
  <c r="Y163" i="17" s="1"/>
  <c r="Y214" i="17" s="1"/>
  <c r="Y156" i="17"/>
  <c r="Y153" i="17"/>
  <c r="Y150" i="17"/>
  <c r="Y144" i="17"/>
  <c r="Y147" i="17" s="1"/>
  <c r="Y211" i="17" s="1"/>
  <c r="X162" i="17"/>
  <c r="X159" i="17"/>
  <c r="X163" i="17" s="1"/>
  <c r="X214" i="17" s="1"/>
  <c r="W202" i="17"/>
  <c r="Z160" i="17"/>
  <c r="Z157" i="17"/>
  <c r="Z149" i="17"/>
  <c r="Z148" i="17"/>
  <c r="Z152" i="17" s="1"/>
  <c r="Z212" i="17" s="1"/>
  <c r="X142" i="17"/>
  <c r="W139" i="17"/>
  <c r="W136" i="17"/>
  <c r="W133" i="17"/>
  <c r="W130" i="17"/>
  <c r="W127" i="17"/>
  <c r="AA127" i="17" s="1"/>
  <c r="Y160" i="17"/>
  <c r="W159" i="17"/>
  <c r="Y157" i="17"/>
  <c r="Y149" i="17"/>
  <c r="Y148" i="17"/>
  <c r="Y152" i="17" s="1"/>
  <c r="Y212" i="17" s="1"/>
  <c r="W142" i="17"/>
  <c r="AA142" i="17" s="1"/>
  <c r="Z140" i="17"/>
  <c r="Z137" i="17"/>
  <c r="Z134" i="17"/>
  <c r="Z131" i="17"/>
  <c r="Z128" i="17"/>
  <c r="Z125" i="17"/>
  <c r="Z129" i="17" s="1"/>
  <c r="Z206" i="17" s="1"/>
  <c r="W162" i="17"/>
  <c r="AA162" i="17" s="1"/>
  <c r="Z161" i="17"/>
  <c r="X160" i="17"/>
  <c r="X157" i="17"/>
  <c r="X156" i="17"/>
  <c r="X148" i="17"/>
  <c r="X152" i="17" s="1"/>
  <c r="X212" i="17" s="1"/>
  <c r="Y140" i="17"/>
  <c r="Y137" i="17"/>
  <c r="Y134" i="17"/>
  <c r="Y131" i="17"/>
  <c r="Y128" i="17"/>
  <c r="Y161" i="17"/>
  <c r="W160" i="17"/>
  <c r="AA160" i="17" s="1"/>
  <c r="W157" i="17"/>
  <c r="AA157" i="17" s="1"/>
  <c r="W156" i="17"/>
  <c r="AA156" i="17" s="1"/>
  <c r="W148" i="17"/>
  <c r="X140" i="17"/>
  <c r="X137" i="17"/>
  <c r="X134" i="17"/>
  <c r="X131" i="17"/>
  <c r="X128" i="17"/>
  <c r="X125" i="17"/>
  <c r="X129" i="17" s="1"/>
  <c r="X206" i="17" s="1"/>
  <c r="Z155" i="17"/>
  <c r="Z151" i="17"/>
  <c r="W141" i="17"/>
  <c r="AA141" i="17" s="1"/>
  <c r="W140" i="17"/>
  <c r="AA140" i="17" s="1"/>
  <c r="W131" i="17"/>
  <c r="AA131" i="17" s="1"/>
  <c r="Y155" i="17"/>
  <c r="Y151" i="17"/>
  <c r="Z139" i="17"/>
  <c r="Z143" i="17" s="1"/>
  <c r="Z210" i="17" s="1"/>
  <c r="Z130" i="17"/>
  <c r="Z132" i="17" s="1"/>
  <c r="Z207" i="17" s="1"/>
  <c r="X151" i="17"/>
  <c r="X144" i="17"/>
  <c r="X147" i="17" s="1"/>
  <c r="X211" i="17" s="1"/>
  <c r="Y139" i="17"/>
  <c r="Y143" i="17" s="1"/>
  <c r="Y210" i="17" s="1"/>
  <c r="Y130" i="17"/>
  <c r="Y132" i="17" s="1"/>
  <c r="Y207" i="17" s="1"/>
  <c r="W151" i="17"/>
  <c r="AA151" i="17" s="1"/>
  <c r="W144" i="17"/>
  <c r="X139" i="17"/>
  <c r="X143" i="17" s="1"/>
  <c r="X210" i="17" s="1"/>
  <c r="X130" i="17"/>
  <c r="X132" i="17" s="1"/>
  <c r="X207" i="17" s="1"/>
  <c r="Z145" i="17"/>
  <c r="W137" i="17"/>
  <c r="AA137" i="17" s="1"/>
  <c r="W128" i="17"/>
  <c r="AA128" i="17" s="1"/>
  <c r="X126" i="17"/>
  <c r="W126" i="17"/>
  <c r="AA126" i="17" s="1"/>
  <c r="Y145" i="17"/>
  <c r="X150" i="17"/>
  <c r="X145" i="17"/>
  <c r="Z141" i="17"/>
  <c r="Z127" i="17"/>
  <c r="Z154" i="17"/>
  <c r="Z158" i="17" s="1"/>
  <c r="Z213" i="17" s="1"/>
  <c r="W150" i="17"/>
  <c r="AA150" i="17" s="1"/>
  <c r="W145" i="17"/>
  <c r="AA145" i="17" s="1"/>
  <c r="Y141" i="17"/>
  <c r="Y127" i="17"/>
  <c r="Z146" i="17"/>
  <c r="Z136" i="17"/>
  <c r="Z138" i="17" s="1"/>
  <c r="Z209" i="17" s="1"/>
  <c r="W134" i="17"/>
  <c r="AA134" i="17" s="1"/>
  <c r="W125" i="17"/>
  <c r="Y146" i="17"/>
  <c r="Y136" i="17"/>
  <c r="Y138" i="17" s="1"/>
  <c r="Y209" i="17" s="1"/>
  <c r="Y154" i="17"/>
  <c r="Y158" i="17" s="1"/>
  <c r="Y213" i="17" s="1"/>
  <c r="X136" i="17"/>
  <c r="X138" i="17" s="1"/>
  <c r="X209" i="17" s="1"/>
  <c r="X154" i="17"/>
  <c r="X158" i="17" s="1"/>
  <c r="X213" i="17" s="1"/>
  <c r="Z142" i="17"/>
  <c r="W154" i="17"/>
  <c r="Y142" i="17"/>
  <c r="Z126" i="17"/>
  <c r="K73" i="17"/>
  <c r="S35" i="17"/>
  <c r="L36" i="17"/>
  <c r="I39" i="17"/>
  <c r="L41" i="17"/>
  <c r="P44" i="17"/>
  <c r="Q48" i="17"/>
  <c r="S53" i="17"/>
  <c r="K56" i="17"/>
  <c r="I57" i="17"/>
  <c r="S62" i="17"/>
  <c r="K65" i="17"/>
  <c r="I66" i="17"/>
  <c r="I35" i="17"/>
  <c r="K37" i="17"/>
  <c r="J47" i="17"/>
  <c r="L59" i="17"/>
  <c r="L60" i="17"/>
  <c r="L68" i="17"/>
  <c r="P168" i="17"/>
  <c r="Q72" i="17"/>
  <c r="Q70" i="17"/>
  <c r="Q67" i="17"/>
  <c r="Q64" i="17"/>
  <c r="Q61" i="17"/>
  <c r="Q55" i="17"/>
  <c r="Q52" i="17"/>
  <c r="Q46" i="17"/>
  <c r="Q43" i="17"/>
  <c r="Q40" i="17"/>
  <c r="Q37" i="17"/>
  <c r="Q34" i="17"/>
  <c r="P70" i="17"/>
  <c r="P67" i="17"/>
  <c r="P64" i="17"/>
  <c r="P61" i="17"/>
  <c r="P55" i="17"/>
  <c r="P52" i="17"/>
  <c r="P46" i="17"/>
  <c r="P43" i="17"/>
  <c r="R73" i="17"/>
  <c r="S71" i="17"/>
  <c r="R68" i="17"/>
  <c r="R65" i="17"/>
  <c r="R62" i="17"/>
  <c r="R59" i="17"/>
  <c r="R56" i="17"/>
  <c r="R53" i="17"/>
  <c r="R50" i="17"/>
  <c r="R47" i="17"/>
  <c r="R44" i="17"/>
  <c r="R41" i="17"/>
  <c r="R35" i="17"/>
  <c r="Q73" i="17"/>
  <c r="R71" i="17"/>
  <c r="Q68" i="17"/>
  <c r="Q65" i="17"/>
  <c r="Q62" i="17"/>
  <c r="Q59" i="17"/>
  <c r="Q56" i="17"/>
  <c r="Q53" i="17"/>
  <c r="J35" i="17"/>
  <c r="R39" i="17"/>
  <c r="J43" i="17"/>
  <c r="K47" i="17"/>
  <c r="P50" i="17"/>
  <c r="I53" i="17"/>
  <c r="S57" i="17"/>
  <c r="I34" i="17"/>
  <c r="J39" i="17"/>
  <c r="Q44" i="17"/>
  <c r="R48" i="17"/>
  <c r="I50" i="17"/>
  <c r="R55" i="17"/>
  <c r="L56" i="17"/>
  <c r="L57" i="17"/>
  <c r="R64" i="17"/>
  <c r="L65" i="17"/>
  <c r="L66" i="17"/>
  <c r="W51" i="17"/>
  <c r="W57" i="17"/>
  <c r="W60" i="17"/>
  <c r="W66" i="17"/>
  <c r="Z72" i="17"/>
  <c r="I81" i="17"/>
  <c r="S83" i="17"/>
  <c r="L84" i="17"/>
  <c r="X86" i="17"/>
  <c r="X89" i="17"/>
  <c r="K94" i="17"/>
  <c r="P96" i="17"/>
  <c r="R101" i="17"/>
  <c r="Q104" i="17"/>
  <c r="W112" i="17"/>
  <c r="J115" i="17"/>
  <c r="Y116" i="17"/>
  <c r="X118" i="17"/>
  <c r="X36" i="17"/>
  <c r="X38" i="17" s="1"/>
  <c r="X172" i="17" s="1"/>
  <c r="X39" i="17"/>
  <c r="X48" i="17"/>
  <c r="X51" i="17"/>
  <c r="X57" i="17"/>
  <c r="X60" i="17"/>
  <c r="X66" i="17"/>
  <c r="Q80" i="17"/>
  <c r="J81" i="17"/>
  <c r="Y86" i="17"/>
  <c r="W87" i="17"/>
  <c r="W88" i="17" s="1"/>
  <c r="Z89" i="17"/>
  <c r="J92" i="17"/>
  <c r="L94" i="17"/>
  <c r="X96" i="17"/>
  <c r="W97" i="17"/>
  <c r="P100" i="17"/>
  <c r="S101" i="17"/>
  <c r="R104" i="17"/>
  <c r="X112" i="17"/>
  <c r="W115" i="17"/>
  <c r="Z116" i="17"/>
  <c r="Y118" i="17"/>
  <c r="K116" i="17"/>
  <c r="L117" i="17"/>
  <c r="L116" i="17"/>
  <c r="J113" i="17"/>
  <c r="J110" i="17"/>
  <c r="J107" i="17"/>
  <c r="J104" i="17"/>
  <c r="J101" i="17"/>
  <c r="J98" i="17"/>
  <c r="J116" i="17"/>
  <c r="I113" i="17"/>
  <c r="I110" i="17"/>
  <c r="I107" i="17"/>
  <c r="I104" i="17"/>
  <c r="I101" i="17"/>
  <c r="I98" i="17"/>
  <c r="I92" i="17"/>
  <c r="I89" i="17"/>
  <c r="L118" i="17"/>
  <c r="I116" i="17"/>
  <c r="L111" i="17"/>
  <c r="L105" i="17"/>
  <c r="L102" i="17"/>
  <c r="K118" i="17"/>
  <c r="L112" i="17"/>
  <c r="I109" i="17"/>
  <c r="L100" i="17"/>
  <c r="L97" i="17"/>
  <c r="L86" i="17"/>
  <c r="L83" i="17"/>
  <c r="L80" i="17"/>
  <c r="J118" i="17"/>
  <c r="K117" i="17"/>
  <c r="K112" i="17"/>
  <c r="L104" i="17"/>
  <c r="K100" i="17"/>
  <c r="K97" i="17"/>
  <c r="L93" i="17"/>
  <c r="K86" i="17"/>
  <c r="K88" i="17" s="1"/>
  <c r="K190" i="17" s="1"/>
  <c r="K83" i="17"/>
  <c r="K80" i="17"/>
  <c r="I118" i="17"/>
  <c r="J117" i="17"/>
  <c r="J112" i="17"/>
  <c r="K104" i="17"/>
  <c r="J100" i="17"/>
  <c r="J97" i="17"/>
  <c r="K93" i="17"/>
  <c r="J86" i="17"/>
  <c r="J83" i="17"/>
  <c r="J80" i="17"/>
  <c r="I117" i="17"/>
  <c r="L115" i="17"/>
  <c r="I112" i="17"/>
  <c r="K111" i="17"/>
  <c r="I100" i="17"/>
  <c r="I97" i="17"/>
  <c r="J93" i="17"/>
  <c r="L89" i="17"/>
  <c r="K115" i="17"/>
  <c r="J111" i="17"/>
  <c r="L107" i="17"/>
  <c r="I93" i="17"/>
  <c r="K89" i="17"/>
  <c r="K81" i="17"/>
  <c r="I82" i="17"/>
  <c r="X87" i="17"/>
  <c r="K92" i="17"/>
  <c r="Q93" i="17"/>
  <c r="Y96" i="17"/>
  <c r="X97" i="17"/>
  <c r="Q100" i="17"/>
  <c r="K107" i="17"/>
  <c r="Y112" i="17"/>
  <c r="X115" i="17"/>
  <c r="Z118" i="17"/>
  <c r="Z48" i="17"/>
  <c r="Z51" i="17"/>
  <c r="Z57" i="17"/>
  <c r="Z60" i="17"/>
  <c r="Z66" i="17"/>
  <c r="Q117" i="17"/>
  <c r="R118" i="17"/>
  <c r="Q118" i="17"/>
  <c r="P118" i="17"/>
  <c r="P111" i="17"/>
  <c r="P105" i="17"/>
  <c r="P102" i="17"/>
  <c r="S115" i="17"/>
  <c r="S112" i="17"/>
  <c r="S109" i="17"/>
  <c r="S106" i="17"/>
  <c r="S100" i="17"/>
  <c r="S97" i="17"/>
  <c r="S94" i="17"/>
  <c r="R115" i="17"/>
  <c r="R112" i="17"/>
  <c r="R109" i="17"/>
  <c r="R106" i="17"/>
  <c r="R100" i="17"/>
  <c r="Q116" i="17"/>
  <c r="Q115" i="17"/>
  <c r="S111" i="17"/>
  <c r="R107" i="17"/>
  <c r="P93" i="17"/>
  <c r="Q89" i="17"/>
  <c r="R87" i="17"/>
  <c r="R88" i="17" s="1"/>
  <c r="R190" i="17" s="1"/>
  <c r="R84" i="17"/>
  <c r="R81" i="17"/>
  <c r="P116" i="17"/>
  <c r="P115" i="17"/>
  <c r="R111" i="17"/>
  <c r="Q107" i="17"/>
  <c r="P89" i="17"/>
  <c r="Q87" i="17"/>
  <c r="Q88" i="17" s="1"/>
  <c r="Q190" i="17" s="1"/>
  <c r="Q84" i="17"/>
  <c r="Q81" i="17"/>
  <c r="Q111" i="17"/>
  <c r="S110" i="17"/>
  <c r="P107" i="17"/>
  <c r="S98" i="17"/>
  <c r="S96" i="17"/>
  <c r="P87" i="17"/>
  <c r="P84" i="17"/>
  <c r="P81" i="17"/>
  <c r="R110" i="17"/>
  <c r="Q106" i="17"/>
  <c r="S102" i="17"/>
  <c r="R98" i="17"/>
  <c r="R96" i="17"/>
  <c r="R94" i="17"/>
  <c r="S92" i="17"/>
  <c r="P185" i="17"/>
  <c r="Q110" i="17"/>
  <c r="P106" i="17"/>
  <c r="R102" i="17"/>
  <c r="Q98" i="17"/>
  <c r="Q96" i="17"/>
  <c r="Q94" i="17"/>
  <c r="R92" i="17"/>
  <c r="S90" i="17"/>
  <c r="S80" i="17"/>
  <c r="L81" i="17"/>
  <c r="J82" i="17"/>
  <c r="X83" i="17"/>
  <c r="Y87" i="17"/>
  <c r="I90" i="17"/>
  <c r="L92" i="17"/>
  <c r="R93" i="17"/>
  <c r="P94" i="17"/>
  <c r="Z96" i="17"/>
  <c r="W100" i="17"/>
  <c r="I106" i="17"/>
  <c r="S107" i="17"/>
  <c r="K110" i="17"/>
  <c r="W111" i="17"/>
  <c r="Z112" i="17"/>
  <c r="P117" i="17"/>
  <c r="W168" i="17"/>
  <c r="W73" i="17"/>
  <c r="W35" i="17"/>
  <c r="W41" i="17"/>
  <c r="W44" i="17"/>
  <c r="W47" i="17"/>
  <c r="W50" i="17"/>
  <c r="W53" i="17"/>
  <c r="W56" i="17"/>
  <c r="W59" i="17"/>
  <c r="W62" i="17"/>
  <c r="W65" i="17"/>
  <c r="W68" i="17"/>
  <c r="X71" i="17"/>
  <c r="X73" i="17"/>
  <c r="W118" i="17"/>
  <c r="X116" i="17"/>
  <c r="X117" i="17"/>
  <c r="Z113" i="17"/>
  <c r="Z110" i="17"/>
  <c r="Z107" i="17"/>
  <c r="Z104" i="17"/>
  <c r="Z101" i="17"/>
  <c r="Z98" i="17"/>
  <c r="W117" i="17"/>
  <c r="Y113" i="17"/>
  <c r="Y110" i="17"/>
  <c r="Y107" i="17"/>
  <c r="Y104" i="17"/>
  <c r="Y101" i="17"/>
  <c r="Y98" i="17"/>
  <c r="Y92" i="17"/>
  <c r="Y89" i="17"/>
  <c r="X113" i="17"/>
  <c r="X110" i="17"/>
  <c r="X107" i="17"/>
  <c r="X104" i="17"/>
  <c r="X101" i="17"/>
  <c r="X98" i="17"/>
  <c r="W110" i="17"/>
  <c r="Y106" i="17"/>
  <c r="X102" i="17"/>
  <c r="W98" i="17"/>
  <c r="W96" i="17"/>
  <c r="X94" i="17"/>
  <c r="X92" i="17"/>
  <c r="Y90" i="17"/>
  <c r="X82" i="17"/>
  <c r="X106" i="17"/>
  <c r="Z105" i="17"/>
  <c r="W102" i="17"/>
  <c r="W94" i="17"/>
  <c r="W92" i="17"/>
  <c r="X90" i="17"/>
  <c r="W82" i="17"/>
  <c r="Z109" i="17"/>
  <c r="W106" i="17"/>
  <c r="Y105" i="17"/>
  <c r="W90" i="17"/>
  <c r="Z86" i="17"/>
  <c r="Z83" i="17"/>
  <c r="Z80" i="17"/>
  <c r="W185" i="17"/>
  <c r="W113" i="17"/>
  <c r="Y109" i="17"/>
  <c r="X105" i="17"/>
  <c r="W101" i="17"/>
  <c r="Z97" i="17"/>
  <c r="X109" i="17"/>
  <c r="W105" i="17"/>
  <c r="Y97" i="17"/>
  <c r="Z93" i="17"/>
  <c r="Z95" i="17" s="1"/>
  <c r="Z192" i="17" s="1"/>
  <c r="K82" i="17"/>
  <c r="Y83" i="17"/>
  <c r="W84" i="17"/>
  <c r="I86" i="17"/>
  <c r="Z87" i="17"/>
  <c r="J90" i="17"/>
  <c r="S93" i="17"/>
  <c r="Y94" i="17"/>
  <c r="X100" i="17"/>
  <c r="W104" i="17"/>
  <c r="J106" i="17"/>
  <c r="L110" i="17"/>
  <c r="X111" i="17"/>
  <c r="K113" i="17"/>
  <c r="Z115" i="17"/>
  <c r="R117" i="17"/>
  <c r="B90" i="17"/>
  <c r="D104" i="17"/>
  <c r="B105" i="17"/>
  <c r="D116" i="17"/>
  <c r="D118" i="17"/>
  <c r="C90" i="17"/>
  <c r="B92" i="17"/>
  <c r="B101" i="17"/>
  <c r="E104" i="17"/>
  <c r="C105" i="17"/>
  <c r="B113" i="17"/>
  <c r="E116" i="17"/>
  <c r="D82" i="17"/>
  <c r="D90" i="17"/>
  <c r="C92" i="17"/>
  <c r="B94" i="17"/>
  <c r="B96" i="17"/>
  <c r="C101" i="17"/>
  <c r="D105" i="17"/>
  <c r="E109" i="17"/>
  <c r="C113" i="17"/>
  <c r="E82" i="17"/>
  <c r="E90" i="17"/>
  <c r="D92" i="17"/>
  <c r="D94" i="17"/>
  <c r="C96" i="17"/>
  <c r="B98" i="17"/>
  <c r="D101" i="17"/>
  <c r="B102" i="17"/>
  <c r="E105" i="17"/>
  <c r="E118" i="17"/>
  <c r="B118" i="17"/>
  <c r="D117" i="17"/>
  <c r="D115" i="17"/>
  <c r="D112" i="17"/>
  <c r="D109" i="17"/>
  <c r="D106" i="17"/>
  <c r="D100" i="17"/>
  <c r="C117" i="17"/>
  <c r="C115" i="17"/>
  <c r="C112" i="17"/>
  <c r="C109" i="17"/>
  <c r="C106" i="17"/>
  <c r="C100" i="17"/>
  <c r="C97" i="17"/>
  <c r="C94" i="17"/>
  <c r="B117" i="17"/>
  <c r="B115" i="17"/>
  <c r="B112" i="17"/>
  <c r="B109" i="17"/>
  <c r="B106" i="17"/>
  <c r="B100" i="17"/>
  <c r="B81" i="17"/>
  <c r="B84" i="17"/>
  <c r="B87" i="17"/>
  <c r="E92" i="17"/>
  <c r="E94" i="17"/>
  <c r="D96" i="17"/>
  <c r="C98" i="17"/>
  <c r="E101" i="17"/>
  <c r="C102" i="17"/>
  <c r="B110" i="17"/>
  <c r="E113" i="17"/>
  <c r="L125" i="17"/>
  <c r="Q130" i="17"/>
  <c r="Q131" i="17"/>
  <c r="K133" i="17"/>
  <c r="Q139" i="17"/>
  <c r="Q140" i="17"/>
  <c r="K141" i="17"/>
  <c r="K142" i="17"/>
  <c r="J151" i="17"/>
  <c r="P155" i="17"/>
  <c r="R159" i="17"/>
  <c r="K161" i="17"/>
  <c r="S162" i="17"/>
  <c r="R131" i="17"/>
  <c r="L133" i="17"/>
  <c r="L134" i="17"/>
  <c r="R140" i="17"/>
  <c r="R141" i="17"/>
  <c r="L142" i="17"/>
  <c r="K146" i="17"/>
  <c r="K154" i="17"/>
  <c r="Q155" i="17"/>
  <c r="L161" i="17"/>
  <c r="B123" i="17"/>
  <c r="P125" i="17"/>
  <c r="I126" i="17"/>
  <c r="I127" i="17"/>
  <c r="S131" i="17"/>
  <c r="I136" i="17"/>
  <c r="S140" i="17"/>
  <c r="S141" i="17"/>
  <c r="L146" i="17"/>
  <c r="R155" i="17"/>
  <c r="L162" i="17"/>
  <c r="L159" i="17"/>
  <c r="L156" i="17"/>
  <c r="L153" i="17"/>
  <c r="L150" i="17"/>
  <c r="L144" i="17"/>
  <c r="K162" i="17"/>
  <c r="K159" i="17"/>
  <c r="K156" i="17"/>
  <c r="K153" i="17"/>
  <c r="K150" i="17"/>
  <c r="K144" i="17"/>
  <c r="J162" i="17"/>
  <c r="J159" i="17"/>
  <c r="J156" i="17"/>
  <c r="J153" i="17"/>
  <c r="J150" i="17"/>
  <c r="J144" i="17"/>
  <c r="I162" i="17"/>
  <c r="I159" i="17"/>
  <c r="I156" i="17"/>
  <c r="I153" i="17"/>
  <c r="I150" i="17"/>
  <c r="I144" i="17"/>
  <c r="L160" i="17"/>
  <c r="J155" i="17"/>
  <c r="J154" i="17"/>
  <c r="J146" i="17"/>
  <c r="J145" i="17"/>
  <c r="K140" i="17"/>
  <c r="K137" i="17"/>
  <c r="K134" i="17"/>
  <c r="K131" i="17"/>
  <c r="K128" i="17"/>
  <c r="K125" i="17"/>
  <c r="I155" i="17"/>
  <c r="I154" i="17"/>
  <c r="I146" i="17"/>
  <c r="I145" i="17"/>
  <c r="J140" i="17"/>
  <c r="J137" i="17"/>
  <c r="J134" i="17"/>
  <c r="J131" i="17"/>
  <c r="J128" i="17"/>
  <c r="I202" i="17"/>
  <c r="L151" i="17"/>
  <c r="I140" i="17"/>
  <c r="I137" i="17"/>
  <c r="I134" i="17"/>
  <c r="I131" i="17"/>
  <c r="I128" i="17"/>
  <c r="K151" i="17"/>
  <c r="L141" i="17"/>
  <c r="L126" i="17"/>
  <c r="Q125" i="17"/>
  <c r="J126" i="17"/>
  <c r="J127" i="17"/>
  <c r="P133" i="17"/>
  <c r="P134" i="17"/>
  <c r="J136" i="17"/>
  <c r="P142" i="17"/>
  <c r="I149" i="17"/>
  <c r="S154" i="17"/>
  <c r="I157" i="17"/>
  <c r="R160" i="17"/>
  <c r="R157" i="17"/>
  <c r="R154" i="17"/>
  <c r="R151" i="17"/>
  <c r="R148" i="17"/>
  <c r="R145" i="17"/>
  <c r="R142" i="17"/>
  <c r="Q160" i="17"/>
  <c r="Q157" i="17"/>
  <c r="Q154" i="17"/>
  <c r="Q151" i="17"/>
  <c r="Q148" i="17"/>
  <c r="Q145" i="17"/>
  <c r="P160" i="17"/>
  <c r="P157" i="17"/>
  <c r="P154" i="17"/>
  <c r="P151" i="17"/>
  <c r="P148" i="17"/>
  <c r="P145" i="17"/>
  <c r="S161" i="17"/>
  <c r="S155" i="17"/>
  <c r="S149" i="17"/>
  <c r="S146" i="17"/>
  <c r="R161" i="17"/>
  <c r="P153" i="17"/>
  <c r="P144" i="17"/>
  <c r="Q141" i="17"/>
  <c r="Q126" i="17"/>
  <c r="P202" i="17"/>
  <c r="S151" i="17"/>
  <c r="S150" i="17"/>
  <c r="P141" i="17"/>
  <c r="P126" i="17"/>
  <c r="R150" i="17"/>
  <c r="R149" i="17"/>
  <c r="S139" i="17"/>
  <c r="S136" i="17"/>
  <c r="S133" i="17"/>
  <c r="S130" i="17"/>
  <c r="S132" i="17" s="1"/>
  <c r="S207" i="17" s="1"/>
  <c r="S127" i="17"/>
  <c r="S159" i="17"/>
  <c r="Q150" i="17"/>
  <c r="Q149" i="17"/>
  <c r="S142" i="17"/>
  <c r="R139" i="17"/>
  <c r="R136" i="17"/>
  <c r="R133" i="17"/>
  <c r="R130" i="17"/>
  <c r="R127" i="17"/>
  <c r="R125" i="17"/>
  <c r="K126" i="17"/>
  <c r="K127" i="17"/>
  <c r="Q133" i="17"/>
  <c r="Q134" i="17"/>
  <c r="K136" i="17"/>
  <c r="Q142" i="17"/>
  <c r="P146" i="17"/>
  <c r="J149" i="17"/>
  <c r="P150" i="17"/>
  <c r="J157" i="17"/>
  <c r="I160" i="17"/>
  <c r="Q161" i="17"/>
  <c r="K132" i="17" l="1"/>
  <c r="K207" i="17" s="1"/>
  <c r="Z91" i="17"/>
  <c r="Z191" i="17" s="1"/>
  <c r="J42" i="17"/>
  <c r="J173" i="17" s="1"/>
  <c r="T113" i="17"/>
  <c r="C88" i="17"/>
  <c r="C190" i="17" s="1"/>
  <c r="R58" i="17"/>
  <c r="R177" i="17" s="1"/>
  <c r="R91" i="17"/>
  <c r="R191" i="17" s="1"/>
  <c r="J38" i="17"/>
  <c r="J172" i="17" s="1"/>
  <c r="J88" i="17"/>
  <c r="J190" i="17" s="1"/>
  <c r="F111" i="17"/>
  <c r="T161" i="17"/>
  <c r="F84" i="17"/>
  <c r="X95" i="17"/>
  <c r="X192" i="17" s="1"/>
  <c r="W91" i="17"/>
  <c r="W191" i="17" s="1"/>
  <c r="Z103" i="17"/>
  <c r="Z194" i="17" s="1"/>
  <c r="I49" i="17"/>
  <c r="I175" i="17" s="1"/>
  <c r="D91" i="17"/>
  <c r="D191" i="17" s="1"/>
  <c r="Y103" i="17"/>
  <c r="Y194" i="17" s="1"/>
  <c r="P138" i="17"/>
  <c r="P209" i="17" s="1"/>
  <c r="M68" i="17"/>
  <c r="Q42" i="17"/>
  <c r="Q173" i="17" s="1"/>
  <c r="AA52" i="17"/>
  <c r="M53" i="17"/>
  <c r="D99" i="17"/>
  <c r="D193" i="17" s="1"/>
  <c r="K91" i="17"/>
  <c r="K191" i="17" s="1"/>
  <c r="J45" i="17"/>
  <c r="J174" i="17" s="1"/>
  <c r="F86" i="17"/>
  <c r="T128" i="17"/>
  <c r="Q129" i="17"/>
  <c r="Q206" i="17" s="1"/>
  <c r="J132" i="17"/>
  <c r="J207" i="17" s="1"/>
  <c r="K135" i="17"/>
  <c r="K208" i="17" s="1"/>
  <c r="AA62" i="17"/>
  <c r="K99" i="17"/>
  <c r="K193" i="17" s="1"/>
  <c r="T127" i="17"/>
  <c r="S138" i="17"/>
  <c r="S209" i="17" s="1"/>
  <c r="L143" i="17"/>
  <c r="L210" i="17" s="1"/>
  <c r="M130" i="17"/>
  <c r="J135" i="17"/>
  <c r="J208" i="17" s="1"/>
  <c r="AA111" i="17"/>
  <c r="C119" i="17"/>
  <c r="C197" i="17" s="1"/>
  <c r="S85" i="17"/>
  <c r="S189" i="17" s="1"/>
  <c r="Q91" i="17"/>
  <c r="Q191" i="17" s="1"/>
  <c r="S88" i="17"/>
  <c r="S190" i="17" s="1"/>
  <c r="F80" i="17"/>
  <c r="AA70" i="17"/>
  <c r="D88" i="17"/>
  <c r="D190" i="17" s="1"/>
  <c r="R138" i="17"/>
  <c r="R209" i="17" s="1"/>
  <c r="J91" i="17"/>
  <c r="J191" i="17" s="1"/>
  <c r="R95" i="17"/>
  <c r="R192" i="17" s="1"/>
  <c r="M96" i="17"/>
  <c r="AA61" i="17"/>
  <c r="L158" i="17"/>
  <c r="L213" i="17" s="1"/>
  <c r="B91" i="17"/>
  <c r="B191" i="17" s="1"/>
  <c r="Q103" i="17"/>
  <c r="Q194" i="17" s="1"/>
  <c r="X58" i="17"/>
  <c r="X177" i="17" s="1"/>
  <c r="AA34" i="17"/>
  <c r="X45" i="17"/>
  <c r="X174" i="17" s="1"/>
  <c r="M142" i="17"/>
  <c r="AA84" i="17"/>
  <c r="F110" i="17"/>
  <c r="S108" i="17"/>
  <c r="S195" i="17" s="1"/>
  <c r="R147" i="17"/>
  <c r="R211" i="17" s="1"/>
  <c r="E114" i="17"/>
  <c r="E196" i="17" s="1"/>
  <c r="S58" i="17"/>
  <c r="S177" i="17" s="1"/>
  <c r="T34" i="17"/>
  <c r="T156" i="17"/>
  <c r="L152" i="17"/>
  <c r="L212" i="17" s="1"/>
  <c r="AA56" i="17"/>
  <c r="L91" i="17"/>
  <c r="L191" i="17" s="1"/>
  <c r="M59" i="17"/>
  <c r="M139" i="17"/>
  <c r="R135" i="17"/>
  <c r="R208" i="17" s="1"/>
  <c r="Z63" i="17"/>
  <c r="Z178" i="17" s="1"/>
  <c r="Z99" i="17"/>
  <c r="Z193" i="17" s="1"/>
  <c r="E103" i="17"/>
  <c r="E194" i="17" s="1"/>
  <c r="Z54" i="17"/>
  <c r="Z176" i="17" s="1"/>
  <c r="T82" i="17"/>
  <c r="Q138" i="17"/>
  <c r="Q209" i="17" s="1"/>
  <c r="Z42" i="17"/>
  <c r="Z173" i="17" s="1"/>
  <c r="AA35" i="17"/>
  <c r="Z49" i="17"/>
  <c r="Z175" i="17" s="1"/>
  <c r="L88" i="17"/>
  <c r="L190" i="17" s="1"/>
  <c r="S135" i="17"/>
  <c r="S208" i="17" s="1"/>
  <c r="E85" i="17"/>
  <c r="E189" i="17" s="1"/>
  <c r="Y85" i="17"/>
  <c r="Y189" i="17" s="1"/>
  <c r="AA80" i="17"/>
  <c r="AA71" i="17"/>
  <c r="L99" i="17"/>
  <c r="L193" i="17" s="1"/>
  <c r="X54" i="17"/>
  <c r="X176" i="17" s="1"/>
  <c r="P132" i="17"/>
  <c r="P207" i="17" s="1"/>
  <c r="AA55" i="17"/>
  <c r="T140" i="17"/>
  <c r="F97" i="17"/>
  <c r="AA68" i="17"/>
  <c r="T105" i="17"/>
  <c r="X49" i="17"/>
  <c r="X175" i="17" s="1"/>
  <c r="T137" i="17"/>
  <c r="Y49" i="17"/>
  <c r="Y175" i="17" s="1"/>
  <c r="D108" i="17"/>
  <c r="D195" i="17" s="1"/>
  <c r="Z58" i="17"/>
  <c r="Z177" i="17" s="1"/>
  <c r="X69" i="17"/>
  <c r="X179" i="17" s="1"/>
  <c r="E119" i="17"/>
  <c r="E197" i="17" s="1"/>
  <c r="AA110" i="17"/>
  <c r="AA41" i="17"/>
  <c r="T94" i="17"/>
  <c r="X63" i="17"/>
  <c r="X178" i="17" s="1"/>
  <c r="S45" i="17"/>
  <c r="S174" i="17" s="1"/>
  <c r="P42" i="17"/>
  <c r="P173" i="17" s="1"/>
  <c r="T57" i="17"/>
  <c r="F82" i="17"/>
  <c r="Y114" i="17"/>
  <c r="Y196" i="17" s="1"/>
  <c r="M125" i="17"/>
  <c r="K152" i="17"/>
  <c r="K212" i="17" s="1"/>
  <c r="D119" i="17"/>
  <c r="D197" i="17" s="1"/>
  <c r="E91" i="17"/>
  <c r="E191" i="17" s="1"/>
  <c r="S119" i="17"/>
  <c r="S197" i="17" s="1"/>
  <c r="K69" i="17"/>
  <c r="K179" i="17" s="1"/>
  <c r="S129" i="17"/>
  <c r="S206" i="17" s="1"/>
  <c r="F118" i="17"/>
  <c r="M93" i="17"/>
  <c r="T65" i="17"/>
  <c r="F83" i="17"/>
  <c r="F89" i="17"/>
  <c r="T157" i="17"/>
  <c r="R158" i="17"/>
  <c r="R213" i="17" s="1"/>
  <c r="M162" i="17"/>
  <c r="F87" i="17"/>
  <c r="L114" i="17"/>
  <c r="L196" i="17" s="1"/>
  <c r="X85" i="17"/>
  <c r="X189" i="17" s="1"/>
  <c r="Q114" i="17"/>
  <c r="Q196" i="17" s="1"/>
  <c r="S99" i="17"/>
  <c r="S193" i="17" s="1"/>
  <c r="T116" i="17"/>
  <c r="X42" i="17"/>
  <c r="X173" i="17" s="1"/>
  <c r="P38" i="17"/>
  <c r="P172" i="17" s="1"/>
  <c r="K103" i="17"/>
  <c r="K194" i="17" s="1"/>
  <c r="M84" i="17"/>
  <c r="T153" i="17"/>
  <c r="J143" i="17"/>
  <c r="J210" i="17" s="1"/>
  <c r="Y91" i="17"/>
  <c r="Y191" i="17" s="1"/>
  <c r="M102" i="17"/>
  <c r="T83" i="17"/>
  <c r="K49" i="17"/>
  <c r="K175" i="17" s="1"/>
  <c r="Q147" i="17"/>
  <c r="Q211" i="17" s="1"/>
  <c r="AA105" i="17"/>
  <c r="T162" i="17"/>
  <c r="S147" i="17"/>
  <c r="S211" i="17" s="1"/>
  <c r="AA53" i="17"/>
  <c r="T97" i="17"/>
  <c r="M105" i="17"/>
  <c r="Y119" i="17"/>
  <c r="Y197" i="17" s="1"/>
  <c r="T41" i="17"/>
  <c r="Q49" i="17"/>
  <c r="Q175" i="17" s="1"/>
  <c r="L54" i="17"/>
  <c r="L176" i="17" s="1"/>
  <c r="L45" i="17"/>
  <c r="L174" i="17" s="1"/>
  <c r="Y74" i="17"/>
  <c r="Y180" i="17" s="1"/>
  <c r="C85" i="17"/>
  <c r="C189" i="17" s="1"/>
  <c r="C91" i="17"/>
  <c r="C191" i="17" s="1"/>
  <c r="Z108" i="17"/>
  <c r="Z195" i="17" s="1"/>
  <c r="S152" i="17"/>
  <c r="S212" i="17" s="1"/>
  <c r="D103" i="17"/>
  <c r="D194" i="17" s="1"/>
  <c r="AA82" i="17"/>
  <c r="AA98" i="17"/>
  <c r="S91" i="17"/>
  <c r="S191" i="17" s="1"/>
  <c r="Z69" i="17"/>
  <c r="Z179" i="17" s="1"/>
  <c r="AA72" i="17"/>
  <c r="M37" i="17"/>
  <c r="M46" i="17"/>
  <c r="J69" i="17"/>
  <c r="J179" i="17" s="1"/>
  <c r="AA67" i="17"/>
  <c r="R143" i="17"/>
  <c r="R210" i="17" s="1"/>
  <c r="Q163" i="17"/>
  <c r="Q214" i="17" s="1"/>
  <c r="M155" i="17"/>
  <c r="K147" i="17"/>
  <c r="K211" i="17" s="1"/>
  <c r="K158" i="17"/>
  <c r="K213" i="17" s="1"/>
  <c r="M151" i="17"/>
  <c r="AA83" i="17"/>
  <c r="R85" i="17"/>
  <c r="R189" i="17" s="1"/>
  <c r="T112" i="17"/>
  <c r="T118" i="17"/>
  <c r="M111" i="17"/>
  <c r="M107" i="17"/>
  <c r="K54" i="17"/>
  <c r="K176" i="17" s="1"/>
  <c r="Y38" i="17"/>
  <c r="Y172" i="17" s="1"/>
  <c r="F107" i="17"/>
  <c r="T47" i="17"/>
  <c r="T51" i="17"/>
  <c r="Z38" i="17"/>
  <c r="Z172" i="17" s="1"/>
  <c r="M141" i="17"/>
  <c r="X103" i="17"/>
  <c r="X194" i="17" s="1"/>
  <c r="AA106" i="17"/>
  <c r="K114" i="17"/>
  <c r="K196" i="17" s="1"/>
  <c r="J99" i="17"/>
  <c r="J193" i="17" s="1"/>
  <c r="L108" i="17"/>
  <c r="L195" i="17" s="1"/>
  <c r="AA116" i="17"/>
  <c r="K63" i="17"/>
  <c r="K178" i="17" s="1"/>
  <c r="S69" i="17"/>
  <c r="S179" i="17" s="1"/>
  <c r="M87" i="17"/>
  <c r="AA46" i="17"/>
  <c r="T36" i="17"/>
  <c r="Y69" i="17"/>
  <c r="Y179" i="17" s="1"/>
  <c r="F116" i="17"/>
  <c r="R99" i="17"/>
  <c r="R193" i="17" s="1"/>
  <c r="Y99" i="17"/>
  <c r="Y193" i="17" s="1"/>
  <c r="J103" i="17"/>
  <c r="J194" i="17" s="1"/>
  <c r="M41" i="17"/>
  <c r="Y63" i="17"/>
  <c r="Y178" i="17" s="1"/>
  <c r="J129" i="17"/>
  <c r="J206" i="17" s="1"/>
  <c r="T139" i="17"/>
  <c r="M106" i="17"/>
  <c r="Q95" i="17"/>
  <c r="Q192" i="17" s="1"/>
  <c r="M51" i="17"/>
  <c r="AA64" i="17"/>
  <c r="M47" i="17"/>
  <c r="T92" i="17"/>
  <c r="L42" i="17"/>
  <c r="L173" i="17" s="1"/>
  <c r="M44" i="17"/>
  <c r="R129" i="17"/>
  <c r="R206" i="17" s="1"/>
  <c r="T160" i="17"/>
  <c r="K143" i="17"/>
  <c r="K210" i="17" s="1"/>
  <c r="J147" i="17"/>
  <c r="J211" i="17" s="1"/>
  <c r="L147" i="17"/>
  <c r="L211" i="17" s="1"/>
  <c r="M127" i="17"/>
  <c r="T131" i="17"/>
  <c r="T104" i="17"/>
  <c r="AA60" i="17"/>
  <c r="R42" i="17"/>
  <c r="R173" i="17" s="1"/>
  <c r="M60" i="17"/>
  <c r="Y54" i="17"/>
  <c r="Y176" i="17" s="1"/>
  <c r="T101" i="17"/>
  <c r="Z74" i="17"/>
  <c r="Z180" i="17" s="1"/>
  <c r="M148" i="17"/>
  <c r="Y58" i="17"/>
  <c r="Y177" i="17" s="1"/>
  <c r="T86" i="17"/>
  <c r="S143" i="17"/>
  <c r="S210" i="17" s="1"/>
  <c r="T98" i="17"/>
  <c r="L119" i="17"/>
  <c r="L197" i="17" s="1"/>
  <c r="J114" i="17"/>
  <c r="J196" i="17" s="1"/>
  <c r="AA97" i="17"/>
  <c r="T66" i="17"/>
  <c r="Z45" i="17"/>
  <c r="Z174" i="17" s="1"/>
  <c r="L138" i="17"/>
  <c r="L209" i="17" s="1"/>
  <c r="E88" i="17"/>
  <c r="E190" i="17" s="1"/>
  <c r="Y45" i="17"/>
  <c r="Y174" i="17" s="1"/>
  <c r="T150" i="17"/>
  <c r="T149" i="17"/>
  <c r="S158" i="17"/>
  <c r="S213" i="17" s="1"/>
  <c r="M128" i="17"/>
  <c r="M145" i="17"/>
  <c r="J158" i="17"/>
  <c r="J213" i="17" s="1"/>
  <c r="M161" i="17"/>
  <c r="C114" i="17"/>
  <c r="C196" i="17" s="1"/>
  <c r="C108" i="17"/>
  <c r="C195" i="17" s="1"/>
  <c r="M117" i="17"/>
  <c r="M98" i="17"/>
  <c r="X99" i="17"/>
  <c r="X193" i="17" s="1"/>
  <c r="M94" i="17"/>
  <c r="T56" i="17"/>
  <c r="M66" i="17"/>
  <c r="L58" i="17"/>
  <c r="L177" i="17" s="1"/>
  <c r="L132" i="17"/>
  <c r="L207" i="17" s="1"/>
  <c r="AA40" i="17"/>
  <c r="C103" i="17"/>
  <c r="C194" i="17" s="1"/>
  <c r="T159" i="17"/>
  <c r="X119" i="17"/>
  <c r="X197" i="17" s="1"/>
  <c r="M101" i="17"/>
  <c r="B88" i="17"/>
  <c r="M71" i="17"/>
  <c r="M61" i="17"/>
  <c r="K38" i="17"/>
  <c r="K172" i="17" s="1"/>
  <c r="J49" i="17"/>
  <c r="J175" i="17" s="1"/>
  <c r="Y42" i="17"/>
  <c r="Y173" i="17" s="1"/>
  <c r="AA81" i="17"/>
  <c r="AA37" i="17"/>
  <c r="T126" i="17"/>
  <c r="T142" i="17"/>
  <c r="F101" i="17"/>
  <c r="R114" i="17"/>
  <c r="R196" i="17" s="1"/>
  <c r="T111" i="17"/>
  <c r="X88" i="17"/>
  <c r="X190" i="17" s="1"/>
  <c r="M67" i="17"/>
  <c r="M52" i="17"/>
  <c r="F93" i="17"/>
  <c r="E99" i="17"/>
  <c r="E193" i="17" s="1"/>
  <c r="W190" i="17"/>
  <c r="I95" i="17"/>
  <c r="M92" i="17"/>
  <c r="I119" i="17"/>
  <c r="I74" i="17"/>
  <c r="M70" i="17"/>
  <c r="T39" i="17"/>
  <c r="Q132" i="17"/>
  <c r="Q207" i="17" s="1"/>
  <c r="E95" i="17"/>
  <c r="E192" i="17" s="1"/>
  <c r="Z114" i="17"/>
  <c r="Z196" i="17" s="1"/>
  <c r="AA96" i="17"/>
  <c r="W99" i="17"/>
  <c r="Y95" i="17"/>
  <c r="Y192" i="17" s="1"/>
  <c r="S95" i="17"/>
  <c r="S192" i="17" s="1"/>
  <c r="T107" i="17"/>
  <c r="R119" i="17"/>
  <c r="R197" i="17" s="1"/>
  <c r="J85" i="17"/>
  <c r="J189" i="17" s="1"/>
  <c r="M80" i="17"/>
  <c r="L103" i="17"/>
  <c r="L194" i="17" s="1"/>
  <c r="AA51" i="17"/>
  <c r="Q45" i="17"/>
  <c r="Q174" i="17" s="1"/>
  <c r="L63" i="17"/>
  <c r="L178" i="17" s="1"/>
  <c r="W38" i="17"/>
  <c r="W132" i="17"/>
  <c r="AA130" i="17"/>
  <c r="L49" i="17"/>
  <c r="L175" i="17" s="1"/>
  <c r="J58" i="17"/>
  <c r="J177" i="17" s="1"/>
  <c r="D85" i="17"/>
  <c r="D189" i="17" s="1"/>
  <c r="T90" i="17"/>
  <c r="I54" i="17"/>
  <c r="M50" i="17"/>
  <c r="T50" i="17"/>
  <c r="P54" i="17"/>
  <c r="Z215" i="17"/>
  <c r="Z216" i="17"/>
  <c r="R45" i="17"/>
  <c r="R174" i="17" s="1"/>
  <c r="Q54" i="17"/>
  <c r="Q176" i="17" s="1"/>
  <c r="M160" i="17"/>
  <c r="M126" i="17"/>
  <c r="I129" i="17"/>
  <c r="R132" i="17"/>
  <c r="R207" i="17" s="1"/>
  <c r="Q152" i="17"/>
  <c r="Q212" i="17" s="1"/>
  <c r="M157" i="17"/>
  <c r="P129" i="17"/>
  <c r="T125" i="17"/>
  <c r="L129" i="17"/>
  <c r="L206" i="17" s="1"/>
  <c r="F113" i="17"/>
  <c r="F90" i="17"/>
  <c r="AA101" i="17"/>
  <c r="W54" i="17"/>
  <c r="AA50" i="17"/>
  <c r="M83" i="17"/>
  <c r="I114" i="17"/>
  <c r="M109" i="17"/>
  <c r="M104" i="17"/>
  <c r="I108" i="17"/>
  <c r="J95" i="17"/>
  <c r="J192" i="17" s="1"/>
  <c r="X91" i="17"/>
  <c r="X191" i="17" s="1"/>
  <c r="T43" i="17"/>
  <c r="P45" i="17"/>
  <c r="AA125" i="17"/>
  <c r="W129" i="17"/>
  <c r="X215" i="17"/>
  <c r="X216" i="17"/>
  <c r="W135" i="17"/>
  <c r="AA133" i="17"/>
  <c r="K58" i="17"/>
  <c r="K177" i="17" s="1"/>
  <c r="T53" i="17"/>
  <c r="AA39" i="17"/>
  <c r="R38" i="17"/>
  <c r="R172" i="17" s="1"/>
  <c r="S63" i="17"/>
  <c r="S178" i="17" s="1"/>
  <c r="J74" i="17"/>
  <c r="J180" i="17" s="1"/>
  <c r="S49" i="17"/>
  <c r="S175" i="17" s="1"/>
  <c r="R49" i="17"/>
  <c r="R175" i="17" s="1"/>
  <c r="J54" i="17"/>
  <c r="J176" i="17" s="1"/>
  <c r="P147" i="17"/>
  <c r="T144" i="17"/>
  <c r="X114" i="17"/>
  <c r="X196" i="17" s="1"/>
  <c r="P49" i="17"/>
  <c r="T46" i="17"/>
  <c r="AA86" i="17"/>
  <c r="W85" i="17"/>
  <c r="T71" i="17"/>
  <c r="P143" i="17"/>
  <c r="T68" i="17"/>
  <c r="J152" i="17"/>
  <c r="J212" i="17" s="1"/>
  <c r="Q158" i="17"/>
  <c r="Q213" i="17" s="1"/>
  <c r="I152" i="17"/>
  <c r="M149" i="17"/>
  <c r="M131" i="17"/>
  <c r="I132" i="17"/>
  <c r="M146" i="17"/>
  <c r="J163" i="17"/>
  <c r="J214" i="17" s="1"/>
  <c r="L163" i="17"/>
  <c r="L214" i="17" s="1"/>
  <c r="R163" i="17"/>
  <c r="R214" i="17" s="1"/>
  <c r="F81" i="17"/>
  <c r="B85" i="17"/>
  <c r="E108" i="17"/>
  <c r="E195" i="17" s="1"/>
  <c r="I88" i="17"/>
  <c r="M86" i="17"/>
  <c r="W95" i="17"/>
  <c r="AA92" i="17"/>
  <c r="Y108" i="17"/>
  <c r="Y195" i="17" s="1"/>
  <c r="W45" i="17"/>
  <c r="AA44" i="17"/>
  <c r="AA100" i="17"/>
  <c r="W103" i="17"/>
  <c r="T93" i="17"/>
  <c r="P95" i="17"/>
  <c r="S103" i="17"/>
  <c r="S194" i="17" s="1"/>
  <c r="K119" i="17"/>
  <c r="K197" i="17" s="1"/>
  <c r="M110" i="17"/>
  <c r="AA87" i="17"/>
  <c r="T136" i="17"/>
  <c r="T52" i="17"/>
  <c r="Q58" i="17"/>
  <c r="Q177" i="17" s="1"/>
  <c r="M35" i="17"/>
  <c r="W143" i="17"/>
  <c r="AA139" i="17"/>
  <c r="K42" i="17"/>
  <c r="K173" i="17" s="1"/>
  <c r="T48" i="17"/>
  <c r="S74" i="17"/>
  <c r="S180" i="17" s="1"/>
  <c r="F104" i="17"/>
  <c r="K45" i="17"/>
  <c r="K174" i="17" s="1"/>
  <c r="I63" i="17"/>
  <c r="K85" i="17"/>
  <c r="K189" i="17" s="1"/>
  <c r="AA144" i="17"/>
  <c r="W147" i="17"/>
  <c r="B160" i="17"/>
  <c r="B157" i="17"/>
  <c r="B154" i="17"/>
  <c r="B151" i="17"/>
  <c r="B148" i="17"/>
  <c r="B145" i="17"/>
  <c r="E161" i="17"/>
  <c r="E155" i="17"/>
  <c r="E149" i="17"/>
  <c r="E146" i="17"/>
  <c r="D161" i="17"/>
  <c r="D155" i="17"/>
  <c r="D149" i="17"/>
  <c r="D146" i="17"/>
  <c r="C161" i="17"/>
  <c r="C155" i="17"/>
  <c r="C149" i="17"/>
  <c r="C146" i="17"/>
  <c r="B161" i="17"/>
  <c r="B162" i="17"/>
  <c r="C160" i="17"/>
  <c r="D157" i="17"/>
  <c r="D156" i="17"/>
  <c r="D148" i="17"/>
  <c r="E142" i="17"/>
  <c r="E139" i="17"/>
  <c r="E136" i="17"/>
  <c r="E133" i="17"/>
  <c r="E130" i="17"/>
  <c r="E127" i="17"/>
  <c r="C157" i="17"/>
  <c r="C156" i="17"/>
  <c r="C148" i="17"/>
  <c r="D142" i="17"/>
  <c r="D139" i="17"/>
  <c r="D136" i="17"/>
  <c r="D133" i="17"/>
  <c r="D130" i="17"/>
  <c r="D127" i="17"/>
  <c r="B156" i="17"/>
  <c r="B155" i="17"/>
  <c r="B146" i="17"/>
  <c r="C142" i="17"/>
  <c r="C139" i="17"/>
  <c r="C136" i="17"/>
  <c r="C133" i="17"/>
  <c r="C130" i="17"/>
  <c r="C127" i="17"/>
  <c r="B202" i="17"/>
  <c r="E154" i="17"/>
  <c r="E153" i="17"/>
  <c r="E145" i="17"/>
  <c r="E144" i="17"/>
  <c r="B142" i="17"/>
  <c r="B139" i="17"/>
  <c r="B136" i="17"/>
  <c r="B133" i="17"/>
  <c r="B130" i="17"/>
  <c r="B127" i="17"/>
  <c r="D153" i="17"/>
  <c r="D145" i="17"/>
  <c r="E137" i="17"/>
  <c r="E128" i="17"/>
  <c r="C153" i="17"/>
  <c r="C145" i="17"/>
  <c r="D137" i="17"/>
  <c r="D128" i="17"/>
  <c r="E160" i="17"/>
  <c r="B153" i="17"/>
  <c r="B149" i="17"/>
  <c r="C137" i="17"/>
  <c r="C128" i="17"/>
  <c r="D160" i="17"/>
  <c r="E157" i="17"/>
  <c r="E150" i="17"/>
  <c r="B137" i="17"/>
  <c r="B128" i="17"/>
  <c r="D154" i="17"/>
  <c r="D150" i="17"/>
  <c r="E134" i="17"/>
  <c r="E126" i="17"/>
  <c r="E156" i="17"/>
  <c r="E151" i="17"/>
  <c r="D144" i="17"/>
  <c r="B141" i="17"/>
  <c r="D151" i="17"/>
  <c r="C144" i="17"/>
  <c r="C151" i="17"/>
  <c r="B144" i="17"/>
  <c r="D134" i="17"/>
  <c r="E131" i="17"/>
  <c r="E125" i="17"/>
  <c r="C134" i="17"/>
  <c r="D131" i="17"/>
  <c r="D125" i="17"/>
  <c r="E140" i="17"/>
  <c r="B134" i="17"/>
  <c r="C131" i="17"/>
  <c r="C125" i="17"/>
  <c r="C162" i="17"/>
  <c r="C159" i="17"/>
  <c r="D141" i="17"/>
  <c r="B159" i="17"/>
  <c r="C141" i="17"/>
  <c r="D140" i="17"/>
  <c r="C126" i="17"/>
  <c r="C150" i="17"/>
  <c r="E159" i="17"/>
  <c r="C154" i="17"/>
  <c r="E141" i="17"/>
  <c r="B126" i="17"/>
  <c r="E162" i="17"/>
  <c r="B131" i="17"/>
  <c r="C140" i="17"/>
  <c r="B140" i="17"/>
  <c r="B150" i="17"/>
  <c r="E148" i="17"/>
  <c r="B125" i="17"/>
  <c r="D159" i="17"/>
  <c r="D126" i="17"/>
  <c r="D162" i="17"/>
  <c r="W49" i="17"/>
  <c r="AA47" i="17"/>
  <c r="M57" i="17"/>
  <c r="P163" i="17"/>
  <c r="W63" i="17"/>
  <c r="AA59" i="17"/>
  <c r="L135" i="17"/>
  <c r="L208" i="17" s="1"/>
  <c r="P99" i="17"/>
  <c r="T96" i="17"/>
  <c r="M154" i="17"/>
  <c r="I158" i="17"/>
  <c r="AA94" i="17"/>
  <c r="AA118" i="17"/>
  <c r="M137" i="17"/>
  <c r="I147" i="17"/>
  <c r="M144" i="17"/>
  <c r="F106" i="17"/>
  <c r="F92" i="17"/>
  <c r="B95" i="17"/>
  <c r="AA102" i="17"/>
  <c r="S114" i="17"/>
  <c r="S196" i="17" s="1"/>
  <c r="AA115" i="17"/>
  <c r="W119" i="17"/>
  <c r="L69" i="17"/>
  <c r="L179" i="17" s="1"/>
  <c r="T61" i="17"/>
  <c r="T109" i="17"/>
  <c r="K74" i="17"/>
  <c r="K180" i="17" s="1"/>
  <c r="T73" i="17"/>
  <c r="M64" i="17"/>
  <c r="M36" i="17"/>
  <c r="T72" i="17"/>
  <c r="T110" i="17"/>
  <c r="S42" i="17"/>
  <c r="S173" i="17" s="1"/>
  <c r="W42" i="17"/>
  <c r="AA93" i="17"/>
  <c r="W114" i="17"/>
  <c r="W58" i="17"/>
  <c r="B103" i="17"/>
  <c r="F100" i="17"/>
  <c r="AA113" i="17"/>
  <c r="M113" i="17"/>
  <c r="I38" i="17"/>
  <c r="M34" i="17"/>
  <c r="I45" i="17"/>
  <c r="M43" i="17"/>
  <c r="J138" i="17"/>
  <c r="J209" i="17" s="1"/>
  <c r="T145" i="17"/>
  <c r="T134" i="17"/>
  <c r="M140" i="17"/>
  <c r="I143" i="17"/>
  <c r="K129" i="17"/>
  <c r="K206" i="17" s="1"/>
  <c r="M150" i="17"/>
  <c r="B114" i="17"/>
  <c r="F109" i="17"/>
  <c r="F102" i="17"/>
  <c r="Z85" i="17"/>
  <c r="Z189" i="17" s="1"/>
  <c r="X74" i="17"/>
  <c r="X180" i="17" s="1"/>
  <c r="AA73" i="17"/>
  <c r="W74" i="17"/>
  <c r="Q99" i="17"/>
  <c r="Q193" i="17" s="1"/>
  <c r="P91" i="17"/>
  <c r="T89" i="17"/>
  <c r="Q119" i="17"/>
  <c r="Q197" i="17" s="1"/>
  <c r="K95" i="17"/>
  <c r="K192" i="17" s="1"/>
  <c r="M97" i="17"/>
  <c r="K108" i="17"/>
  <c r="K195" i="17" s="1"/>
  <c r="Q63" i="17"/>
  <c r="Q178" i="17" s="1"/>
  <c r="T64" i="17"/>
  <c r="P114" i="17"/>
  <c r="W158" i="17"/>
  <c r="AA154" i="17"/>
  <c r="M72" i="17"/>
  <c r="L74" i="17"/>
  <c r="L180" i="17" s="1"/>
  <c r="T35" i="17"/>
  <c r="R74" i="17"/>
  <c r="R180" i="17" s="1"/>
  <c r="T60" i="17"/>
  <c r="T37" i="17"/>
  <c r="J63" i="17"/>
  <c r="J178" i="17" s="1"/>
  <c r="AA48" i="17"/>
  <c r="M133" i="17"/>
  <c r="M115" i="17"/>
  <c r="F105" i="17"/>
  <c r="B108" i="17"/>
  <c r="W138" i="17"/>
  <c r="AA136" i="17"/>
  <c r="M134" i="17"/>
  <c r="T155" i="17"/>
  <c r="Y88" i="17"/>
  <c r="Y190" i="17" s="1"/>
  <c r="P152" i="17"/>
  <c r="T148" i="17"/>
  <c r="P135" i="17"/>
  <c r="T133" i="17"/>
  <c r="M153" i="17"/>
  <c r="F112" i="17"/>
  <c r="B99" i="17"/>
  <c r="F96" i="17"/>
  <c r="T80" i="17"/>
  <c r="X108" i="17"/>
  <c r="X195" i="17" s="1"/>
  <c r="AA117" i="17"/>
  <c r="L95" i="17"/>
  <c r="L192" i="17" s="1"/>
  <c r="T81" i="17"/>
  <c r="I103" i="17"/>
  <c r="M100" i="17"/>
  <c r="M116" i="17"/>
  <c r="R108" i="17"/>
  <c r="R195" i="17" s="1"/>
  <c r="Q85" i="17"/>
  <c r="Q189" i="17" s="1"/>
  <c r="J119" i="17"/>
  <c r="J197" i="17" s="1"/>
  <c r="M81" i="17"/>
  <c r="I85" i="17"/>
  <c r="R63" i="17"/>
  <c r="R178" i="17" s="1"/>
  <c r="T67" i="17"/>
  <c r="Q74" i="17"/>
  <c r="Q180" i="17" s="1"/>
  <c r="T44" i="17"/>
  <c r="W152" i="17"/>
  <c r="AA148" i="17"/>
  <c r="B168" i="17"/>
  <c r="E73" i="17"/>
  <c r="D73" i="17"/>
  <c r="E71" i="17"/>
  <c r="E68" i="17"/>
  <c r="E65" i="17"/>
  <c r="E62" i="17"/>
  <c r="E59" i="17"/>
  <c r="E56" i="17"/>
  <c r="E53" i="17"/>
  <c r="E50" i="17"/>
  <c r="E47" i="17"/>
  <c r="E44" i="17"/>
  <c r="E41" i="17"/>
  <c r="E35" i="17"/>
  <c r="C73" i="17"/>
  <c r="D71" i="17"/>
  <c r="D68" i="17"/>
  <c r="D65" i="17"/>
  <c r="D62" i="17"/>
  <c r="D59" i="17"/>
  <c r="D56" i="17"/>
  <c r="D53" i="17"/>
  <c r="D50" i="17"/>
  <c r="D47" i="17"/>
  <c r="D44" i="17"/>
  <c r="B71" i="17"/>
  <c r="B68" i="17"/>
  <c r="B65" i="17"/>
  <c r="B62" i="17"/>
  <c r="B59" i="17"/>
  <c r="B56" i="17"/>
  <c r="B53" i="17"/>
  <c r="B50" i="17"/>
  <c r="B47" i="17"/>
  <c r="B44" i="17"/>
  <c r="B41" i="17"/>
  <c r="B35" i="17"/>
  <c r="E66" i="17"/>
  <c r="E60" i="17"/>
  <c r="E57" i="17"/>
  <c r="E51" i="17"/>
  <c r="B70" i="17"/>
  <c r="B61" i="17"/>
  <c r="B60" i="17"/>
  <c r="B52" i="17"/>
  <c r="B51" i="17"/>
  <c r="C43" i="17"/>
  <c r="C40" i="17"/>
  <c r="E37" i="17"/>
  <c r="D72" i="17"/>
  <c r="B64" i="17"/>
  <c r="C44" i="17"/>
  <c r="C68" i="17"/>
  <c r="E67" i="17"/>
  <c r="C59" i="17"/>
  <c r="E46" i="17"/>
  <c r="B43" i="17"/>
  <c r="B40" i="17"/>
  <c r="D37" i="17"/>
  <c r="E36" i="17"/>
  <c r="E64" i="17"/>
  <c r="C64" i="17"/>
  <c r="C41" i="17"/>
  <c r="D67" i="17"/>
  <c r="D66" i="17"/>
  <c r="D57" i="17"/>
  <c r="C50" i="17"/>
  <c r="D46" i="17"/>
  <c r="E39" i="17"/>
  <c r="C37" i="17"/>
  <c r="E34" i="17"/>
  <c r="C56" i="17"/>
  <c r="D36" i="17"/>
  <c r="C55" i="17"/>
  <c r="C67" i="17"/>
  <c r="C66" i="17"/>
  <c r="C57" i="17"/>
  <c r="C46" i="17"/>
  <c r="D39" i="17"/>
  <c r="B37" i="17"/>
  <c r="D34" i="17"/>
  <c r="B57" i="17"/>
  <c r="B46" i="17"/>
  <c r="C39" i="17"/>
  <c r="B36" i="17"/>
  <c r="B55" i="17"/>
  <c r="C48" i="17"/>
  <c r="B67" i="17"/>
  <c r="B66" i="17"/>
  <c r="C34" i="17"/>
  <c r="C65" i="17"/>
  <c r="E55" i="17"/>
  <c r="B39" i="17"/>
  <c r="B34" i="17"/>
  <c r="D64" i="17"/>
  <c r="D55" i="17"/>
  <c r="E48" i="17"/>
  <c r="D41" i="17"/>
  <c r="C36" i="17"/>
  <c r="E72" i="17"/>
  <c r="D48" i="17"/>
  <c r="E70" i="17"/>
  <c r="C52" i="17"/>
  <c r="E40" i="17"/>
  <c r="D60" i="17"/>
  <c r="B48" i="17"/>
  <c r="C60" i="17"/>
  <c r="E52" i="17"/>
  <c r="D70" i="17"/>
  <c r="E61" i="17"/>
  <c r="C47" i="17"/>
  <c r="C53" i="17"/>
  <c r="E43" i="17"/>
  <c r="C70" i="17"/>
  <c r="D61" i="17"/>
  <c r="C71" i="17"/>
  <c r="C62" i="17"/>
  <c r="C72" i="17"/>
  <c r="C61" i="17"/>
  <c r="D51" i="17"/>
  <c r="D40" i="17"/>
  <c r="D35" i="17"/>
  <c r="D52" i="17"/>
  <c r="D43" i="17"/>
  <c r="B72" i="17"/>
  <c r="C51" i="17"/>
  <c r="B73" i="17"/>
  <c r="C35" i="17"/>
  <c r="S54" i="17"/>
  <c r="S176" i="17" s="1"/>
  <c r="T130" i="17"/>
  <c r="I99" i="17"/>
  <c r="P108" i="17"/>
  <c r="T59" i="17"/>
  <c r="P63" i="17"/>
  <c r="AA36" i="17"/>
  <c r="I135" i="17"/>
  <c r="D95" i="17"/>
  <c r="D192" i="17" s="1"/>
  <c r="AA57" i="17"/>
  <c r="T146" i="17"/>
  <c r="Z119" i="17"/>
  <c r="Z197" i="17" s="1"/>
  <c r="R54" i="17"/>
  <c r="R176" i="17" s="1"/>
  <c r="M65" i="17"/>
  <c r="I69" i="17"/>
  <c r="AA109" i="17"/>
  <c r="K138" i="17"/>
  <c r="K209" i="17" s="1"/>
  <c r="Q135" i="17"/>
  <c r="Q208" i="17" s="1"/>
  <c r="S163" i="17"/>
  <c r="S214" i="17" s="1"/>
  <c r="T151" i="17"/>
  <c r="R152" i="17"/>
  <c r="R212" i="17" s="1"/>
  <c r="M156" i="17"/>
  <c r="B119" i="17"/>
  <c r="F115" i="17"/>
  <c r="D114" i="17"/>
  <c r="D196" i="17" s="1"/>
  <c r="F98" i="17"/>
  <c r="F94" i="17"/>
  <c r="Z88" i="17"/>
  <c r="Z190" i="17" s="1"/>
  <c r="AA107" i="17"/>
  <c r="W69" i="17"/>
  <c r="AA65" i="17"/>
  <c r="M90" i="17"/>
  <c r="T84" i="17"/>
  <c r="R103" i="17"/>
  <c r="R194" i="17" s="1"/>
  <c r="T102" i="17"/>
  <c r="L85" i="17"/>
  <c r="L189" i="17" s="1"/>
  <c r="J108" i="17"/>
  <c r="J195" i="17" s="1"/>
  <c r="AA112" i="17"/>
  <c r="Q69" i="17"/>
  <c r="Q179" i="17" s="1"/>
  <c r="T70" i="17"/>
  <c r="P74" i="17"/>
  <c r="L38" i="17"/>
  <c r="L172" i="17" s="1"/>
  <c r="M48" i="17"/>
  <c r="M56" i="17"/>
  <c r="P85" i="17"/>
  <c r="P58" i="17"/>
  <c r="T55" i="17"/>
  <c r="T40" i="17"/>
  <c r="M40" i="17"/>
  <c r="T141" i="17"/>
  <c r="P158" i="17"/>
  <c r="T154" i="17"/>
  <c r="I163" i="17"/>
  <c r="M159" i="17"/>
  <c r="K163" i="17"/>
  <c r="K214" i="17" s="1"/>
  <c r="I138" i="17"/>
  <c r="M136" i="17"/>
  <c r="Q143" i="17"/>
  <c r="Q210" i="17" s="1"/>
  <c r="F117" i="17"/>
  <c r="C99" i="17"/>
  <c r="C193" i="17" s="1"/>
  <c r="C95" i="17"/>
  <c r="C192" i="17" s="1"/>
  <c r="W108" i="17"/>
  <c r="AA104" i="17"/>
  <c r="AA90" i="17"/>
  <c r="T117" i="17"/>
  <c r="T106" i="17"/>
  <c r="T87" i="17"/>
  <c r="P88" i="17"/>
  <c r="T115" i="17"/>
  <c r="P119" i="17"/>
  <c r="M82" i="17"/>
  <c r="M112" i="17"/>
  <c r="M118" i="17"/>
  <c r="M89" i="17"/>
  <c r="I91" i="17"/>
  <c r="T100" i="17"/>
  <c r="P103" i="17"/>
  <c r="Q108" i="17"/>
  <c r="Q195" i="17" s="1"/>
  <c r="AA66" i="17"/>
  <c r="R69" i="17"/>
  <c r="R179" i="17" s="1"/>
  <c r="Q38" i="17"/>
  <c r="Q172" i="17" s="1"/>
  <c r="I42" i="17"/>
  <c r="M39" i="17"/>
  <c r="AA159" i="17"/>
  <c r="W163" i="17"/>
  <c r="M62" i="17"/>
  <c r="T62" i="17"/>
  <c r="M55" i="17"/>
  <c r="I58" i="17"/>
  <c r="M73" i="17"/>
  <c r="S38" i="17"/>
  <c r="S172" i="17" s="1"/>
  <c r="AA89" i="17"/>
  <c r="P69" i="17"/>
  <c r="D45" i="17" l="1"/>
  <c r="D174" i="17" s="1"/>
  <c r="F88" i="17"/>
  <c r="E199" i="17"/>
  <c r="T132" i="17"/>
  <c r="R216" i="17"/>
  <c r="E45" i="17"/>
  <c r="E174" i="17" s="1"/>
  <c r="T138" i="17"/>
  <c r="J216" i="17"/>
  <c r="E198" i="17"/>
  <c r="F67" i="17"/>
  <c r="R215" i="17"/>
  <c r="C158" i="17"/>
  <c r="C213" i="17" s="1"/>
  <c r="Z181" i="17"/>
  <c r="R199" i="17"/>
  <c r="C42" i="17"/>
  <c r="C173" i="17" s="1"/>
  <c r="X181" i="17"/>
  <c r="F91" i="17"/>
  <c r="E163" i="17"/>
  <c r="E214" i="17" s="1"/>
  <c r="Q215" i="17"/>
  <c r="AA91" i="17"/>
  <c r="M49" i="17"/>
  <c r="F48" i="17"/>
  <c r="S216" i="17"/>
  <c r="B190" i="17"/>
  <c r="J182" i="17"/>
  <c r="E152" i="17"/>
  <c r="E212" i="17" s="1"/>
  <c r="F57" i="17"/>
  <c r="E58" i="17"/>
  <c r="E177" i="17" s="1"/>
  <c r="E49" i="17"/>
  <c r="E175" i="17" s="1"/>
  <c r="Y198" i="17"/>
  <c r="F150" i="17"/>
  <c r="E129" i="17"/>
  <c r="E206" i="17" s="1"/>
  <c r="Q216" i="17"/>
  <c r="C199" i="17"/>
  <c r="F73" i="17"/>
  <c r="Z182" i="17"/>
  <c r="S199" i="17"/>
  <c r="X198" i="17"/>
  <c r="D138" i="17"/>
  <c r="D209" i="17" s="1"/>
  <c r="F40" i="17"/>
  <c r="F51" i="17"/>
  <c r="F47" i="17"/>
  <c r="E54" i="17"/>
  <c r="E176" i="17" s="1"/>
  <c r="X199" i="17"/>
  <c r="D38" i="17"/>
  <c r="D172" i="17" s="1"/>
  <c r="E42" i="17"/>
  <c r="E173" i="17" s="1"/>
  <c r="F52" i="17"/>
  <c r="C138" i="17"/>
  <c r="C209" i="17" s="1"/>
  <c r="D49" i="17"/>
  <c r="D175" i="17" s="1"/>
  <c r="K181" i="17"/>
  <c r="C147" i="17"/>
  <c r="C211" i="17" s="1"/>
  <c r="C58" i="17"/>
  <c r="C177" i="17" s="1"/>
  <c r="E158" i="17"/>
  <c r="E213" i="17" s="1"/>
  <c r="D132" i="17"/>
  <c r="D207" i="17" s="1"/>
  <c r="F157" i="17"/>
  <c r="Y181" i="17"/>
  <c r="Y182" i="17"/>
  <c r="F134" i="17"/>
  <c r="B219" i="17"/>
  <c r="D135" i="17"/>
  <c r="D208" i="17" s="1"/>
  <c r="B45" i="17"/>
  <c r="F43" i="17"/>
  <c r="T152" i="17"/>
  <c r="P212" i="17"/>
  <c r="W196" i="17"/>
  <c r="AA114" i="17"/>
  <c r="D147" i="17"/>
  <c r="D211" i="17" s="1"/>
  <c r="P180" i="17"/>
  <c r="T74" i="17"/>
  <c r="C69" i="17"/>
  <c r="C179" i="17" s="1"/>
  <c r="D42" i="17"/>
  <c r="D173" i="17" s="1"/>
  <c r="C54" i="17"/>
  <c r="C176" i="17" s="1"/>
  <c r="C63" i="17"/>
  <c r="C178" i="17" s="1"/>
  <c r="F61" i="17"/>
  <c r="F56" i="17"/>
  <c r="E63" i="17"/>
  <c r="E178" i="17" s="1"/>
  <c r="Z198" i="17"/>
  <c r="Z199" i="17"/>
  <c r="W173" i="17"/>
  <c r="AA42" i="17"/>
  <c r="D163" i="17"/>
  <c r="D214" i="17" s="1"/>
  <c r="D129" i="17"/>
  <c r="D206" i="17" s="1"/>
  <c r="F127" i="17"/>
  <c r="C132" i="17"/>
  <c r="C207" i="17" s="1"/>
  <c r="D143" i="17"/>
  <c r="D210" i="17" s="1"/>
  <c r="M132" i="17"/>
  <c r="I207" i="17"/>
  <c r="P175" i="17"/>
  <c r="T49" i="17"/>
  <c r="P176" i="17"/>
  <c r="T54" i="17"/>
  <c r="T42" i="17"/>
  <c r="J181" i="17"/>
  <c r="I192" i="17"/>
  <c r="M95" i="17"/>
  <c r="F37" i="17"/>
  <c r="P197" i="17"/>
  <c r="T119" i="17"/>
  <c r="C74" i="17"/>
  <c r="C180" i="17" s="1"/>
  <c r="E74" i="17"/>
  <c r="E180" i="17" s="1"/>
  <c r="C38" i="17"/>
  <c r="C172" i="17" s="1"/>
  <c r="C49" i="17"/>
  <c r="C175" i="17" s="1"/>
  <c r="F70" i="17"/>
  <c r="B74" i="17"/>
  <c r="F59" i="17"/>
  <c r="B63" i="17"/>
  <c r="D69" i="17"/>
  <c r="D179" i="17" s="1"/>
  <c r="F125" i="17"/>
  <c r="B129" i="17"/>
  <c r="F149" i="17"/>
  <c r="F130" i="17"/>
  <c r="B132" i="17"/>
  <c r="C135" i="17"/>
  <c r="C208" i="17" s="1"/>
  <c r="K198" i="17"/>
  <c r="K199" i="17"/>
  <c r="S198" i="17"/>
  <c r="I195" i="17"/>
  <c r="M108" i="17"/>
  <c r="P206" i="17"/>
  <c r="T129" i="17"/>
  <c r="W177" i="17"/>
  <c r="AA58" i="17"/>
  <c r="W210" i="17"/>
  <c r="AA143" i="17"/>
  <c r="W213" i="17"/>
  <c r="AA158" i="17"/>
  <c r="F141" i="17"/>
  <c r="F160" i="17"/>
  <c r="W172" i="17"/>
  <c r="AA38" i="17"/>
  <c r="F60" i="17"/>
  <c r="P196" i="17"/>
  <c r="T114" i="17"/>
  <c r="I173" i="17"/>
  <c r="M42" i="17"/>
  <c r="P179" i="17"/>
  <c r="T69" i="17"/>
  <c r="Q182" i="17"/>
  <c r="Q181" i="17"/>
  <c r="I179" i="17"/>
  <c r="M69" i="17"/>
  <c r="F72" i="17"/>
  <c r="F66" i="17"/>
  <c r="F62" i="17"/>
  <c r="E69" i="17"/>
  <c r="E179" i="17" s="1"/>
  <c r="I189" i="17"/>
  <c r="M85" i="17"/>
  <c r="I174" i="17"/>
  <c r="M45" i="17"/>
  <c r="P193" i="17"/>
  <c r="T99" i="17"/>
  <c r="F153" i="17"/>
  <c r="B135" i="17"/>
  <c r="F133" i="17"/>
  <c r="C152" i="17"/>
  <c r="C212" i="17" s="1"/>
  <c r="I178" i="17"/>
  <c r="M63" i="17"/>
  <c r="W192" i="17"/>
  <c r="AA95" i="17"/>
  <c r="S215" i="17"/>
  <c r="K182" i="17"/>
  <c r="I194" i="17"/>
  <c r="M103" i="17"/>
  <c r="E143" i="17"/>
  <c r="E210" i="17" s="1"/>
  <c r="P174" i="17"/>
  <c r="T45" i="17"/>
  <c r="F39" i="17"/>
  <c r="B42" i="17"/>
  <c r="D63" i="17"/>
  <c r="D178" i="17" s="1"/>
  <c r="I213" i="17"/>
  <c r="M158" i="17"/>
  <c r="AA147" i="17"/>
  <c r="W211" i="17"/>
  <c r="B69" i="17"/>
  <c r="F65" i="17"/>
  <c r="W209" i="17"/>
  <c r="AA138" i="17"/>
  <c r="B196" i="17"/>
  <c r="F114" i="17"/>
  <c r="B192" i="17"/>
  <c r="F95" i="17"/>
  <c r="B138" i="17"/>
  <c r="F136" i="17"/>
  <c r="C143" i="17"/>
  <c r="C210" i="17" s="1"/>
  <c r="F162" i="17"/>
  <c r="I212" i="17"/>
  <c r="M152" i="17"/>
  <c r="I176" i="17"/>
  <c r="M54" i="17"/>
  <c r="W175" i="17"/>
  <c r="AA49" i="17"/>
  <c r="W207" i="17"/>
  <c r="AA132" i="17"/>
  <c r="F53" i="17"/>
  <c r="S182" i="17"/>
  <c r="S181" i="17"/>
  <c r="F64" i="17"/>
  <c r="F68" i="17"/>
  <c r="B193" i="17"/>
  <c r="F99" i="17"/>
  <c r="X182" i="17"/>
  <c r="I172" i="17"/>
  <c r="M38" i="17"/>
  <c r="F140" i="17"/>
  <c r="B163" i="17"/>
  <c r="F159" i="17"/>
  <c r="F139" i="17"/>
  <c r="B143" i="17"/>
  <c r="F161" i="17"/>
  <c r="I190" i="17"/>
  <c r="M88" i="17"/>
  <c r="W208" i="17"/>
  <c r="AA135" i="17"/>
  <c r="M114" i="17"/>
  <c r="I196" i="17"/>
  <c r="J199" i="17"/>
  <c r="J198" i="17"/>
  <c r="C198" i="17"/>
  <c r="T38" i="17"/>
  <c r="W212" i="17"/>
  <c r="AA152" i="17"/>
  <c r="T158" i="17"/>
  <c r="P213" i="17"/>
  <c r="R182" i="17"/>
  <c r="R181" i="17"/>
  <c r="P190" i="17"/>
  <c r="T88" i="17"/>
  <c r="I209" i="17"/>
  <c r="M138" i="17"/>
  <c r="I208" i="17"/>
  <c r="M135" i="17"/>
  <c r="B58" i="17"/>
  <c r="F55" i="17"/>
  <c r="F71" i="17"/>
  <c r="Q199" i="17"/>
  <c r="Q198" i="17"/>
  <c r="K215" i="17"/>
  <c r="K216" i="17"/>
  <c r="W178" i="17"/>
  <c r="AA63" i="17"/>
  <c r="D158" i="17"/>
  <c r="D213" i="17" s="1"/>
  <c r="F142" i="17"/>
  <c r="F146" i="17"/>
  <c r="F145" i="17"/>
  <c r="P211" i="17"/>
  <c r="T147" i="17"/>
  <c r="I206" i="17"/>
  <c r="M129" i="17"/>
  <c r="D198" i="17"/>
  <c r="D199" i="17"/>
  <c r="AA88" i="17"/>
  <c r="B38" i="17"/>
  <c r="F34" i="17"/>
  <c r="W193" i="17"/>
  <c r="AA99" i="17"/>
  <c r="AA163" i="17"/>
  <c r="W214" i="17"/>
  <c r="F50" i="17"/>
  <c r="B54" i="17"/>
  <c r="W179" i="17"/>
  <c r="AA69" i="17"/>
  <c r="AA119" i="17"/>
  <c r="W197" i="17"/>
  <c r="D152" i="17"/>
  <c r="D212" i="17" s="1"/>
  <c r="W174" i="17"/>
  <c r="AA45" i="17"/>
  <c r="P177" i="17"/>
  <c r="T58" i="17"/>
  <c r="L198" i="17"/>
  <c r="L199" i="17"/>
  <c r="T63" i="17"/>
  <c r="P178" i="17"/>
  <c r="I177" i="17"/>
  <c r="M58" i="17"/>
  <c r="P194" i="17"/>
  <c r="T103" i="17"/>
  <c r="M163" i="17"/>
  <c r="I214" i="17"/>
  <c r="P189" i="17"/>
  <c r="T85" i="17"/>
  <c r="B197" i="17"/>
  <c r="F119" i="17"/>
  <c r="D74" i="17"/>
  <c r="D180" i="17" s="1"/>
  <c r="F36" i="17"/>
  <c r="F35" i="17"/>
  <c r="R198" i="17"/>
  <c r="M143" i="17"/>
  <c r="I210" i="17"/>
  <c r="P214" i="17"/>
  <c r="T163" i="17"/>
  <c r="F131" i="17"/>
  <c r="C163" i="17"/>
  <c r="C214" i="17" s="1"/>
  <c r="B147" i="17"/>
  <c r="F144" i="17"/>
  <c r="F128" i="17"/>
  <c r="E147" i="17"/>
  <c r="E211" i="17" s="1"/>
  <c r="F155" i="17"/>
  <c r="E132" i="17"/>
  <c r="E207" i="17" s="1"/>
  <c r="B152" i="17"/>
  <c r="F148" i="17"/>
  <c r="P192" i="17"/>
  <c r="T95" i="17"/>
  <c r="B189" i="17"/>
  <c r="F85" i="17"/>
  <c r="I180" i="17"/>
  <c r="M74" i="17"/>
  <c r="W195" i="17"/>
  <c r="AA108" i="17"/>
  <c r="W180" i="17"/>
  <c r="AA74" i="17"/>
  <c r="L182" i="17"/>
  <c r="L181" i="17"/>
  <c r="J215" i="17"/>
  <c r="P195" i="17"/>
  <c r="T108" i="17"/>
  <c r="D58" i="17"/>
  <c r="D177" i="17" s="1"/>
  <c r="F41" i="17"/>
  <c r="P191" i="17"/>
  <c r="T91" i="17"/>
  <c r="I211" i="17"/>
  <c r="M147" i="17"/>
  <c r="F137" i="17"/>
  <c r="F156" i="17"/>
  <c r="E135" i="17"/>
  <c r="E208" i="17" s="1"/>
  <c r="F151" i="17"/>
  <c r="T143" i="17"/>
  <c r="P210" i="17"/>
  <c r="W206" i="17"/>
  <c r="AA129" i="17"/>
  <c r="W176" i="17"/>
  <c r="AA54" i="17"/>
  <c r="I197" i="17"/>
  <c r="M119" i="17"/>
  <c r="Y199" i="17"/>
  <c r="W189" i="17"/>
  <c r="AA85" i="17"/>
  <c r="L216" i="17"/>
  <c r="L215" i="17"/>
  <c r="I191" i="17"/>
  <c r="M91" i="17"/>
  <c r="M99" i="17"/>
  <c r="I193" i="17"/>
  <c r="F46" i="17"/>
  <c r="B49" i="17"/>
  <c r="E38" i="17"/>
  <c r="E172" i="17" s="1"/>
  <c r="C45" i="17"/>
  <c r="C174" i="17" s="1"/>
  <c r="F44" i="17"/>
  <c r="D54" i="17"/>
  <c r="D176" i="17" s="1"/>
  <c r="P208" i="17"/>
  <c r="T135" i="17"/>
  <c r="B195" i="17"/>
  <c r="F108" i="17"/>
  <c r="B194" i="17"/>
  <c r="F103" i="17"/>
  <c r="F126" i="17"/>
  <c r="C129" i="17"/>
  <c r="C206" i="17" s="1"/>
  <c r="E138" i="17"/>
  <c r="E209" i="17" s="1"/>
  <c r="F154" i="17"/>
  <c r="B158" i="17"/>
  <c r="W194" i="17"/>
  <c r="AA103" i="17"/>
  <c r="D225" i="17" l="1"/>
  <c r="E225" i="17"/>
  <c r="E229" i="17"/>
  <c r="D226" i="17"/>
  <c r="E230" i="17"/>
  <c r="C228" i="17"/>
  <c r="E231" i="17"/>
  <c r="D229" i="17"/>
  <c r="C229" i="17"/>
  <c r="C230" i="17"/>
  <c r="P181" i="17"/>
  <c r="E228" i="17"/>
  <c r="P182" i="17"/>
  <c r="E227" i="17"/>
  <c r="D181" i="17"/>
  <c r="E226" i="17"/>
  <c r="E224" i="17"/>
  <c r="C224" i="17"/>
  <c r="D182" i="17"/>
  <c r="C226" i="17"/>
  <c r="D228" i="17"/>
  <c r="D230" i="17"/>
  <c r="B179" i="17"/>
  <c r="F69" i="17"/>
  <c r="W182" i="17"/>
  <c r="W181" i="17"/>
  <c r="E181" i="17"/>
  <c r="E182" i="17"/>
  <c r="F152" i="17"/>
  <c r="B212" i="17"/>
  <c r="B172" i="17"/>
  <c r="F38" i="17"/>
  <c r="B209" i="17"/>
  <c r="F138" i="17"/>
  <c r="B180" i="17"/>
  <c r="F74" i="17"/>
  <c r="B175" i="17"/>
  <c r="F49" i="17"/>
  <c r="B214" i="17"/>
  <c r="F163" i="17"/>
  <c r="E216" i="17"/>
  <c r="E223" i="17"/>
  <c r="D231" i="17"/>
  <c r="C215" i="17"/>
  <c r="C216" i="17"/>
  <c r="C223" i="17"/>
  <c r="D215" i="17"/>
  <c r="D216" i="17"/>
  <c r="D223" i="17"/>
  <c r="E215" i="17"/>
  <c r="C225" i="17"/>
  <c r="C181" i="17"/>
  <c r="C182" i="17"/>
  <c r="B176" i="17"/>
  <c r="F54" i="17"/>
  <c r="I181" i="17"/>
  <c r="I182" i="17"/>
  <c r="B207" i="17"/>
  <c r="F132" i="17"/>
  <c r="W216" i="17"/>
  <c r="W215" i="17"/>
  <c r="B211" i="17"/>
  <c r="F147" i="17"/>
  <c r="B173" i="17"/>
  <c r="F42" i="17"/>
  <c r="I198" i="17"/>
  <c r="I199" i="17"/>
  <c r="C231" i="17"/>
  <c r="I215" i="17"/>
  <c r="I216" i="17"/>
  <c r="B206" i="17"/>
  <c r="F129" i="17"/>
  <c r="B199" i="17"/>
  <c r="B198" i="17"/>
  <c r="P199" i="17"/>
  <c r="P198" i="17"/>
  <c r="B213" i="17"/>
  <c r="F158" i="17"/>
  <c r="P216" i="17"/>
  <c r="P215" i="17"/>
  <c r="W199" i="17"/>
  <c r="W198" i="17"/>
  <c r="D224" i="17"/>
  <c r="B177" i="17"/>
  <c r="F58" i="17"/>
  <c r="B210" i="17"/>
  <c r="F143" i="17"/>
  <c r="C227" i="17"/>
  <c r="F135" i="17"/>
  <c r="B208" i="17"/>
  <c r="B178" i="17"/>
  <c r="F63" i="17"/>
  <c r="D227" i="17"/>
  <c r="B174" i="17"/>
  <c r="F45" i="17"/>
  <c r="B223" i="17" l="1"/>
  <c r="B228" i="17"/>
  <c r="B230" i="17"/>
  <c r="B231" i="17"/>
  <c r="B224" i="17"/>
  <c r="B226" i="17"/>
  <c r="B182" i="17"/>
  <c r="B181" i="17"/>
  <c r="B225" i="17"/>
  <c r="E233" i="17"/>
  <c r="E232" i="17"/>
  <c r="B229" i="17"/>
  <c r="B227" i="17"/>
  <c r="D233" i="17"/>
  <c r="D232" i="17"/>
  <c r="C233" i="17"/>
  <c r="C232" i="17"/>
  <c r="B216" i="17"/>
  <c r="B215" i="17"/>
  <c r="K82" i="11"/>
  <c r="L81" i="11"/>
  <c r="L80" i="11"/>
  <c r="L79" i="11"/>
  <c r="C33" i="11"/>
  <c r="F62" i="11" s="1"/>
  <c r="B233" i="17" l="1"/>
  <c r="B232" i="17"/>
  <c r="L82" i="11"/>
  <c r="D58" i="11"/>
  <c r="C63" i="11"/>
  <c r="E63" i="11"/>
  <c r="C65" i="11"/>
  <c r="E65" i="11"/>
  <c r="D70" i="11"/>
  <c r="D36" i="11"/>
  <c r="F70" i="11"/>
  <c r="F36" i="11"/>
  <c r="E41" i="11"/>
  <c r="F48" i="11"/>
  <c r="F50" i="11"/>
  <c r="C51" i="11"/>
  <c r="F39" i="11"/>
  <c r="C54" i="11"/>
  <c r="E68" i="11"/>
  <c r="C41" i="11"/>
  <c r="D48" i="11"/>
  <c r="E55" i="11"/>
  <c r="F69" i="11"/>
  <c r="E62" i="11"/>
  <c r="C60" i="11"/>
  <c r="F57" i="11"/>
  <c r="D55" i="11"/>
  <c r="E50" i="11"/>
  <c r="C48" i="11"/>
  <c r="F45" i="11"/>
  <c r="E38" i="11"/>
  <c r="C36" i="11"/>
  <c r="E69" i="11"/>
  <c r="F64" i="11"/>
  <c r="D62" i="11"/>
  <c r="E57" i="11"/>
  <c r="C55" i="11"/>
  <c r="F52" i="11"/>
  <c r="D50" i="11"/>
  <c r="E45" i="11"/>
  <c r="D38" i="11"/>
  <c r="F71" i="11"/>
  <c r="D69" i="11"/>
  <c r="E64" i="11"/>
  <c r="C62" i="11"/>
  <c r="F59" i="11"/>
  <c r="D57" i="11"/>
  <c r="E52" i="11"/>
  <c r="C50" i="11"/>
  <c r="F47" i="11"/>
  <c r="D45" i="11"/>
  <c r="C38" i="11"/>
  <c r="F35" i="11"/>
  <c r="E71" i="11"/>
  <c r="C69" i="11"/>
  <c r="F66" i="11"/>
  <c r="D64" i="11"/>
  <c r="E59" i="11"/>
  <c r="C57" i="11"/>
  <c r="F54" i="11"/>
  <c r="D52" i="11"/>
  <c r="E47" i="11"/>
  <c r="C45" i="11"/>
  <c r="F42" i="11"/>
  <c r="E35" i="11"/>
  <c r="D71" i="11"/>
  <c r="E66" i="11"/>
  <c r="C64" i="11"/>
  <c r="D59" i="11"/>
  <c r="E54" i="11"/>
  <c r="C52" i="11"/>
  <c r="D47" i="11"/>
  <c r="E42" i="11"/>
  <c r="F37" i="11"/>
  <c r="D35" i="11"/>
  <c r="C71" i="11"/>
  <c r="F68" i="11"/>
  <c r="D66" i="11"/>
  <c r="C59" i="11"/>
  <c r="D54" i="11"/>
  <c r="C47" i="11"/>
  <c r="F44" i="11"/>
  <c r="D42" i="11"/>
  <c r="E37" i="11"/>
  <c r="C35" i="11"/>
  <c r="E70" i="11"/>
  <c r="C68" i="11"/>
  <c r="F65" i="11"/>
  <c r="D63" i="11"/>
  <c r="E58" i="11"/>
  <c r="D51" i="11"/>
  <c r="C44" i="11"/>
  <c r="F41" i="11"/>
  <c r="D39" i="11"/>
  <c r="C70" i="11"/>
  <c r="D65" i="11"/>
  <c r="E60" i="11"/>
  <c r="C58" i="11"/>
  <c r="F55" i="11"/>
  <c r="E48" i="11"/>
  <c r="D41" i="11"/>
  <c r="E36" i="11"/>
  <c r="C42" i="11"/>
  <c r="F63" i="11"/>
  <c r="C37" i="11"/>
  <c r="D44" i="11"/>
  <c r="E51" i="11"/>
  <c r="F58" i="11"/>
  <c r="C76" i="11"/>
  <c r="D37" i="11"/>
  <c r="E44" i="11"/>
  <c r="F51" i="11"/>
  <c r="C66" i="11"/>
  <c r="F38" i="11"/>
  <c r="D60" i="11"/>
  <c r="C39" i="11"/>
  <c r="F60" i="11"/>
  <c r="E39" i="11"/>
  <c r="D68" i="11"/>
  <c r="E56" i="11" l="1"/>
  <c r="E85" i="11" s="1"/>
  <c r="E43" i="11"/>
  <c r="E81" i="11" s="1"/>
  <c r="F49" i="11"/>
  <c r="F83" i="11" s="1"/>
  <c r="D72" i="11"/>
  <c r="D88" i="11" s="1"/>
  <c r="G70" i="11"/>
  <c r="F43" i="11"/>
  <c r="F81" i="11" s="1"/>
  <c r="F53" i="11"/>
  <c r="F84" i="11" s="1"/>
  <c r="E46" i="11"/>
  <c r="E82" i="11" s="1"/>
  <c r="G51" i="11"/>
  <c r="D40" i="11"/>
  <c r="D80" i="11" s="1"/>
  <c r="G45" i="11"/>
  <c r="D53" i="11"/>
  <c r="D84" i="11" s="1"/>
  <c r="E49" i="11"/>
  <c r="E83" i="11" s="1"/>
  <c r="G65" i="11"/>
  <c r="G52" i="11"/>
  <c r="D61" i="11"/>
  <c r="D86" i="11" s="1"/>
  <c r="D67" i="11"/>
  <c r="D87" i="11" s="1"/>
  <c r="F67" i="11"/>
  <c r="F87" i="11" s="1"/>
  <c r="D46" i="11"/>
  <c r="D82" i="11" s="1"/>
  <c r="G58" i="11"/>
  <c r="F61" i="11"/>
  <c r="F86" i="11" s="1"/>
  <c r="C61" i="11"/>
  <c r="G57" i="11"/>
  <c r="C72" i="11"/>
  <c r="G68" i="11"/>
  <c r="G37" i="11"/>
  <c r="G35" i="11"/>
  <c r="C40" i="11"/>
  <c r="G50" i="11"/>
  <c r="C53" i="11"/>
  <c r="G55" i="11"/>
  <c r="G60" i="11"/>
  <c r="D49" i="11"/>
  <c r="D83" i="11" s="1"/>
  <c r="F56" i="11"/>
  <c r="F85" i="11" s="1"/>
  <c r="E61" i="11"/>
  <c r="E86" i="11" s="1"/>
  <c r="E67" i="11"/>
  <c r="E87" i="11" s="1"/>
  <c r="F46" i="11"/>
  <c r="F82" i="11" s="1"/>
  <c r="G66" i="11"/>
  <c r="G47" i="11"/>
  <c r="C49" i="11"/>
  <c r="C67" i="11"/>
  <c r="G62" i="11"/>
  <c r="G39" i="11"/>
  <c r="G44" i="11"/>
  <c r="C46" i="11"/>
  <c r="D56" i="11"/>
  <c r="D85" i="11" s="1"/>
  <c r="G64" i="11"/>
  <c r="G36" i="11"/>
  <c r="C43" i="11"/>
  <c r="G41" i="11"/>
  <c r="G42" i="11"/>
  <c r="G59" i="11"/>
  <c r="G69" i="11"/>
  <c r="E72" i="11"/>
  <c r="E88" i="11" s="1"/>
  <c r="G54" i="11"/>
  <c r="C56" i="11"/>
  <c r="D43" i="11"/>
  <c r="D81" i="11" s="1"/>
  <c r="G63" i="11"/>
  <c r="F72" i="11"/>
  <c r="F88" i="11" s="1"/>
  <c r="E40" i="11"/>
  <c r="E80" i="11" s="1"/>
  <c r="F40" i="11"/>
  <c r="F80" i="11" s="1"/>
  <c r="G48" i="11"/>
  <c r="G71" i="11"/>
  <c r="G38" i="11"/>
  <c r="E53" i="11"/>
  <c r="E84" i="11" s="1"/>
  <c r="D89" i="11" l="1"/>
  <c r="C81" i="11"/>
  <c r="G43" i="11"/>
  <c r="D90" i="11"/>
  <c r="C88" i="11"/>
  <c r="G72" i="11"/>
  <c r="G67" i="11"/>
  <c r="C87" i="11"/>
  <c r="C82" i="11"/>
  <c r="G46" i="11"/>
  <c r="C83" i="11"/>
  <c r="G49" i="11"/>
  <c r="C86" i="11"/>
  <c r="G61" i="11"/>
  <c r="G53" i="11"/>
  <c r="C84" i="11"/>
  <c r="F89" i="11"/>
  <c r="F90" i="11"/>
  <c r="E89" i="11"/>
  <c r="E90" i="11"/>
  <c r="G40" i="11"/>
  <c r="C80" i="11"/>
  <c r="G56" i="11"/>
  <c r="C85" i="11"/>
  <c r="C89" i="11" l="1"/>
  <c r="C90" i="11"/>
</calcChain>
</file>

<file path=xl/sharedStrings.xml><?xml version="1.0" encoding="utf-8"?>
<sst xmlns="http://schemas.openxmlformats.org/spreadsheetml/2006/main" count="2685" uniqueCount="309">
  <si>
    <t>A</t>
  </si>
  <si>
    <t>B</t>
  </si>
  <si>
    <t>C</t>
  </si>
  <si>
    <t>D</t>
  </si>
  <si>
    <t>E</t>
  </si>
  <si>
    <t>F</t>
  </si>
  <si>
    <t>G</t>
  </si>
  <si>
    <t>H</t>
  </si>
  <si>
    <t>I.a</t>
  </si>
  <si>
    <t>I.b</t>
  </si>
  <si>
    <t>J</t>
  </si>
  <si>
    <t>K1</t>
  </si>
  <si>
    <t>L1</t>
  </si>
  <si>
    <t>th lulus</t>
  </si>
  <si>
    <t>Prodi</t>
  </si>
  <si>
    <t>Nim</t>
  </si>
  <si>
    <t>Nama Alumni</t>
  </si>
  <si>
    <t>A1</t>
  </si>
  <si>
    <t>A2</t>
  </si>
  <si>
    <t>A3</t>
  </si>
  <si>
    <t>A4</t>
  </si>
  <si>
    <t>A5</t>
  </si>
  <si>
    <t>A6</t>
  </si>
  <si>
    <t>A7</t>
  </si>
  <si>
    <t>A8</t>
  </si>
  <si>
    <t>A9 Bulan</t>
  </si>
  <si>
    <t>B1</t>
  </si>
  <si>
    <t>B2</t>
  </si>
  <si>
    <t>B3</t>
  </si>
  <si>
    <t>B4</t>
  </si>
  <si>
    <t>B5</t>
  </si>
  <si>
    <t>C1</t>
  </si>
  <si>
    <t>C2</t>
  </si>
  <si>
    <t>D1</t>
  </si>
  <si>
    <t>D2</t>
  </si>
  <si>
    <t>E1</t>
  </si>
  <si>
    <t>E2</t>
  </si>
  <si>
    <t>F1</t>
  </si>
  <si>
    <t>F2</t>
  </si>
  <si>
    <t>F3</t>
  </si>
  <si>
    <t>G1</t>
  </si>
  <si>
    <t>G2</t>
  </si>
  <si>
    <t>H1</t>
  </si>
  <si>
    <t>H2</t>
  </si>
  <si>
    <t>H3</t>
  </si>
  <si>
    <t>H4</t>
  </si>
  <si>
    <t>I. a1</t>
  </si>
  <si>
    <t>I. a2</t>
  </si>
  <si>
    <t>I. a3</t>
  </si>
  <si>
    <t>I. a4</t>
  </si>
  <si>
    <t>I. a5</t>
  </si>
  <si>
    <t>I. b1</t>
  </si>
  <si>
    <t>I. b2</t>
  </si>
  <si>
    <t>I. b3</t>
  </si>
  <si>
    <t>I. b4</t>
  </si>
  <si>
    <t>J1</t>
  </si>
  <si>
    <t>J2</t>
  </si>
  <si>
    <t>J3</t>
  </si>
  <si>
    <t>J4</t>
  </si>
  <si>
    <t>K2</t>
  </si>
  <si>
    <t>K3</t>
  </si>
  <si>
    <t>K4</t>
  </si>
  <si>
    <t>K5</t>
  </si>
  <si>
    <t>K6</t>
  </si>
  <si>
    <t>L2</t>
  </si>
  <si>
    <t>L3</t>
  </si>
  <si>
    <t>Program Pendidikan</t>
  </si>
  <si>
    <t>D3 Administrasi Perkantoran</t>
  </si>
  <si>
    <t>-</t>
  </si>
  <si>
    <t>SB</t>
  </si>
  <si>
    <t>Perlu</t>
  </si>
  <si>
    <t>Ya</t>
  </si>
  <si>
    <t>Tidak</t>
  </si>
  <si>
    <t>Diploma Tiga</t>
  </si>
  <si>
    <t>Pendidikan</t>
  </si>
  <si>
    <t>K</t>
  </si>
  <si>
    <t>Tidak Perlu</t>
  </si>
  <si>
    <t>Penggunaan TI, Pengembangan Diri</t>
  </si>
  <si>
    <t>D3 Sistem Informasi</t>
  </si>
  <si>
    <t>Pengembangan Diri</t>
  </si>
  <si>
    <t>PT. Infomedia Nusantara</t>
  </si>
  <si>
    <t>Perbankan</t>
  </si>
  <si>
    <t>Bahasa Inggris</t>
  </si>
  <si>
    <t>Chumsoni Dwi Abdul Ghofur</t>
  </si>
  <si>
    <t>Rudy Prastowo</t>
  </si>
  <si>
    <t>08123008965</t>
  </si>
  <si>
    <t>rudyprastowo40@gmail.com</t>
  </si>
  <si>
    <t>PT Golden Ocean Line</t>
  </si>
  <si>
    <t>Jl. Indrapura 29-33 Surabaya</t>
  </si>
  <si>
    <t>Jasa Angkutan Laut</t>
  </si>
  <si>
    <t>Intensipkan Bahasa Inggris</t>
  </si>
  <si>
    <t>Sytem dan Program Diperlukan</t>
  </si>
  <si>
    <t>Bahasa Inggris, Pengembangan diri</t>
  </si>
  <si>
    <t>Mahir mengoperasikan sistem komputer dan menguasai bahasa inggris untuk komunikasi dengan luar negeri</t>
  </si>
  <si>
    <t>Nur Mawartiningsih</t>
  </si>
  <si>
    <t>PT. Dua Kelinci</t>
  </si>
  <si>
    <t>Jl. HR Muhammad No.24, (New Land Office)</t>
  </si>
  <si>
    <t>Perdagangan / Bisnis</t>
  </si>
  <si>
    <t>Dian Arif Rachman</t>
  </si>
  <si>
    <t>Cristoforus H Alcadi</t>
  </si>
  <si>
    <t>krist.ha@staff.ubaya.ac.id</t>
  </si>
  <si>
    <t>Universitas Surabaya</t>
  </si>
  <si>
    <t>Raya Kalirungkut</t>
  </si>
  <si>
    <t>Materi tentang komunikasi, kepemimpinan dan softskill lainnya</t>
  </si>
  <si>
    <t>Lulusan yang siap terjun dalam pengembangan teknologi informasi terapan</t>
  </si>
  <si>
    <t>Saat ini belum ada</t>
  </si>
  <si>
    <t>Bahasa Inggris, Komunikasi, pengembangan diri, kepemimpinan, memeahami apa yang haarus dilakuakan dalam pekerjaan</t>
  </si>
  <si>
    <t>Jujur, integritas, skill teknis IT yang memadai (tinggi), bekerjasama dengan tim, pemahaman proses bisnis organisasi / perusahaan yang tinggi, keluwesan dalam penyesuaian diridengan dinamika organisasi</t>
  </si>
  <si>
    <t>Fajar Riska Daniakso</t>
  </si>
  <si>
    <t>Tri Septa</t>
  </si>
  <si>
    <t>0817337274</t>
  </si>
  <si>
    <t>Dinas Perpustakaan dan Kearsipan</t>
  </si>
  <si>
    <t>Gedung Siola Lt. 4</t>
  </si>
  <si>
    <t>Instansi pemerintahan</t>
  </si>
  <si>
    <t>Dapat Membantu dalam hal pengembangan ataupun pembuatan sistem aplikasi khususnya di bidang kearsiapan dan perpustakaan</t>
  </si>
  <si>
    <t>D4 Produksi Film dan Televisi</t>
  </si>
  <si>
    <t>S1 Desain Komunikasi Visual</t>
  </si>
  <si>
    <t>SK</t>
  </si>
  <si>
    <t>S1 Sistem Informasi</t>
  </si>
  <si>
    <t>Pengembangan diri</t>
  </si>
  <si>
    <t>Febi Kadarianto</t>
  </si>
  <si>
    <t>Kemampuan Design</t>
  </si>
  <si>
    <t>Devops berfokus pada teknologi java module</t>
  </si>
  <si>
    <t>Memberikan informasi mahasiswa yang membutuhkan pekerjan dengan skill java .net</t>
  </si>
  <si>
    <t>Kerja Sama Tim</t>
  </si>
  <si>
    <t>Kerjasama</t>
  </si>
  <si>
    <t>S1 Teknik Komputer</t>
  </si>
  <si>
    <t>Sangat Baik</t>
  </si>
  <si>
    <t>Jumlah Resp</t>
  </si>
  <si>
    <t>Tahun Lulus</t>
  </si>
  <si>
    <t>I. A 1</t>
  </si>
  <si>
    <t>I. A 2</t>
  </si>
  <si>
    <t>I. A 3</t>
  </si>
  <si>
    <t>I. A 4</t>
  </si>
  <si>
    <t>I. A 5</t>
  </si>
  <si>
    <t>I. B 1</t>
  </si>
  <si>
    <t>I. B 2</t>
  </si>
  <si>
    <t>I. B 3</t>
  </si>
  <si>
    <t>I. B 4</t>
  </si>
  <si>
    <t>Jenis Kemampuan</t>
  </si>
  <si>
    <t>Etika / Intergritas</t>
  </si>
  <si>
    <t>Keahlian pada bidang ilmu (kompetensi utama)</t>
  </si>
  <si>
    <t>Kemampuan berbahasa asing</t>
  </si>
  <si>
    <t>Pengguna teknologi informasi</t>
  </si>
  <si>
    <t>Kemampuan berkomunikasi</t>
  </si>
  <si>
    <t>Tingkat Kepuasan Pengguna
(%)</t>
  </si>
  <si>
    <t>Baik</t>
  </si>
  <si>
    <t>Cukup</t>
  </si>
  <si>
    <t>Kurang</t>
  </si>
  <si>
    <t>Total</t>
  </si>
  <si>
    <t>Rata - Rata</t>
  </si>
  <si>
    <t>Kadek Ayu Putri Meydiana</t>
  </si>
  <si>
    <t>Tyas</t>
  </si>
  <si>
    <t>085655386290</t>
  </si>
  <si>
    <t>Recruitment@merakjaya.co.id</t>
  </si>
  <si>
    <t>Merak jaya Beton</t>
  </si>
  <si>
    <t>Jl. Barata Jaya No.46</t>
  </si>
  <si>
    <t>0315042034</t>
  </si>
  <si>
    <t>Perdagangan, Industri semen</t>
  </si>
  <si>
    <t>Android Mobile Dev</t>
  </si>
  <si>
    <t>Teknologi Artificial Intelligence</t>
  </si>
  <si>
    <t>Mochamad Catur Nurhidayad</t>
  </si>
  <si>
    <t>Yefta</t>
  </si>
  <si>
    <t>Yefta.tsw@gmail.com</t>
  </si>
  <si>
    <t>SMPK Ronggolawe Tuban</t>
  </si>
  <si>
    <t>Jl. Kh. Ahmad Dahlan no 4, Tuban</t>
  </si>
  <si>
    <t>(0356) 321672</t>
  </si>
  <si>
    <t>Workshop Software skills untuk Guru</t>
  </si>
  <si>
    <t>Lulusan yang mampu menciptakan inovasi baru dibidang teknologi informasi terutama yang berkaitan dengan dunia pendidikan</t>
  </si>
  <si>
    <t>Septi Aisyah Duanasari</t>
  </si>
  <si>
    <t>Erwin Qurnia</t>
  </si>
  <si>
    <t>08113343355</t>
  </si>
  <si>
    <t>Captain.surockboyo@gmail.com</t>
  </si>
  <si>
    <t>Jl. A. Yani no 88, Grahapena</t>
  </si>
  <si>
    <t>031-8288604</t>
  </si>
  <si>
    <t>Jasa, Contact Center</t>
  </si>
  <si>
    <t>Komunikasi</t>
  </si>
  <si>
    <t>Skill Komunikasi, Desain Grafis, Lebih Kreatif</t>
  </si>
  <si>
    <t>Atika Rizky Damayanti</t>
  </si>
  <si>
    <t>Agus S Hidayat</t>
  </si>
  <si>
    <t>08119105038</t>
  </si>
  <si>
    <t>Agus.Hidayat@slackware_id.org</t>
  </si>
  <si>
    <t>PT. BTPN</t>
  </si>
  <si>
    <t>Jl. Indrapura 1 EFE, Surabaya</t>
  </si>
  <si>
    <t>031 - 3533054</t>
  </si>
  <si>
    <t xml:space="preserve">- </t>
  </si>
  <si>
    <t>Industri</t>
  </si>
  <si>
    <t>Arief Wahyu Wijaya</t>
  </si>
  <si>
    <t>Stiesia Surabaya</t>
  </si>
  <si>
    <t>Jl. Menur Pumpungan No. 30 (Stiesia Surabaya)</t>
  </si>
  <si>
    <t>L4</t>
  </si>
  <si>
    <t>FDIK</t>
  </si>
  <si>
    <t>KEPEMIMPINAN</t>
  </si>
  <si>
    <t>ETOS KERJA</t>
  </si>
  <si>
    <t>C3</t>
  </si>
  <si>
    <t>KEMAMPUAN BERBAHASA ASING</t>
  </si>
  <si>
    <t>FTI</t>
  </si>
  <si>
    <t>KEAHLIAN BIDANG INFOKOM</t>
  </si>
  <si>
    <t>E3</t>
  </si>
  <si>
    <t>KEMAMPUAN BERKOMUNIKASI</t>
  </si>
  <si>
    <t>F4</t>
  </si>
  <si>
    <t>KERJASAMA TIM</t>
  </si>
  <si>
    <t>G3</t>
  </si>
  <si>
    <t>PENGEMBANGAN DIRI</t>
  </si>
  <si>
    <t>I.1 KEPRIBADIAN</t>
  </si>
  <si>
    <t>I1.1</t>
  </si>
  <si>
    <t>I1.2</t>
  </si>
  <si>
    <t>I1.3</t>
  </si>
  <si>
    <t>I1.4</t>
  </si>
  <si>
    <t>I1.5</t>
  </si>
  <si>
    <t>I.2 TUNTUTAN INDUSTRI 4.0</t>
  </si>
  <si>
    <t>I2.1</t>
  </si>
  <si>
    <t>I2.2</t>
  </si>
  <si>
    <t>I2.3</t>
  </si>
  <si>
    <t>I2.4</t>
  </si>
  <si>
    <t>FEB</t>
  </si>
  <si>
    <t>ETIKA</t>
  </si>
  <si>
    <t>KEAHLIAN BIDANG ILMU</t>
  </si>
  <si>
    <t>PENGGUNAAN TEKNOLOGI INFORMASI</t>
  </si>
  <si>
    <t>S1 Desain Produk</t>
  </si>
  <si>
    <t>Sangat Baik (4)</t>
  </si>
  <si>
    <t>Baik (3)</t>
  </si>
  <si>
    <t>Nama Responden</t>
  </si>
  <si>
    <t>Nama Alumni yang bekerja di tempat Bapak / Ibu</t>
  </si>
  <si>
    <t>Nama Perusahaan</t>
  </si>
  <si>
    <t>Apakah memiliki cabang di negara lain?</t>
  </si>
  <si>
    <t>Apakah memiliki cabang di Kota lain?</t>
  </si>
  <si>
    <t>Jenis Perusahaan</t>
  </si>
  <si>
    <t>Kepemimpinan</t>
  </si>
  <si>
    <t>Kurang (2)</t>
  </si>
  <si>
    <t>Kemampuan Berbahasa Asing</t>
  </si>
  <si>
    <t>Secara umum, bagaimanakah kinerja lulusan Universitas Dinamika yang bekerja di institusi Bapak/Ibu?</t>
  </si>
  <si>
    <t>Secara umum, menurut Bapak/Ibu, bidang apa yang kurang dikuasai lulusan Universitas Dinamika? (boleh dijawab lebih dari 1)</t>
  </si>
  <si>
    <t>Kriteria lulusan berbasis Teknologi Informasi seperti apakah yang diinginkan Institusi Bapak/Ibu, mohon dituliskan.</t>
  </si>
  <si>
    <t>NIM</t>
  </si>
  <si>
    <t>Diploma</t>
  </si>
  <si>
    <t>Sucofindo Surabaya</t>
  </si>
  <si>
    <t>Jl. Kalibutuh No.215, Tembok Dukuh</t>
  </si>
  <si>
    <t>Lutfi Idham</t>
  </si>
  <si>
    <t>083870883711</t>
  </si>
  <si>
    <t>Inspeksi, Konsultan, Sertifikasi</t>
  </si>
  <si>
    <t>Bahasa Asing</t>
  </si>
  <si>
    <t>Multitasking</t>
  </si>
  <si>
    <t>Daniel Budi Setyawan</t>
  </si>
  <si>
    <t>PT. Bimasakti Multi Sinergi</t>
  </si>
  <si>
    <t>Jl. Delta Raya Utara Jl. Delta Sari Indah</t>
  </si>
  <si>
    <t>Umi Zahro</t>
  </si>
  <si>
    <t>(031) 8535799</t>
  </si>
  <si>
    <t>partnership@bm.co.id</t>
  </si>
  <si>
    <t>Fintech</t>
  </si>
  <si>
    <t>Mampu memahaami masalah dengan cepat, Mampu bekerja sama dengan tim, mampu menganalisan dan memberikan quick solution</t>
  </si>
  <si>
    <t>Pengembangan Diri, Bahasa Inggris</t>
  </si>
  <si>
    <t>Galih Adi Wijaya</t>
  </si>
  <si>
    <t>HR</t>
  </si>
  <si>
    <t>PT. Bumindo Sakti</t>
  </si>
  <si>
    <t xml:space="preserve">Dsn. Larangan RT 009 RW 004, Ds Krikilan KM28, Kec. Driyorejo, Gresik </t>
  </si>
  <si>
    <t xml:space="preserve">bumindosakti@gmail.com </t>
  </si>
  <si>
    <t xml:space="preserve">085-100-24-8000 </t>
  </si>
  <si>
    <t>Jasa Konstruksi</t>
  </si>
  <si>
    <t>Akreditasi D3 Sistem Informasi</t>
  </si>
  <si>
    <t>TAMBAHAN</t>
  </si>
  <si>
    <t>Faisal arvia oktavian</t>
  </si>
  <si>
    <t>Andre Juniar Bahruly</t>
  </si>
  <si>
    <t>Alif Indarmawan Putra</t>
  </si>
  <si>
    <t>Printsoft</t>
  </si>
  <si>
    <t>PT. Tirta Fresindo Jaya Plant 2 (Mayora Group)</t>
  </si>
  <si>
    <t>PT. Kasir Pintar Internasional</t>
  </si>
  <si>
    <t>Semampir, Surabaya</t>
  </si>
  <si>
    <t>Pasuruan</t>
  </si>
  <si>
    <t>Ir. Soekarno, Merr - Surabaya</t>
  </si>
  <si>
    <t>Jasa Aplikasi</t>
  </si>
  <si>
    <t>Manufaktur Makanan dan Minuman</t>
  </si>
  <si>
    <t>S1 Akuntansi</t>
  </si>
  <si>
    <t>Jumlah Alumni</t>
  </si>
  <si>
    <t>Jumlah responden</t>
  </si>
  <si>
    <t>TS-2</t>
  </si>
  <si>
    <t>TS-3</t>
  </si>
  <si>
    <t>TS-4</t>
  </si>
  <si>
    <t>Th Lulus</t>
  </si>
  <si>
    <t>TS</t>
  </si>
  <si>
    <t>Th Tracer</t>
  </si>
  <si>
    <t>TS-1</t>
  </si>
  <si>
    <t>TS-0</t>
  </si>
  <si>
    <t>Kepribadian</t>
  </si>
  <si>
    <t>Tuntutan Industri 4.0</t>
  </si>
  <si>
    <t>Sangat Kurang (1)</t>
  </si>
  <si>
    <t>Etos Kerja</t>
  </si>
  <si>
    <t>Kerjasama Tim</t>
  </si>
  <si>
    <t>Etik</t>
  </si>
  <si>
    <t>Keahlian berdasarkan bidang ilmu</t>
  </si>
  <si>
    <t>Penggunaan Teknologi Informasi</t>
  </si>
  <si>
    <t>Etika</t>
  </si>
  <si>
    <t>UNIVERSITAS</t>
  </si>
  <si>
    <t>Punya integritas, dan mau belajar</t>
  </si>
  <si>
    <t>Berkemauan untuk upskill, bertanggungjawab, pintar dan berakhlak mulia</t>
  </si>
  <si>
    <t>Mempunyai dari explorasi tinggi, tanggung jawab, team work dan disiplin.</t>
  </si>
  <si>
    <t>`</t>
  </si>
  <si>
    <t>DKV</t>
  </si>
  <si>
    <t>S1 Manajemen</t>
  </si>
  <si>
    <t>Despro</t>
  </si>
  <si>
    <t>Profiti</t>
  </si>
  <si>
    <t>Cukup (2)</t>
  </si>
  <si>
    <t>Kurang (1)</t>
  </si>
  <si>
    <t>Keahlian di bidang TI</t>
  </si>
  <si>
    <t>Kemampuan berbahasa asing (Inggris)</t>
  </si>
  <si>
    <t>Fleksibel dalam menghadapi perubahan teknologi yang cepat.</t>
  </si>
  <si>
    <t>Kemampuan Berkomunikasi</t>
  </si>
  <si>
    <t>Dyahwike</t>
  </si>
  <si>
    <t>PT BERDIKARI MEUBEL NUSANTARA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</si>
</sst>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12" x14ac:knownFonts="1">
    <font>
      <sz val="11"/>
      <color theme="1"/>
      <name val="Calibri"/>
      <family val="2"/>
      <scheme val="minor"/>
    </font>
    <font>
      <sz val="11"/>
      <color rgb="FF000000"/>
      <name val="Arial Narrow"/>
      <family val="2"/>
    </font>
    <font>
      <b/>
      <sz val="11"/>
      <color rgb="FF000000"/>
      <name val="Arial Narrow"/>
      <family val="2"/>
    </font>
    <font>
      <u/>
      <sz val="11"/>
      <color rgb="FF0563C1"/>
      <name val="Arial Narrow"/>
      <family val="2"/>
    </font>
    <font>
      <b/>
      <sz val="1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b/>
      <sz val="22"/>
      <color theme="1"/>
      <name val="Calibri"/>
      <family val="2"/>
      <scheme val="minor"/>
    </font>
    <font>
      <sz val="11"/>
      <color rgb="FF000000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BDD6EE"/>
        <bgColor rgb="FFBDD6EE"/>
      </patternFill>
    </fill>
    <fill>
      <patternFill patternType="solid">
        <fgColor rgb="FFFBE4D5"/>
        <bgColor rgb="FFFBE4D5"/>
      </patternFill>
    </fill>
    <fill>
      <patternFill patternType="solid">
        <fgColor rgb="FFFFD965"/>
        <bgColor rgb="FFFFD965"/>
      </patternFill>
    </fill>
    <fill>
      <patternFill patternType="solid">
        <fgColor rgb="FF8EAADB"/>
        <bgColor rgb="FF8EAADB"/>
      </patternFill>
    </fill>
    <fill>
      <patternFill patternType="solid">
        <fgColor rgb="FFC5E0B3"/>
        <bgColor rgb="FFC5E0B3"/>
      </patternFill>
    </fill>
    <fill>
      <patternFill patternType="solid">
        <fgColor rgb="FFFFC000"/>
        <bgColor rgb="FFFFC000"/>
      </patternFill>
    </fill>
    <fill>
      <patternFill patternType="solid">
        <fgColor rgb="FF00B0F0"/>
        <bgColor rgb="FF00B0F0"/>
      </patternFill>
    </fill>
    <fill>
      <patternFill patternType="solid">
        <fgColor rgb="FF92D050"/>
        <bgColor rgb="FF92D050"/>
      </patternFill>
    </fill>
    <fill>
      <patternFill patternType="solid">
        <fgColor rgb="FFFF9999"/>
        <bgColor rgb="FFFF9999"/>
      </patternFill>
    </fill>
    <fill>
      <patternFill patternType="solid">
        <fgColor rgb="FFBF9000"/>
        <bgColor rgb="FFBF9000"/>
      </patternFill>
    </fill>
    <fill>
      <patternFill patternType="solid">
        <fgColor rgb="FFF4B083"/>
        <bgColor rgb="FFF4B083"/>
      </patternFill>
    </fill>
    <fill>
      <patternFill patternType="solid">
        <fgColor rgb="FF9CC2E5"/>
        <bgColor rgb="FF9CC2E5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rgb="FFFFFF00"/>
        <bgColor rgb="FFFFFF0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8DB3E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1"/>
        <bgColor indexed="64"/>
      </patternFill>
    </fill>
  </fills>
  <borders count="3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theme="4" tint="0.39997558519241921"/>
      </bottom>
      <diagonal/>
    </border>
    <border>
      <left/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theme="4" tint="0.39997558519241921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theme="1"/>
      </top>
      <bottom style="thin">
        <color theme="4" tint="0.3999755851924192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3">
    <xf numFmtId="0" fontId="0" fillId="0" borderId="0"/>
    <xf numFmtId="0" fontId="6" fillId="0" borderId="0" applyNumberFormat="0" applyFill="0" applyBorder="0" applyAlignment="0" applyProtection="0"/>
    <xf numFmtId="0" fontId="11" fillId="0" borderId="0"/>
  </cellStyleXfs>
  <cellXfs count="147">
    <xf numFmtId="0" fontId="0" fillId="0" borderId="0" xfId="0"/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1" fillId="2" borderId="4" xfId="0" quotePrefix="1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0" fontId="1" fillId="8" borderId="4" xfId="0" applyFont="1" applyFill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 wrapText="1"/>
    </xf>
    <xf numFmtId="0" fontId="1" fillId="10" borderId="4" xfId="0" applyFont="1" applyFill="1" applyBorder="1" applyAlignment="1">
      <alignment horizontal="center" vertical="center" wrapText="1"/>
    </xf>
    <xf numFmtId="0" fontId="1" fillId="11" borderId="4" xfId="0" applyFont="1" applyFill="1" applyBorder="1" applyAlignment="1">
      <alignment horizontal="center" vertical="center" wrapText="1"/>
    </xf>
    <xf numFmtId="0" fontId="1" fillId="12" borderId="4" xfId="0" applyFont="1" applyFill="1" applyBorder="1" applyAlignment="1">
      <alignment horizontal="center" vertical="center" wrapText="1"/>
    </xf>
    <xf numFmtId="0" fontId="1" fillId="13" borderId="4" xfId="0" applyFont="1" applyFill="1" applyBorder="1" applyAlignment="1">
      <alignment horizontal="center" vertical="center" wrapText="1"/>
    </xf>
    <xf numFmtId="0" fontId="1" fillId="14" borderId="4" xfId="0" applyFont="1" applyFill="1" applyBorder="1" applyAlignment="1">
      <alignment horizontal="center" vertical="center" wrapText="1"/>
    </xf>
    <xf numFmtId="0" fontId="1" fillId="14" borderId="4" xfId="0" applyFont="1" applyFill="1" applyBorder="1" applyAlignment="1">
      <alignment horizontal="left" vertical="center" wrapText="1"/>
    </xf>
    <xf numFmtId="0" fontId="1" fillId="14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  <xf numFmtId="0" fontId="1" fillId="10" borderId="6" xfId="0" applyFont="1" applyFill="1" applyBorder="1" applyAlignment="1">
      <alignment horizontal="center" vertical="center" wrapText="1"/>
    </xf>
    <xf numFmtId="0" fontId="1" fillId="11" borderId="6" xfId="0" applyFont="1" applyFill="1" applyBorder="1" applyAlignment="1">
      <alignment horizontal="center" vertical="center" wrapText="1"/>
    </xf>
    <xf numFmtId="0" fontId="1" fillId="13" borderId="6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164" fontId="0" fillId="0" borderId="3" xfId="0" applyNumberFormat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0" fontId="1" fillId="0" borderId="3" xfId="0" applyFont="1" applyBorder="1" applyAlignment="1">
      <alignment horizontal="center"/>
    </xf>
    <xf numFmtId="164" fontId="1" fillId="16" borderId="3" xfId="0" applyNumberFormat="1" applyFont="1" applyFill="1" applyBorder="1" applyAlignment="1">
      <alignment horizontal="center"/>
    </xf>
    <xf numFmtId="10" fontId="1" fillId="8" borderId="9" xfId="0" applyNumberFormat="1" applyFont="1" applyFill="1" applyBorder="1" applyAlignment="1">
      <alignment horizontal="center"/>
    </xf>
    <xf numFmtId="0" fontId="4" fillId="0" borderId="0" xfId="0" applyFont="1"/>
    <xf numFmtId="0" fontId="1" fillId="15" borderId="10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9" fontId="0" fillId="0" borderId="3" xfId="0" applyNumberFormat="1" applyBorder="1" applyAlignment="1">
      <alignment horizontal="center"/>
    </xf>
    <xf numFmtId="0" fontId="1" fillId="0" borderId="11" xfId="0" applyFont="1" applyBorder="1" applyAlignment="1">
      <alignment horizontal="center"/>
    </xf>
    <xf numFmtId="164" fontId="1" fillId="16" borderId="11" xfId="0" applyNumberFormat="1" applyFont="1" applyFill="1" applyBorder="1" applyAlignment="1">
      <alignment horizontal="center"/>
    </xf>
    <xf numFmtId="0" fontId="1" fillId="15" borderId="12" xfId="0" applyFont="1" applyFill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/>
    </xf>
    <xf numFmtId="0" fontId="0" fillId="18" borderId="13" xfId="0" applyFill="1" applyBorder="1" applyAlignment="1">
      <alignment horizontal="center"/>
    </xf>
    <xf numFmtId="0" fontId="5" fillId="19" borderId="10" xfId="0" applyFont="1" applyFill="1" applyBorder="1" applyAlignment="1">
      <alignment horizontal="center" vertical="center" wrapText="1"/>
    </xf>
    <xf numFmtId="0" fontId="0" fillId="18" borderId="14" xfId="0" applyFill="1" applyBorder="1" applyAlignment="1">
      <alignment horizontal="center"/>
    </xf>
    <xf numFmtId="0" fontId="0" fillId="18" borderId="15" xfId="0" applyFill="1" applyBorder="1" applyAlignment="1">
      <alignment horizontal="center"/>
    </xf>
    <xf numFmtId="0" fontId="0" fillId="0" borderId="16" xfId="0" applyBorder="1"/>
    <xf numFmtId="0" fontId="0" fillId="0" borderId="17" xfId="0" applyBorder="1"/>
    <xf numFmtId="164" fontId="0" fillId="0" borderId="11" xfId="0" applyNumberFormat="1" applyBorder="1" applyAlignment="1">
      <alignment horizontal="center"/>
    </xf>
    <xf numFmtId="164" fontId="0" fillId="0" borderId="18" xfId="0" applyNumberFormat="1" applyBorder="1" applyAlignment="1">
      <alignment horizontal="center"/>
    </xf>
    <xf numFmtId="0" fontId="0" fillId="0" borderId="19" xfId="0" applyBorder="1" applyAlignment="1">
      <alignment horizontal="right"/>
    </xf>
    <xf numFmtId="0" fontId="0" fillId="0" borderId="17" xfId="0" applyBorder="1" applyAlignment="1">
      <alignment horizontal="right"/>
    </xf>
    <xf numFmtId="164" fontId="7" fillId="0" borderId="8" xfId="0" applyNumberFormat="1" applyFont="1" applyBorder="1" applyAlignment="1">
      <alignment horizontal="center"/>
    </xf>
    <xf numFmtId="164" fontId="7" fillId="0" borderId="11" xfId="0" applyNumberFormat="1" applyFont="1" applyBorder="1" applyAlignment="1">
      <alignment horizontal="center"/>
    </xf>
    <xf numFmtId="164" fontId="7" fillId="0" borderId="20" xfId="0" applyNumberFormat="1" applyFont="1" applyBorder="1" applyAlignment="1">
      <alignment horizontal="center"/>
    </xf>
    <xf numFmtId="164" fontId="7" fillId="0" borderId="18" xfId="0" applyNumberFormat="1" applyFont="1" applyBorder="1" applyAlignment="1">
      <alignment horizontal="center"/>
    </xf>
    <xf numFmtId="0" fontId="1" fillId="20" borderId="4" xfId="0" applyFont="1" applyFill="1" applyBorder="1" applyAlignment="1">
      <alignment horizontal="center" vertical="center" wrapText="1"/>
    </xf>
    <xf numFmtId="0" fontId="3" fillId="2" borderId="4" xfId="1" applyFont="1" applyFill="1" applyBorder="1" applyAlignment="1">
      <alignment horizontal="center" vertical="center" wrapText="1"/>
    </xf>
    <xf numFmtId="0" fontId="1" fillId="13" borderId="4" xfId="0" quotePrefix="1" applyFont="1" applyFill="1" applyBorder="1" applyAlignment="1">
      <alignment horizontal="center" vertical="center" wrapText="1"/>
    </xf>
    <xf numFmtId="0" fontId="1" fillId="14" borderId="3" xfId="0" applyFont="1" applyFill="1" applyBorder="1" applyAlignment="1">
      <alignment horizontal="left" vertical="center" wrapText="1"/>
    </xf>
    <xf numFmtId="0" fontId="1" fillId="20" borderId="4" xfId="0" applyFont="1" applyFill="1" applyBorder="1" applyAlignment="1">
      <alignment horizontal="left" vertical="center" wrapText="1"/>
    </xf>
    <xf numFmtId="0" fontId="1" fillId="14" borderId="22" xfId="0" applyFont="1" applyFill="1" applyBorder="1" applyAlignment="1">
      <alignment horizontal="left" vertical="center" wrapText="1"/>
    </xf>
    <xf numFmtId="0" fontId="2" fillId="14" borderId="21" xfId="0" applyFont="1" applyFill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/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9" fillId="0" borderId="23" xfId="0" applyFont="1" applyBorder="1" applyAlignment="1">
      <alignment vertical="center" wrapText="1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24" xfId="0" applyBorder="1" applyAlignment="1">
      <alignment horizontal="center" vertical="center"/>
    </xf>
    <xf numFmtId="0" fontId="0" fillId="0" borderId="24" xfId="0" applyBorder="1" applyAlignment="1">
      <alignment horizontal="center"/>
    </xf>
    <xf numFmtId="0" fontId="9" fillId="0" borderId="3" xfId="0" applyFont="1" applyBorder="1" applyAlignment="1">
      <alignment horizontal="center" vertical="center" wrapText="1"/>
    </xf>
    <xf numFmtId="0" fontId="9" fillId="0" borderId="25" xfId="0" applyFont="1" applyBorder="1" applyAlignment="1">
      <alignment vertical="center" wrapText="1"/>
    </xf>
    <xf numFmtId="0" fontId="1" fillId="0" borderId="26" xfId="0" applyFont="1" applyBorder="1" applyAlignment="1">
      <alignment horizontal="center" vertical="center" wrapText="1"/>
    </xf>
    <xf numFmtId="0" fontId="6" fillId="2" borderId="4" xfId="1" applyFill="1" applyBorder="1" applyAlignment="1">
      <alignment horizontal="center" vertical="center" wrapText="1"/>
    </xf>
    <xf numFmtId="0" fontId="0" fillId="21" borderId="3" xfId="0" applyFill="1" applyBorder="1" applyAlignment="1">
      <alignment horizontal="center"/>
    </xf>
    <xf numFmtId="0" fontId="1" fillId="20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1" fontId="0" fillId="0" borderId="3" xfId="0" applyNumberFormat="1" applyBorder="1" applyAlignment="1">
      <alignment horizontal="center"/>
    </xf>
    <xf numFmtId="0" fontId="9" fillId="0" borderId="23" xfId="0" applyFont="1" applyBorder="1" applyAlignment="1">
      <alignment wrapText="1"/>
    </xf>
    <xf numFmtId="0" fontId="0" fillId="0" borderId="27" xfId="0" applyBorder="1" applyAlignment="1">
      <alignment horizontal="center"/>
    </xf>
    <xf numFmtId="0" fontId="9" fillId="0" borderId="0" xfId="0" applyFont="1"/>
    <xf numFmtId="0" fontId="7" fillId="22" borderId="0" xfId="0" applyFont="1" applyFill="1" applyAlignment="1">
      <alignment horizontal="center" vertical="center"/>
    </xf>
    <xf numFmtId="0" fontId="0" fillId="22" borderId="0" xfId="0" applyFill="1"/>
    <xf numFmtId="0" fontId="7" fillId="22" borderId="0" xfId="0" applyFont="1" applyFill="1" applyAlignment="1">
      <alignment horizontal="center"/>
    </xf>
    <xf numFmtId="0" fontId="7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/>
    </xf>
    <xf numFmtId="0" fontId="2" fillId="0" borderId="16" xfId="0" applyFont="1" applyBorder="1" applyAlignment="1">
      <alignment horizontal="center" vertical="center"/>
    </xf>
    <xf numFmtId="9" fontId="0" fillId="0" borderId="3" xfId="0" applyNumberFormat="1" applyBorder="1" applyAlignment="1">
      <alignment horizontal="center" vertical="center"/>
    </xf>
    <xf numFmtId="0" fontId="1" fillId="21" borderId="16" xfId="0" applyFont="1" applyFill="1" applyBorder="1" applyAlignment="1">
      <alignment horizontal="center"/>
    </xf>
    <xf numFmtId="0" fontId="2" fillId="21" borderId="16" xfId="0" applyFont="1" applyFill="1" applyBorder="1" applyAlignment="1">
      <alignment horizontal="center" vertical="center"/>
    </xf>
    <xf numFmtId="0" fontId="2" fillId="0" borderId="16" xfId="0" applyFont="1" applyBorder="1" applyAlignment="1">
      <alignment horizontal="center"/>
    </xf>
    <xf numFmtId="0" fontId="7" fillId="21" borderId="17" xfId="0" applyFont="1" applyFill="1" applyBorder="1" applyAlignment="1">
      <alignment horizontal="center" vertical="center"/>
    </xf>
    <xf numFmtId="10" fontId="1" fillId="8" borderId="18" xfId="0" applyNumberFormat="1" applyFont="1" applyFill="1" applyBorder="1" applyAlignment="1">
      <alignment horizontal="center"/>
    </xf>
    <xf numFmtId="0" fontId="7" fillId="23" borderId="0" xfId="0" applyFont="1" applyFill="1" applyAlignment="1">
      <alignment horizontal="center" vertical="center"/>
    </xf>
    <xf numFmtId="0" fontId="0" fillId="23" borderId="0" xfId="0" applyFill="1"/>
    <xf numFmtId="0" fontId="7" fillId="23" borderId="0" xfId="0" applyFont="1" applyFill="1" applyAlignment="1">
      <alignment horizontal="center"/>
    </xf>
    <xf numFmtId="0" fontId="0" fillId="0" borderId="0" xfId="0" applyFont="1" applyAlignment="1">
      <alignment horizontal="center" vertical="center"/>
    </xf>
    <xf numFmtId="9" fontId="0" fillId="0" borderId="11" xfId="0" applyNumberFormat="1" applyBorder="1" applyAlignment="1">
      <alignment horizontal="center"/>
    </xf>
    <xf numFmtId="0" fontId="0" fillId="0" borderId="0" xfId="0"/>
    <xf numFmtId="0" fontId="5" fillId="19" borderId="10" xfId="0" applyFont="1" applyFill="1" applyBorder="1" applyAlignment="1">
      <alignment horizontal="center" vertical="center" wrapText="1"/>
    </xf>
    <xf numFmtId="0" fontId="0" fillId="0" borderId="0" xfId="0" applyFont="1" applyAlignment="1">
      <alignment horizontal="left" vertical="center"/>
    </xf>
    <xf numFmtId="0" fontId="2" fillId="14" borderId="7" xfId="0" applyFont="1" applyFill="1" applyBorder="1" applyAlignment="1">
      <alignment horizontal="center" vertical="center" wrapText="1"/>
    </xf>
    <xf numFmtId="0" fontId="0" fillId="17" borderId="10" xfId="0" applyFill="1" applyBorder="1" applyAlignment="1">
      <alignment horizontal="center" vertical="center" wrapText="1"/>
    </xf>
    <xf numFmtId="0" fontId="5" fillId="19" borderId="10" xfId="0" applyFont="1" applyFill="1" applyBorder="1" applyAlignment="1">
      <alignment horizontal="center" vertical="center" wrapText="1"/>
    </xf>
    <xf numFmtId="0" fontId="2" fillId="8" borderId="7" xfId="0" applyFont="1" applyFill="1" applyBorder="1" applyAlignment="1">
      <alignment horizontal="center" vertical="center" wrapText="1"/>
    </xf>
    <xf numFmtId="0" fontId="2" fillId="9" borderId="7" xfId="0" applyFont="1" applyFill="1" applyBorder="1" applyAlignment="1">
      <alignment horizontal="center" vertical="center" wrapText="1"/>
    </xf>
    <xf numFmtId="0" fontId="2" fillId="10" borderId="7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2" fillId="12" borderId="7" xfId="0" applyFont="1" applyFill="1" applyBorder="1" applyAlignment="1">
      <alignment horizontal="center" vertical="center" wrapText="1"/>
    </xf>
    <xf numFmtId="0" fontId="2" fillId="13" borderId="7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 wrapText="1"/>
    </xf>
    <xf numFmtId="0" fontId="2" fillId="6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horizontal="center" vertical="center" wrapText="1"/>
    </xf>
    <xf numFmtId="0" fontId="10" fillId="0" borderId="30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0" borderId="32" xfId="0" applyFont="1" applyBorder="1" applyAlignment="1">
      <alignment horizontal="center" vertical="center"/>
    </xf>
    <xf numFmtId="0" fontId="10" fillId="0" borderId="28" xfId="0" applyFont="1" applyBorder="1" applyAlignment="1">
      <alignment horizontal="center" vertical="center"/>
    </xf>
    <xf numFmtId="0" fontId="10" fillId="0" borderId="29" xfId="0" applyFont="1" applyBorder="1" applyAlignment="1">
      <alignment horizontal="center" vertical="center"/>
    </xf>
    <xf numFmtId="0" fontId="10" fillId="0" borderId="33" xfId="0" applyFont="1" applyBorder="1" applyAlignment="1">
      <alignment horizontal="center" vertical="center"/>
    </xf>
    <xf numFmtId="0" fontId="5" fillId="19" borderId="10" xfId="0" applyFont="1" applyFill="1" applyBorder="1" applyAlignment="1">
      <alignment horizontal="center" wrapText="1"/>
    </xf>
  </cellXfs>
  <cellStyles count="3">
    <cellStyle name="Hyperlink" xfId="1" builtinId="8"/>
    <cellStyle name="Normal" xfId="0" builtinId="0"/>
    <cellStyle name="Normal 2" xfId="2"/>
  </cellStyles>
  <dxfs count="9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general" vertical="bottom" textRotation="0" wrapText="1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general" vertical="bottom" textRotation="0" wrapText="1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border outline="0">
        <right style="medium">
          <color rgb="FFCCCCCC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arrow"/>
        <scheme val="none"/>
      </font>
      <fill>
        <patternFill patternType="solid">
          <fgColor rgb="FF9CC2E5"/>
          <bgColor rgb="FF9CC2E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arrow"/>
        <scheme val="none"/>
      </font>
      <fill>
        <patternFill patternType="solid">
          <fgColor rgb="FF9CC2E5"/>
          <bgColor rgb="FF9CC2E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arrow"/>
        <scheme val="none"/>
      </font>
      <fill>
        <patternFill patternType="solid">
          <fgColor rgb="FF9CC2E5"/>
          <bgColor rgb="FF9CC2E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arrow"/>
        <scheme val="none"/>
      </font>
      <fill>
        <patternFill patternType="solid">
          <fgColor rgb="FF9CC2E5"/>
          <bgColor rgb="FF9CC2E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arrow"/>
        <scheme val="none"/>
      </font>
      <fill>
        <patternFill patternType="solid">
          <fgColor rgb="FFF4B083"/>
          <bgColor rgb="FFF4B08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arrow"/>
        <scheme val="none"/>
      </font>
      <fill>
        <patternFill patternType="solid">
          <fgColor rgb="FFF4B083"/>
          <bgColor rgb="FFF4B08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arrow"/>
        <scheme val="none"/>
      </font>
      <fill>
        <patternFill patternType="solid">
          <fgColor rgb="FFF4B083"/>
          <bgColor rgb="FFF4B08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arrow"/>
        <scheme val="none"/>
      </font>
      <fill>
        <patternFill patternType="solid">
          <fgColor rgb="FFF4B083"/>
          <bgColor rgb="FFF4B08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arrow"/>
        <scheme val="none"/>
      </font>
      <fill>
        <patternFill patternType="solid">
          <fgColor rgb="FFF4B083"/>
          <bgColor rgb="FFF4B08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arrow"/>
        <scheme val="none"/>
      </font>
      <fill>
        <patternFill patternType="solid">
          <fgColor rgb="FFF4B083"/>
          <bgColor rgb="FFF4B08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arrow"/>
        <scheme val="none"/>
      </font>
      <fill>
        <patternFill patternType="solid">
          <fgColor rgb="FFBF9000"/>
          <bgColor rgb="FFBF90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arrow"/>
        <scheme val="none"/>
      </font>
      <fill>
        <patternFill patternType="solid">
          <fgColor rgb="FFBF9000"/>
          <bgColor rgb="FFBF90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arrow"/>
        <scheme val="none"/>
      </font>
      <fill>
        <patternFill patternType="solid">
          <fgColor rgb="FFBF9000"/>
          <bgColor rgb="FFBF90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arrow"/>
        <scheme val="none"/>
      </font>
      <fill>
        <patternFill patternType="solid">
          <fgColor rgb="FFBF9000"/>
          <bgColor rgb="FFBF90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arrow"/>
        <scheme val="none"/>
      </font>
      <fill>
        <patternFill patternType="solid">
          <fgColor rgb="FFFF9999"/>
          <bgColor rgb="FFFF999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arrow"/>
        <scheme val="none"/>
      </font>
      <fill>
        <patternFill patternType="solid">
          <fgColor rgb="FFFF9999"/>
          <bgColor rgb="FFFF999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arrow"/>
        <scheme val="none"/>
      </font>
      <fill>
        <patternFill patternType="solid">
          <fgColor rgb="FFFF9999"/>
          <bgColor rgb="FFFF999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arrow"/>
        <scheme val="none"/>
      </font>
      <fill>
        <patternFill patternType="solid">
          <fgColor rgb="FFFF9999"/>
          <bgColor rgb="FFFF999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arrow"/>
        <scheme val="none"/>
      </font>
      <fill>
        <patternFill patternType="solid">
          <fgColor rgb="FF92D050"/>
          <bgColor rgb="FF92D05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arrow"/>
        <scheme val="none"/>
      </font>
      <fill>
        <patternFill patternType="solid">
          <fgColor rgb="FF92D050"/>
          <bgColor rgb="FF92D05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arrow"/>
        <scheme val="none"/>
      </font>
      <fill>
        <patternFill patternType="solid">
          <fgColor rgb="FF92D050"/>
          <bgColor rgb="FF92D05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arrow"/>
        <scheme val="none"/>
      </font>
      <fill>
        <patternFill patternType="solid">
          <fgColor rgb="FF92D050"/>
          <bgColor rgb="FF92D05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arrow"/>
        <scheme val="none"/>
      </font>
      <fill>
        <patternFill patternType="solid">
          <fgColor rgb="FF92D050"/>
          <bgColor rgb="FF92D05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arrow"/>
        <scheme val="none"/>
      </font>
      <fill>
        <patternFill patternType="solid">
          <fgColor rgb="FF00B0F0"/>
          <bgColor rgb="FF00B0F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arrow"/>
        <scheme val="none"/>
      </font>
      <fill>
        <patternFill patternType="solid">
          <fgColor rgb="FF00B0F0"/>
          <bgColor rgb="FF00B0F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arrow"/>
        <scheme val="none"/>
      </font>
      <fill>
        <patternFill patternType="solid">
          <fgColor rgb="FF00B0F0"/>
          <bgColor rgb="FF00B0F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arrow"/>
        <scheme val="none"/>
      </font>
      <fill>
        <patternFill patternType="solid">
          <fgColor rgb="FF00B0F0"/>
          <bgColor rgb="FF00B0F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arrow"/>
        <scheme val="none"/>
      </font>
      <fill>
        <patternFill patternType="solid">
          <fgColor rgb="FFFFC000"/>
          <bgColor rgb="FFFFC0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arrow"/>
        <scheme val="none"/>
      </font>
      <fill>
        <patternFill patternType="solid">
          <fgColor rgb="FFFFC000"/>
          <bgColor rgb="FFFFC0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arrow"/>
        <scheme val="none"/>
      </font>
      <fill>
        <patternFill patternType="solid">
          <fgColor rgb="FFC5E0B3"/>
          <bgColor rgb="FFC5E0B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arrow"/>
        <scheme val="none"/>
      </font>
      <fill>
        <patternFill patternType="solid">
          <fgColor rgb="FFC5E0B3"/>
          <bgColor rgb="FFC5E0B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arrow"/>
        <scheme val="none"/>
      </font>
      <fill>
        <patternFill patternType="solid">
          <fgColor rgb="FFC5E0B3"/>
          <bgColor rgb="FFC5E0B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arrow"/>
        <scheme val="none"/>
      </font>
      <fill>
        <patternFill patternType="solid">
          <fgColor rgb="FF8EAADB"/>
          <bgColor rgb="FF8EAADB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arrow"/>
        <scheme val="none"/>
      </font>
      <fill>
        <patternFill patternType="solid">
          <fgColor rgb="FF8EAADB"/>
          <bgColor rgb="FF8EAADB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arrow"/>
        <scheme val="none"/>
      </font>
      <fill>
        <patternFill patternType="solid">
          <fgColor rgb="FFFFD965"/>
          <bgColor rgb="FFFFD9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arrow"/>
        <scheme val="none"/>
      </font>
      <fill>
        <patternFill patternType="solid">
          <fgColor rgb="FFFFD965"/>
          <bgColor rgb="FFFFD9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arrow"/>
        <scheme val="none"/>
      </font>
      <fill>
        <patternFill patternType="solid">
          <fgColor rgb="FFFBE4D5"/>
          <bgColor rgb="FFFBE4D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arrow"/>
        <scheme val="none"/>
      </font>
      <fill>
        <patternFill patternType="solid">
          <fgColor rgb="FFFBE4D5"/>
          <bgColor rgb="FFFBE4D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arrow"/>
        <scheme val="none"/>
      </font>
      <fill>
        <patternFill patternType="solid">
          <fgColor rgb="FFBDD6EE"/>
          <bgColor rgb="FFBDD6EE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arrow"/>
        <scheme val="none"/>
      </font>
      <fill>
        <patternFill patternType="solid">
          <fgColor rgb="FFBDD6EE"/>
          <bgColor rgb="FFBDD6EE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arrow"/>
        <scheme val="none"/>
      </font>
      <fill>
        <patternFill patternType="solid">
          <fgColor rgb="FFBDD6EE"/>
          <bgColor rgb="FFBDD6EE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arrow"/>
        <scheme val="none"/>
      </font>
      <fill>
        <patternFill patternType="solid">
          <fgColor rgb="FFBDD6EE"/>
          <bgColor rgb="FFBDD6EE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arrow"/>
        <scheme val="none"/>
      </font>
      <fill>
        <patternFill patternType="solid">
          <fgColor rgb="FFBDD6EE"/>
          <bgColor rgb="FFBDD6EE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arrow"/>
        <scheme val="none"/>
      </font>
      <fill>
        <patternFill patternType="solid">
          <fgColor rgb="FFBFBFBF"/>
          <bgColor rgb="FFBFBFB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arrow"/>
        <scheme val="none"/>
      </font>
      <fill>
        <patternFill patternType="solid">
          <fgColor rgb="FFBFBFBF"/>
          <bgColor rgb="FFBFBFB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arrow"/>
        <scheme val="none"/>
      </font>
      <fill>
        <patternFill patternType="solid">
          <fgColor rgb="FFBFBFBF"/>
          <bgColor rgb="FFBFBFB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arrow"/>
        <scheme val="none"/>
      </font>
      <fill>
        <patternFill patternType="solid">
          <fgColor rgb="FFBFBFBF"/>
          <bgColor rgb="FFBFBFB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arrow"/>
        <scheme val="none"/>
      </font>
      <fill>
        <patternFill patternType="solid">
          <fgColor rgb="FFBFBFBF"/>
          <bgColor rgb="FFBFBFB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arrow"/>
        <scheme val="none"/>
      </font>
      <fill>
        <patternFill patternType="solid">
          <fgColor rgb="FFBFBFBF"/>
          <bgColor rgb="FFBFBFB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rgb="FF0563C1"/>
        <name val="Arial Narrow"/>
        <scheme val="none"/>
      </font>
      <fill>
        <patternFill patternType="solid">
          <fgColor rgb="FFBFBFBF"/>
          <bgColor rgb="FFBFBFB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arrow"/>
        <scheme val="none"/>
      </font>
      <fill>
        <patternFill patternType="solid">
          <fgColor rgb="FFBFBFBF"/>
          <bgColor rgb="FFBFBFB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arrow"/>
        <scheme val="none"/>
      </font>
      <fill>
        <patternFill patternType="solid">
          <fgColor rgb="FFBFBFBF"/>
          <bgColor rgb="FFBFBFB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color rgb="FF000000"/>
        <name val="Arial Narrow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color rgb="FF000000"/>
        <name val="Arial Narrow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arrow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arrow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000000"/>
        <name val="Arial Narrow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arrow"/>
        <scheme val="none"/>
      </font>
      <fill>
        <patternFill patternType="solid">
          <fgColor rgb="FF9CC2E5"/>
          <bgColor rgb="FF9CC2E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7" name="TblUniv201968" displayName="TblUniv201968" ref="B2:BF28" totalsRowShown="0" headerRowDxfId="67">
  <autoFilter ref="B2:BF28">
    <filterColumn colId="0">
      <filters>
        <filter val="2020"/>
      </filters>
    </filterColumn>
  </autoFilter>
  <sortState ref="B3:BE27">
    <sortCondition ref="B2:B27"/>
  </sortState>
  <tableColumns count="57">
    <tableColumn id="1" name="th lulus" dataDxfId="66"/>
    <tableColumn id="57" name="Program Pendidikan" dataDxfId="65"/>
    <tableColumn id="2" name="Prodi" dataDxfId="64"/>
    <tableColumn id="3" name="Nim" dataDxfId="63"/>
    <tableColumn id="4" name="Nama Alumni" dataDxfId="62"/>
    <tableColumn id="5" name="A1" dataDxfId="61"/>
    <tableColumn id="6" name="A2" dataDxfId="60"/>
    <tableColumn id="7" name="A3" dataDxfId="59"/>
    <tableColumn id="8" name="A4" dataDxfId="58"/>
    <tableColumn id="9" name="A5" dataDxfId="57"/>
    <tableColumn id="10" name="A6" dataDxfId="56"/>
    <tableColumn id="11" name="A7" dataDxfId="55"/>
    <tableColumn id="12" name="A8" dataDxfId="54"/>
    <tableColumn id="13" name="A9 Bulan" dataDxfId="53"/>
    <tableColumn id="14" name="B1" dataDxfId="52"/>
    <tableColumn id="15" name="B2" dataDxfId="51"/>
    <tableColumn id="16" name="B3" dataDxfId="50"/>
    <tableColumn id="17" name="B4" dataDxfId="49"/>
    <tableColumn id="18" name="B5" dataDxfId="48"/>
    <tableColumn id="19" name="C1" dataDxfId="47"/>
    <tableColumn id="20" name="C2" dataDxfId="46"/>
    <tableColumn id="21" name="D1" dataDxfId="45"/>
    <tableColumn id="22" name="D2" dataDxfId="44"/>
    <tableColumn id="23" name="E1" dataDxfId="43"/>
    <tableColumn id="24" name="E2" dataDxfId="42"/>
    <tableColumn id="25" name="F1" dataDxfId="41"/>
    <tableColumn id="26" name="F2" dataDxfId="40"/>
    <tableColumn id="27" name="F3" dataDxfId="39"/>
    <tableColumn id="28" name="G1" dataDxfId="38"/>
    <tableColumn id="29" name="G2" dataDxfId="37"/>
    <tableColumn id="30" name="H1" dataDxfId="36"/>
    <tableColumn id="31" name="H2" dataDxfId="35"/>
    <tableColumn id="32" name="H3" dataDxfId="34"/>
    <tableColumn id="33" name="H4" dataDxfId="33"/>
    <tableColumn id="34" name="I. a1" dataDxfId="32"/>
    <tableColumn id="35" name="I. a2" dataDxfId="31"/>
    <tableColumn id="36" name="I. a3" dataDxfId="30"/>
    <tableColumn id="37" name="I. a4" dataDxfId="29"/>
    <tableColumn id="38" name="I. a5" dataDxfId="28"/>
    <tableColumn id="39" name="I. b1" dataDxfId="27"/>
    <tableColumn id="40" name="I. b2" dataDxfId="26"/>
    <tableColumn id="41" name="I. b3" dataDxfId="25"/>
    <tableColumn id="42" name="I. b4" dataDxfId="24"/>
    <tableColumn id="43" name="J1" dataDxfId="23"/>
    <tableColumn id="44" name="J2" dataDxfId="22"/>
    <tableColumn id="45" name="J3" dataDxfId="21"/>
    <tableColumn id="46" name="J4" dataDxfId="20"/>
    <tableColumn id="47" name="K1" dataDxfId="19"/>
    <tableColumn id="48" name="K2" dataDxfId="18"/>
    <tableColumn id="49" name="K3" dataDxfId="17"/>
    <tableColumn id="50" name="K4" dataDxfId="16"/>
    <tableColumn id="51" name="K5" dataDxfId="15"/>
    <tableColumn id="52" name="K6" dataDxfId="14"/>
    <tableColumn id="53" name="L1" dataDxfId="13"/>
    <tableColumn id="54" name="L2" dataDxfId="12"/>
    <tableColumn id="55" name="L3" dataDxfId="11"/>
    <tableColumn id="58" name="L4" dataDxfId="10"/>
  </tableColumns>
  <tableStyleInfo name="TableStyleLight20" showFirstColumn="0" showLastColumn="0" showRowStripes="1" showColumnStripes="0"/>
</table>
</file>

<file path=xl/tables/table2.xml><?xml version="1.0" encoding="utf-8"?>
<table xmlns="http://schemas.openxmlformats.org/spreadsheetml/2006/main" id="16" name="Table612917" displayName="Table612917" ref="B2:AQ6" totalsRowShown="0" headerRowDxfId="9" dataDxfId="8" tableBorderDxfId="7">
  <autoFilter ref="B2:AQ6"/>
  <sortState ref="B3:AR27">
    <sortCondition ref="B2:B27"/>
  </sortState>
  <tableColumns count="42">
    <tableColumn id="1" name="Prodi"/>
    <tableColumn id="3" name="Nama Alumni yang bekerja di tempat Bapak / Ibu"/>
    <tableColumn id="4" name="Nama Responden"/>
    <tableColumn id="5" name="Nama Perusahaan"/>
    <tableColumn id="6" name="Jenis Perusahaan"/>
    <tableColumn id="7" name="Apakah memiliki cabang di Kota lain?"/>
    <tableColumn id="8" name="Apakah memiliki cabang di negara lain?"/>
    <tableColumn id="9" name="B1"/>
    <tableColumn id="10" name="B2"/>
    <tableColumn id="11" name="B3"/>
    <tableColumn id="12" name="B4"/>
    <tableColumn id="13" name="C1"/>
    <tableColumn id="14" name="C2"/>
    <tableColumn id="15" name="C3"/>
    <tableColumn id="16" name="D1"/>
    <tableColumn id="17" name="D2"/>
    <tableColumn id="18" name="E1"/>
    <tableColumn id="19" name="E2"/>
    <tableColumn id="20" name="E3"/>
    <tableColumn id="21" name="F1"/>
    <tableColumn id="22" name="F2"/>
    <tableColumn id="23" name="F3"/>
    <tableColumn id="24" name="F4"/>
    <tableColumn id="25" name="G1"/>
    <tableColumn id="26" name="G2"/>
    <tableColumn id="27" name="G3"/>
    <tableColumn id="28" name="H1"/>
    <tableColumn id="29" name="H2"/>
    <tableColumn id="30" name="H3"/>
    <tableColumn id="31" name="H4"/>
    <tableColumn id="32" name="I1.1"/>
    <tableColumn id="33" name="I1.2"/>
    <tableColumn id="34" name="I1.3"/>
    <tableColumn id="35" name="I1.4"/>
    <tableColumn id="36" name="I1.5"/>
    <tableColumn id="37" name="I2.1"/>
    <tableColumn id="38" name="I2.2"/>
    <tableColumn id="39" name="I2.3"/>
    <tableColumn id="40" name="I2.4"/>
    <tableColumn id="41" name="Secara umum, bagaimanakah kinerja lulusan Universitas Dinamika yang bekerja di institusi Bapak/Ibu?"/>
    <tableColumn id="42" name="Secara umum, menurut Bapak/Ibu, bidang apa yang kurang dikuasai lulusan Universitas Dinamika? (boleh dijawab lebih dari 1)"/>
    <tableColumn id="43" name="Kriteria lulusan berbasis Teknologi Informasi seperti apakah yang diinginkan Institusi Bapak/Ibu, mohon dituliskan." dataDxfId="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17" name="Table9131518" displayName="Table9131518" ref="B14:AL16" totalsRowShown="0" headerRowDxfId="5" dataDxfId="4">
  <autoFilter ref="B14:AL16"/>
  <tableColumns count="37">
    <tableColumn id="1" name="Prodi" dataDxfId="3"/>
    <tableColumn id="4" name="Nama Responden"/>
    <tableColumn id="5" name="Nama Perusahaan"/>
    <tableColumn id="6" name="Jenis Perusahaan"/>
    <tableColumn id="7" name="Apakah memiliki cabang di Kota lain?"/>
    <tableColumn id="8" name="Apakah memiliki cabang di negara lain?"/>
    <tableColumn id="9" name="B1"/>
    <tableColumn id="10" name="B2"/>
    <tableColumn id="11" name="B3"/>
    <tableColumn id="12" name="B4"/>
    <tableColumn id="13" name="B5"/>
    <tableColumn id="14" name="C1"/>
    <tableColumn id="15" name="C2"/>
    <tableColumn id="16" name="D1"/>
    <tableColumn id="17" name="D2"/>
    <tableColumn id="18" name="E1"/>
    <tableColumn id="19" name="E2"/>
    <tableColumn id="20" name="E3"/>
    <tableColumn id="21" name="F1"/>
    <tableColumn id="22" name="F2"/>
    <tableColumn id="23" name="F3"/>
    <tableColumn id="24" name="G1"/>
    <tableColumn id="25" name="G2"/>
    <tableColumn id="26" name="G3"/>
    <tableColumn id="27" name="H1"/>
    <tableColumn id="28" name="H2"/>
    <tableColumn id="29" name="H3"/>
    <tableColumn id="30" name="H4"/>
    <tableColumn id="31" name="I1.1"/>
    <tableColumn id="32" name="I1.2"/>
    <tableColumn id="33" name="I1.3"/>
    <tableColumn id="34" name="I1.4"/>
    <tableColumn id="35" name="I1.5"/>
    <tableColumn id="36" name="I2.1"/>
    <tableColumn id="37" name="I2.2"/>
    <tableColumn id="38" name="I2.3"/>
    <tableColumn id="39" name="I2.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18" name="Table10141619" displayName="Table10141619" ref="B21:AM23" totalsRowShown="0" headerRowDxfId="2" dataDxfId="1">
  <autoFilter ref="B21:AM23"/>
  <tableColumns count="38">
    <tableColumn id="1" name="Prodi" dataDxfId="0"/>
    <tableColumn id="2" name="NIM"/>
    <tableColumn id="3" name="Nama Alumni yang bekerja di tempat Bapak / Ibu"/>
    <tableColumn id="4" name="Nama Responden"/>
    <tableColumn id="5" name="Nama Perusahaan"/>
    <tableColumn id="6" name="Jenis Perusahaan"/>
    <tableColumn id="7" name="Apakah memiliki cabang di Kota lain?"/>
    <tableColumn id="8" name="Apakah memiliki cabang di negara lain?"/>
    <tableColumn id="9" name="B1"/>
    <tableColumn id="10" name="B2"/>
    <tableColumn id="11" name="B3"/>
    <tableColumn id="12" name="B4"/>
    <tableColumn id="13" name="C1"/>
    <tableColumn id="14" name="C2"/>
    <tableColumn id="15" name="D1"/>
    <tableColumn id="16" name="D2"/>
    <tableColumn id="17" name="E1"/>
    <tableColumn id="18" name="E2"/>
    <tableColumn id="19" name="F1"/>
    <tableColumn id="20" name="F2"/>
    <tableColumn id="21" name="F3"/>
    <tableColumn id="22" name="F4"/>
    <tableColumn id="23" name="G1"/>
    <tableColumn id="24" name="G2"/>
    <tableColumn id="25" name="G3"/>
    <tableColumn id="26" name="H1"/>
    <tableColumn id="27" name="H2"/>
    <tableColumn id="28" name="H3"/>
    <tableColumn id="29" name="H4"/>
    <tableColumn id="30" name="I1.1"/>
    <tableColumn id="31" name="I1.2"/>
    <tableColumn id="32" name="I1.3"/>
    <tableColumn id="33" name="I1.4"/>
    <tableColumn id="34" name="I1.5"/>
    <tableColumn id="35" name="I2.1"/>
    <tableColumn id="36" name="I2.2"/>
    <tableColumn id="37" name="I2.3"/>
    <tableColumn id="38" name="I2.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gus.Hidayat@slackware_id.org" TargetMode="External"/><Relationship Id="rId13" Type="http://schemas.openxmlformats.org/officeDocument/2006/relationships/hyperlink" Target="mailto:bumindosakti@gmail.com" TargetMode="External"/><Relationship Id="rId3" Type="http://schemas.openxmlformats.org/officeDocument/2006/relationships/hyperlink" Target="mailto:Captain.surockboyo@gmail.com" TargetMode="External"/><Relationship Id="rId7" Type="http://schemas.openxmlformats.org/officeDocument/2006/relationships/hyperlink" Target="mailto:Yefta.tsw@gmail.com" TargetMode="External"/><Relationship Id="rId12" Type="http://schemas.openxmlformats.org/officeDocument/2006/relationships/hyperlink" Target="mailto:bumindosakti@gmail.com" TargetMode="External"/><Relationship Id="rId2" Type="http://schemas.openxmlformats.org/officeDocument/2006/relationships/hyperlink" Target="mailto:Agus.Hidayat@slackware_id.org" TargetMode="External"/><Relationship Id="rId1" Type="http://schemas.openxmlformats.org/officeDocument/2006/relationships/hyperlink" Target="mailto:Yefta.tsw@gmail.com" TargetMode="External"/><Relationship Id="rId6" Type="http://schemas.openxmlformats.org/officeDocument/2006/relationships/hyperlink" Target="mailto:bumindosakti@gmail.com" TargetMode="External"/><Relationship Id="rId11" Type="http://schemas.openxmlformats.org/officeDocument/2006/relationships/hyperlink" Target="mailto:partnership@bm.co.id" TargetMode="External"/><Relationship Id="rId5" Type="http://schemas.openxmlformats.org/officeDocument/2006/relationships/hyperlink" Target="mailto:partnership@bm.co.id" TargetMode="External"/><Relationship Id="rId15" Type="http://schemas.openxmlformats.org/officeDocument/2006/relationships/table" Target="../tables/table1.xml"/><Relationship Id="rId10" Type="http://schemas.openxmlformats.org/officeDocument/2006/relationships/hyperlink" Target="mailto:Recruitment@merakjaya.co.id" TargetMode="External"/><Relationship Id="rId4" Type="http://schemas.openxmlformats.org/officeDocument/2006/relationships/hyperlink" Target="mailto:Recruitment@merakjaya.co.id" TargetMode="External"/><Relationship Id="rId9" Type="http://schemas.openxmlformats.org/officeDocument/2006/relationships/hyperlink" Target="mailto:Captain.surockboyo@gmail.com" TargetMode="External"/><Relationship Id="rId1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F90"/>
  <sheetViews>
    <sheetView topLeftCell="A25" zoomScale="85" zoomScaleNormal="85" workbookViewId="0">
      <selection activeCell="K81" sqref="K81"/>
    </sheetView>
  </sheetViews>
  <sheetFormatPr defaultRowHeight="15" x14ac:dyDescent="0.25"/>
  <cols>
    <col min="1" max="1" width="2.5703125" customWidth="1"/>
    <col min="2" max="2" width="24.42578125" customWidth="1"/>
    <col min="3" max="3" width="32.85546875" bestFit="1" customWidth="1"/>
    <col min="4" max="4" width="34.140625" customWidth="1"/>
    <col min="5" max="5" width="24.5703125" customWidth="1"/>
    <col min="6" max="6" width="31.7109375" bestFit="1" customWidth="1"/>
    <col min="7" max="7" width="29" customWidth="1"/>
    <col min="8" max="8" width="8" customWidth="1"/>
    <col min="9" max="9" width="12.5703125" customWidth="1"/>
    <col min="10" max="10" width="10.5703125" customWidth="1"/>
    <col min="11" max="11" width="18.42578125" customWidth="1"/>
    <col min="12" max="12" width="10.7109375" customWidth="1"/>
    <col min="13" max="13" width="18.28515625" customWidth="1"/>
    <col min="14" max="14" width="14" customWidth="1"/>
    <col min="15" max="15" width="6.28515625" customWidth="1"/>
    <col min="16" max="16" width="46.7109375" bestFit="1" customWidth="1"/>
    <col min="17" max="17" width="16.85546875" bestFit="1" customWidth="1"/>
    <col min="18" max="18" width="10.5703125" customWidth="1"/>
    <col min="19" max="19" width="8.7109375" customWidth="1"/>
    <col min="20" max="20" width="11.85546875" customWidth="1"/>
    <col min="21" max="21" width="9.85546875" customWidth="1"/>
    <col min="22" max="22" width="7.85546875" bestFit="1" customWidth="1"/>
    <col min="23" max="23" width="46.7109375" bestFit="1" customWidth="1"/>
    <col min="24" max="24" width="19.7109375" customWidth="1"/>
    <col min="25" max="25" width="10.140625" customWidth="1"/>
    <col min="26" max="26" width="10.28515625" customWidth="1"/>
    <col min="27" max="27" width="10" customWidth="1"/>
    <col min="28" max="28" width="11.7109375" customWidth="1"/>
    <col min="29" max="29" width="7.7109375" bestFit="1" customWidth="1"/>
    <col min="30" max="30" width="21.5703125" customWidth="1"/>
    <col min="31" max="31" width="30.42578125" customWidth="1"/>
    <col min="32" max="32" width="7.85546875" bestFit="1" customWidth="1"/>
    <col min="33" max="33" width="10" customWidth="1"/>
    <col min="34" max="34" width="12.7109375" customWidth="1"/>
    <col min="35" max="35" width="14.5703125" customWidth="1"/>
    <col min="36" max="36" width="9" bestFit="1" customWidth="1"/>
    <col min="37" max="37" width="25" bestFit="1" customWidth="1"/>
    <col min="38" max="38" width="30" bestFit="1" customWidth="1"/>
    <col min="39" max="40" width="9" bestFit="1" customWidth="1"/>
    <col min="44" max="44" width="16.140625" customWidth="1"/>
    <col min="45" max="45" width="29.28515625" bestFit="1" customWidth="1"/>
    <col min="46" max="46" width="24.28515625" customWidth="1"/>
    <col min="47" max="47" width="7.5703125" bestFit="1" customWidth="1"/>
    <col min="48" max="48" width="30.7109375" customWidth="1"/>
    <col min="49" max="49" width="30" customWidth="1"/>
    <col min="50" max="50" width="7.85546875" bestFit="1" customWidth="1"/>
    <col min="51" max="51" width="17" customWidth="1"/>
    <col min="52" max="52" width="19.5703125" customWidth="1"/>
    <col min="53" max="53" width="7.85546875" bestFit="1" customWidth="1"/>
    <col min="54" max="54" width="39.28515625" customWidth="1"/>
    <col min="55" max="55" width="10.42578125" bestFit="1" customWidth="1"/>
    <col min="56" max="56" width="73.7109375" customWidth="1"/>
    <col min="57" max="57" width="65.7109375" customWidth="1"/>
    <col min="58" max="58" width="19.7109375" customWidth="1"/>
    <col min="59" max="59" width="16.7109375" bestFit="1" customWidth="1"/>
    <col min="60" max="60" width="10.28515625" bestFit="1" customWidth="1"/>
    <col min="61" max="62" width="8.85546875" bestFit="1" customWidth="1"/>
  </cols>
  <sheetData>
    <row r="1" spans="2:58" ht="16.5" x14ac:dyDescent="0.25">
      <c r="B1" s="26"/>
      <c r="C1" s="26"/>
      <c r="D1" s="26"/>
      <c r="E1" s="26"/>
      <c r="F1" s="26"/>
      <c r="G1" s="134" t="s">
        <v>0</v>
      </c>
      <c r="H1" s="134"/>
      <c r="I1" s="134"/>
      <c r="J1" s="134"/>
      <c r="K1" s="134"/>
      <c r="L1" s="134"/>
      <c r="M1" s="134"/>
      <c r="N1" s="134"/>
      <c r="O1" s="134"/>
      <c r="P1" s="135" t="s">
        <v>1</v>
      </c>
      <c r="Q1" s="135"/>
      <c r="R1" s="135"/>
      <c r="S1" s="135"/>
      <c r="T1" s="135"/>
      <c r="U1" s="136" t="s">
        <v>2</v>
      </c>
      <c r="V1" s="136"/>
      <c r="W1" s="137" t="s">
        <v>3</v>
      </c>
      <c r="X1" s="137"/>
      <c r="Y1" s="138" t="s">
        <v>4</v>
      </c>
      <c r="Z1" s="138"/>
      <c r="AA1" s="139" t="s">
        <v>5</v>
      </c>
      <c r="AB1" s="139"/>
      <c r="AC1" s="139"/>
      <c r="AD1" s="128" t="s">
        <v>6</v>
      </c>
      <c r="AE1" s="128"/>
      <c r="AF1" s="129" t="s">
        <v>7</v>
      </c>
      <c r="AG1" s="129"/>
      <c r="AH1" s="129"/>
      <c r="AI1" s="129"/>
      <c r="AJ1" s="130" t="s">
        <v>8</v>
      </c>
      <c r="AK1" s="130"/>
      <c r="AL1" s="130"/>
      <c r="AM1" s="130"/>
      <c r="AN1" s="130"/>
      <c r="AO1" s="131" t="s">
        <v>9</v>
      </c>
      <c r="AP1" s="131"/>
      <c r="AQ1" s="131"/>
      <c r="AR1" s="131"/>
      <c r="AS1" s="132" t="s">
        <v>10</v>
      </c>
      <c r="AT1" s="132"/>
      <c r="AU1" s="132"/>
      <c r="AV1" s="132"/>
      <c r="AW1" s="133" t="s">
        <v>11</v>
      </c>
      <c r="AX1" s="133"/>
      <c r="AY1" s="133"/>
      <c r="AZ1" s="133"/>
      <c r="BA1" s="133"/>
      <c r="BB1" s="133"/>
      <c r="BC1" s="125" t="s">
        <v>12</v>
      </c>
      <c r="BD1" s="125"/>
      <c r="BE1" s="125"/>
    </row>
    <row r="2" spans="2:58" ht="33" x14ac:dyDescent="0.25">
      <c r="B2" s="1" t="s">
        <v>13</v>
      </c>
      <c r="C2" s="1" t="s">
        <v>66</v>
      </c>
      <c r="D2" s="1" t="s">
        <v>14</v>
      </c>
      <c r="E2" s="1" t="s">
        <v>15</v>
      </c>
      <c r="F2" s="1" t="s">
        <v>16</v>
      </c>
      <c r="G2" s="27" t="s">
        <v>17</v>
      </c>
      <c r="H2" s="27" t="s">
        <v>18</v>
      </c>
      <c r="I2" s="27" t="s">
        <v>19</v>
      </c>
      <c r="J2" s="27" t="s">
        <v>20</v>
      </c>
      <c r="K2" s="27" t="s">
        <v>21</v>
      </c>
      <c r="L2" s="27" t="s">
        <v>22</v>
      </c>
      <c r="M2" s="27" t="s">
        <v>23</v>
      </c>
      <c r="N2" s="27" t="s">
        <v>24</v>
      </c>
      <c r="O2" s="27" t="s">
        <v>25</v>
      </c>
      <c r="P2" s="28" t="s">
        <v>26</v>
      </c>
      <c r="Q2" s="28" t="s">
        <v>27</v>
      </c>
      <c r="R2" s="28" t="s">
        <v>28</v>
      </c>
      <c r="S2" s="28" t="s">
        <v>29</v>
      </c>
      <c r="T2" s="28" t="s">
        <v>30</v>
      </c>
      <c r="U2" s="29" t="s">
        <v>31</v>
      </c>
      <c r="V2" s="29" t="s">
        <v>32</v>
      </c>
      <c r="W2" s="30" t="s">
        <v>33</v>
      </c>
      <c r="X2" s="30" t="s">
        <v>34</v>
      </c>
      <c r="Y2" s="31" t="s">
        <v>35</v>
      </c>
      <c r="Z2" s="31" t="s">
        <v>36</v>
      </c>
      <c r="AA2" s="32" t="s">
        <v>37</v>
      </c>
      <c r="AB2" s="32" t="s">
        <v>38</v>
      </c>
      <c r="AC2" s="32" t="s">
        <v>39</v>
      </c>
      <c r="AD2" s="33" t="s">
        <v>40</v>
      </c>
      <c r="AE2" s="33" t="s">
        <v>41</v>
      </c>
      <c r="AF2" s="34" t="s">
        <v>42</v>
      </c>
      <c r="AG2" s="34" t="s">
        <v>43</v>
      </c>
      <c r="AH2" s="34" t="s">
        <v>44</v>
      </c>
      <c r="AI2" s="34" t="s">
        <v>45</v>
      </c>
      <c r="AJ2" s="35" t="s">
        <v>46</v>
      </c>
      <c r="AK2" s="35" t="s">
        <v>47</v>
      </c>
      <c r="AL2" s="35" t="s">
        <v>48</v>
      </c>
      <c r="AM2" s="35" t="s">
        <v>49</v>
      </c>
      <c r="AN2" s="35" t="s">
        <v>50</v>
      </c>
      <c r="AO2" s="36" t="s">
        <v>51</v>
      </c>
      <c r="AP2" s="36" t="s">
        <v>52</v>
      </c>
      <c r="AQ2" s="36" t="s">
        <v>53</v>
      </c>
      <c r="AR2" s="36" t="s">
        <v>54</v>
      </c>
      <c r="AS2" s="37" t="s">
        <v>55</v>
      </c>
      <c r="AT2" s="37" t="s">
        <v>56</v>
      </c>
      <c r="AU2" s="37" t="s">
        <v>57</v>
      </c>
      <c r="AV2" s="37" t="s">
        <v>58</v>
      </c>
      <c r="AW2" s="38" t="s">
        <v>11</v>
      </c>
      <c r="AX2" s="38" t="s">
        <v>59</v>
      </c>
      <c r="AY2" s="38" t="s">
        <v>60</v>
      </c>
      <c r="AZ2" s="38" t="s">
        <v>61</v>
      </c>
      <c r="BA2" s="38" t="s">
        <v>62</v>
      </c>
      <c r="BB2" s="38" t="s">
        <v>63</v>
      </c>
      <c r="BC2" s="39" t="s">
        <v>12</v>
      </c>
      <c r="BD2" s="39" t="s">
        <v>64</v>
      </c>
      <c r="BE2" s="40" t="s">
        <v>65</v>
      </c>
      <c r="BF2" s="77" t="s">
        <v>190</v>
      </c>
    </row>
    <row r="3" spans="2:58" ht="82.5" hidden="1" x14ac:dyDescent="0.25">
      <c r="B3" s="1">
        <v>2019</v>
      </c>
      <c r="C3" s="1" t="s">
        <v>73</v>
      </c>
      <c r="D3" s="1" t="s">
        <v>78</v>
      </c>
      <c r="E3" s="95">
        <v>16390100001</v>
      </c>
      <c r="F3" s="95" t="s">
        <v>262</v>
      </c>
      <c r="G3" s="96" t="s">
        <v>253</v>
      </c>
      <c r="H3" s="97" t="s">
        <v>68</v>
      </c>
      <c r="I3" s="98" t="s">
        <v>68</v>
      </c>
      <c r="J3" s="96" t="s">
        <v>265</v>
      </c>
      <c r="K3" s="97" t="s">
        <v>268</v>
      </c>
      <c r="L3" s="97" t="s">
        <v>68</v>
      </c>
      <c r="M3" s="97" t="s">
        <v>271</v>
      </c>
      <c r="N3" s="97">
        <v>1</v>
      </c>
      <c r="O3" s="97">
        <v>3</v>
      </c>
      <c r="P3" s="7" t="s">
        <v>1</v>
      </c>
      <c r="Q3" s="7" t="s">
        <v>1</v>
      </c>
      <c r="R3" s="7" t="s">
        <v>1</v>
      </c>
      <c r="S3" s="7" t="s">
        <v>1</v>
      </c>
      <c r="T3" s="7" t="s">
        <v>69</v>
      </c>
      <c r="U3" s="8" t="s">
        <v>1</v>
      </c>
      <c r="V3" s="8" t="s">
        <v>1</v>
      </c>
      <c r="W3" s="9" t="s">
        <v>75</v>
      </c>
      <c r="X3" s="9" t="s">
        <v>75</v>
      </c>
      <c r="Y3" s="10" t="s">
        <v>1</v>
      </c>
      <c r="Z3" s="10" t="s">
        <v>1</v>
      </c>
      <c r="AA3" s="11" t="s">
        <v>1</v>
      </c>
      <c r="AB3" s="11" t="s">
        <v>1</v>
      </c>
      <c r="AC3" s="11" t="s">
        <v>1</v>
      </c>
      <c r="AD3" s="12" t="s">
        <v>1</v>
      </c>
      <c r="AE3" s="12" t="s">
        <v>1</v>
      </c>
      <c r="AF3" s="13" t="s">
        <v>1</v>
      </c>
      <c r="AG3" s="13" t="s">
        <v>1</v>
      </c>
      <c r="AH3" s="13" t="s">
        <v>1</v>
      </c>
      <c r="AI3" s="13" t="s">
        <v>1</v>
      </c>
      <c r="AJ3" s="14" t="s">
        <v>1</v>
      </c>
      <c r="AK3" s="14" t="s">
        <v>1</v>
      </c>
      <c r="AL3" s="14" t="s">
        <v>1</v>
      </c>
      <c r="AM3" s="14" t="s">
        <v>1</v>
      </c>
      <c r="AN3" s="14" t="s">
        <v>1</v>
      </c>
      <c r="AO3" s="15" t="s">
        <v>1</v>
      </c>
      <c r="AP3" s="15" t="s">
        <v>1</v>
      </c>
      <c r="AQ3" s="15" t="s">
        <v>1</v>
      </c>
      <c r="AR3" s="15" t="s">
        <v>1</v>
      </c>
      <c r="AS3" s="16" t="s">
        <v>70</v>
      </c>
      <c r="AT3" s="16" t="s">
        <v>90</v>
      </c>
      <c r="AU3" s="16" t="s">
        <v>71</v>
      </c>
      <c r="AV3" s="16" t="s">
        <v>91</v>
      </c>
      <c r="AW3" s="17" t="s">
        <v>72</v>
      </c>
      <c r="AX3" s="17" t="s">
        <v>72</v>
      </c>
      <c r="AY3" s="17" t="s">
        <v>71</v>
      </c>
      <c r="AZ3" s="17" t="s">
        <v>72</v>
      </c>
      <c r="BA3" s="17" t="s">
        <v>72</v>
      </c>
      <c r="BB3" s="17"/>
      <c r="BC3" s="18" t="s">
        <v>1</v>
      </c>
      <c r="BD3" s="19" t="s">
        <v>92</v>
      </c>
      <c r="BE3" s="20" t="s">
        <v>93</v>
      </c>
      <c r="BF3" s="74"/>
    </row>
    <row r="4" spans="2:58" ht="66" hidden="1" x14ac:dyDescent="0.25">
      <c r="B4" s="1">
        <v>2019</v>
      </c>
      <c r="C4" s="1" t="s">
        <v>73</v>
      </c>
      <c r="D4" s="1" t="s">
        <v>78</v>
      </c>
      <c r="E4" s="95">
        <v>16390100005</v>
      </c>
      <c r="F4" s="95" t="s">
        <v>263</v>
      </c>
      <c r="G4" s="96" t="s">
        <v>253</v>
      </c>
      <c r="H4" s="97" t="s">
        <v>68</v>
      </c>
      <c r="I4" s="98" t="s">
        <v>68</v>
      </c>
      <c r="J4" s="96" t="s">
        <v>266</v>
      </c>
      <c r="K4" s="97" t="s">
        <v>269</v>
      </c>
      <c r="L4" s="97" t="s">
        <v>68</v>
      </c>
      <c r="M4" s="97" t="s">
        <v>270</v>
      </c>
      <c r="N4" s="97">
        <v>1</v>
      </c>
      <c r="O4" s="97">
        <v>3</v>
      </c>
      <c r="P4" s="7" t="s">
        <v>1</v>
      </c>
      <c r="Q4" s="7" t="s">
        <v>1</v>
      </c>
      <c r="R4" s="7" t="s">
        <v>1</v>
      </c>
      <c r="S4" s="7" t="s">
        <v>1</v>
      </c>
      <c r="T4" s="7" t="s">
        <v>69</v>
      </c>
      <c r="U4" s="8" t="s">
        <v>1</v>
      </c>
      <c r="V4" s="8" t="s">
        <v>1</v>
      </c>
      <c r="W4" s="9" t="s">
        <v>75</v>
      </c>
      <c r="X4" s="9" t="s">
        <v>75</v>
      </c>
      <c r="Y4" s="10" t="s">
        <v>69</v>
      </c>
      <c r="Z4" s="10" t="s">
        <v>69</v>
      </c>
      <c r="AA4" s="11" t="s">
        <v>69</v>
      </c>
      <c r="AB4" s="11" t="s">
        <v>69</v>
      </c>
      <c r="AC4" s="11" t="s">
        <v>69</v>
      </c>
      <c r="AD4" s="12" t="s">
        <v>69</v>
      </c>
      <c r="AE4" s="12" t="s">
        <v>69</v>
      </c>
      <c r="AF4" s="13" t="s">
        <v>1</v>
      </c>
      <c r="AG4" s="13" t="s">
        <v>1</v>
      </c>
      <c r="AH4" s="13" t="s">
        <v>1</v>
      </c>
      <c r="AI4" s="13" t="s">
        <v>1</v>
      </c>
      <c r="AJ4" s="14" t="s">
        <v>1</v>
      </c>
      <c r="AK4" s="14" t="s">
        <v>1</v>
      </c>
      <c r="AL4" s="14" t="s">
        <v>1</v>
      </c>
      <c r="AM4" s="14" t="s">
        <v>1</v>
      </c>
      <c r="AN4" s="14" t="s">
        <v>1</v>
      </c>
      <c r="AO4" s="15" t="s">
        <v>69</v>
      </c>
      <c r="AP4" s="15" t="s">
        <v>69</v>
      </c>
      <c r="AQ4" s="15" t="s">
        <v>69</v>
      </c>
      <c r="AR4" s="15" t="s">
        <v>69</v>
      </c>
      <c r="AS4" s="16" t="s">
        <v>70</v>
      </c>
      <c r="AT4" s="16" t="s">
        <v>68</v>
      </c>
      <c r="AU4" s="16" t="s">
        <v>71</v>
      </c>
      <c r="AV4" s="16" t="s">
        <v>68</v>
      </c>
      <c r="AW4" s="17" t="s">
        <v>72</v>
      </c>
      <c r="AX4" s="17" t="s">
        <v>72</v>
      </c>
      <c r="AY4" s="17" t="s">
        <v>72</v>
      </c>
      <c r="AZ4" s="17" t="s">
        <v>72</v>
      </c>
      <c r="BA4" s="17" t="s">
        <v>72</v>
      </c>
      <c r="BB4" s="17" t="s">
        <v>68</v>
      </c>
      <c r="BC4" s="18" t="s">
        <v>1</v>
      </c>
      <c r="BD4" s="19" t="s">
        <v>68</v>
      </c>
      <c r="BE4" s="20" t="s">
        <v>68</v>
      </c>
      <c r="BF4" s="74"/>
    </row>
    <row r="5" spans="2:58" ht="49.5" hidden="1" x14ac:dyDescent="0.25">
      <c r="B5" s="1">
        <v>2016</v>
      </c>
      <c r="C5" s="1" t="s">
        <v>73</v>
      </c>
      <c r="D5" s="1" t="s">
        <v>78</v>
      </c>
      <c r="E5" s="2">
        <v>13390100013</v>
      </c>
      <c r="F5" s="2" t="s">
        <v>98</v>
      </c>
      <c r="G5" s="3" t="s">
        <v>99</v>
      </c>
      <c r="H5" s="6"/>
      <c r="I5" s="5" t="s">
        <v>100</v>
      </c>
      <c r="J5" s="6" t="s">
        <v>101</v>
      </c>
      <c r="K5" s="6" t="s">
        <v>102</v>
      </c>
      <c r="L5" s="6">
        <v>2981040</v>
      </c>
      <c r="M5" s="6" t="s">
        <v>74</v>
      </c>
      <c r="N5" s="6">
        <v>4</v>
      </c>
      <c r="O5" s="6">
        <v>60</v>
      </c>
      <c r="P5" s="7" t="s">
        <v>69</v>
      </c>
      <c r="Q5" s="7" t="s">
        <v>69</v>
      </c>
      <c r="R5" s="7" t="s">
        <v>1</v>
      </c>
      <c r="S5" s="7" t="s">
        <v>1</v>
      </c>
      <c r="T5" s="7" t="s">
        <v>1</v>
      </c>
      <c r="U5" s="8" t="s">
        <v>69</v>
      </c>
      <c r="V5" s="8" t="s">
        <v>69</v>
      </c>
      <c r="W5" s="9" t="s">
        <v>1</v>
      </c>
      <c r="X5" s="9" t="s">
        <v>1</v>
      </c>
      <c r="Y5" s="10" t="s">
        <v>69</v>
      </c>
      <c r="Z5" s="10" t="s">
        <v>69</v>
      </c>
      <c r="AA5" s="11" t="s">
        <v>69</v>
      </c>
      <c r="AB5" s="11" t="s">
        <v>69</v>
      </c>
      <c r="AC5" s="11" t="s">
        <v>69</v>
      </c>
      <c r="AD5" s="12" t="s">
        <v>69</v>
      </c>
      <c r="AE5" s="12" t="s">
        <v>69</v>
      </c>
      <c r="AF5" s="13" t="s">
        <v>69</v>
      </c>
      <c r="AG5" s="13" t="s">
        <v>69</v>
      </c>
      <c r="AH5" s="13" t="s">
        <v>69</v>
      </c>
      <c r="AI5" s="13" t="s">
        <v>69</v>
      </c>
      <c r="AJ5" s="14" t="s">
        <v>69</v>
      </c>
      <c r="AK5" s="14" t="s">
        <v>69</v>
      </c>
      <c r="AL5" s="14" t="s">
        <v>69</v>
      </c>
      <c r="AM5" s="14" t="s">
        <v>69</v>
      </c>
      <c r="AN5" s="14" t="s">
        <v>69</v>
      </c>
      <c r="AO5" s="15" t="s">
        <v>69</v>
      </c>
      <c r="AP5" s="15" t="s">
        <v>69</v>
      </c>
      <c r="AQ5" s="15" t="s">
        <v>69</v>
      </c>
      <c r="AR5" s="15" t="s">
        <v>69</v>
      </c>
      <c r="AS5" s="16" t="s">
        <v>70</v>
      </c>
      <c r="AT5" s="16" t="s">
        <v>103</v>
      </c>
      <c r="AU5" s="16" t="s">
        <v>71</v>
      </c>
      <c r="AV5" s="16" t="s">
        <v>104</v>
      </c>
      <c r="AW5" s="17" t="s">
        <v>71</v>
      </c>
      <c r="AX5" s="17" t="s">
        <v>72</v>
      </c>
      <c r="AY5" s="17" t="s">
        <v>71</v>
      </c>
      <c r="AZ5" s="17" t="s">
        <v>72</v>
      </c>
      <c r="BA5" s="17" t="s">
        <v>72</v>
      </c>
      <c r="BB5" s="17" t="s">
        <v>105</v>
      </c>
      <c r="BC5" s="18" t="s">
        <v>1</v>
      </c>
      <c r="BD5" s="19" t="s">
        <v>106</v>
      </c>
      <c r="BE5" s="20" t="s">
        <v>107</v>
      </c>
      <c r="BF5" s="74"/>
    </row>
    <row r="6" spans="2:58" ht="49.5" hidden="1" x14ac:dyDescent="0.25">
      <c r="B6" s="78">
        <v>2017</v>
      </c>
      <c r="C6" s="78" t="s">
        <v>73</v>
      </c>
      <c r="D6" s="78" t="s">
        <v>78</v>
      </c>
      <c r="E6" s="79">
        <v>14390100023</v>
      </c>
      <c r="F6" s="79" t="s">
        <v>151</v>
      </c>
      <c r="G6" s="3" t="s">
        <v>152</v>
      </c>
      <c r="H6" s="4" t="s">
        <v>153</v>
      </c>
      <c r="I6" s="72" t="s">
        <v>154</v>
      </c>
      <c r="J6" s="6" t="s">
        <v>155</v>
      </c>
      <c r="K6" s="4" t="s">
        <v>156</v>
      </c>
      <c r="L6" s="4" t="s">
        <v>157</v>
      </c>
      <c r="M6" s="4" t="s">
        <v>158</v>
      </c>
      <c r="N6" s="6">
        <v>1</v>
      </c>
      <c r="O6" s="6">
        <v>12</v>
      </c>
      <c r="P6" s="7" t="s">
        <v>1</v>
      </c>
      <c r="Q6" s="7" t="s">
        <v>69</v>
      </c>
      <c r="R6" s="7" t="s">
        <v>1</v>
      </c>
      <c r="S6" s="7" t="s">
        <v>1</v>
      </c>
      <c r="T6" s="7" t="s">
        <v>69</v>
      </c>
      <c r="U6" s="8" t="s">
        <v>1</v>
      </c>
      <c r="V6" s="8" t="s">
        <v>69</v>
      </c>
      <c r="W6" s="9" t="s">
        <v>1</v>
      </c>
      <c r="X6" s="9" t="s">
        <v>1</v>
      </c>
      <c r="Y6" s="10" t="s">
        <v>69</v>
      </c>
      <c r="Z6" s="10" t="s">
        <v>1</v>
      </c>
      <c r="AA6" s="11" t="s">
        <v>1</v>
      </c>
      <c r="AB6" s="11" t="s">
        <v>1</v>
      </c>
      <c r="AC6" s="11" t="s">
        <v>1</v>
      </c>
      <c r="AD6" s="12" t="s">
        <v>69</v>
      </c>
      <c r="AE6" s="12" t="s">
        <v>1</v>
      </c>
      <c r="AF6" s="13" t="s">
        <v>1</v>
      </c>
      <c r="AG6" s="13" t="s">
        <v>1</v>
      </c>
      <c r="AH6" s="13" t="s">
        <v>1</v>
      </c>
      <c r="AI6" s="13" t="s">
        <v>1</v>
      </c>
      <c r="AJ6" s="14" t="s">
        <v>1</v>
      </c>
      <c r="AK6" s="14" t="s">
        <v>1</v>
      </c>
      <c r="AL6" s="14" t="s">
        <v>69</v>
      </c>
      <c r="AM6" s="14" t="s">
        <v>1</v>
      </c>
      <c r="AN6" s="14" t="s">
        <v>1</v>
      </c>
      <c r="AO6" s="15" t="s">
        <v>1</v>
      </c>
      <c r="AP6" s="15" t="s">
        <v>1</v>
      </c>
      <c r="AQ6" s="15" t="s">
        <v>1</v>
      </c>
      <c r="AR6" s="15" t="s">
        <v>1</v>
      </c>
      <c r="AS6" s="16" t="s">
        <v>70</v>
      </c>
      <c r="AT6" s="16" t="s">
        <v>159</v>
      </c>
      <c r="AU6" s="16" t="s">
        <v>71</v>
      </c>
      <c r="AV6" s="16" t="s">
        <v>160</v>
      </c>
      <c r="AW6" s="17" t="s">
        <v>71</v>
      </c>
      <c r="AX6" s="17" t="s">
        <v>71</v>
      </c>
      <c r="AY6" s="17" t="s">
        <v>71</v>
      </c>
      <c r="AZ6" s="17" t="s">
        <v>71</v>
      </c>
      <c r="BA6" s="17" t="s">
        <v>72</v>
      </c>
      <c r="BB6" s="17" t="s">
        <v>68</v>
      </c>
      <c r="BC6" s="18" t="s">
        <v>69</v>
      </c>
      <c r="BD6" s="19" t="s">
        <v>79</v>
      </c>
      <c r="BE6" s="76" t="s">
        <v>68</v>
      </c>
      <c r="BF6" s="74"/>
    </row>
    <row r="7" spans="2:58" ht="49.5" hidden="1" x14ac:dyDescent="0.25">
      <c r="B7" s="1">
        <v>2017</v>
      </c>
      <c r="C7" s="1" t="s">
        <v>73</v>
      </c>
      <c r="D7" s="1" t="s">
        <v>78</v>
      </c>
      <c r="E7" s="2">
        <v>12390100019</v>
      </c>
      <c r="F7" s="2" t="s">
        <v>161</v>
      </c>
      <c r="G7" s="3" t="s">
        <v>162</v>
      </c>
      <c r="H7" s="6">
        <v>81574266656</v>
      </c>
      <c r="I7" s="72" t="s">
        <v>163</v>
      </c>
      <c r="J7" s="6" t="s">
        <v>164</v>
      </c>
      <c r="K7" s="6" t="s">
        <v>165</v>
      </c>
      <c r="L7" s="6" t="s">
        <v>166</v>
      </c>
      <c r="M7" s="6" t="s">
        <v>74</v>
      </c>
      <c r="N7" s="6">
        <v>1</v>
      </c>
      <c r="O7" s="6">
        <v>6</v>
      </c>
      <c r="P7" s="7" t="s">
        <v>69</v>
      </c>
      <c r="Q7" s="7" t="s">
        <v>1</v>
      </c>
      <c r="R7" s="7" t="s">
        <v>69</v>
      </c>
      <c r="S7" s="7" t="s">
        <v>1</v>
      </c>
      <c r="T7" s="7" t="s">
        <v>1</v>
      </c>
      <c r="U7" s="8" t="s">
        <v>1</v>
      </c>
      <c r="V7" s="8" t="s">
        <v>69</v>
      </c>
      <c r="W7" s="9" t="s">
        <v>1</v>
      </c>
      <c r="X7" s="9" t="s">
        <v>1</v>
      </c>
      <c r="Y7" s="10" t="s">
        <v>69</v>
      </c>
      <c r="Z7" s="10" t="s">
        <v>69</v>
      </c>
      <c r="AA7" s="11" t="s">
        <v>1</v>
      </c>
      <c r="AB7" s="11" t="s">
        <v>1</v>
      </c>
      <c r="AC7" s="11" t="s">
        <v>1</v>
      </c>
      <c r="AD7" s="12" t="s">
        <v>69</v>
      </c>
      <c r="AE7" s="12" t="s">
        <v>69</v>
      </c>
      <c r="AF7" s="13" t="s">
        <v>1</v>
      </c>
      <c r="AG7" s="13" t="s">
        <v>69</v>
      </c>
      <c r="AH7" s="13" t="s">
        <v>1</v>
      </c>
      <c r="AI7" s="13" t="s">
        <v>69</v>
      </c>
      <c r="AJ7" s="14" t="s">
        <v>1</v>
      </c>
      <c r="AK7" s="14" t="s">
        <v>1</v>
      </c>
      <c r="AL7" s="14" t="s">
        <v>69</v>
      </c>
      <c r="AM7" s="14" t="s">
        <v>1</v>
      </c>
      <c r="AN7" s="14" t="s">
        <v>1</v>
      </c>
      <c r="AO7" s="15" t="s">
        <v>69</v>
      </c>
      <c r="AP7" s="15" t="s">
        <v>69</v>
      </c>
      <c r="AQ7" s="15" t="s">
        <v>69</v>
      </c>
      <c r="AR7" s="15" t="s">
        <v>69</v>
      </c>
      <c r="AS7" s="16" t="s">
        <v>70</v>
      </c>
      <c r="AT7" s="16"/>
      <c r="AU7" s="16" t="s">
        <v>71</v>
      </c>
      <c r="AV7" s="16"/>
      <c r="AW7" s="17" t="s">
        <v>72</v>
      </c>
      <c r="AX7" s="17" t="s">
        <v>71</v>
      </c>
      <c r="AY7" s="17" t="s">
        <v>71</v>
      </c>
      <c r="AZ7" s="17" t="s">
        <v>71</v>
      </c>
      <c r="BA7" s="17" t="s">
        <v>72</v>
      </c>
      <c r="BB7" s="17" t="s">
        <v>167</v>
      </c>
      <c r="BC7" s="18" t="s">
        <v>1</v>
      </c>
      <c r="BD7" s="19" t="s">
        <v>79</v>
      </c>
      <c r="BE7" s="76" t="s">
        <v>168</v>
      </c>
      <c r="BF7" s="74"/>
    </row>
    <row r="8" spans="2:58" ht="49.5" hidden="1" x14ac:dyDescent="0.25">
      <c r="B8" s="78">
        <v>2017</v>
      </c>
      <c r="C8" s="78" t="s">
        <v>73</v>
      </c>
      <c r="D8" s="78" t="s">
        <v>78</v>
      </c>
      <c r="E8" s="79">
        <v>14390100021</v>
      </c>
      <c r="F8" s="79" t="s">
        <v>169</v>
      </c>
      <c r="G8" s="3" t="s">
        <v>170</v>
      </c>
      <c r="H8" s="4" t="s">
        <v>171</v>
      </c>
      <c r="I8" s="72" t="s">
        <v>172</v>
      </c>
      <c r="J8" s="6" t="s">
        <v>80</v>
      </c>
      <c r="K8" s="6" t="s">
        <v>173</v>
      </c>
      <c r="L8" s="4" t="s">
        <v>174</v>
      </c>
      <c r="M8" s="6" t="s">
        <v>175</v>
      </c>
      <c r="N8" s="6">
        <v>5</v>
      </c>
      <c r="O8" s="6">
        <v>24</v>
      </c>
      <c r="P8" s="7" t="s">
        <v>1</v>
      </c>
      <c r="Q8" s="7" t="s">
        <v>69</v>
      </c>
      <c r="R8" s="7" t="s">
        <v>1</v>
      </c>
      <c r="S8" s="7" t="s">
        <v>1</v>
      </c>
      <c r="T8" s="7" t="s">
        <v>69</v>
      </c>
      <c r="U8" s="8" t="s">
        <v>1</v>
      </c>
      <c r="V8" s="8" t="s">
        <v>69</v>
      </c>
      <c r="W8" s="9" t="s">
        <v>1</v>
      </c>
      <c r="X8" s="9" t="s">
        <v>1</v>
      </c>
      <c r="Y8" s="10" t="s">
        <v>69</v>
      </c>
      <c r="Z8" s="10" t="s">
        <v>1</v>
      </c>
      <c r="AA8" s="11" t="s">
        <v>1</v>
      </c>
      <c r="AB8" s="11" t="s">
        <v>1</v>
      </c>
      <c r="AC8" s="11" t="s">
        <v>1</v>
      </c>
      <c r="AD8" s="12" t="s">
        <v>69</v>
      </c>
      <c r="AE8" s="12" t="s">
        <v>1</v>
      </c>
      <c r="AF8" s="13" t="s">
        <v>1</v>
      </c>
      <c r="AG8" s="13" t="s">
        <v>1</v>
      </c>
      <c r="AH8" s="13" t="s">
        <v>1</v>
      </c>
      <c r="AI8" s="13" t="s">
        <v>1</v>
      </c>
      <c r="AJ8" s="14" t="s">
        <v>1</v>
      </c>
      <c r="AK8" s="14" t="s">
        <v>1</v>
      </c>
      <c r="AL8" s="14" t="s">
        <v>69</v>
      </c>
      <c r="AM8" s="14" t="s">
        <v>1</v>
      </c>
      <c r="AN8" s="14" t="s">
        <v>1</v>
      </c>
      <c r="AO8" s="15" t="s">
        <v>1</v>
      </c>
      <c r="AP8" s="15" t="s">
        <v>1</v>
      </c>
      <c r="AQ8" s="15" t="s">
        <v>1</v>
      </c>
      <c r="AR8" s="15" t="s">
        <v>1</v>
      </c>
      <c r="AS8" s="16" t="s">
        <v>70</v>
      </c>
      <c r="AT8" s="16" t="s">
        <v>159</v>
      </c>
      <c r="AU8" s="16" t="s">
        <v>71</v>
      </c>
      <c r="AV8" s="16" t="s">
        <v>160</v>
      </c>
      <c r="AW8" s="17" t="s">
        <v>71</v>
      </c>
      <c r="AX8" s="17" t="s">
        <v>71</v>
      </c>
      <c r="AY8" s="17" t="s">
        <v>71</v>
      </c>
      <c r="AZ8" s="17" t="s">
        <v>71</v>
      </c>
      <c r="BA8" s="17" t="s">
        <v>72</v>
      </c>
      <c r="BB8" s="17" t="s">
        <v>68</v>
      </c>
      <c r="BC8" s="18" t="s">
        <v>1</v>
      </c>
      <c r="BD8" s="19" t="s">
        <v>176</v>
      </c>
      <c r="BE8" s="76" t="s">
        <v>177</v>
      </c>
      <c r="BF8" s="74"/>
    </row>
    <row r="9" spans="2:58" ht="49.5" hidden="1" x14ac:dyDescent="0.25">
      <c r="B9" s="1">
        <v>2017</v>
      </c>
      <c r="C9" s="1" t="s">
        <v>73</v>
      </c>
      <c r="D9" s="1" t="s">
        <v>78</v>
      </c>
      <c r="E9" s="2">
        <v>14390100025</v>
      </c>
      <c r="F9" s="2" t="s">
        <v>178</v>
      </c>
      <c r="G9" s="3" t="s">
        <v>179</v>
      </c>
      <c r="H9" s="4" t="s">
        <v>180</v>
      </c>
      <c r="I9" s="72" t="s">
        <v>181</v>
      </c>
      <c r="J9" s="6" t="s">
        <v>182</v>
      </c>
      <c r="K9" s="6" t="s">
        <v>183</v>
      </c>
      <c r="L9" s="4" t="s">
        <v>184</v>
      </c>
      <c r="M9" s="6" t="s">
        <v>81</v>
      </c>
      <c r="N9" s="6">
        <v>1</v>
      </c>
      <c r="O9" s="6">
        <v>6</v>
      </c>
      <c r="P9" s="7" t="s">
        <v>1</v>
      </c>
      <c r="Q9" s="7" t="s">
        <v>1</v>
      </c>
      <c r="R9" s="7" t="s">
        <v>1</v>
      </c>
      <c r="S9" s="7" t="s">
        <v>1</v>
      </c>
      <c r="T9" s="7" t="s">
        <v>1</v>
      </c>
      <c r="U9" s="8" t="s">
        <v>1</v>
      </c>
      <c r="V9" s="8" t="s">
        <v>1</v>
      </c>
      <c r="W9" s="9" t="s">
        <v>1</v>
      </c>
      <c r="X9" s="9" t="s">
        <v>1</v>
      </c>
      <c r="Y9" s="10" t="s">
        <v>1</v>
      </c>
      <c r="Z9" s="10" t="s">
        <v>1</v>
      </c>
      <c r="AA9" s="11" t="s">
        <v>1</v>
      </c>
      <c r="AB9" s="11" t="s">
        <v>1</v>
      </c>
      <c r="AC9" s="11" t="s">
        <v>1</v>
      </c>
      <c r="AD9" s="12" t="s">
        <v>1</v>
      </c>
      <c r="AE9" s="12" t="s">
        <v>1</v>
      </c>
      <c r="AF9" s="13" t="s">
        <v>1</v>
      </c>
      <c r="AG9" s="13" t="s">
        <v>1</v>
      </c>
      <c r="AH9" s="13" t="s">
        <v>1</v>
      </c>
      <c r="AI9" s="13" t="s">
        <v>1</v>
      </c>
      <c r="AJ9" s="14" t="s">
        <v>1</v>
      </c>
      <c r="AK9" s="14" t="s">
        <v>1</v>
      </c>
      <c r="AL9" s="14" t="s">
        <v>1</v>
      </c>
      <c r="AM9" s="14" t="s">
        <v>1</v>
      </c>
      <c r="AN9" s="14" t="s">
        <v>1</v>
      </c>
      <c r="AO9" s="15" t="s">
        <v>1</v>
      </c>
      <c r="AP9" s="15" t="s">
        <v>1</v>
      </c>
      <c r="AQ9" s="15" t="s">
        <v>1</v>
      </c>
      <c r="AR9" s="15" t="s">
        <v>1</v>
      </c>
      <c r="AS9" s="16" t="s">
        <v>70</v>
      </c>
      <c r="AT9" s="16" t="s">
        <v>68</v>
      </c>
      <c r="AU9" s="16" t="s">
        <v>71</v>
      </c>
      <c r="AV9" s="16" t="s">
        <v>68</v>
      </c>
      <c r="AW9" s="17" t="s">
        <v>72</v>
      </c>
      <c r="AX9" s="17" t="s">
        <v>72</v>
      </c>
      <c r="AY9" s="17" t="s">
        <v>71</v>
      </c>
      <c r="AZ9" s="17" t="s">
        <v>72</v>
      </c>
      <c r="BA9" s="17" t="s">
        <v>72</v>
      </c>
      <c r="BB9" s="73" t="s">
        <v>185</v>
      </c>
      <c r="BC9" s="18" t="s">
        <v>1</v>
      </c>
      <c r="BD9" s="19" t="s">
        <v>82</v>
      </c>
      <c r="BE9" s="76" t="s">
        <v>68</v>
      </c>
      <c r="BF9" s="74"/>
    </row>
    <row r="10" spans="2:58" ht="49.5" hidden="1" x14ac:dyDescent="0.25">
      <c r="B10" s="1">
        <v>2017</v>
      </c>
      <c r="C10" s="1" t="s">
        <v>73</v>
      </c>
      <c r="D10" s="1" t="s">
        <v>78</v>
      </c>
      <c r="E10" s="2">
        <v>14390100016</v>
      </c>
      <c r="F10" s="2" t="s">
        <v>187</v>
      </c>
      <c r="G10" s="3" t="s">
        <v>68</v>
      </c>
      <c r="H10" s="4">
        <v>315947505</v>
      </c>
      <c r="I10" s="72" t="s">
        <v>68</v>
      </c>
      <c r="J10" s="6" t="s">
        <v>188</v>
      </c>
      <c r="K10" s="6" t="s">
        <v>189</v>
      </c>
      <c r="L10" s="4">
        <v>315947505</v>
      </c>
      <c r="M10" s="6" t="s">
        <v>74</v>
      </c>
      <c r="N10" s="6">
        <v>2</v>
      </c>
      <c r="O10" s="6">
        <v>12</v>
      </c>
      <c r="P10" s="7" t="s">
        <v>69</v>
      </c>
      <c r="Q10" s="7" t="s">
        <v>69</v>
      </c>
      <c r="R10" s="7" t="s">
        <v>69</v>
      </c>
      <c r="S10" s="7" t="s">
        <v>69</v>
      </c>
      <c r="T10" s="7" t="s">
        <v>69</v>
      </c>
      <c r="U10" s="8" t="s">
        <v>1</v>
      </c>
      <c r="V10" s="8" t="s">
        <v>69</v>
      </c>
      <c r="W10" s="9" t="s">
        <v>69</v>
      </c>
      <c r="X10" s="9" t="s">
        <v>69</v>
      </c>
      <c r="Y10" s="10" t="s">
        <v>1</v>
      </c>
      <c r="Z10" s="10" t="s">
        <v>69</v>
      </c>
      <c r="AA10" s="11" t="s">
        <v>69</v>
      </c>
      <c r="AB10" s="11" t="s">
        <v>69</v>
      </c>
      <c r="AC10" s="11" t="s">
        <v>69</v>
      </c>
      <c r="AD10" s="12" t="s">
        <v>69</v>
      </c>
      <c r="AE10" s="12" t="s">
        <v>69</v>
      </c>
      <c r="AF10" s="13" t="s">
        <v>69</v>
      </c>
      <c r="AG10" s="13" t="s">
        <v>69</v>
      </c>
      <c r="AH10" s="13" t="s">
        <v>1</v>
      </c>
      <c r="AI10" s="13" t="s">
        <v>69</v>
      </c>
      <c r="AJ10" s="14" t="s">
        <v>69</v>
      </c>
      <c r="AK10" s="14" t="s">
        <v>69</v>
      </c>
      <c r="AL10" s="14" t="s">
        <v>69</v>
      </c>
      <c r="AM10" s="14" t="s">
        <v>69</v>
      </c>
      <c r="AN10" s="14" t="s">
        <v>69</v>
      </c>
      <c r="AO10" s="15" t="s">
        <v>69</v>
      </c>
      <c r="AP10" s="15" t="s">
        <v>1</v>
      </c>
      <c r="AQ10" s="15" t="s">
        <v>69</v>
      </c>
      <c r="AR10" s="15" t="s">
        <v>69</v>
      </c>
      <c r="AS10" s="16" t="s">
        <v>76</v>
      </c>
      <c r="AT10" s="16" t="s">
        <v>68</v>
      </c>
      <c r="AU10" s="16" t="s">
        <v>72</v>
      </c>
      <c r="AV10" s="16" t="s">
        <v>68</v>
      </c>
      <c r="AW10" s="17" t="s">
        <v>71</v>
      </c>
      <c r="AX10" s="17" t="s">
        <v>71</v>
      </c>
      <c r="AY10" s="17" t="s">
        <v>72</v>
      </c>
      <c r="AZ10" s="17" t="s">
        <v>72</v>
      </c>
      <c r="BA10" s="17" t="s">
        <v>71</v>
      </c>
      <c r="BB10" s="17" t="s">
        <v>68</v>
      </c>
      <c r="BC10" s="18" t="s">
        <v>127</v>
      </c>
      <c r="BD10" s="19" t="s">
        <v>77</v>
      </c>
      <c r="BE10" s="76" t="s">
        <v>68</v>
      </c>
      <c r="BF10" s="74"/>
    </row>
    <row r="11" spans="2:58" ht="66" hidden="1" x14ac:dyDescent="0.25">
      <c r="B11" s="78">
        <v>2018</v>
      </c>
      <c r="C11" s="78" t="s">
        <v>235</v>
      </c>
      <c r="D11" s="92" t="s">
        <v>78</v>
      </c>
      <c r="E11" s="89">
        <v>14390100012</v>
      </c>
      <c r="F11" s="82" t="s">
        <v>243</v>
      </c>
      <c r="G11" s="3" t="s">
        <v>246</v>
      </c>
      <c r="H11" s="4" t="s">
        <v>247</v>
      </c>
      <c r="I11" s="93" t="s">
        <v>248</v>
      </c>
      <c r="J11" s="6" t="s">
        <v>244</v>
      </c>
      <c r="K11" s="6" t="s">
        <v>245</v>
      </c>
      <c r="L11" s="4" t="s">
        <v>247</v>
      </c>
      <c r="M11" s="6" t="s">
        <v>249</v>
      </c>
      <c r="N11" s="6">
        <v>5</v>
      </c>
      <c r="O11" s="6">
        <v>12</v>
      </c>
      <c r="P11" s="7" t="s">
        <v>1</v>
      </c>
      <c r="Q11" s="7" t="s">
        <v>1</v>
      </c>
      <c r="R11" s="7" t="s">
        <v>69</v>
      </c>
      <c r="S11" s="7" t="s">
        <v>1</v>
      </c>
      <c r="T11" s="7" t="s">
        <v>1</v>
      </c>
      <c r="U11" s="8" t="s">
        <v>69</v>
      </c>
      <c r="V11" s="8" t="s">
        <v>69</v>
      </c>
      <c r="W11" s="9" t="s">
        <v>1</v>
      </c>
      <c r="X11" s="9" t="s">
        <v>1</v>
      </c>
      <c r="Y11" s="10" t="s">
        <v>1</v>
      </c>
      <c r="Z11" s="10" t="s">
        <v>1</v>
      </c>
      <c r="AA11" s="11" t="s">
        <v>1</v>
      </c>
      <c r="AB11" s="11" t="s">
        <v>1</v>
      </c>
      <c r="AC11" s="11" t="s">
        <v>1</v>
      </c>
      <c r="AD11" s="12" t="s">
        <v>69</v>
      </c>
      <c r="AE11" s="12" t="s">
        <v>69</v>
      </c>
      <c r="AF11" s="13" t="s">
        <v>1</v>
      </c>
      <c r="AG11" s="13" t="s">
        <v>1</v>
      </c>
      <c r="AH11" s="13" t="s">
        <v>1</v>
      </c>
      <c r="AI11" s="13" t="s">
        <v>1</v>
      </c>
      <c r="AJ11" s="14" t="s">
        <v>1</v>
      </c>
      <c r="AK11" s="14" t="s">
        <v>1</v>
      </c>
      <c r="AL11" s="14" t="s">
        <v>1</v>
      </c>
      <c r="AM11" s="14" t="s">
        <v>1</v>
      </c>
      <c r="AN11" s="14" t="s">
        <v>1</v>
      </c>
      <c r="AO11" s="15" t="s">
        <v>1</v>
      </c>
      <c r="AP11" s="15" t="s">
        <v>1</v>
      </c>
      <c r="AQ11" s="15" t="s">
        <v>1</v>
      </c>
      <c r="AR11" s="15" t="s">
        <v>1</v>
      </c>
      <c r="AS11" s="16" t="s">
        <v>70</v>
      </c>
      <c r="AT11" s="16" t="s">
        <v>121</v>
      </c>
      <c r="AU11" s="16" t="s">
        <v>71</v>
      </c>
      <c r="AV11" s="16" t="s">
        <v>122</v>
      </c>
      <c r="AW11" s="17" t="s">
        <v>72</v>
      </c>
      <c r="AX11" s="17" t="s">
        <v>72</v>
      </c>
      <c r="AY11" s="17" t="s">
        <v>71</v>
      </c>
      <c r="AZ11" s="17" t="s">
        <v>71</v>
      </c>
      <c r="BA11" s="17" t="s">
        <v>71</v>
      </c>
      <c r="BB11" s="17" t="s">
        <v>123</v>
      </c>
      <c r="BC11" s="18" t="s">
        <v>1</v>
      </c>
      <c r="BD11" s="19" t="s">
        <v>251</v>
      </c>
      <c r="BE11" s="20" t="s">
        <v>250</v>
      </c>
      <c r="BF11" s="74"/>
    </row>
    <row r="12" spans="2:58" ht="33" hidden="1" x14ac:dyDescent="0.25">
      <c r="B12" s="71">
        <v>2019</v>
      </c>
      <c r="C12" s="1" t="s">
        <v>73</v>
      </c>
      <c r="D12" s="71" t="s">
        <v>78</v>
      </c>
      <c r="E12" s="89">
        <v>14390100029</v>
      </c>
      <c r="F12" s="75" t="s">
        <v>238</v>
      </c>
      <c r="G12" s="3" t="s">
        <v>120</v>
      </c>
      <c r="H12" s="6" t="s">
        <v>68</v>
      </c>
      <c r="I12" s="5" t="s">
        <v>68</v>
      </c>
      <c r="J12" s="3" t="s">
        <v>236</v>
      </c>
      <c r="K12" s="6" t="s">
        <v>237</v>
      </c>
      <c r="L12" s="4" t="s">
        <v>239</v>
      </c>
      <c r="M12" s="6" t="s">
        <v>240</v>
      </c>
      <c r="N12" s="6">
        <v>4</v>
      </c>
      <c r="O12" s="6">
        <v>12</v>
      </c>
      <c r="P12" s="7" t="s">
        <v>1</v>
      </c>
      <c r="Q12" s="7" t="s">
        <v>69</v>
      </c>
      <c r="R12" s="7" t="s">
        <v>1</v>
      </c>
      <c r="S12" s="7" t="s">
        <v>1</v>
      </c>
      <c r="T12" s="7" t="s">
        <v>1</v>
      </c>
      <c r="U12" s="8" t="s">
        <v>69</v>
      </c>
      <c r="V12" s="8" t="s">
        <v>1</v>
      </c>
      <c r="W12" s="9" t="s">
        <v>1</v>
      </c>
      <c r="X12" s="9" t="s">
        <v>1</v>
      </c>
      <c r="Y12" s="10" t="s">
        <v>1</v>
      </c>
      <c r="Z12" s="10" t="s">
        <v>1</v>
      </c>
      <c r="AA12" s="11" t="s">
        <v>1</v>
      </c>
      <c r="AB12" s="11" t="s">
        <v>1</v>
      </c>
      <c r="AC12" s="11" t="s">
        <v>1</v>
      </c>
      <c r="AD12" s="12" t="s">
        <v>1</v>
      </c>
      <c r="AE12" s="12" t="s">
        <v>1</v>
      </c>
      <c r="AF12" s="13" t="s">
        <v>1</v>
      </c>
      <c r="AG12" s="13" t="s">
        <v>1</v>
      </c>
      <c r="AH12" s="13" t="s">
        <v>1</v>
      </c>
      <c r="AI12" s="13" t="s">
        <v>1</v>
      </c>
      <c r="AJ12" s="14" t="s">
        <v>69</v>
      </c>
      <c r="AK12" s="14" t="s">
        <v>1</v>
      </c>
      <c r="AL12" s="14" t="s">
        <v>69</v>
      </c>
      <c r="AM12" s="14" t="s">
        <v>1</v>
      </c>
      <c r="AN12" s="14" t="s">
        <v>1</v>
      </c>
      <c r="AO12" s="15" t="s">
        <v>1</v>
      </c>
      <c r="AP12" s="15" t="s">
        <v>1</v>
      </c>
      <c r="AQ12" s="15" t="s">
        <v>1</v>
      </c>
      <c r="AR12" s="15" t="s">
        <v>1</v>
      </c>
      <c r="AS12" s="16" t="s">
        <v>71</v>
      </c>
      <c r="AT12" s="16" t="s">
        <v>241</v>
      </c>
      <c r="AU12" s="16" t="s">
        <v>71</v>
      </c>
      <c r="AV12" s="16" t="s">
        <v>68</v>
      </c>
      <c r="AW12" s="17" t="s">
        <v>71</v>
      </c>
      <c r="AX12" s="17" t="s">
        <v>71</v>
      </c>
      <c r="AY12" s="17" t="s">
        <v>71</v>
      </c>
      <c r="AZ12" s="17" t="s">
        <v>71</v>
      </c>
      <c r="BA12" s="17" t="s">
        <v>72</v>
      </c>
      <c r="BB12" s="17" t="s">
        <v>68</v>
      </c>
      <c r="BC12" s="18" t="s">
        <v>69</v>
      </c>
      <c r="BD12" s="19" t="s">
        <v>68</v>
      </c>
      <c r="BE12" s="20" t="s">
        <v>242</v>
      </c>
      <c r="BF12" s="74"/>
    </row>
    <row r="13" spans="2:58" ht="66" x14ac:dyDescent="0.25">
      <c r="B13" s="71">
        <v>2020</v>
      </c>
      <c r="C13" s="1" t="s">
        <v>73</v>
      </c>
      <c r="D13" s="71" t="s">
        <v>78</v>
      </c>
      <c r="E13" s="75">
        <v>17390100015</v>
      </c>
      <c r="F13" s="75" t="s">
        <v>252</v>
      </c>
      <c r="G13" s="3" t="s">
        <v>253</v>
      </c>
      <c r="H13" s="4" t="s">
        <v>257</v>
      </c>
      <c r="I13" s="93" t="s">
        <v>256</v>
      </c>
      <c r="J13" s="3" t="s">
        <v>254</v>
      </c>
      <c r="K13" s="6" t="s">
        <v>255</v>
      </c>
      <c r="L13" s="4" t="s">
        <v>257</v>
      </c>
      <c r="M13" s="6" t="s">
        <v>258</v>
      </c>
      <c r="N13" s="6">
        <v>1</v>
      </c>
      <c r="O13" s="6">
        <v>6</v>
      </c>
      <c r="P13" s="21" t="s">
        <v>69</v>
      </c>
      <c r="Q13" s="21" t="s">
        <v>1</v>
      </c>
      <c r="R13" s="21" t="s">
        <v>1</v>
      </c>
      <c r="S13" s="21" t="s">
        <v>1</v>
      </c>
      <c r="T13" s="21" t="s">
        <v>1</v>
      </c>
      <c r="U13" s="22" t="s">
        <v>69</v>
      </c>
      <c r="V13" s="22" t="s">
        <v>1</v>
      </c>
      <c r="W13" s="9" t="s">
        <v>1</v>
      </c>
      <c r="X13" s="9" t="s">
        <v>1</v>
      </c>
      <c r="Y13" s="10" t="s">
        <v>69</v>
      </c>
      <c r="Z13" s="10" t="s">
        <v>69</v>
      </c>
      <c r="AA13" s="11" t="s">
        <v>1</v>
      </c>
      <c r="AB13" s="11" t="s">
        <v>1</v>
      </c>
      <c r="AC13" s="11" t="s">
        <v>1</v>
      </c>
      <c r="AD13" s="12" t="s">
        <v>1</v>
      </c>
      <c r="AE13" s="12" t="s">
        <v>1</v>
      </c>
      <c r="AF13" s="13" t="s">
        <v>1</v>
      </c>
      <c r="AG13" s="13" t="s">
        <v>1</v>
      </c>
      <c r="AH13" s="13" t="s">
        <v>75</v>
      </c>
      <c r="AI13" s="13" t="s">
        <v>75</v>
      </c>
      <c r="AJ13" s="23" t="s">
        <v>1</v>
      </c>
      <c r="AK13" s="23" t="s">
        <v>1</v>
      </c>
      <c r="AL13" s="23" t="s">
        <v>69</v>
      </c>
      <c r="AM13" s="23" t="s">
        <v>1</v>
      </c>
      <c r="AN13" s="23" t="s">
        <v>1</v>
      </c>
      <c r="AO13" s="24" t="s">
        <v>1</v>
      </c>
      <c r="AP13" s="24" t="s">
        <v>1</v>
      </c>
      <c r="AQ13" s="24" t="s">
        <v>69</v>
      </c>
      <c r="AR13" s="24" t="s">
        <v>1</v>
      </c>
      <c r="AS13" s="16" t="s">
        <v>70</v>
      </c>
      <c r="AT13" s="16" t="s">
        <v>70</v>
      </c>
      <c r="AU13" s="16" t="s">
        <v>71</v>
      </c>
      <c r="AV13" s="16" t="s">
        <v>71</v>
      </c>
      <c r="AW13" s="17" t="s">
        <v>71</v>
      </c>
      <c r="AX13" s="17" t="s">
        <v>71</v>
      </c>
      <c r="AY13" s="17" t="s">
        <v>71</v>
      </c>
      <c r="AZ13" s="25" t="s">
        <v>72</v>
      </c>
      <c r="BA13" s="17" t="s">
        <v>69</v>
      </c>
      <c r="BB13" s="17" t="s">
        <v>68</v>
      </c>
      <c r="BC13" s="18" t="s">
        <v>68</v>
      </c>
      <c r="BD13" s="19" t="s">
        <v>68</v>
      </c>
      <c r="BE13" s="20" t="s">
        <v>68</v>
      </c>
      <c r="BF13" s="74"/>
    </row>
    <row r="14" spans="2:58" ht="66" hidden="1" x14ac:dyDescent="0.25">
      <c r="B14" s="1">
        <v>2016</v>
      </c>
      <c r="C14" s="1" t="s">
        <v>73</v>
      </c>
      <c r="D14" s="1" t="s">
        <v>78</v>
      </c>
      <c r="E14" s="2">
        <v>13390100021</v>
      </c>
      <c r="F14" s="2" t="s">
        <v>108</v>
      </c>
      <c r="G14" s="3" t="s">
        <v>109</v>
      </c>
      <c r="H14" s="4" t="s">
        <v>110</v>
      </c>
      <c r="I14" s="5"/>
      <c r="J14" s="6" t="s">
        <v>111</v>
      </c>
      <c r="K14" s="6" t="s">
        <v>112</v>
      </c>
      <c r="L14" s="6"/>
      <c r="M14" s="6" t="s">
        <v>113</v>
      </c>
      <c r="N14" s="6">
        <v>1</v>
      </c>
      <c r="O14" s="6">
        <v>12</v>
      </c>
      <c r="P14" s="7" t="s">
        <v>1</v>
      </c>
      <c r="Q14" s="7" t="s">
        <v>69</v>
      </c>
      <c r="R14" s="7" t="s">
        <v>1</v>
      </c>
      <c r="S14" s="7" t="s">
        <v>69</v>
      </c>
      <c r="T14" s="7" t="s">
        <v>69</v>
      </c>
      <c r="U14" s="8" t="s">
        <v>1</v>
      </c>
      <c r="V14" s="8" t="s">
        <v>1</v>
      </c>
      <c r="W14" s="9" t="s">
        <v>1</v>
      </c>
      <c r="X14" s="9" t="s">
        <v>1</v>
      </c>
      <c r="Y14" s="10" t="s">
        <v>69</v>
      </c>
      <c r="Z14" s="10" t="s">
        <v>1</v>
      </c>
      <c r="AA14" s="11" t="s">
        <v>69</v>
      </c>
      <c r="AB14" s="11" t="s">
        <v>1</v>
      </c>
      <c r="AC14" s="11" t="s">
        <v>1</v>
      </c>
      <c r="AD14" s="12" t="s">
        <v>1</v>
      </c>
      <c r="AE14" s="12" t="s">
        <v>1</v>
      </c>
      <c r="AF14" s="13" t="s">
        <v>69</v>
      </c>
      <c r="AG14" s="13" t="s">
        <v>1</v>
      </c>
      <c r="AH14" s="13" t="s">
        <v>69</v>
      </c>
      <c r="AI14" s="13" t="s">
        <v>1</v>
      </c>
      <c r="AJ14" s="14" t="s">
        <v>1</v>
      </c>
      <c r="AK14" s="14" t="s">
        <v>69</v>
      </c>
      <c r="AL14" s="14" t="s">
        <v>1</v>
      </c>
      <c r="AM14" s="14" t="s">
        <v>1</v>
      </c>
      <c r="AN14" s="14" t="s">
        <v>1</v>
      </c>
      <c r="AO14" s="15" t="s">
        <v>1</v>
      </c>
      <c r="AP14" s="15" t="s">
        <v>1</v>
      </c>
      <c r="AQ14" s="15" t="s">
        <v>1</v>
      </c>
      <c r="AR14" s="15" t="s">
        <v>1</v>
      </c>
      <c r="AS14" s="16" t="s">
        <v>70</v>
      </c>
      <c r="AT14" s="16"/>
      <c r="AU14" s="16" t="s">
        <v>71</v>
      </c>
      <c r="AV14" s="16"/>
      <c r="AW14" s="17" t="s">
        <v>72</v>
      </c>
      <c r="AX14" s="17" t="s">
        <v>72</v>
      </c>
      <c r="AY14" s="17" t="s">
        <v>72</v>
      </c>
      <c r="AZ14" s="17" t="s">
        <v>71</v>
      </c>
      <c r="BA14" s="17" t="s">
        <v>72</v>
      </c>
      <c r="BB14" s="17"/>
      <c r="BC14" s="18" t="s">
        <v>1</v>
      </c>
      <c r="BD14" s="19" t="s">
        <v>82</v>
      </c>
      <c r="BE14" s="20" t="s">
        <v>114</v>
      </c>
      <c r="BF14" s="74"/>
    </row>
    <row r="15" spans="2:58" ht="33" hidden="1" x14ac:dyDescent="0.25">
      <c r="B15" s="1">
        <v>2016</v>
      </c>
      <c r="C15" s="1" t="s">
        <v>73</v>
      </c>
      <c r="D15" s="1" t="s">
        <v>78</v>
      </c>
      <c r="E15" s="2">
        <v>12390100006</v>
      </c>
      <c r="F15" s="2" t="s">
        <v>83</v>
      </c>
      <c r="G15" s="3" t="s">
        <v>84</v>
      </c>
      <c r="H15" s="4" t="s">
        <v>85</v>
      </c>
      <c r="I15" s="5" t="s">
        <v>86</v>
      </c>
      <c r="J15" s="6" t="s">
        <v>87</v>
      </c>
      <c r="K15" s="6" t="s">
        <v>88</v>
      </c>
      <c r="L15" s="6">
        <v>313579374</v>
      </c>
      <c r="M15" s="6" t="s">
        <v>89</v>
      </c>
      <c r="N15" s="6">
        <v>1</v>
      </c>
      <c r="O15" s="6">
        <v>12</v>
      </c>
      <c r="P15" s="7" t="s">
        <v>1</v>
      </c>
      <c r="Q15" s="7" t="s">
        <v>1</v>
      </c>
      <c r="R15" s="7" t="s">
        <v>1</v>
      </c>
      <c r="S15" s="7" t="s">
        <v>1</v>
      </c>
      <c r="T15" s="7" t="s">
        <v>69</v>
      </c>
      <c r="U15" s="8" t="s">
        <v>1</v>
      </c>
      <c r="V15" s="8" t="s">
        <v>1</v>
      </c>
      <c r="W15" s="9" t="s">
        <v>75</v>
      </c>
      <c r="X15" s="9" t="s">
        <v>75</v>
      </c>
      <c r="Y15" s="10" t="s">
        <v>1</v>
      </c>
      <c r="Z15" s="10" t="s">
        <v>1</v>
      </c>
      <c r="AA15" s="11" t="s">
        <v>1</v>
      </c>
      <c r="AB15" s="11" t="s">
        <v>1</v>
      </c>
      <c r="AC15" s="11" t="s">
        <v>1</v>
      </c>
      <c r="AD15" s="12" t="s">
        <v>1</v>
      </c>
      <c r="AE15" s="12" t="s">
        <v>1</v>
      </c>
      <c r="AF15" s="13" t="s">
        <v>1</v>
      </c>
      <c r="AG15" s="13" t="s">
        <v>1</v>
      </c>
      <c r="AH15" s="13" t="s">
        <v>1</v>
      </c>
      <c r="AI15" s="13" t="s">
        <v>1</v>
      </c>
      <c r="AJ15" s="14" t="s">
        <v>1</v>
      </c>
      <c r="AK15" s="14" t="s">
        <v>1</v>
      </c>
      <c r="AL15" s="14" t="s">
        <v>1</v>
      </c>
      <c r="AM15" s="14" t="s">
        <v>1</v>
      </c>
      <c r="AN15" s="14" t="s">
        <v>1</v>
      </c>
      <c r="AO15" s="15" t="s">
        <v>1</v>
      </c>
      <c r="AP15" s="15" t="s">
        <v>1</v>
      </c>
      <c r="AQ15" s="15" t="s">
        <v>1</v>
      </c>
      <c r="AR15" s="15" t="s">
        <v>1</v>
      </c>
      <c r="AS15" s="16" t="s">
        <v>70</v>
      </c>
      <c r="AT15" s="16" t="s">
        <v>90</v>
      </c>
      <c r="AU15" s="16" t="s">
        <v>71</v>
      </c>
      <c r="AV15" s="16" t="s">
        <v>91</v>
      </c>
      <c r="AW15" s="17" t="s">
        <v>72</v>
      </c>
      <c r="AX15" s="17" t="s">
        <v>72</v>
      </c>
      <c r="AY15" s="17" t="s">
        <v>71</v>
      </c>
      <c r="AZ15" s="17" t="s">
        <v>72</v>
      </c>
      <c r="BA15" s="17" t="s">
        <v>72</v>
      </c>
      <c r="BB15" s="17"/>
      <c r="BC15" s="18" t="s">
        <v>1</v>
      </c>
      <c r="BD15" s="19" t="s">
        <v>92</v>
      </c>
      <c r="BE15" s="20" t="s">
        <v>93</v>
      </c>
      <c r="BF15" t="s">
        <v>260</v>
      </c>
    </row>
    <row r="16" spans="2:58" ht="49.5" hidden="1" x14ac:dyDescent="0.25">
      <c r="B16" s="1">
        <v>2016</v>
      </c>
      <c r="C16" s="1" t="s">
        <v>73</v>
      </c>
      <c r="D16" s="1" t="s">
        <v>78</v>
      </c>
      <c r="E16" s="2">
        <v>13390100011</v>
      </c>
      <c r="F16" s="2" t="s">
        <v>94</v>
      </c>
      <c r="G16" s="3" t="s">
        <v>68</v>
      </c>
      <c r="H16" s="6" t="s">
        <v>68</v>
      </c>
      <c r="I16" s="5" t="s">
        <v>68</v>
      </c>
      <c r="J16" s="6" t="s">
        <v>95</v>
      </c>
      <c r="K16" s="6" t="s">
        <v>96</v>
      </c>
      <c r="L16" s="6" t="s">
        <v>68</v>
      </c>
      <c r="M16" s="6" t="s">
        <v>97</v>
      </c>
      <c r="N16" s="6">
        <v>1</v>
      </c>
      <c r="O16" s="6">
        <v>12</v>
      </c>
      <c r="P16" s="7" t="s">
        <v>1</v>
      </c>
      <c r="Q16" s="7" t="s">
        <v>1</v>
      </c>
      <c r="R16" s="7" t="s">
        <v>1</v>
      </c>
      <c r="S16" s="7" t="s">
        <v>1</v>
      </c>
      <c r="T16" s="7" t="s">
        <v>69</v>
      </c>
      <c r="U16" s="8" t="s">
        <v>1</v>
      </c>
      <c r="V16" s="8" t="s">
        <v>1</v>
      </c>
      <c r="W16" s="9" t="s">
        <v>75</v>
      </c>
      <c r="X16" s="9" t="s">
        <v>75</v>
      </c>
      <c r="Y16" s="10" t="s">
        <v>69</v>
      </c>
      <c r="Z16" s="10" t="s">
        <v>69</v>
      </c>
      <c r="AA16" s="11" t="s">
        <v>69</v>
      </c>
      <c r="AB16" s="11" t="s">
        <v>69</v>
      </c>
      <c r="AC16" s="11" t="s">
        <v>69</v>
      </c>
      <c r="AD16" s="12" t="s">
        <v>69</v>
      </c>
      <c r="AE16" s="12" t="s">
        <v>69</v>
      </c>
      <c r="AF16" s="13" t="s">
        <v>1</v>
      </c>
      <c r="AG16" s="13" t="s">
        <v>1</v>
      </c>
      <c r="AH16" s="13" t="s">
        <v>1</v>
      </c>
      <c r="AI16" s="13" t="s">
        <v>1</v>
      </c>
      <c r="AJ16" s="14" t="s">
        <v>1</v>
      </c>
      <c r="AK16" s="14" t="s">
        <v>1</v>
      </c>
      <c r="AL16" s="14" t="s">
        <v>1</v>
      </c>
      <c r="AM16" s="14" t="s">
        <v>1</v>
      </c>
      <c r="AN16" s="14" t="s">
        <v>1</v>
      </c>
      <c r="AO16" s="15" t="s">
        <v>69</v>
      </c>
      <c r="AP16" s="15" t="s">
        <v>69</v>
      </c>
      <c r="AQ16" s="15" t="s">
        <v>69</v>
      </c>
      <c r="AR16" s="15" t="s">
        <v>69</v>
      </c>
      <c r="AS16" s="16" t="s">
        <v>70</v>
      </c>
      <c r="AT16" s="16" t="s">
        <v>68</v>
      </c>
      <c r="AU16" s="16" t="s">
        <v>71</v>
      </c>
      <c r="AV16" s="16" t="s">
        <v>68</v>
      </c>
      <c r="AW16" s="17" t="s">
        <v>72</v>
      </c>
      <c r="AX16" s="17" t="s">
        <v>72</v>
      </c>
      <c r="AY16" s="17" t="s">
        <v>72</v>
      </c>
      <c r="AZ16" s="17" t="s">
        <v>72</v>
      </c>
      <c r="BA16" s="17" t="s">
        <v>72</v>
      </c>
      <c r="BB16" s="17" t="s">
        <v>68</v>
      </c>
      <c r="BC16" s="18" t="s">
        <v>1</v>
      </c>
      <c r="BD16" s="19" t="s">
        <v>68</v>
      </c>
      <c r="BE16" s="20" t="s">
        <v>68</v>
      </c>
      <c r="BF16" t="s">
        <v>260</v>
      </c>
    </row>
    <row r="17" spans="2:58" ht="49.5" hidden="1" x14ac:dyDescent="0.25">
      <c r="B17" s="1">
        <v>2016</v>
      </c>
      <c r="C17" s="1" t="s">
        <v>73</v>
      </c>
      <c r="D17" s="1" t="s">
        <v>78</v>
      </c>
      <c r="E17" s="2">
        <v>13390100013</v>
      </c>
      <c r="F17" s="2" t="s">
        <v>98</v>
      </c>
      <c r="G17" s="3" t="s">
        <v>99</v>
      </c>
      <c r="H17" s="6"/>
      <c r="I17" s="5" t="s">
        <v>100</v>
      </c>
      <c r="J17" s="6" t="s">
        <v>101</v>
      </c>
      <c r="K17" s="6" t="s">
        <v>102</v>
      </c>
      <c r="L17" s="6">
        <v>2981040</v>
      </c>
      <c r="M17" s="6" t="s">
        <v>74</v>
      </c>
      <c r="N17" s="6">
        <v>4</v>
      </c>
      <c r="O17" s="6">
        <v>60</v>
      </c>
      <c r="P17" s="7" t="s">
        <v>69</v>
      </c>
      <c r="Q17" s="7" t="s">
        <v>69</v>
      </c>
      <c r="R17" s="7" t="s">
        <v>1</v>
      </c>
      <c r="S17" s="7" t="s">
        <v>1</v>
      </c>
      <c r="T17" s="7" t="s">
        <v>1</v>
      </c>
      <c r="U17" s="8" t="s">
        <v>69</v>
      </c>
      <c r="V17" s="8" t="s">
        <v>69</v>
      </c>
      <c r="W17" s="9" t="s">
        <v>1</v>
      </c>
      <c r="X17" s="9" t="s">
        <v>1</v>
      </c>
      <c r="Y17" s="10" t="s">
        <v>69</v>
      </c>
      <c r="Z17" s="10" t="s">
        <v>69</v>
      </c>
      <c r="AA17" s="11" t="s">
        <v>69</v>
      </c>
      <c r="AB17" s="11" t="s">
        <v>69</v>
      </c>
      <c r="AC17" s="11" t="s">
        <v>69</v>
      </c>
      <c r="AD17" s="12" t="s">
        <v>69</v>
      </c>
      <c r="AE17" s="12" t="s">
        <v>69</v>
      </c>
      <c r="AF17" s="13" t="s">
        <v>69</v>
      </c>
      <c r="AG17" s="13" t="s">
        <v>69</v>
      </c>
      <c r="AH17" s="13" t="s">
        <v>69</v>
      </c>
      <c r="AI17" s="13" t="s">
        <v>69</v>
      </c>
      <c r="AJ17" s="14" t="s">
        <v>69</v>
      </c>
      <c r="AK17" s="14" t="s">
        <v>69</v>
      </c>
      <c r="AL17" s="14" t="s">
        <v>69</v>
      </c>
      <c r="AM17" s="14" t="s">
        <v>69</v>
      </c>
      <c r="AN17" s="14" t="s">
        <v>69</v>
      </c>
      <c r="AO17" s="15" t="s">
        <v>69</v>
      </c>
      <c r="AP17" s="15" t="s">
        <v>69</v>
      </c>
      <c r="AQ17" s="15" t="s">
        <v>69</v>
      </c>
      <c r="AR17" s="15" t="s">
        <v>69</v>
      </c>
      <c r="AS17" s="16" t="s">
        <v>70</v>
      </c>
      <c r="AT17" s="16" t="s">
        <v>103</v>
      </c>
      <c r="AU17" s="16" t="s">
        <v>71</v>
      </c>
      <c r="AV17" s="16" t="s">
        <v>104</v>
      </c>
      <c r="AW17" s="17" t="s">
        <v>71</v>
      </c>
      <c r="AX17" s="17" t="s">
        <v>72</v>
      </c>
      <c r="AY17" s="17" t="s">
        <v>71</v>
      </c>
      <c r="AZ17" s="17" t="s">
        <v>72</v>
      </c>
      <c r="BA17" s="17" t="s">
        <v>72</v>
      </c>
      <c r="BB17" s="17" t="s">
        <v>105</v>
      </c>
      <c r="BC17" s="18" t="s">
        <v>1</v>
      </c>
      <c r="BD17" s="19" t="s">
        <v>106</v>
      </c>
      <c r="BE17" s="20" t="s">
        <v>107</v>
      </c>
      <c r="BF17" t="s">
        <v>260</v>
      </c>
    </row>
    <row r="18" spans="2:58" ht="49.5" hidden="1" x14ac:dyDescent="0.25">
      <c r="B18" s="78">
        <v>2017</v>
      </c>
      <c r="C18" s="78" t="s">
        <v>73</v>
      </c>
      <c r="D18" s="78" t="s">
        <v>78</v>
      </c>
      <c r="E18" s="79">
        <v>14390100023</v>
      </c>
      <c r="F18" s="79" t="s">
        <v>151</v>
      </c>
      <c r="G18" s="3" t="s">
        <v>152</v>
      </c>
      <c r="H18" s="4" t="s">
        <v>153</v>
      </c>
      <c r="I18" s="72" t="s">
        <v>154</v>
      </c>
      <c r="J18" s="6" t="s">
        <v>155</v>
      </c>
      <c r="K18" s="4" t="s">
        <v>156</v>
      </c>
      <c r="L18" s="4" t="s">
        <v>157</v>
      </c>
      <c r="M18" s="4" t="s">
        <v>158</v>
      </c>
      <c r="N18" s="6">
        <v>1</v>
      </c>
      <c r="O18" s="6">
        <v>12</v>
      </c>
      <c r="P18" s="7" t="s">
        <v>1</v>
      </c>
      <c r="Q18" s="7" t="s">
        <v>69</v>
      </c>
      <c r="R18" s="7" t="s">
        <v>1</v>
      </c>
      <c r="S18" s="7" t="s">
        <v>1</v>
      </c>
      <c r="T18" s="7" t="s">
        <v>69</v>
      </c>
      <c r="U18" s="8" t="s">
        <v>1</v>
      </c>
      <c r="V18" s="8" t="s">
        <v>69</v>
      </c>
      <c r="W18" s="9" t="s">
        <v>1</v>
      </c>
      <c r="X18" s="9" t="s">
        <v>1</v>
      </c>
      <c r="Y18" s="10" t="s">
        <v>69</v>
      </c>
      <c r="Z18" s="10" t="s">
        <v>1</v>
      </c>
      <c r="AA18" s="11" t="s">
        <v>1</v>
      </c>
      <c r="AB18" s="11" t="s">
        <v>1</v>
      </c>
      <c r="AC18" s="11" t="s">
        <v>1</v>
      </c>
      <c r="AD18" s="12" t="s">
        <v>69</v>
      </c>
      <c r="AE18" s="12" t="s">
        <v>1</v>
      </c>
      <c r="AF18" s="13" t="s">
        <v>1</v>
      </c>
      <c r="AG18" s="13" t="s">
        <v>1</v>
      </c>
      <c r="AH18" s="13" t="s">
        <v>1</v>
      </c>
      <c r="AI18" s="13" t="s">
        <v>1</v>
      </c>
      <c r="AJ18" s="14" t="s">
        <v>1</v>
      </c>
      <c r="AK18" s="14" t="s">
        <v>1</v>
      </c>
      <c r="AL18" s="14" t="s">
        <v>69</v>
      </c>
      <c r="AM18" s="14" t="s">
        <v>1</v>
      </c>
      <c r="AN18" s="14" t="s">
        <v>1</v>
      </c>
      <c r="AO18" s="15" t="s">
        <v>1</v>
      </c>
      <c r="AP18" s="15" t="s">
        <v>1</v>
      </c>
      <c r="AQ18" s="15" t="s">
        <v>1</v>
      </c>
      <c r="AR18" s="15" t="s">
        <v>1</v>
      </c>
      <c r="AS18" s="16" t="s">
        <v>70</v>
      </c>
      <c r="AT18" s="16" t="s">
        <v>159</v>
      </c>
      <c r="AU18" s="16" t="s">
        <v>71</v>
      </c>
      <c r="AV18" s="16" t="s">
        <v>160</v>
      </c>
      <c r="AW18" s="17" t="s">
        <v>71</v>
      </c>
      <c r="AX18" s="17" t="s">
        <v>71</v>
      </c>
      <c r="AY18" s="17" t="s">
        <v>71</v>
      </c>
      <c r="AZ18" s="17" t="s">
        <v>71</v>
      </c>
      <c r="BA18" s="17" t="s">
        <v>72</v>
      </c>
      <c r="BB18" s="17" t="s">
        <v>68</v>
      </c>
      <c r="BC18" s="18" t="s">
        <v>69</v>
      </c>
      <c r="BD18" s="19" t="s">
        <v>79</v>
      </c>
      <c r="BE18" s="76" t="s">
        <v>68</v>
      </c>
      <c r="BF18" t="s">
        <v>260</v>
      </c>
    </row>
    <row r="19" spans="2:58" ht="49.5" hidden="1" x14ac:dyDescent="0.25">
      <c r="B19" s="1">
        <v>2017</v>
      </c>
      <c r="C19" s="1" t="s">
        <v>73</v>
      </c>
      <c r="D19" s="1" t="s">
        <v>78</v>
      </c>
      <c r="E19" s="2">
        <v>12390100019</v>
      </c>
      <c r="F19" s="2" t="s">
        <v>161</v>
      </c>
      <c r="G19" s="3" t="s">
        <v>162</v>
      </c>
      <c r="H19" s="6">
        <v>81574266656</v>
      </c>
      <c r="I19" s="72" t="s">
        <v>163</v>
      </c>
      <c r="J19" s="6" t="s">
        <v>164</v>
      </c>
      <c r="K19" s="6" t="s">
        <v>165</v>
      </c>
      <c r="L19" s="6" t="s">
        <v>166</v>
      </c>
      <c r="M19" s="6" t="s">
        <v>74</v>
      </c>
      <c r="N19" s="6">
        <v>1</v>
      </c>
      <c r="O19" s="6">
        <v>6</v>
      </c>
      <c r="P19" s="7" t="s">
        <v>69</v>
      </c>
      <c r="Q19" s="7" t="s">
        <v>1</v>
      </c>
      <c r="R19" s="7" t="s">
        <v>69</v>
      </c>
      <c r="S19" s="7" t="s">
        <v>1</v>
      </c>
      <c r="T19" s="7" t="s">
        <v>1</v>
      </c>
      <c r="U19" s="8" t="s">
        <v>1</v>
      </c>
      <c r="V19" s="8" t="s">
        <v>69</v>
      </c>
      <c r="W19" s="9" t="s">
        <v>1</v>
      </c>
      <c r="X19" s="9" t="s">
        <v>1</v>
      </c>
      <c r="Y19" s="10" t="s">
        <v>69</v>
      </c>
      <c r="Z19" s="10" t="s">
        <v>69</v>
      </c>
      <c r="AA19" s="11" t="s">
        <v>1</v>
      </c>
      <c r="AB19" s="11" t="s">
        <v>1</v>
      </c>
      <c r="AC19" s="11" t="s">
        <v>1</v>
      </c>
      <c r="AD19" s="12" t="s">
        <v>69</v>
      </c>
      <c r="AE19" s="12" t="s">
        <v>69</v>
      </c>
      <c r="AF19" s="13" t="s">
        <v>1</v>
      </c>
      <c r="AG19" s="13" t="s">
        <v>69</v>
      </c>
      <c r="AH19" s="13" t="s">
        <v>1</v>
      </c>
      <c r="AI19" s="13" t="s">
        <v>69</v>
      </c>
      <c r="AJ19" s="14" t="s">
        <v>1</v>
      </c>
      <c r="AK19" s="14" t="s">
        <v>1</v>
      </c>
      <c r="AL19" s="14" t="s">
        <v>69</v>
      </c>
      <c r="AM19" s="14" t="s">
        <v>1</v>
      </c>
      <c r="AN19" s="14" t="s">
        <v>1</v>
      </c>
      <c r="AO19" s="15" t="s">
        <v>69</v>
      </c>
      <c r="AP19" s="15" t="s">
        <v>69</v>
      </c>
      <c r="AQ19" s="15" t="s">
        <v>69</v>
      </c>
      <c r="AR19" s="15" t="s">
        <v>69</v>
      </c>
      <c r="AS19" s="16" t="s">
        <v>70</v>
      </c>
      <c r="AT19" s="16"/>
      <c r="AU19" s="16" t="s">
        <v>71</v>
      </c>
      <c r="AV19" s="16"/>
      <c r="AW19" s="17" t="s">
        <v>72</v>
      </c>
      <c r="AX19" s="17" t="s">
        <v>71</v>
      </c>
      <c r="AY19" s="17" t="s">
        <v>71</v>
      </c>
      <c r="AZ19" s="17" t="s">
        <v>71</v>
      </c>
      <c r="BA19" s="17" t="s">
        <v>72</v>
      </c>
      <c r="BB19" s="17" t="s">
        <v>167</v>
      </c>
      <c r="BC19" s="18" t="s">
        <v>1</v>
      </c>
      <c r="BD19" s="19" t="s">
        <v>79</v>
      </c>
      <c r="BE19" s="76" t="s">
        <v>168</v>
      </c>
      <c r="BF19" t="s">
        <v>260</v>
      </c>
    </row>
    <row r="20" spans="2:58" ht="49.5" hidden="1" x14ac:dyDescent="0.25">
      <c r="B20" s="78">
        <v>2017</v>
      </c>
      <c r="C20" s="78" t="s">
        <v>73</v>
      </c>
      <c r="D20" s="78" t="s">
        <v>78</v>
      </c>
      <c r="E20" s="79">
        <v>14390100021</v>
      </c>
      <c r="F20" s="79" t="s">
        <v>169</v>
      </c>
      <c r="G20" s="3" t="s">
        <v>170</v>
      </c>
      <c r="H20" s="4" t="s">
        <v>171</v>
      </c>
      <c r="I20" s="72" t="s">
        <v>172</v>
      </c>
      <c r="J20" s="6" t="s">
        <v>80</v>
      </c>
      <c r="K20" s="6" t="s">
        <v>173</v>
      </c>
      <c r="L20" s="4" t="s">
        <v>174</v>
      </c>
      <c r="M20" s="6" t="s">
        <v>175</v>
      </c>
      <c r="N20" s="6">
        <v>5</v>
      </c>
      <c r="O20" s="6">
        <v>24</v>
      </c>
      <c r="P20" s="7" t="s">
        <v>1</v>
      </c>
      <c r="Q20" s="7" t="s">
        <v>69</v>
      </c>
      <c r="R20" s="7" t="s">
        <v>1</v>
      </c>
      <c r="S20" s="7" t="s">
        <v>1</v>
      </c>
      <c r="T20" s="7" t="s">
        <v>69</v>
      </c>
      <c r="U20" s="8" t="s">
        <v>1</v>
      </c>
      <c r="V20" s="8" t="s">
        <v>69</v>
      </c>
      <c r="W20" s="9" t="s">
        <v>1</v>
      </c>
      <c r="X20" s="9" t="s">
        <v>1</v>
      </c>
      <c r="Y20" s="10" t="s">
        <v>69</v>
      </c>
      <c r="Z20" s="10" t="s">
        <v>1</v>
      </c>
      <c r="AA20" s="11" t="s">
        <v>1</v>
      </c>
      <c r="AB20" s="11" t="s">
        <v>1</v>
      </c>
      <c r="AC20" s="11" t="s">
        <v>1</v>
      </c>
      <c r="AD20" s="12" t="s">
        <v>69</v>
      </c>
      <c r="AE20" s="12" t="s">
        <v>1</v>
      </c>
      <c r="AF20" s="13" t="s">
        <v>1</v>
      </c>
      <c r="AG20" s="13" t="s">
        <v>1</v>
      </c>
      <c r="AH20" s="13" t="s">
        <v>1</v>
      </c>
      <c r="AI20" s="13" t="s">
        <v>1</v>
      </c>
      <c r="AJ20" s="14" t="s">
        <v>1</v>
      </c>
      <c r="AK20" s="14" t="s">
        <v>1</v>
      </c>
      <c r="AL20" s="14" t="s">
        <v>69</v>
      </c>
      <c r="AM20" s="14" t="s">
        <v>1</v>
      </c>
      <c r="AN20" s="14" t="s">
        <v>1</v>
      </c>
      <c r="AO20" s="15" t="s">
        <v>1</v>
      </c>
      <c r="AP20" s="15" t="s">
        <v>1</v>
      </c>
      <c r="AQ20" s="15" t="s">
        <v>1</v>
      </c>
      <c r="AR20" s="15" t="s">
        <v>1</v>
      </c>
      <c r="AS20" s="16" t="s">
        <v>70</v>
      </c>
      <c r="AT20" s="16" t="s">
        <v>159</v>
      </c>
      <c r="AU20" s="16" t="s">
        <v>71</v>
      </c>
      <c r="AV20" s="16" t="s">
        <v>160</v>
      </c>
      <c r="AW20" s="17" t="s">
        <v>71</v>
      </c>
      <c r="AX20" s="17" t="s">
        <v>71</v>
      </c>
      <c r="AY20" s="17" t="s">
        <v>71</v>
      </c>
      <c r="AZ20" s="17" t="s">
        <v>71</v>
      </c>
      <c r="BA20" s="17" t="s">
        <v>72</v>
      </c>
      <c r="BB20" s="17" t="s">
        <v>68</v>
      </c>
      <c r="BC20" s="18" t="s">
        <v>1</v>
      </c>
      <c r="BD20" s="19" t="s">
        <v>176</v>
      </c>
      <c r="BE20" s="76" t="s">
        <v>177</v>
      </c>
      <c r="BF20" t="s">
        <v>260</v>
      </c>
    </row>
    <row r="21" spans="2:58" ht="49.5" hidden="1" x14ac:dyDescent="0.25">
      <c r="B21" s="1">
        <v>2017</v>
      </c>
      <c r="C21" s="1" t="s">
        <v>73</v>
      </c>
      <c r="D21" s="1" t="s">
        <v>78</v>
      </c>
      <c r="E21" s="2">
        <v>14390100025</v>
      </c>
      <c r="F21" s="2" t="s">
        <v>178</v>
      </c>
      <c r="G21" s="3" t="s">
        <v>179</v>
      </c>
      <c r="H21" s="4" t="s">
        <v>180</v>
      </c>
      <c r="I21" s="72" t="s">
        <v>181</v>
      </c>
      <c r="J21" s="6" t="s">
        <v>182</v>
      </c>
      <c r="K21" s="6" t="s">
        <v>183</v>
      </c>
      <c r="L21" s="4" t="s">
        <v>184</v>
      </c>
      <c r="M21" s="6" t="s">
        <v>81</v>
      </c>
      <c r="N21" s="6">
        <v>1</v>
      </c>
      <c r="O21" s="6">
        <v>6</v>
      </c>
      <c r="P21" s="7" t="s">
        <v>1</v>
      </c>
      <c r="Q21" s="7" t="s">
        <v>1</v>
      </c>
      <c r="R21" s="7" t="s">
        <v>1</v>
      </c>
      <c r="S21" s="7" t="s">
        <v>1</v>
      </c>
      <c r="T21" s="7" t="s">
        <v>1</v>
      </c>
      <c r="U21" s="8" t="s">
        <v>1</v>
      </c>
      <c r="V21" s="8" t="s">
        <v>1</v>
      </c>
      <c r="W21" s="9" t="s">
        <v>1</v>
      </c>
      <c r="X21" s="9" t="s">
        <v>1</v>
      </c>
      <c r="Y21" s="10" t="s">
        <v>1</v>
      </c>
      <c r="Z21" s="10" t="s">
        <v>1</v>
      </c>
      <c r="AA21" s="11" t="s">
        <v>1</v>
      </c>
      <c r="AB21" s="11" t="s">
        <v>1</v>
      </c>
      <c r="AC21" s="11" t="s">
        <v>1</v>
      </c>
      <c r="AD21" s="12" t="s">
        <v>1</v>
      </c>
      <c r="AE21" s="12" t="s">
        <v>1</v>
      </c>
      <c r="AF21" s="13" t="s">
        <v>1</v>
      </c>
      <c r="AG21" s="13" t="s">
        <v>1</v>
      </c>
      <c r="AH21" s="13" t="s">
        <v>1</v>
      </c>
      <c r="AI21" s="13" t="s">
        <v>1</v>
      </c>
      <c r="AJ21" s="14" t="s">
        <v>1</v>
      </c>
      <c r="AK21" s="14" t="s">
        <v>1</v>
      </c>
      <c r="AL21" s="14" t="s">
        <v>1</v>
      </c>
      <c r="AM21" s="14" t="s">
        <v>1</v>
      </c>
      <c r="AN21" s="14" t="s">
        <v>1</v>
      </c>
      <c r="AO21" s="15" t="s">
        <v>1</v>
      </c>
      <c r="AP21" s="15" t="s">
        <v>1</v>
      </c>
      <c r="AQ21" s="15" t="s">
        <v>1</v>
      </c>
      <c r="AR21" s="15" t="s">
        <v>1</v>
      </c>
      <c r="AS21" s="16" t="s">
        <v>70</v>
      </c>
      <c r="AT21" s="16" t="s">
        <v>68</v>
      </c>
      <c r="AU21" s="16" t="s">
        <v>71</v>
      </c>
      <c r="AV21" s="16" t="s">
        <v>68</v>
      </c>
      <c r="AW21" s="17" t="s">
        <v>72</v>
      </c>
      <c r="AX21" s="17" t="s">
        <v>72</v>
      </c>
      <c r="AY21" s="17" t="s">
        <v>71</v>
      </c>
      <c r="AZ21" s="17" t="s">
        <v>72</v>
      </c>
      <c r="BA21" s="17" t="s">
        <v>72</v>
      </c>
      <c r="BB21" s="73" t="s">
        <v>185</v>
      </c>
      <c r="BC21" s="18" t="s">
        <v>1</v>
      </c>
      <c r="BD21" s="19" t="s">
        <v>82</v>
      </c>
      <c r="BE21" s="76" t="s">
        <v>68</v>
      </c>
      <c r="BF21" t="s">
        <v>260</v>
      </c>
    </row>
    <row r="22" spans="2:58" ht="49.5" hidden="1" x14ac:dyDescent="0.25">
      <c r="B22" s="1">
        <v>2017</v>
      </c>
      <c r="C22" s="1" t="s">
        <v>73</v>
      </c>
      <c r="D22" s="1" t="s">
        <v>78</v>
      </c>
      <c r="E22" s="2">
        <v>14390100016</v>
      </c>
      <c r="F22" s="2" t="s">
        <v>187</v>
      </c>
      <c r="G22" s="3" t="s">
        <v>68</v>
      </c>
      <c r="H22" s="4">
        <v>315947505</v>
      </c>
      <c r="I22" s="72" t="s">
        <v>68</v>
      </c>
      <c r="J22" s="6" t="s">
        <v>188</v>
      </c>
      <c r="K22" s="6" t="s">
        <v>189</v>
      </c>
      <c r="L22" s="4">
        <v>315947505</v>
      </c>
      <c r="M22" s="6" t="s">
        <v>74</v>
      </c>
      <c r="N22" s="6">
        <v>2</v>
      </c>
      <c r="O22" s="6">
        <v>12</v>
      </c>
      <c r="P22" s="7" t="s">
        <v>69</v>
      </c>
      <c r="Q22" s="7" t="s">
        <v>69</v>
      </c>
      <c r="R22" s="7" t="s">
        <v>69</v>
      </c>
      <c r="S22" s="7" t="s">
        <v>69</v>
      </c>
      <c r="T22" s="7" t="s">
        <v>69</v>
      </c>
      <c r="U22" s="8" t="s">
        <v>1</v>
      </c>
      <c r="V22" s="8" t="s">
        <v>69</v>
      </c>
      <c r="W22" s="9" t="s">
        <v>69</v>
      </c>
      <c r="X22" s="9" t="s">
        <v>69</v>
      </c>
      <c r="Y22" s="10" t="s">
        <v>1</v>
      </c>
      <c r="Z22" s="10" t="s">
        <v>69</v>
      </c>
      <c r="AA22" s="11" t="s">
        <v>69</v>
      </c>
      <c r="AB22" s="11" t="s">
        <v>69</v>
      </c>
      <c r="AC22" s="11" t="s">
        <v>69</v>
      </c>
      <c r="AD22" s="12" t="s">
        <v>69</v>
      </c>
      <c r="AE22" s="12" t="s">
        <v>69</v>
      </c>
      <c r="AF22" s="13" t="s">
        <v>69</v>
      </c>
      <c r="AG22" s="13" t="s">
        <v>69</v>
      </c>
      <c r="AH22" s="13" t="s">
        <v>1</v>
      </c>
      <c r="AI22" s="13" t="s">
        <v>69</v>
      </c>
      <c r="AJ22" s="14" t="s">
        <v>69</v>
      </c>
      <c r="AK22" s="14" t="s">
        <v>69</v>
      </c>
      <c r="AL22" s="14" t="s">
        <v>69</v>
      </c>
      <c r="AM22" s="14" t="s">
        <v>69</v>
      </c>
      <c r="AN22" s="14" t="s">
        <v>69</v>
      </c>
      <c r="AO22" s="15" t="s">
        <v>69</v>
      </c>
      <c r="AP22" s="15" t="s">
        <v>1</v>
      </c>
      <c r="AQ22" s="15" t="s">
        <v>69</v>
      </c>
      <c r="AR22" s="15" t="s">
        <v>69</v>
      </c>
      <c r="AS22" s="16" t="s">
        <v>76</v>
      </c>
      <c r="AT22" s="16" t="s">
        <v>68</v>
      </c>
      <c r="AU22" s="16" t="s">
        <v>72</v>
      </c>
      <c r="AV22" s="16" t="s">
        <v>68</v>
      </c>
      <c r="AW22" s="17" t="s">
        <v>71</v>
      </c>
      <c r="AX22" s="17" t="s">
        <v>71</v>
      </c>
      <c r="AY22" s="17" t="s">
        <v>72</v>
      </c>
      <c r="AZ22" s="17" t="s">
        <v>72</v>
      </c>
      <c r="BA22" s="17" t="s">
        <v>71</v>
      </c>
      <c r="BB22" s="17" t="s">
        <v>68</v>
      </c>
      <c r="BC22" s="18" t="s">
        <v>127</v>
      </c>
      <c r="BD22" s="19" t="s">
        <v>77</v>
      </c>
      <c r="BE22" s="76" t="s">
        <v>68</v>
      </c>
      <c r="BF22" t="s">
        <v>260</v>
      </c>
    </row>
    <row r="23" spans="2:58" ht="66" hidden="1" x14ac:dyDescent="0.25">
      <c r="B23" s="78">
        <v>2018</v>
      </c>
      <c r="C23" s="78" t="s">
        <v>235</v>
      </c>
      <c r="D23" s="92" t="s">
        <v>78</v>
      </c>
      <c r="E23" s="89">
        <v>14390100012</v>
      </c>
      <c r="F23" s="82" t="s">
        <v>243</v>
      </c>
      <c r="G23" s="3" t="s">
        <v>246</v>
      </c>
      <c r="H23" s="4" t="s">
        <v>247</v>
      </c>
      <c r="I23" s="93" t="s">
        <v>248</v>
      </c>
      <c r="J23" s="6" t="s">
        <v>244</v>
      </c>
      <c r="K23" s="6" t="s">
        <v>245</v>
      </c>
      <c r="L23" s="4" t="s">
        <v>247</v>
      </c>
      <c r="M23" s="6" t="s">
        <v>249</v>
      </c>
      <c r="N23" s="6">
        <v>5</v>
      </c>
      <c r="O23" s="6">
        <v>12</v>
      </c>
      <c r="P23" s="7" t="s">
        <v>1</v>
      </c>
      <c r="Q23" s="7" t="s">
        <v>1</v>
      </c>
      <c r="R23" s="7" t="s">
        <v>69</v>
      </c>
      <c r="S23" s="7" t="s">
        <v>1</v>
      </c>
      <c r="T23" s="7" t="s">
        <v>1</v>
      </c>
      <c r="U23" s="8" t="s">
        <v>69</v>
      </c>
      <c r="V23" s="8" t="s">
        <v>69</v>
      </c>
      <c r="W23" s="9" t="s">
        <v>1</v>
      </c>
      <c r="X23" s="9" t="s">
        <v>1</v>
      </c>
      <c r="Y23" s="10" t="s">
        <v>1</v>
      </c>
      <c r="Z23" s="10" t="s">
        <v>1</v>
      </c>
      <c r="AA23" s="11" t="s">
        <v>1</v>
      </c>
      <c r="AB23" s="11" t="s">
        <v>1</v>
      </c>
      <c r="AC23" s="11" t="s">
        <v>1</v>
      </c>
      <c r="AD23" s="12" t="s">
        <v>69</v>
      </c>
      <c r="AE23" s="12" t="s">
        <v>69</v>
      </c>
      <c r="AF23" s="13" t="s">
        <v>1</v>
      </c>
      <c r="AG23" s="13" t="s">
        <v>1</v>
      </c>
      <c r="AH23" s="13" t="s">
        <v>1</v>
      </c>
      <c r="AI23" s="13" t="s">
        <v>1</v>
      </c>
      <c r="AJ23" s="14" t="s">
        <v>1</v>
      </c>
      <c r="AK23" s="14" t="s">
        <v>1</v>
      </c>
      <c r="AL23" s="14" t="s">
        <v>1</v>
      </c>
      <c r="AM23" s="14" t="s">
        <v>1</v>
      </c>
      <c r="AN23" s="14" t="s">
        <v>1</v>
      </c>
      <c r="AO23" s="15" t="s">
        <v>1</v>
      </c>
      <c r="AP23" s="15" t="s">
        <v>1</v>
      </c>
      <c r="AQ23" s="15" t="s">
        <v>1</v>
      </c>
      <c r="AR23" s="15" t="s">
        <v>1</v>
      </c>
      <c r="AS23" s="16" t="s">
        <v>70</v>
      </c>
      <c r="AT23" s="16" t="s">
        <v>121</v>
      </c>
      <c r="AU23" s="16" t="s">
        <v>71</v>
      </c>
      <c r="AV23" s="16" t="s">
        <v>122</v>
      </c>
      <c r="AW23" s="17" t="s">
        <v>72</v>
      </c>
      <c r="AX23" s="17" t="s">
        <v>72</v>
      </c>
      <c r="AY23" s="17" t="s">
        <v>71</v>
      </c>
      <c r="AZ23" s="17" t="s">
        <v>71</v>
      </c>
      <c r="BA23" s="17" t="s">
        <v>71</v>
      </c>
      <c r="BB23" s="17" t="s">
        <v>123</v>
      </c>
      <c r="BC23" s="18" t="s">
        <v>1</v>
      </c>
      <c r="BD23" s="19" t="s">
        <v>251</v>
      </c>
      <c r="BE23" s="20" t="s">
        <v>250</v>
      </c>
      <c r="BF23" t="s">
        <v>260</v>
      </c>
    </row>
    <row r="24" spans="2:58" ht="16.5" hidden="1" x14ac:dyDescent="0.25">
      <c r="B24" s="71">
        <v>2019</v>
      </c>
      <c r="C24" s="1" t="s">
        <v>73</v>
      </c>
      <c r="D24" s="71" t="s">
        <v>78</v>
      </c>
      <c r="E24" s="75">
        <v>16390100014</v>
      </c>
      <c r="F24" s="75" t="s">
        <v>261</v>
      </c>
      <c r="G24" s="3" t="s">
        <v>253</v>
      </c>
      <c r="H24" s="97" t="s">
        <v>68</v>
      </c>
      <c r="I24" s="98" t="s">
        <v>68</v>
      </c>
      <c r="J24" s="3" t="s">
        <v>264</v>
      </c>
      <c r="K24" s="97" t="s">
        <v>267</v>
      </c>
      <c r="L24" s="97" t="s">
        <v>68</v>
      </c>
      <c r="M24" s="97" t="s">
        <v>270</v>
      </c>
      <c r="N24" s="6">
        <v>1</v>
      </c>
      <c r="O24" s="6">
        <v>3</v>
      </c>
      <c r="P24" s="7" t="s">
        <v>1</v>
      </c>
      <c r="Q24" s="7" t="s">
        <v>69</v>
      </c>
      <c r="R24" s="7" t="s">
        <v>1</v>
      </c>
      <c r="S24" s="7" t="s">
        <v>1</v>
      </c>
      <c r="T24" s="7" t="s">
        <v>1</v>
      </c>
      <c r="U24" s="8" t="s">
        <v>69</v>
      </c>
      <c r="V24" s="8" t="s">
        <v>1</v>
      </c>
      <c r="W24" s="9" t="s">
        <v>1</v>
      </c>
      <c r="X24" s="9" t="s">
        <v>1</v>
      </c>
      <c r="Y24" s="10" t="s">
        <v>1</v>
      </c>
      <c r="Z24" s="10" t="s">
        <v>1</v>
      </c>
      <c r="AA24" s="11" t="s">
        <v>1</v>
      </c>
      <c r="AB24" s="11" t="s">
        <v>1</v>
      </c>
      <c r="AC24" s="11" t="s">
        <v>1</v>
      </c>
      <c r="AD24" s="12" t="s">
        <v>1</v>
      </c>
      <c r="AE24" s="12" t="s">
        <v>1</v>
      </c>
      <c r="AF24" s="13" t="s">
        <v>1</v>
      </c>
      <c r="AG24" s="13" t="s">
        <v>1</v>
      </c>
      <c r="AH24" s="13" t="s">
        <v>1</v>
      </c>
      <c r="AI24" s="13" t="s">
        <v>1</v>
      </c>
      <c r="AJ24" s="14" t="s">
        <v>69</v>
      </c>
      <c r="AK24" s="14" t="s">
        <v>1</v>
      </c>
      <c r="AL24" s="14" t="s">
        <v>69</v>
      </c>
      <c r="AM24" s="14" t="s">
        <v>1</v>
      </c>
      <c r="AN24" s="14" t="s">
        <v>1</v>
      </c>
      <c r="AO24" s="15" t="s">
        <v>1</v>
      </c>
      <c r="AP24" s="15" t="s">
        <v>1</v>
      </c>
      <c r="AQ24" s="15" t="s">
        <v>1</v>
      </c>
      <c r="AR24" s="15" t="s">
        <v>1</v>
      </c>
      <c r="AS24" s="16" t="s">
        <v>71</v>
      </c>
      <c r="AT24" s="16" t="s">
        <v>241</v>
      </c>
      <c r="AU24" s="16" t="s">
        <v>71</v>
      </c>
      <c r="AV24" s="16" t="s">
        <v>68</v>
      </c>
      <c r="AW24" s="17" t="s">
        <v>71</v>
      </c>
      <c r="AX24" s="17" t="s">
        <v>71</v>
      </c>
      <c r="AY24" s="17" t="s">
        <v>71</v>
      </c>
      <c r="AZ24" s="17" t="s">
        <v>71</v>
      </c>
      <c r="BA24" s="17" t="s">
        <v>72</v>
      </c>
      <c r="BB24" s="17" t="s">
        <v>68</v>
      </c>
      <c r="BC24" s="18" t="s">
        <v>69</v>
      </c>
      <c r="BD24" s="19" t="s">
        <v>68</v>
      </c>
      <c r="BE24" s="20" t="s">
        <v>242</v>
      </c>
      <c r="BF24" t="s">
        <v>260</v>
      </c>
    </row>
    <row r="25" spans="2:58" ht="66" x14ac:dyDescent="0.25">
      <c r="B25" s="71">
        <v>2020</v>
      </c>
      <c r="C25" s="1" t="s">
        <v>73</v>
      </c>
      <c r="D25" s="71" t="s">
        <v>78</v>
      </c>
      <c r="E25" s="75">
        <v>17390100015</v>
      </c>
      <c r="F25" s="75" t="s">
        <v>252</v>
      </c>
      <c r="G25" s="3" t="s">
        <v>253</v>
      </c>
      <c r="H25" s="4" t="s">
        <v>257</v>
      </c>
      <c r="I25" s="93" t="s">
        <v>256</v>
      </c>
      <c r="J25" s="3" t="s">
        <v>254</v>
      </c>
      <c r="K25" s="6" t="s">
        <v>255</v>
      </c>
      <c r="L25" s="4" t="s">
        <v>257</v>
      </c>
      <c r="M25" s="6" t="s">
        <v>258</v>
      </c>
      <c r="N25" s="6">
        <v>1</v>
      </c>
      <c r="O25" s="6">
        <v>6</v>
      </c>
      <c r="P25" s="21" t="s">
        <v>69</v>
      </c>
      <c r="Q25" s="21" t="s">
        <v>1</v>
      </c>
      <c r="R25" s="21" t="s">
        <v>1</v>
      </c>
      <c r="S25" s="21" t="s">
        <v>1</v>
      </c>
      <c r="T25" s="21" t="s">
        <v>1</v>
      </c>
      <c r="U25" s="22" t="s">
        <v>69</v>
      </c>
      <c r="V25" s="22" t="s">
        <v>1</v>
      </c>
      <c r="W25" s="9" t="s">
        <v>1</v>
      </c>
      <c r="X25" s="9" t="s">
        <v>1</v>
      </c>
      <c r="Y25" s="10" t="s">
        <v>69</v>
      </c>
      <c r="Z25" s="10" t="s">
        <v>69</v>
      </c>
      <c r="AA25" s="11" t="s">
        <v>1</v>
      </c>
      <c r="AB25" s="11" t="s">
        <v>1</v>
      </c>
      <c r="AC25" s="11" t="s">
        <v>1</v>
      </c>
      <c r="AD25" s="12" t="s">
        <v>1</v>
      </c>
      <c r="AE25" s="12" t="s">
        <v>1</v>
      </c>
      <c r="AF25" s="13" t="s">
        <v>1</v>
      </c>
      <c r="AG25" s="13" t="s">
        <v>1</v>
      </c>
      <c r="AH25" s="13" t="s">
        <v>75</v>
      </c>
      <c r="AI25" s="13" t="s">
        <v>75</v>
      </c>
      <c r="AJ25" s="23" t="s">
        <v>1</v>
      </c>
      <c r="AK25" s="23" t="s">
        <v>1</v>
      </c>
      <c r="AL25" s="23" t="s">
        <v>69</v>
      </c>
      <c r="AM25" s="23" t="s">
        <v>1</v>
      </c>
      <c r="AN25" s="23" t="s">
        <v>1</v>
      </c>
      <c r="AO25" s="24" t="s">
        <v>1</v>
      </c>
      <c r="AP25" s="24" t="s">
        <v>1</v>
      </c>
      <c r="AQ25" s="24" t="s">
        <v>69</v>
      </c>
      <c r="AR25" s="24" t="s">
        <v>1</v>
      </c>
      <c r="AS25" s="16" t="s">
        <v>70</v>
      </c>
      <c r="AT25" s="16" t="s">
        <v>70</v>
      </c>
      <c r="AU25" s="16" t="s">
        <v>71</v>
      </c>
      <c r="AV25" s="16" t="s">
        <v>71</v>
      </c>
      <c r="AW25" s="17" t="s">
        <v>71</v>
      </c>
      <c r="AX25" s="17" t="s">
        <v>71</v>
      </c>
      <c r="AY25" s="17" t="s">
        <v>71</v>
      </c>
      <c r="AZ25" s="25" t="s">
        <v>72</v>
      </c>
      <c r="BA25" s="17" t="s">
        <v>69</v>
      </c>
      <c r="BB25" s="17" t="s">
        <v>68</v>
      </c>
      <c r="BC25" s="18" t="s">
        <v>68</v>
      </c>
      <c r="BD25" s="19" t="s">
        <v>68</v>
      </c>
      <c r="BE25" s="20" t="s">
        <v>68</v>
      </c>
      <c r="BF25" t="s">
        <v>260</v>
      </c>
    </row>
    <row r="26" spans="2:58" ht="66" hidden="1" x14ac:dyDescent="0.25">
      <c r="B26" s="1">
        <v>2016</v>
      </c>
      <c r="C26" s="1" t="s">
        <v>73</v>
      </c>
      <c r="D26" s="1" t="s">
        <v>78</v>
      </c>
      <c r="E26" s="2">
        <v>13390100021</v>
      </c>
      <c r="F26" s="2" t="s">
        <v>108</v>
      </c>
      <c r="G26" s="3" t="s">
        <v>109</v>
      </c>
      <c r="H26" s="4" t="s">
        <v>110</v>
      </c>
      <c r="I26" s="5"/>
      <c r="J26" s="6" t="s">
        <v>111</v>
      </c>
      <c r="K26" s="6" t="s">
        <v>112</v>
      </c>
      <c r="L26" s="6"/>
      <c r="M26" s="6" t="s">
        <v>113</v>
      </c>
      <c r="N26" s="6">
        <v>1</v>
      </c>
      <c r="O26" s="6">
        <v>12</v>
      </c>
      <c r="P26" s="7" t="s">
        <v>1</v>
      </c>
      <c r="Q26" s="7" t="s">
        <v>69</v>
      </c>
      <c r="R26" s="7" t="s">
        <v>1</v>
      </c>
      <c r="S26" s="7" t="s">
        <v>69</v>
      </c>
      <c r="T26" s="7" t="s">
        <v>69</v>
      </c>
      <c r="U26" s="8" t="s">
        <v>1</v>
      </c>
      <c r="V26" s="8" t="s">
        <v>1</v>
      </c>
      <c r="W26" s="9" t="s">
        <v>1</v>
      </c>
      <c r="X26" s="9" t="s">
        <v>1</v>
      </c>
      <c r="Y26" s="10" t="s">
        <v>69</v>
      </c>
      <c r="Z26" s="10" t="s">
        <v>1</v>
      </c>
      <c r="AA26" s="11" t="s">
        <v>69</v>
      </c>
      <c r="AB26" s="11" t="s">
        <v>1</v>
      </c>
      <c r="AC26" s="11" t="s">
        <v>1</v>
      </c>
      <c r="AD26" s="12" t="s">
        <v>1</v>
      </c>
      <c r="AE26" s="12" t="s">
        <v>1</v>
      </c>
      <c r="AF26" s="13" t="s">
        <v>69</v>
      </c>
      <c r="AG26" s="13" t="s">
        <v>1</v>
      </c>
      <c r="AH26" s="13" t="s">
        <v>69</v>
      </c>
      <c r="AI26" s="13" t="s">
        <v>1</v>
      </c>
      <c r="AJ26" s="14" t="s">
        <v>1</v>
      </c>
      <c r="AK26" s="14" t="s">
        <v>69</v>
      </c>
      <c r="AL26" s="14" t="s">
        <v>1</v>
      </c>
      <c r="AM26" s="14" t="s">
        <v>1</v>
      </c>
      <c r="AN26" s="14" t="s">
        <v>1</v>
      </c>
      <c r="AO26" s="15" t="s">
        <v>1</v>
      </c>
      <c r="AP26" s="15" t="s">
        <v>1</v>
      </c>
      <c r="AQ26" s="15" t="s">
        <v>1</v>
      </c>
      <c r="AR26" s="15" t="s">
        <v>1</v>
      </c>
      <c r="AS26" s="16" t="s">
        <v>70</v>
      </c>
      <c r="AT26" s="16"/>
      <c r="AU26" s="16" t="s">
        <v>71</v>
      </c>
      <c r="AV26" s="16"/>
      <c r="AW26" s="17" t="s">
        <v>72</v>
      </c>
      <c r="AX26" s="17" t="s">
        <v>72</v>
      </c>
      <c r="AY26" s="17" t="s">
        <v>72</v>
      </c>
      <c r="AZ26" s="17" t="s">
        <v>71</v>
      </c>
      <c r="BA26" s="17" t="s">
        <v>72</v>
      </c>
      <c r="BB26" s="17"/>
      <c r="BC26" s="18" t="s">
        <v>1</v>
      </c>
      <c r="BD26" s="19" t="s">
        <v>82</v>
      </c>
      <c r="BE26" s="20" t="s">
        <v>114</v>
      </c>
      <c r="BF26" t="s">
        <v>260</v>
      </c>
    </row>
    <row r="27" spans="2:58" ht="66" x14ac:dyDescent="0.25">
      <c r="B27" s="71">
        <v>2020</v>
      </c>
      <c r="C27" s="1" t="s">
        <v>73</v>
      </c>
      <c r="D27" s="71" t="s">
        <v>78</v>
      </c>
      <c r="E27" s="75">
        <v>17390100015</v>
      </c>
      <c r="F27" s="75" t="s">
        <v>252</v>
      </c>
      <c r="G27" s="3" t="s">
        <v>253</v>
      </c>
      <c r="H27" s="4" t="s">
        <v>257</v>
      </c>
      <c r="I27" s="93" t="s">
        <v>256</v>
      </c>
      <c r="J27" s="3" t="s">
        <v>254</v>
      </c>
      <c r="K27" s="6" t="s">
        <v>255</v>
      </c>
      <c r="L27" s="4" t="s">
        <v>257</v>
      </c>
      <c r="M27" s="6" t="s">
        <v>258</v>
      </c>
      <c r="N27" s="6">
        <v>1</v>
      </c>
      <c r="O27" s="6">
        <v>6</v>
      </c>
      <c r="P27" s="21" t="s">
        <v>69</v>
      </c>
      <c r="Q27" s="21" t="s">
        <v>1</v>
      </c>
      <c r="R27" s="21" t="s">
        <v>1</v>
      </c>
      <c r="S27" s="21" t="s">
        <v>1</v>
      </c>
      <c r="T27" s="21" t="s">
        <v>1</v>
      </c>
      <c r="U27" s="22" t="s">
        <v>69</v>
      </c>
      <c r="V27" s="22" t="s">
        <v>1</v>
      </c>
      <c r="W27" s="9" t="s">
        <v>1</v>
      </c>
      <c r="X27" s="9" t="s">
        <v>1</v>
      </c>
      <c r="Y27" s="10" t="s">
        <v>69</v>
      </c>
      <c r="Z27" s="10" t="s">
        <v>69</v>
      </c>
      <c r="AA27" s="11" t="s">
        <v>1</v>
      </c>
      <c r="AB27" s="11" t="s">
        <v>1</v>
      </c>
      <c r="AC27" s="11" t="s">
        <v>1</v>
      </c>
      <c r="AD27" s="12" t="s">
        <v>1</v>
      </c>
      <c r="AE27" s="12" t="s">
        <v>1</v>
      </c>
      <c r="AF27" s="13" t="s">
        <v>1</v>
      </c>
      <c r="AG27" s="13" t="s">
        <v>1</v>
      </c>
      <c r="AH27" s="13" t="s">
        <v>75</v>
      </c>
      <c r="AI27" s="13" t="s">
        <v>75</v>
      </c>
      <c r="AJ27" s="23" t="s">
        <v>1</v>
      </c>
      <c r="AK27" s="23" t="s">
        <v>1</v>
      </c>
      <c r="AL27" s="23" t="s">
        <v>69</v>
      </c>
      <c r="AM27" s="23" t="s">
        <v>1</v>
      </c>
      <c r="AN27" s="23" t="s">
        <v>1</v>
      </c>
      <c r="AO27" s="24" t="s">
        <v>1</v>
      </c>
      <c r="AP27" s="24" t="s">
        <v>1</v>
      </c>
      <c r="AQ27" s="24" t="s">
        <v>69</v>
      </c>
      <c r="AR27" s="24" t="s">
        <v>1</v>
      </c>
      <c r="AS27" s="16" t="s">
        <v>70</v>
      </c>
      <c r="AT27" s="16" t="s">
        <v>70</v>
      </c>
      <c r="AU27" s="16" t="s">
        <v>71</v>
      </c>
      <c r="AV27" s="16" t="s">
        <v>71</v>
      </c>
      <c r="AW27" s="17" t="s">
        <v>71</v>
      </c>
      <c r="AX27" s="17" t="s">
        <v>71</v>
      </c>
      <c r="AY27" s="17" t="s">
        <v>71</v>
      </c>
      <c r="AZ27" s="25" t="s">
        <v>72</v>
      </c>
      <c r="BA27" s="17" t="s">
        <v>69</v>
      </c>
      <c r="BB27" s="17" t="s">
        <v>68</v>
      </c>
      <c r="BC27" s="18" t="s">
        <v>68</v>
      </c>
      <c r="BD27" s="19" t="s">
        <v>68</v>
      </c>
      <c r="BE27" s="20" t="s">
        <v>68</v>
      </c>
      <c r="BF27" t="s">
        <v>260</v>
      </c>
    </row>
    <row r="28" spans="2:58" ht="66" hidden="1" x14ac:dyDescent="0.25">
      <c r="B28" s="1">
        <v>2016</v>
      </c>
      <c r="C28" s="1" t="s">
        <v>73</v>
      </c>
      <c r="D28" s="1" t="s">
        <v>78</v>
      </c>
      <c r="E28" s="2">
        <v>13390100021</v>
      </c>
      <c r="F28" s="2" t="s">
        <v>108</v>
      </c>
      <c r="G28" s="3" t="s">
        <v>109</v>
      </c>
      <c r="H28" s="4" t="s">
        <v>110</v>
      </c>
      <c r="I28" s="5"/>
      <c r="J28" s="6" t="s">
        <v>111</v>
      </c>
      <c r="K28" s="6" t="s">
        <v>112</v>
      </c>
      <c r="L28" s="6"/>
      <c r="M28" s="6" t="s">
        <v>113</v>
      </c>
      <c r="N28" s="6">
        <v>1</v>
      </c>
      <c r="O28" s="6">
        <v>12</v>
      </c>
      <c r="P28" s="7" t="s">
        <v>1</v>
      </c>
      <c r="Q28" s="7" t="s">
        <v>69</v>
      </c>
      <c r="R28" s="7" t="s">
        <v>1</v>
      </c>
      <c r="S28" s="7" t="s">
        <v>69</v>
      </c>
      <c r="T28" s="7" t="s">
        <v>69</v>
      </c>
      <c r="U28" s="8" t="s">
        <v>1</v>
      </c>
      <c r="V28" s="8" t="s">
        <v>1</v>
      </c>
      <c r="W28" s="9" t="s">
        <v>1</v>
      </c>
      <c r="X28" s="9" t="s">
        <v>1</v>
      </c>
      <c r="Y28" s="10" t="s">
        <v>69</v>
      </c>
      <c r="Z28" s="10" t="s">
        <v>1</v>
      </c>
      <c r="AA28" s="11" t="s">
        <v>69</v>
      </c>
      <c r="AB28" s="11" t="s">
        <v>1</v>
      </c>
      <c r="AC28" s="11" t="s">
        <v>1</v>
      </c>
      <c r="AD28" s="12" t="s">
        <v>1</v>
      </c>
      <c r="AE28" s="12" t="s">
        <v>1</v>
      </c>
      <c r="AF28" s="13" t="s">
        <v>69</v>
      </c>
      <c r="AG28" s="13" t="s">
        <v>1</v>
      </c>
      <c r="AH28" s="13" t="s">
        <v>69</v>
      </c>
      <c r="AI28" s="13" t="s">
        <v>1</v>
      </c>
      <c r="AJ28" s="14" t="s">
        <v>1</v>
      </c>
      <c r="AK28" s="14" t="s">
        <v>69</v>
      </c>
      <c r="AL28" s="14" t="s">
        <v>1</v>
      </c>
      <c r="AM28" s="14" t="s">
        <v>1</v>
      </c>
      <c r="AN28" s="14" t="s">
        <v>1</v>
      </c>
      <c r="AO28" s="15" t="s">
        <v>1</v>
      </c>
      <c r="AP28" s="15" t="s">
        <v>1</v>
      </c>
      <c r="AQ28" s="15" t="s">
        <v>1</v>
      </c>
      <c r="AR28" s="15" t="s">
        <v>1</v>
      </c>
      <c r="AS28" s="16" t="s">
        <v>70</v>
      </c>
      <c r="AT28" s="16"/>
      <c r="AU28" s="16" t="s">
        <v>71</v>
      </c>
      <c r="AV28" s="16"/>
      <c r="AW28" s="17" t="s">
        <v>72</v>
      </c>
      <c r="AX28" s="17" t="s">
        <v>72</v>
      </c>
      <c r="AY28" s="17" t="s">
        <v>72</v>
      </c>
      <c r="AZ28" s="17" t="s">
        <v>71</v>
      </c>
      <c r="BA28" s="17" t="s">
        <v>72</v>
      </c>
      <c r="BB28" s="17"/>
      <c r="BC28" s="18" t="s">
        <v>1</v>
      </c>
      <c r="BD28" s="19" t="s">
        <v>82</v>
      </c>
      <c r="BE28" s="20" t="s">
        <v>114</v>
      </c>
      <c r="BF28" t="s">
        <v>260</v>
      </c>
    </row>
    <row r="30" spans="2:58" ht="23.25" x14ac:dyDescent="0.35">
      <c r="B30" s="49"/>
    </row>
    <row r="31" spans="2:58" ht="17.25" hidden="1" thickBot="1" x14ac:dyDescent="0.3">
      <c r="B31" s="50" t="s">
        <v>14</v>
      </c>
      <c r="C31" s="51" t="s">
        <v>259</v>
      </c>
    </row>
    <row r="32" spans="2:58" ht="17.25" hidden="1" thickBot="1" x14ac:dyDescent="0.3">
      <c r="B32" s="50" t="s">
        <v>129</v>
      </c>
      <c r="C32" s="51">
        <v>2020</v>
      </c>
      <c r="D32" s="51">
        <v>2019</v>
      </c>
      <c r="E32" s="51">
        <v>2018</v>
      </c>
      <c r="F32" s="51">
        <v>2017</v>
      </c>
      <c r="G32" s="51">
        <v>2016</v>
      </c>
    </row>
    <row r="33" spans="2:7" ht="17.25" hidden="1" thickBot="1" x14ac:dyDescent="0.3">
      <c r="B33" s="50" t="s">
        <v>128</v>
      </c>
      <c r="C33" s="51">
        <f>COUNTIF(TblUniv201968[th lulus],C32)+COUNTIF(TblUniv201968[th lulus],D32)+COUNTIF(TblUniv201968[th lulus],E32)+COUNTIF(TblUniv201968[th lulus],F32)+COUNTIF(TblUniv201968[th lulus],G32)</f>
        <v>26</v>
      </c>
    </row>
    <row r="34" spans="2:7" ht="16.5" hidden="1" x14ac:dyDescent="0.3">
      <c r="B34" s="41"/>
      <c r="C34" s="42" t="s">
        <v>69</v>
      </c>
      <c r="D34" s="42" t="s">
        <v>1</v>
      </c>
      <c r="E34" s="42" t="s">
        <v>75</v>
      </c>
      <c r="F34" s="42" t="s">
        <v>117</v>
      </c>
      <c r="G34" s="42"/>
    </row>
    <row r="35" spans="2:7" ht="16.5" hidden="1" x14ac:dyDescent="0.3">
      <c r="B35" s="43" t="s">
        <v>26</v>
      </c>
      <c r="C35" s="52">
        <f>COUNTIFS(TblUniv201968[B1],$C$34)/$C$33*100%</f>
        <v>0.34615384615384615</v>
      </c>
      <c r="D35" s="52">
        <f>COUNTIFS(TblUniv201968[B1],$D$34)/C33*100%</f>
        <v>0.65384615384615385</v>
      </c>
      <c r="E35" s="52">
        <f>COUNTIFS(TblUniv201968[B1],$E$34)/C33*100%</f>
        <v>0</v>
      </c>
      <c r="F35" s="52">
        <f>COUNTIFS(TblUniv201968[B1],$F$34)/C33*100%</f>
        <v>0</v>
      </c>
      <c r="G35" s="48">
        <f t="shared" ref="G35:G72" si="0">SUM(C35:F35)</f>
        <v>1</v>
      </c>
    </row>
    <row r="36" spans="2:7" ht="16.5" hidden="1" x14ac:dyDescent="0.3">
      <c r="B36" s="43" t="s">
        <v>27</v>
      </c>
      <c r="C36" s="52">
        <f>COUNTIFS(TblUniv201968[B2],$C$34)/C33*100%</f>
        <v>0.5</v>
      </c>
      <c r="D36" s="52">
        <f>COUNTIFS(TblUniv201968[B2],$D$34)/C33*100%</f>
        <v>0.5</v>
      </c>
      <c r="E36" s="52">
        <f>COUNTIFS(TblUniv201968[B2],$E$34)/C33*100%</f>
        <v>0</v>
      </c>
      <c r="F36" s="52">
        <f>COUNTIFS(TblUniv201968[B2],$F$34)/C33*100%</f>
        <v>0</v>
      </c>
      <c r="G36" s="48">
        <f t="shared" si="0"/>
        <v>1</v>
      </c>
    </row>
    <row r="37" spans="2:7" ht="16.5" hidden="1" x14ac:dyDescent="0.3">
      <c r="B37" s="43" t="s">
        <v>28</v>
      </c>
      <c r="C37" s="52">
        <f>COUNTIFS(TblUniv201968[B3],$C$34)/C33*100%</f>
        <v>0.23076923076923078</v>
      </c>
      <c r="D37" s="52">
        <f>COUNTIFS(TblUniv201968[B3],$D$34)/C33*100%</f>
        <v>0.76923076923076927</v>
      </c>
      <c r="E37" s="52">
        <f>COUNTIFS(TblUniv201968[B3],$E$34)/C33*100%</f>
        <v>0</v>
      </c>
      <c r="F37" s="52">
        <f>COUNTIFS(TblUniv201968[B3],$F$34)/C33*100%</f>
        <v>0</v>
      </c>
      <c r="G37" s="48">
        <f t="shared" si="0"/>
        <v>1</v>
      </c>
    </row>
    <row r="38" spans="2:7" ht="16.5" hidden="1" x14ac:dyDescent="0.3">
      <c r="B38" s="43" t="s">
        <v>29</v>
      </c>
      <c r="C38" s="52">
        <f>COUNTIFS(TblUniv201968[B4],$C$34)/C33*100%</f>
        <v>0.19230769230769232</v>
      </c>
      <c r="D38" s="52">
        <f>COUNTIFS(TblUniv201968[B4],$D$34)/C33*100%</f>
        <v>0.80769230769230771</v>
      </c>
      <c r="E38" s="52">
        <f>COUNTIFS(TblUniv201968[B4],$E$34)/C33*100%</f>
        <v>0</v>
      </c>
      <c r="F38" s="52">
        <f>COUNTIFS(TblUniv201968[B4],$F$34)/C33*100%</f>
        <v>0</v>
      </c>
      <c r="G38" s="48">
        <f t="shared" si="0"/>
        <v>1</v>
      </c>
    </row>
    <row r="39" spans="2:7" ht="16.5" hidden="1" x14ac:dyDescent="0.3">
      <c r="B39" s="43" t="s">
        <v>30</v>
      </c>
      <c r="C39" s="52">
        <f>COUNTIFS(TblUniv201968[B5],$C$34)/C33*100%</f>
        <v>0.5</v>
      </c>
      <c r="D39" s="52">
        <f>COUNTIFS(TblUniv201968[B5],$D$34)/C33*100%</f>
        <v>0.5</v>
      </c>
      <c r="E39" s="52">
        <f>COUNTIFS(TblUniv201968[B5],$E$34)/C33*100%</f>
        <v>0</v>
      </c>
      <c r="F39" s="52">
        <f>COUNTIFS(TblUniv201968[B5],$F$34)/C33*100%</f>
        <v>0</v>
      </c>
      <c r="G39" s="48">
        <f t="shared" si="0"/>
        <v>1</v>
      </c>
    </row>
    <row r="40" spans="2:7" ht="16.5" hidden="1" x14ac:dyDescent="0.3">
      <c r="B40" s="46"/>
      <c r="C40" s="47">
        <f>AVERAGE(C35:C39)</f>
        <v>0.35384615384615381</v>
      </c>
      <c r="D40" s="47">
        <f>AVERAGE(D35:D39)</f>
        <v>0.64615384615384619</v>
      </c>
      <c r="E40" s="47">
        <f>AVERAGE(E35:E39)</f>
        <v>0</v>
      </c>
      <c r="F40" s="47">
        <f>AVERAGE(F35:F39)</f>
        <v>0</v>
      </c>
      <c r="G40" s="48">
        <f t="shared" si="0"/>
        <v>1</v>
      </c>
    </row>
    <row r="41" spans="2:7" ht="16.5" hidden="1" x14ac:dyDescent="0.3">
      <c r="B41" s="43" t="s">
        <v>31</v>
      </c>
      <c r="C41" s="52">
        <f>COUNTIFS(TblUniv201968[C1],$C$34)/$C$33*100%</f>
        <v>0.34615384615384615</v>
      </c>
      <c r="D41" s="52">
        <f>COUNTIFS(TblUniv201968[C1],$D$34)/$C$33*100%</f>
        <v>0.65384615384615385</v>
      </c>
      <c r="E41" s="52">
        <f>COUNTIFS(TblUniv201968[C1],$E$34)/$C$33*100%</f>
        <v>0</v>
      </c>
      <c r="F41" s="52">
        <f>COUNTIFS(TblUniv201968[C1],$F$34)/$C$33*100%</f>
        <v>0</v>
      </c>
      <c r="G41" s="48">
        <f t="shared" si="0"/>
        <v>1</v>
      </c>
    </row>
    <row r="42" spans="2:7" ht="16.5" hidden="1" x14ac:dyDescent="0.3">
      <c r="B42" s="43" t="s">
        <v>32</v>
      </c>
      <c r="C42" s="52">
        <f>COUNTIFS(TblUniv201968[C2],C$34)/$C$33*100%</f>
        <v>0.46153846153846156</v>
      </c>
      <c r="D42" s="52">
        <f>COUNTIFS(TblUniv201968[C2],D$34)/$C$33*100%</f>
        <v>0.53846153846153844</v>
      </c>
      <c r="E42" s="52">
        <f>COUNTIFS(TblUniv201968[C2],E$34)/$C$33*100%</f>
        <v>0</v>
      </c>
      <c r="F42" s="52">
        <f>COUNTIFS(TblUniv201968[C2],F$34)/$C$33*100%</f>
        <v>0</v>
      </c>
      <c r="G42" s="48">
        <f t="shared" si="0"/>
        <v>1</v>
      </c>
    </row>
    <row r="43" spans="2:7" ht="16.5" hidden="1" x14ac:dyDescent="0.3">
      <c r="B43" s="46"/>
      <c r="C43" s="47">
        <f>AVERAGE(C41:C42)</f>
        <v>0.40384615384615385</v>
      </c>
      <c r="D43" s="47">
        <f>AVERAGE(D41:D42)</f>
        <v>0.59615384615384615</v>
      </c>
      <c r="E43" s="47">
        <f>AVERAGE(E41:E42)</f>
        <v>0</v>
      </c>
      <c r="F43" s="47">
        <f>AVERAGE(F41:F42)</f>
        <v>0</v>
      </c>
      <c r="G43" s="48">
        <f t="shared" si="0"/>
        <v>1</v>
      </c>
    </row>
    <row r="44" spans="2:7" ht="16.5" hidden="1" x14ac:dyDescent="0.3">
      <c r="B44" s="43" t="s">
        <v>33</v>
      </c>
      <c r="C44" s="52">
        <f>COUNTIFS(TblUniv201968[D1],C$34)/$C$33*100%</f>
        <v>7.6923076923076927E-2</v>
      </c>
      <c r="D44" s="52">
        <f>COUNTIFS(TblUniv201968[D1],D$34)/$C$33*100%</f>
        <v>0.76923076923076927</v>
      </c>
      <c r="E44" s="52">
        <f>COUNTIFS(TblUniv201968[D1],E$34)/$C$33*100%</f>
        <v>0.15384615384615385</v>
      </c>
      <c r="F44" s="52">
        <f>COUNTIFS(TblUniv201968[D1],F$34)/$C$33*100%</f>
        <v>0</v>
      </c>
      <c r="G44" s="48">
        <f t="shared" si="0"/>
        <v>1</v>
      </c>
    </row>
    <row r="45" spans="2:7" ht="16.5" hidden="1" x14ac:dyDescent="0.3">
      <c r="B45" s="43" t="s">
        <v>34</v>
      </c>
      <c r="C45" s="52">
        <f>COUNTIFS(TblUniv201968[D2],C$34)/$C$33*100%</f>
        <v>7.6923076923076927E-2</v>
      </c>
      <c r="D45" s="52">
        <f>COUNTIFS(TblUniv201968[D2],D$34)/$C$33*100%</f>
        <v>0.76923076923076927</v>
      </c>
      <c r="E45" s="52">
        <f>COUNTIFS(TblUniv201968[D2],E$34)/$C$33*100%</f>
        <v>0.15384615384615385</v>
      </c>
      <c r="F45" s="52">
        <f>COUNTIFS(TblUniv201968[D2],F$34)/$C$33*100%</f>
        <v>0</v>
      </c>
      <c r="G45" s="48">
        <f t="shared" si="0"/>
        <v>1</v>
      </c>
    </row>
    <row r="46" spans="2:7" ht="16.5" hidden="1" x14ac:dyDescent="0.3">
      <c r="B46" s="46"/>
      <c r="C46" s="47">
        <f>AVERAGE(C44:C45)</f>
        <v>7.6923076923076927E-2</v>
      </c>
      <c r="D46" s="47">
        <f>AVERAGE(D44:D45)</f>
        <v>0.76923076923076927</v>
      </c>
      <c r="E46" s="47">
        <f>AVERAGE(E44:E45)</f>
        <v>0.15384615384615385</v>
      </c>
      <c r="F46" s="47">
        <f>AVERAGE(F44:F45)</f>
        <v>0</v>
      </c>
      <c r="G46" s="48">
        <f t="shared" si="0"/>
        <v>1</v>
      </c>
    </row>
    <row r="47" spans="2:7" ht="16.5" hidden="1" x14ac:dyDescent="0.3">
      <c r="B47" s="43" t="s">
        <v>35</v>
      </c>
      <c r="C47" s="52">
        <f>COUNTIFS(TblUniv201968[E1],C$34)/$C$33*100%</f>
        <v>0.61538461538461542</v>
      </c>
      <c r="D47" s="52">
        <f>COUNTIFS(TblUniv201968[E1],D$34)/$C$33*100%</f>
        <v>0.38461538461538464</v>
      </c>
      <c r="E47" s="52">
        <f>COUNTIFS(TblUniv201968[E1],E$34)/$C$33*100%</f>
        <v>0</v>
      </c>
      <c r="F47" s="52">
        <f>COUNTIFS(TblUniv201968[E1],F$34)/$C$33*100%</f>
        <v>0</v>
      </c>
      <c r="G47" s="48">
        <f t="shared" si="0"/>
        <v>1</v>
      </c>
    </row>
    <row r="48" spans="2:7" ht="16.5" hidden="1" x14ac:dyDescent="0.3">
      <c r="B48" s="43" t="s">
        <v>36</v>
      </c>
      <c r="C48" s="52">
        <f>COUNTIFS(TblUniv201968[E2],C$34)/$C$33*100%</f>
        <v>0.42307692307692307</v>
      </c>
      <c r="D48" s="52">
        <f>COUNTIFS(TblUniv201968[E2],D$34)/$C$33*100%</f>
        <v>0.57692307692307687</v>
      </c>
      <c r="E48" s="52">
        <f>COUNTIFS(TblUniv201968[E2],E$34)/$C$33*100%</f>
        <v>0</v>
      </c>
      <c r="F48" s="52">
        <f>COUNTIFS(TblUniv201968[E2],F$34)/$C$33*100%</f>
        <v>0</v>
      </c>
      <c r="G48" s="48">
        <f t="shared" si="0"/>
        <v>1</v>
      </c>
    </row>
    <row r="49" spans="2:7" ht="16.5" hidden="1" x14ac:dyDescent="0.3">
      <c r="B49" s="46"/>
      <c r="C49" s="47">
        <f>AVERAGE(C47:C48)</f>
        <v>0.51923076923076927</v>
      </c>
      <c r="D49" s="47">
        <f>AVERAGE(D47:D48)</f>
        <v>0.48076923076923073</v>
      </c>
      <c r="E49" s="47">
        <f>AVERAGE(E47:E48)</f>
        <v>0</v>
      </c>
      <c r="F49" s="47">
        <f>AVERAGE(F47:F48)</f>
        <v>0</v>
      </c>
      <c r="G49" s="48">
        <f t="shared" si="0"/>
        <v>1</v>
      </c>
    </row>
    <row r="50" spans="2:7" ht="16.5" hidden="1" x14ac:dyDescent="0.3">
      <c r="B50" s="43" t="s">
        <v>37</v>
      </c>
      <c r="C50" s="52">
        <f>COUNTIFS(TblUniv201968[F1],C$34)/$C$33*100%</f>
        <v>0.34615384615384615</v>
      </c>
      <c r="D50" s="52">
        <f>COUNTIFS(TblUniv201968[F1],D$34)/$C$33*100%</f>
        <v>0.65384615384615385</v>
      </c>
      <c r="E50" s="52">
        <f>COUNTIFS(TblUniv201968[F1],E$34)/$C$33*100%</f>
        <v>0</v>
      </c>
      <c r="F50" s="52">
        <f>COUNTIFS(TblUniv201968[F1],F$34)/$C$33*100%</f>
        <v>0</v>
      </c>
      <c r="G50" s="48">
        <f t="shared" si="0"/>
        <v>1</v>
      </c>
    </row>
    <row r="51" spans="2:7" ht="16.5" hidden="1" x14ac:dyDescent="0.3">
      <c r="B51" s="43" t="s">
        <v>38</v>
      </c>
      <c r="C51" s="52">
        <f>COUNTIFS(TblUniv201968[F2],C$34)/$C$33*100%</f>
        <v>0.23076923076923078</v>
      </c>
      <c r="D51" s="52">
        <f>COUNTIFS(TblUniv201968[F2],D$34)/$C$33*100%</f>
        <v>0.76923076923076927</v>
      </c>
      <c r="E51" s="52">
        <f>COUNTIFS(TblUniv201968[F2],E$34)/$C$33*100%</f>
        <v>0</v>
      </c>
      <c r="F51" s="52">
        <f>COUNTIFS(TblUniv201968[F2],F$34)/$C$33*100%</f>
        <v>0</v>
      </c>
      <c r="G51" s="48">
        <f t="shared" si="0"/>
        <v>1</v>
      </c>
    </row>
    <row r="52" spans="2:7" ht="16.5" hidden="1" x14ac:dyDescent="0.3">
      <c r="B52" s="43" t="s">
        <v>39</v>
      </c>
      <c r="C52" s="52">
        <f>COUNTIFS(TblUniv201968[F3],C$34)/$C$33*100%</f>
        <v>0.23076923076923078</v>
      </c>
      <c r="D52" s="52">
        <f>COUNTIFS(TblUniv201968[F3],D$34)/$C$33*100%</f>
        <v>0.76923076923076927</v>
      </c>
      <c r="E52" s="52">
        <f>COUNTIFS(TblUniv201968[F3],E$34)/$C$33*100%</f>
        <v>0</v>
      </c>
      <c r="F52" s="52">
        <f>COUNTIFS(TblUniv201968[F3],F$34)/$C$33*100%</f>
        <v>0</v>
      </c>
      <c r="G52" s="48">
        <f t="shared" si="0"/>
        <v>1</v>
      </c>
    </row>
    <row r="53" spans="2:7" ht="16.5" hidden="1" x14ac:dyDescent="0.3">
      <c r="B53" s="46"/>
      <c r="C53" s="47">
        <f>AVERAGE(C50:C52)</f>
        <v>0.26923076923076922</v>
      </c>
      <c r="D53" s="47">
        <f>AVERAGE(D50:D52)</f>
        <v>0.73076923076923084</v>
      </c>
      <c r="E53" s="47">
        <f>AVERAGE(E50:E52)</f>
        <v>0</v>
      </c>
      <c r="F53" s="47">
        <f>AVERAGE(F50:F52)</f>
        <v>0</v>
      </c>
      <c r="G53" s="48">
        <f t="shared" si="0"/>
        <v>1</v>
      </c>
    </row>
    <row r="54" spans="2:7" ht="16.5" hidden="1" x14ac:dyDescent="0.3">
      <c r="B54" s="43" t="s">
        <v>40</v>
      </c>
      <c r="C54" s="52">
        <f>COUNTIFS(TblUniv201968[G1],C$34)/$C$33*100%</f>
        <v>0.53846153846153844</v>
      </c>
      <c r="D54" s="52">
        <f>COUNTIFS(TblUniv201968[G1],D$34)/$C$33*100%</f>
        <v>0.46153846153846156</v>
      </c>
      <c r="E54" s="52">
        <f>COUNTIFS(TblUniv201968[G1],E$34)/$C$33*100%</f>
        <v>0</v>
      </c>
      <c r="F54" s="52">
        <f>COUNTIFS(TblUniv201968[G1],F$34)/$C$33*100%</f>
        <v>0</v>
      </c>
      <c r="G54" s="48">
        <f t="shared" si="0"/>
        <v>1</v>
      </c>
    </row>
    <row r="55" spans="2:7" ht="16.5" hidden="1" x14ac:dyDescent="0.3">
      <c r="B55" s="43" t="s">
        <v>41</v>
      </c>
      <c r="C55" s="52">
        <f>COUNTIFS(TblUniv201968[G2],C$34)/$C$33*100%</f>
        <v>0.38461538461538464</v>
      </c>
      <c r="D55" s="52">
        <f>COUNTIFS(TblUniv201968[G2],D$34)/$C$33*100%</f>
        <v>0.61538461538461542</v>
      </c>
      <c r="E55" s="52">
        <f>COUNTIFS(TblUniv201968[G2],E$34)/$C$33*100%</f>
        <v>0</v>
      </c>
      <c r="F55" s="52">
        <f>COUNTIFS(TblUniv201968[G2],F$34)/$C$33*100%</f>
        <v>0</v>
      </c>
      <c r="G55" s="48">
        <f t="shared" si="0"/>
        <v>1</v>
      </c>
    </row>
    <row r="56" spans="2:7" ht="16.5" hidden="1" x14ac:dyDescent="0.3">
      <c r="B56" s="46"/>
      <c r="C56" s="47">
        <f>AVERAGE(C54:C55)</f>
        <v>0.46153846153846156</v>
      </c>
      <c r="D56" s="47">
        <f>AVERAGE(D54:D55)</f>
        <v>0.53846153846153855</v>
      </c>
      <c r="E56" s="47">
        <f>AVERAGE(E54:E55)</f>
        <v>0</v>
      </c>
      <c r="F56" s="47">
        <f>AVERAGE(F54:F55)</f>
        <v>0</v>
      </c>
      <c r="G56" s="48">
        <f t="shared" si="0"/>
        <v>1</v>
      </c>
    </row>
    <row r="57" spans="2:7" ht="16.5" hidden="1" x14ac:dyDescent="0.3">
      <c r="B57" s="43" t="s">
        <v>42</v>
      </c>
      <c r="C57" s="52">
        <f>COUNTIFS(TblUniv201968[H1],C$34)/$C$33*100%</f>
        <v>0.26923076923076922</v>
      </c>
      <c r="D57" s="52">
        <f>COUNTIFS(TblUniv201968[H1],D$34)/$C$33*100%</f>
        <v>0.73076923076923073</v>
      </c>
      <c r="E57" s="52">
        <f>COUNTIFS(TblUniv201968[H1],E$34)/$C$33*100%</f>
        <v>0</v>
      </c>
      <c r="F57" s="52">
        <f>COUNTIFS(TblUniv201968[H1],F$34)/$C$33*100%</f>
        <v>0</v>
      </c>
      <c r="G57" s="48">
        <f t="shared" si="0"/>
        <v>1</v>
      </c>
    </row>
    <row r="58" spans="2:7" ht="16.5" hidden="1" x14ac:dyDescent="0.3">
      <c r="B58" s="43" t="s">
        <v>43</v>
      </c>
      <c r="C58" s="52">
        <f>COUNTIFS(TblUniv201968[H2],C$34)/$C$33*100%</f>
        <v>0.23076923076923078</v>
      </c>
      <c r="D58" s="52">
        <f>COUNTIFS(TblUniv201968[H2],D$34)/$C$33*100%</f>
        <v>0.76923076923076927</v>
      </c>
      <c r="E58" s="52">
        <f>COUNTIFS(TblUniv201968[H2],E$34)/$C$33*100%</f>
        <v>0</v>
      </c>
      <c r="F58" s="52">
        <f>COUNTIFS(TblUniv201968[H2],F$34)/$C$33*100%</f>
        <v>0</v>
      </c>
      <c r="G58" s="48">
        <f t="shared" si="0"/>
        <v>1</v>
      </c>
    </row>
    <row r="59" spans="2:7" ht="16.5" hidden="1" x14ac:dyDescent="0.3">
      <c r="B59" s="43" t="s">
        <v>44</v>
      </c>
      <c r="C59" s="52">
        <f>COUNTIFS(TblUniv201968[H3],C$34)/$C$33*100%</f>
        <v>0.19230769230769232</v>
      </c>
      <c r="D59" s="52">
        <f>COUNTIFS(TblUniv201968[H3],D$34)/$C$33*100%</f>
        <v>0.69230769230769229</v>
      </c>
      <c r="E59" s="52">
        <f>COUNTIFS(TblUniv201968[H3],E$34)/$C$33*100%</f>
        <v>0.11538461538461539</v>
      </c>
      <c r="F59" s="52">
        <f>COUNTIFS(TblUniv201968[H3],F$34)/$C$33*100%</f>
        <v>0</v>
      </c>
      <c r="G59" s="48">
        <f t="shared" si="0"/>
        <v>1</v>
      </c>
    </row>
    <row r="60" spans="2:7" ht="16.5" hidden="1" x14ac:dyDescent="0.3">
      <c r="B60" s="43" t="s">
        <v>45</v>
      </c>
      <c r="C60" s="52">
        <f>COUNTIFS(TblUniv201968[H4],C$34)/$C$33*100%</f>
        <v>0.23076923076923078</v>
      </c>
      <c r="D60" s="52">
        <f>COUNTIFS(TblUniv201968[H4],D$34)/$C$33*100%</f>
        <v>0.65384615384615385</v>
      </c>
      <c r="E60" s="52">
        <f>COUNTIFS(TblUniv201968[H4],E$34)/$C$33*100%</f>
        <v>0.11538461538461539</v>
      </c>
      <c r="F60" s="52">
        <f>COUNTIFS(TblUniv201968[H4],F$34)/$C$33*100%</f>
        <v>0</v>
      </c>
      <c r="G60" s="48">
        <f t="shared" si="0"/>
        <v>1</v>
      </c>
    </row>
    <row r="61" spans="2:7" ht="16.5" hidden="1" x14ac:dyDescent="0.3">
      <c r="B61" s="46"/>
      <c r="C61" s="47">
        <f>AVERAGE(C57:C60)</f>
        <v>0.23076923076923078</v>
      </c>
      <c r="D61" s="47">
        <f>AVERAGE(D57:D60)</f>
        <v>0.71153846153846156</v>
      </c>
      <c r="E61" s="47">
        <f>AVERAGE(E57:E60)</f>
        <v>5.7692307692307696E-2</v>
      </c>
      <c r="F61" s="47">
        <f>AVERAGE(F57:F60)</f>
        <v>0</v>
      </c>
      <c r="G61" s="48">
        <f t="shared" si="0"/>
        <v>1</v>
      </c>
    </row>
    <row r="62" spans="2:7" ht="16.5" hidden="1" x14ac:dyDescent="0.3">
      <c r="B62" s="43" t="s">
        <v>130</v>
      </c>
      <c r="C62" s="52">
        <f>COUNTIFS(TblUniv201968[I. a1],C$34)/$C$33*100%</f>
        <v>0.23076923076923078</v>
      </c>
      <c r="D62" s="52">
        <f>COUNTIFS(TblUniv201968[I. a1],D$34)/$C$33*100%</f>
        <v>0.76923076923076927</v>
      </c>
      <c r="E62" s="52">
        <f>COUNTIFS(TblUniv201968[I. a1],E$34)/$C$33*100%</f>
        <v>0</v>
      </c>
      <c r="F62" s="52">
        <f>COUNTIFS(TblUniv201968[I. a1],F$34)/$C$33*100%</f>
        <v>0</v>
      </c>
      <c r="G62" s="48">
        <f t="shared" si="0"/>
        <v>1</v>
      </c>
    </row>
    <row r="63" spans="2:7" ht="16.5" hidden="1" x14ac:dyDescent="0.3">
      <c r="B63" s="43" t="s">
        <v>131</v>
      </c>
      <c r="C63" s="52">
        <f>COUNTIFS(TblUniv201968[I. a2],C$34)/$C$33*100%</f>
        <v>0.26923076923076922</v>
      </c>
      <c r="D63" s="52">
        <f>COUNTIFS(TblUniv201968[I. a2],D$34)/$C$33*100%</f>
        <v>0.73076923076923073</v>
      </c>
      <c r="E63" s="52">
        <f>COUNTIFS(TblUniv201968[I. a2],E$34)/$C$33*100%</f>
        <v>0</v>
      </c>
      <c r="F63" s="52">
        <f>COUNTIFS(TblUniv201968[I. a2],F$34)/$C$33*100%</f>
        <v>0</v>
      </c>
      <c r="G63" s="48">
        <f t="shared" si="0"/>
        <v>1</v>
      </c>
    </row>
    <row r="64" spans="2:7" ht="16.5" hidden="1" x14ac:dyDescent="0.3">
      <c r="B64" s="43" t="s">
        <v>132</v>
      </c>
      <c r="C64" s="52">
        <f>COUNTIFS(TblUniv201968[I. a3],C$34)/$C$33*100%</f>
        <v>0.57692307692307687</v>
      </c>
      <c r="D64" s="52">
        <f>COUNTIFS(TblUniv201968[I. a3],D$34)/$C$33*100%</f>
        <v>0.42307692307692307</v>
      </c>
      <c r="E64" s="52">
        <f>COUNTIFS(TblUniv201968[I. a3],E$34)/$C$33*100%</f>
        <v>0</v>
      </c>
      <c r="F64" s="52">
        <f>COUNTIFS(TblUniv201968[I. a3],F$34)/$C$33*100%</f>
        <v>0</v>
      </c>
      <c r="G64" s="48">
        <f t="shared" si="0"/>
        <v>1</v>
      </c>
    </row>
    <row r="65" spans="2:12" ht="16.5" hidden="1" x14ac:dyDescent="0.3">
      <c r="B65" s="43" t="s">
        <v>133</v>
      </c>
      <c r="C65" s="52">
        <f>COUNTIFS(TblUniv201968[I. a4],C$34)/$C$33*100%</f>
        <v>0.15384615384615385</v>
      </c>
      <c r="D65" s="52">
        <f>COUNTIFS(TblUniv201968[I. a4],D$34)/$C$33*100%</f>
        <v>0.84615384615384615</v>
      </c>
      <c r="E65" s="52">
        <f>COUNTIFS(TblUniv201968[I. a4],E$34)/$C$33*100%</f>
        <v>0</v>
      </c>
      <c r="F65" s="52">
        <f>COUNTIFS(TblUniv201968[I. a4],F$34)/$C$33*100%</f>
        <v>0</v>
      </c>
      <c r="G65" s="48">
        <f t="shared" si="0"/>
        <v>1</v>
      </c>
    </row>
    <row r="66" spans="2:12" ht="16.5" hidden="1" x14ac:dyDescent="0.3">
      <c r="B66" s="43" t="s">
        <v>134</v>
      </c>
      <c r="C66" s="52">
        <f>COUNTIFS(TblUniv201968[I. a5],C$34)/$C$33*100%</f>
        <v>0.15384615384615385</v>
      </c>
      <c r="D66" s="52">
        <f>COUNTIFS(TblUniv201968[I. a5],D$34)/$C$33*100%</f>
        <v>0.84615384615384615</v>
      </c>
      <c r="E66" s="52">
        <f>COUNTIFS(TblUniv201968[I. a5],E$34)/$C$33*100%</f>
        <v>0</v>
      </c>
      <c r="F66" s="52">
        <f>COUNTIFS(TblUniv201968[I. a5],F$34)/$C$33*100%</f>
        <v>0</v>
      </c>
      <c r="G66" s="48">
        <f t="shared" si="0"/>
        <v>1</v>
      </c>
    </row>
    <row r="67" spans="2:12" ht="16.5" hidden="1" x14ac:dyDescent="0.3">
      <c r="B67" s="46"/>
      <c r="C67" s="47">
        <f>AVERAGE(C62:C66)</f>
        <v>0.27692307692307694</v>
      </c>
      <c r="D67" s="47">
        <f>AVERAGE(D62:D66)</f>
        <v>0.72307692307692306</v>
      </c>
      <c r="E67" s="47">
        <f>AVERAGE(E62:E66)</f>
        <v>0</v>
      </c>
      <c r="F67" s="47">
        <f>AVERAGE(F62:F66)</f>
        <v>0</v>
      </c>
      <c r="G67" s="48">
        <f t="shared" si="0"/>
        <v>1</v>
      </c>
    </row>
    <row r="68" spans="2:12" ht="16.5" hidden="1" x14ac:dyDescent="0.3">
      <c r="B68" s="43" t="s">
        <v>135</v>
      </c>
      <c r="C68" s="52">
        <f>COUNTIFS(TblUniv201968[I. b1],C$34)/$C$33*100%</f>
        <v>0.30769230769230771</v>
      </c>
      <c r="D68" s="52">
        <f>COUNTIFS(TblUniv201968[I. b1],D$34)/$C$33*100%</f>
        <v>0.69230769230769229</v>
      </c>
      <c r="E68" s="52">
        <f>COUNTIFS(TblUniv201968[I. b1],E$34)/$C$33*100%</f>
        <v>0</v>
      </c>
      <c r="F68" s="52">
        <f>COUNTIFS(TblUniv201968[I. b1],F$34)/$C$33*100%</f>
        <v>0</v>
      </c>
      <c r="G68" s="48">
        <f t="shared" si="0"/>
        <v>1</v>
      </c>
    </row>
    <row r="69" spans="2:12" ht="16.5" hidden="1" x14ac:dyDescent="0.3">
      <c r="B69" s="43" t="s">
        <v>136</v>
      </c>
      <c r="C69" s="52">
        <f>COUNTIFS(TblUniv201968[I. b2],C$34)/$C$33*100%</f>
        <v>0.23076923076923078</v>
      </c>
      <c r="D69" s="52">
        <f>COUNTIFS(TblUniv201968[I. b2],D$34)/$C$33*100%</f>
        <v>0.76923076923076927</v>
      </c>
      <c r="E69" s="52">
        <f>COUNTIFS(TblUniv201968[I. b2],E$34)/$C$33*100%</f>
        <v>0</v>
      </c>
      <c r="F69" s="52">
        <f>COUNTIFS(TblUniv201968[I. b2],F$34)/$C$33*100%</f>
        <v>0</v>
      </c>
      <c r="G69" s="48">
        <f t="shared" si="0"/>
        <v>1</v>
      </c>
    </row>
    <row r="70" spans="2:12" ht="16.5" hidden="1" x14ac:dyDescent="0.3">
      <c r="B70" s="43" t="s">
        <v>137</v>
      </c>
      <c r="C70" s="52">
        <f>COUNTIFS(TblUniv201968[I. b3],C$34)/$C$33*100%</f>
        <v>0.42307692307692307</v>
      </c>
      <c r="D70" s="52">
        <f>COUNTIFS(TblUniv201968[I. b3],D$34)/$C$33*100%</f>
        <v>0.57692307692307687</v>
      </c>
      <c r="E70" s="52">
        <f>COUNTIFS(TblUniv201968[I. b3],E$34)/$C$33*100%</f>
        <v>0</v>
      </c>
      <c r="F70" s="52">
        <f>COUNTIFS(TblUniv201968[I. b3],F$34)/$C$33*100%</f>
        <v>0</v>
      </c>
      <c r="G70" s="48">
        <f t="shared" si="0"/>
        <v>1</v>
      </c>
    </row>
    <row r="71" spans="2:12" ht="16.5" hidden="1" x14ac:dyDescent="0.3">
      <c r="B71" s="43" t="s">
        <v>138</v>
      </c>
      <c r="C71" s="52">
        <f>COUNTIFS(TblUniv201968[I. b4],C$34)/$C$33*100%</f>
        <v>0.30769230769230771</v>
      </c>
      <c r="D71" s="52">
        <f>COUNTIFS(TblUniv201968[I. b4],D$34)/$C$33*100%</f>
        <v>0.69230769230769229</v>
      </c>
      <c r="E71" s="52">
        <f>COUNTIFS(TblUniv201968[I. b4],E$34)/$C$33*100%</f>
        <v>0</v>
      </c>
      <c r="F71" s="52">
        <f>COUNTIFS(TblUniv201968[I. b4],F$34)/$C$33*100%</f>
        <v>0</v>
      </c>
      <c r="G71" s="48">
        <f t="shared" si="0"/>
        <v>1</v>
      </c>
    </row>
    <row r="72" spans="2:12" ht="17.25" hidden="1" thickBot="1" x14ac:dyDescent="0.35">
      <c r="B72" s="53"/>
      <c r="C72" s="54">
        <f>AVERAGE(C68:C71)</f>
        <v>0.31730769230769235</v>
      </c>
      <c r="D72" s="54">
        <f>AVERAGE(D68:D71)</f>
        <v>0.68269230769230771</v>
      </c>
      <c r="E72" s="54">
        <f>AVERAGE(E68:E71)</f>
        <v>0</v>
      </c>
      <c r="F72" s="54">
        <f>AVERAGE(F68:F71)</f>
        <v>0</v>
      </c>
      <c r="G72" s="48">
        <f t="shared" si="0"/>
        <v>1</v>
      </c>
    </row>
    <row r="74" spans="2:12" ht="15.75" thickBot="1" x14ac:dyDescent="0.3"/>
    <row r="75" spans="2:12" ht="17.25" thickBot="1" x14ac:dyDescent="0.3">
      <c r="B75" s="50" t="s">
        <v>129</v>
      </c>
      <c r="C75" s="51" t="s">
        <v>78</v>
      </c>
    </row>
    <row r="76" spans="2:12" ht="17.25" thickBot="1" x14ac:dyDescent="0.3">
      <c r="B76" s="55" t="s">
        <v>128</v>
      </c>
      <c r="C76" s="56">
        <f>C33</f>
        <v>26</v>
      </c>
    </row>
    <row r="77" spans="2:12" ht="28.5" customHeight="1" thickBot="1" x14ac:dyDescent="0.3">
      <c r="B77" s="126" t="s">
        <v>139</v>
      </c>
      <c r="C77" s="127" t="s">
        <v>145</v>
      </c>
      <c r="D77" s="127"/>
      <c r="E77" s="127"/>
      <c r="F77" s="127"/>
      <c r="H77" s="99" t="s">
        <v>279</v>
      </c>
      <c r="I77" s="99" t="s">
        <v>278</v>
      </c>
      <c r="J77" s="99" t="s">
        <v>280</v>
      </c>
      <c r="K77" s="99" t="s">
        <v>273</v>
      </c>
      <c r="L77" s="100" t="s">
        <v>274</v>
      </c>
    </row>
    <row r="78" spans="2:12" ht="15.75" customHeight="1" thickBot="1" x14ac:dyDescent="0.3">
      <c r="B78" s="126"/>
      <c r="C78" s="58" t="s">
        <v>127</v>
      </c>
      <c r="D78" s="58" t="s">
        <v>146</v>
      </c>
      <c r="E78" s="58" t="s">
        <v>147</v>
      </c>
      <c r="F78" s="58" t="s">
        <v>148</v>
      </c>
      <c r="H78" s="82"/>
      <c r="I78" s="82"/>
      <c r="J78" s="82"/>
      <c r="K78" s="82"/>
      <c r="L78" s="52">
        <v>0.48</v>
      </c>
    </row>
    <row r="79" spans="2:12" x14ac:dyDescent="0.25">
      <c r="B79" s="59">
        <v>2</v>
      </c>
      <c r="C79" s="57">
        <v>3</v>
      </c>
      <c r="D79" s="57">
        <v>4</v>
      </c>
      <c r="E79" s="57">
        <v>5</v>
      </c>
      <c r="F79" s="60">
        <v>6</v>
      </c>
      <c r="H79" s="81" t="s">
        <v>277</v>
      </c>
      <c r="I79" s="81">
        <v>2018</v>
      </c>
      <c r="J79" s="82">
        <v>2019</v>
      </c>
      <c r="K79" s="94">
        <v>25</v>
      </c>
      <c r="L79" s="101">
        <f>K79*$L$78</f>
        <v>12</v>
      </c>
    </row>
    <row r="80" spans="2:12" x14ac:dyDescent="0.25">
      <c r="B80" s="61" t="s">
        <v>140</v>
      </c>
      <c r="C80" s="44">
        <f>C40</f>
        <v>0.35384615384615381</v>
      </c>
      <c r="D80" s="44">
        <f>D40</f>
        <v>0.64615384615384619</v>
      </c>
      <c r="E80" s="44">
        <f>E40</f>
        <v>0</v>
      </c>
      <c r="F80" s="45">
        <f>F40</f>
        <v>0</v>
      </c>
      <c r="H80" s="81" t="s">
        <v>276</v>
      </c>
      <c r="I80" s="81">
        <v>2019</v>
      </c>
      <c r="J80" s="82">
        <v>2020</v>
      </c>
      <c r="K80" s="94">
        <v>26</v>
      </c>
      <c r="L80" s="101">
        <f>K80*$L$78</f>
        <v>12.48</v>
      </c>
    </row>
    <row r="81" spans="2:12" x14ac:dyDescent="0.25">
      <c r="B81" s="61" t="s">
        <v>141</v>
      </c>
      <c r="C81" s="44">
        <f>C43</f>
        <v>0.40384615384615385</v>
      </c>
      <c r="D81" s="44">
        <f>D43</f>
        <v>0.59615384615384615</v>
      </c>
      <c r="E81" s="44">
        <f>E43</f>
        <v>0</v>
      </c>
      <c r="F81" s="45">
        <f>F43</f>
        <v>0</v>
      </c>
      <c r="H81" s="81" t="s">
        <v>275</v>
      </c>
      <c r="I81" s="81">
        <v>2020</v>
      </c>
      <c r="J81" s="82">
        <v>2021</v>
      </c>
      <c r="K81" s="94">
        <v>4</v>
      </c>
      <c r="L81" s="101">
        <f>K81*$L$78</f>
        <v>1.92</v>
      </c>
    </row>
    <row r="82" spans="2:12" x14ac:dyDescent="0.25">
      <c r="B82" s="61" t="s">
        <v>142</v>
      </c>
      <c r="C82" s="44">
        <f>C46</f>
        <v>7.6923076923076927E-2</v>
      </c>
      <c r="D82" s="44">
        <f>D46</f>
        <v>0.76923076923076927</v>
      </c>
      <c r="E82" s="44">
        <f>E46</f>
        <v>0.15384615384615385</v>
      </c>
      <c r="F82" s="45">
        <f>F46</f>
        <v>0</v>
      </c>
      <c r="H82" s="81" t="s">
        <v>281</v>
      </c>
      <c r="I82" s="81">
        <v>2021</v>
      </c>
      <c r="J82" s="82"/>
      <c r="K82" s="101">
        <f>SUM(K79:K81)</f>
        <v>55</v>
      </c>
      <c r="L82" s="101">
        <f>SUM(L79:L81)</f>
        <v>26.4</v>
      </c>
    </row>
    <row r="83" spans="2:12" x14ac:dyDescent="0.25">
      <c r="B83" s="61" t="s">
        <v>143</v>
      </c>
      <c r="C83" s="44">
        <f>C49</f>
        <v>0.51923076923076927</v>
      </c>
      <c r="D83" s="44">
        <f>D49</f>
        <v>0.48076923076923073</v>
      </c>
      <c r="E83" s="44">
        <f>E49</f>
        <v>0</v>
      </c>
      <c r="F83" s="45">
        <f>F49</f>
        <v>0</v>
      </c>
      <c r="H83" s="81" t="s">
        <v>282</v>
      </c>
      <c r="I83" s="81">
        <v>2022</v>
      </c>
      <c r="J83" s="82"/>
      <c r="K83" s="82"/>
      <c r="L83" s="82"/>
    </row>
    <row r="84" spans="2:12" x14ac:dyDescent="0.25">
      <c r="B84" s="61" t="s">
        <v>144</v>
      </c>
      <c r="C84" s="44">
        <f>C53</f>
        <v>0.26923076923076922</v>
      </c>
      <c r="D84" s="44">
        <f>D53</f>
        <v>0.73076923076923084</v>
      </c>
      <c r="E84" s="44">
        <f>E53</f>
        <v>0</v>
      </c>
      <c r="F84" s="45">
        <f>F53</f>
        <v>0</v>
      </c>
    </row>
    <row r="85" spans="2:12" x14ac:dyDescent="0.25">
      <c r="B85" s="61" t="s">
        <v>125</v>
      </c>
      <c r="C85" s="44">
        <f>C56</f>
        <v>0.46153846153846156</v>
      </c>
      <c r="D85" s="44">
        <f>D56</f>
        <v>0.53846153846153855</v>
      </c>
      <c r="E85" s="44">
        <f>E56</f>
        <v>0</v>
      </c>
      <c r="F85" s="45">
        <f>F56</f>
        <v>0</v>
      </c>
    </row>
    <row r="86" spans="2:12" x14ac:dyDescent="0.25">
      <c r="B86" s="61" t="s">
        <v>119</v>
      </c>
      <c r="C86" s="44">
        <f>C61</f>
        <v>0.23076923076923078</v>
      </c>
      <c r="D86" s="44">
        <f>D61</f>
        <v>0.71153846153846156</v>
      </c>
      <c r="E86" s="44">
        <f>E61</f>
        <v>5.7692307692307696E-2</v>
      </c>
      <c r="F86" s="45">
        <f>F61</f>
        <v>0</v>
      </c>
    </row>
    <row r="87" spans="2:12" x14ac:dyDescent="0.25">
      <c r="B87" s="61" t="s">
        <v>68</v>
      </c>
      <c r="C87" s="44">
        <f>C67</f>
        <v>0.27692307692307694</v>
      </c>
      <c r="D87" s="44">
        <f>D67</f>
        <v>0.72307692307692306</v>
      </c>
      <c r="E87" s="44">
        <f>E67</f>
        <v>0</v>
      </c>
      <c r="F87" s="45">
        <f>F67</f>
        <v>0</v>
      </c>
    </row>
    <row r="88" spans="2:12" ht="15.75" thickBot="1" x14ac:dyDescent="0.3">
      <c r="B88" s="62" t="s">
        <v>68</v>
      </c>
      <c r="C88" s="63">
        <f>C72</f>
        <v>0.31730769230769235</v>
      </c>
      <c r="D88" s="63">
        <f>D72</f>
        <v>0.68269230769230771</v>
      </c>
      <c r="E88" s="63">
        <f>E72</f>
        <v>0</v>
      </c>
      <c r="F88" s="64">
        <f>F72</f>
        <v>0</v>
      </c>
    </row>
    <row r="89" spans="2:12" x14ac:dyDescent="0.25">
      <c r="B89" s="65" t="s">
        <v>149</v>
      </c>
      <c r="C89" s="67">
        <f>SUM(C80:C88)</f>
        <v>2.9096153846153849</v>
      </c>
      <c r="D89" s="67">
        <f>SUM(D80:D88)</f>
        <v>5.8788461538461538</v>
      </c>
      <c r="E89" s="67">
        <f>SUM(E80:E88)</f>
        <v>0.21153846153846156</v>
      </c>
      <c r="F89" s="69">
        <f>SUM(F80:F88)</f>
        <v>0</v>
      </c>
    </row>
    <row r="90" spans="2:12" ht="15.75" thickBot="1" x14ac:dyDescent="0.3">
      <c r="B90" s="66" t="s">
        <v>150</v>
      </c>
      <c r="C90" s="68">
        <f>AVERAGE(C80:C88)</f>
        <v>0.32329059829059831</v>
      </c>
      <c r="D90" s="68">
        <f>AVERAGE(D80:D88)</f>
        <v>0.65320512820512822</v>
      </c>
      <c r="E90" s="68">
        <f>AVERAGE(E80:E88)</f>
        <v>2.3504273504273508E-2</v>
      </c>
      <c r="F90" s="70">
        <f>AVERAGE(F80:F88)</f>
        <v>0</v>
      </c>
    </row>
  </sheetData>
  <mergeCells count="15">
    <mergeCell ref="BC1:BE1"/>
    <mergeCell ref="B77:B78"/>
    <mergeCell ref="C77:F77"/>
    <mergeCell ref="AD1:AE1"/>
    <mergeCell ref="AF1:AI1"/>
    <mergeCell ref="AJ1:AN1"/>
    <mergeCell ref="AO1:AR1"/>
    <mergeCell ref="AS1:AV1"/>
    <mergeCell ref="AW1:BB1"/>
    <mergeCell ref="AA1:AC1"/>
    <mergeCell ref="G1:O1"/>
    <mergeCell ref="P1:T1"/>
    <mergeCell ref="U1:V1"/>
    <mergeCell ref="W1:X1"/>
    <mergeCell ref="Y1:Z1"/>
  </mergeCells>
  <conditionalFormatting sqref="E2">
    <cfRule type="duplicateValues" dxfId="92" priority="29"/>
  </conditionalFormatting>
  <conditionalFormatting sqref="E5 E14:E17 E26">
    <cfRule type="duplicateValues" dxfId="91" priority="45"/>
  </conditionalFormatting>
  <conditionalFormatting sqref="E6:E10">
    <cfRule type="duplicateValues" dxfId="90" priority="24"/>
    <cfRule type="duplicateValues" dxfId="89" priority="25"/>
  </conditionalFormatting>
  <conditionalFormatting sqref="E11">
    <cfRule type="duplicateValues" dxfId="88" priority="22"/>
    <cfRule type="duplicateValues" dxfId="87" priority="23"/>
  </conditionalFormatting>
  <conditionalFormatting sqref="E12">
    <cfRule type="duplicateValues" dxfId="86" priority="17"/>
    <cfRule type="duplicateValues" dxfId="85" priority="18"/>
  </conditionalFormatting>
  <conditionalFormatting sqref="E13">
    <cfRule type="duplicateValues" dxfId="84" priority="15"/>
    <cfRule type="duplicateValues" dxfId="83" priority="16"/>
  </conditionalFormatting>
  <conditionalFormatting sqref="E18:E22">
    <cfRule type="duplicateValues" dxfId="82" priority="13"/>
    <cfRule type="duplicateValues" dxfId="81" priority="14"/>
  </conditionalFormatting>
  <conditionalFormatting sqref="E23">
    <cfRule type="duplicateValues" dxfId="80" priority="11"/>
    <cfRule type="duplicateValues" dxfId="79" priority="12"/>
  </conditionalFormatting>
  <conditionalFormatting sqref="E25">
    <cfRule type="duplicateValues" dxfId="78" priority="4"/>
    <cfRule type="duplicateValues" dxfId="77" priority="5"/>
  </conditionalFormatting>
  <conditionalFormatting sqref="E27">
    <cfRule type="duplicateValues" dxfId="76" priority="1"/>
    <cfRule type="duplicateValues" dxfId="75" priority="2"/>
  </conditionalFormatting>
  <conditionalFormatting sqref="E28">
    <cfRule type="duplicateValues" dxfId="74" priority="3"/>
  </conditionalFormatting>
  <conditionalFormatting sqref="F11">
    <cfRule type="duplicateValues" dxfId="73" priority="19"/>
    <cfRule type="duplicateValues" dxfId="72" priority="20"/>
    <cfRule type="duplicateValues" dxfId="71" priority="21"/>
  </conditionalFormatting>
  <conditionalFormatting sqref="F23">
    <cfRule type="duplicateValues" dxfId="70" priority="8"/>
    <cfRule type="duplicateValues" dxfId="69" priority="9"/>
    <cfRule type="duplicateValues" dxfId="68" priority="10"/>
  </conditionalFormatting>
  <hyperlinks>
    <hyperlink ref="I7" r:id="rId1"/>
    <hyperlink ref="I9" r:id="rId2"/>
    <hyperlink ref="I8" r:id="rId3"/>
    <hyperlink ref="I6" r:id="rId4"/>
    <hyperlink ref="I11" r:id="rId5"/>
    <hyperlink ref="I13" r:id="rId6"/>
    <hyperlink ref="I19" r:id="rId7"/>
    <hyperlink ref="I21" r:id="rId8"/>
    <hyperlink ref="I20" r:id="rId9"/>
    <hyperlink ref="I18" r:id="rId10"/>
    <hyperlink ref="I23" r:id="rId11"/>
    <hyperlink ref="I25" r:id="rId12"/>
    <hyperlink ref="I27" r:id="rId13"/>
  </hyperlinks>
  <pageMargins left="0.7" right="0.7" top="0.75" bottom="0.75" header="0.3" footer="0.3"/>
  <pageSetup paperSize="9" orientation="portrait" horizontalDpi="0" verticalDpi="0" r:id="rId14"/>
  <tableParts count="1">
    <tablePart r:id="rId1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33"/>
  <sheetViews>
    <sheetView tabSelected="1" topLeftCell="A118" zoomScale="85" zoomScaleNormal="85" workbookViewId="0">
      <selection activeCell="D30" sqref="D30"/>
    </sheetView>
  </sheetViews>
  <sheetFormatPr defaultRowHeight="15" x14ac:dyDescent="0.25"/>
  <cols>
    <col min="1" max="1" width="37.5703125" style="84" bestFit="1" customWidth="1"/>
    <col min="2" max="2" width="28.7109375" style="84" bestFit="1" customWidth="1"/>
    <col min="3" max="3" width="45.5703125" style="122" customWidth="1"/>
    <col min="4" max="4" width="21.5703125" style="83" customWidth="1"/>
    <col min="5" max="5" width="54.42578125" style="83" bestFit="1" customWidth="1"/>
    <col min="6" max="6" width="31" style="83" customWidth="1"/>
    <col min="7" max="7" width="27.85546875" style="83" customWidth="1"/>
    <col min="8" max="8" width="37.85546875" style="83" customWidth="1"/>
    <col min="9" max="9" width="40.140625" style="83" customWidth="1"/>
    <col min="10" max="41" width="14.7109375" style="122" customWidth="1"/>
    <col min="42" max="42" width="37.28515625" style="122" customWidth="1"/>
    <col min="43" max="43" width="47.7109375" style="122" customWidth="1"/>
    <col min="44" max="44" width="88.5703125" style="122" customWidth="1"/>
    <col min="45" max="16384" width="9.140625" style="122"/>
  </cols>
  <sheetData>
    <row r="1" spans="1:43" ht="15.75" thickBot="1" x14ac:dyDescent="0.3"/>
    <row r="2" spans="1:43" s="87" customFormat="1" ht="102.75" thickBot="1" x14ac:dyDescent="0.3">
      <c r="A2" s="84" t="s">
        <v>196</v>
      </c>
      <c r="B2" s="84" t="s">
        <v>14</v>
      </c>
      <c r="C2" s="90" t="s">
        <v>223</v>
      </c>
      <c r="D2" s="90" t="s">
        <v>222</v>
      </c>
      <c r="E2" s="90" t="s">
        <v>224</v>
      </c>
      <c r="F2" s="90" t="s">
        <v>227</v>
      </c>
      <c r="G2" s="90" t="s">
        <v>226</v>
      </c>
      <c r="H2" s="90" t="s">
        <v>225</v>
      </c>
      <c r="I2" s="88" t="s">
        <v>26</v>
      </c>
      <c r="J2" s="86" t="s">
        <v>27</v>
      </c>
      <c r="K2" s="86" t="s">
        <v>28</v>
      </c>
      <c r="L2" s="86" t="s">
        <v>29</v>
      </c>
      <c r="M2" s="86" t="s">
        <v>31</v>
      </c>
      <c r="N2" s="86" t="s">
        <v>32</v>
      </c>
      <c r="O2" s="86" t="s">
        <v>194</v>
      </c>
      <c r="P2" s="86" t="s">
        <v>33</v>
      </c>
      <c r="Q2" s="86" t="s">
        <v>34</v>
      </c>
      <c r="R2" s="86" t="s">
        <v>35</v>
      </c>
      <c r="S2" s="86" t="s">
        <v>36</v>
      </c>
      <c r="T2" s="86" t="s">
        <v>198</v>
      </c>
      <c r="U2" s="86" t="s">
        <v>37</v>
      </c>
      <c r="V2" s="86" t="s">
        <v>38</v>
      </c>
      <c r="W2" s="86" t="s">
        <v>39</v>
      </c>
      <c r="X2" s="86" t="s">
        <v>200</v>
      </c>
      <c r="Y2" s="86" t="s">
        <v>40</v>
      </c>
      <c r="Z2" s="86" t="s">
        <v>41</v>
      </c>
      <c r="AA2" s="86" t="s">
        <v>202</v>
      </c>
      <c r="AB2" s="86" t="s">
        <v>42</v>
      </c>
      <c r="AC2" s="86" t="s">
        <v>43</v>
      </c>
      <c r="AD2" s="86" t="s">
        <v>44</v>
      </c>
      <c r="AE2" s="86" t="s">
        <v>45</v>
      </c>
      <c r="AF2" s="86" t="s">
        <v>205</v>
      </c>
      <c r="AG2" s="86" t="s">
        <v>206</v>
      </c>
      <c r="AH2" s="86" t="s">
        <v>207</v>
      </c>
      <c r="AI2" s="86" t="s">
        <v>208</v>
      </c>
      <c r="AJ2" s="86" t="s">
        <v>209</v>
      </c>
      <c r="AK2" s="86" t="s">
        <v>211</v>
      </c>
      <c r="AL2" s="86" t="s">
        <v>212</v>
      </c>
      <c r="AM2" s="86" t="s">
        <v>213</v>
      </c>
      <c r="AN2" s="86" t="s">
        <v>214</v>
      </c>
      <c r="AO2" s="85" t="s">
        <v>231</v>
      </c>
      <c r="AP2" s="85" t="s">
        <v>232</v>
      </c>
      <c r="AQ2" s="91" t="s">
        <v>233</v>
      </c>
    </row>
    <row r="3" spans="1:43" ht="15.75" thickBot="1" x14ac:dyDescent="0.3">
      <c r="B3" s="102" t="s">
        <v>126</v>
      </c>
      <c r="C3" s="102"/>
      <c r="D3" s="102"/>
      <c r="E3" s="102"/>
      <c r="F3" s="102"/>
      <c r="G3" s="102"/>
      <c r="H3" s="102"/>
      <c r="I3" s="102" t="s">
        <v>221</v>
      </c>
      <c r="J3" s="102" t="s">
        <v>221</v>
      </c>
      <c r="K3" s="102" t="s">
        <v>221</v>
      </c>
      <c r="L3" s="102" t="s">
        <v>221</v>
      </c>
      <c r="M3" s="102" t="s">
        <v>221</v>
      </c>
      <c r="N3" s="102" t="s">
        <v>221</v>
      </c>
      <c r="O3" s="102" t="s">
        <v>221</v>
      </c>
      <c r="P3" s="102" t="s">
        <v>221</v>
      </c>
      <c r="Q3" s="102" t="s">
        <v>221</v>
      </c>
      <c r="R3" s="102" t="s">
        <v>221</v>
      </c>
      <c r="S3" s="102" t="s">
        <v>221</v>
      </c>
      <c r="T3" s="102" t="s">
        <v>221</v>
      </c>
      <c r="U3" s="102" t="s">
        <v>221</v>
      </c>
      <c r="V3" s="102" t="s">
        <v>221</v>
      </c>
      <c r="W3" s="102" t="s">
        <v>221</v>
      </c>
      <c r="X3" s="102" t="s">
        <v>221</v>
      </c>
      <c r="Y3" s="102" t="s">
        <v>221</v>
      </c>
      <c r="Z3" s="102" t="s">
        <v>221</v>
      </c>
      <c r="AA3" s="102" t="s">
        <v>221</v>
      </c>
      <c r="AB3" s="102" t="s">
        <v>221</v>
      </c>
      <c r="AC3" s="102" t="s">
        <v>221</v>
      </c>
      <c r="AD3" s="102" t="s">
        <v>221</v>
      </c>
      <c r="AE3" s="102" t="s">
        <v>221</v>
      </c>
      <c r="AF3" s="102" t="s">
        <v>221</v>
      </c>
      <c r="AG3" s="102" t="s">
        <v>221</v>
      </c>
      <c r="AH3" s="102" t="s">
        <v>221</v>
      </c>
      <c r="AI3" s="102" t="s">
        <v>221</v>
      </c>
      <c r="AJ3" s="102" t="s">
        <v>221</v>
      </c>
      <c r="AK3" s="102" t="s">
        <v>221</v>
      </c>
      <c r="AL3" s="102" t="s">
        <v>221</v>
      </c>
      <c r="AM3" s="102" t="s">
        <v>221</v>
      </c>
      <c r="AN3" s="102" t="s">
        <v>221</v>
      </c>
      <c r="AO3" s="102" t="s">
        <v>146</v>
      </c>
      <c r="AP3" s="102" t="s">
        <v>230</v>
      </c>
      <c r="AQ3" s="102" t="s">
        <v>293</v>
      </c>
    </row>
    <row r="4" spans="1:43" ht="27" thickBot="1" x14ac:dyDescent="0.3">
      <c r="B4" s="102" t="s">
        <v>126</v>
      </c>
      <c r="C4" s="102"/>
      <c r="D4" s="102"/>
      <c r="E4" s="102"/>
      <c r="F4" s="102"/>
      <c r="G4" s="102"/>
      <c r="H4" s="102"/>
      <c r="I4" s="102" t="s">
        <v>220</v>
      </c>
      <c r="J4" s="102" t="s">
        <v>221</v>
      </c>
      <c r="K4" s="102" t="s">
        <v>220</v>
      </c>
      <c r="L4" s="102" t="s">
        <v>221</v>
      </c>
      <c r="M4" s="102" t="s">
        <v>220</v>
      </c>
      <c r="N4" s="102" t="s">
        <v>221</v>
      </c>
      <c r="O4" s="102" t="s">
        <v>220</v>
      </c>
      <c r="P4" s="102" t="s">
        <v>221</v>
      </c>
      <c r="Q4" s="102" t="s">
        <v>221</v>
      </c>
      <c r="R4" s="102" t="s">
        <v>220</v>
      </c>
      <c r="S4" s="102" t="s">
        <v>220</v>
      </c>
      <c r="T4" s="102" t="s">
        <v>220</v>
      </c>
      <c r="U4" s="102" t="s">
        <v>221</v>
      </c>
      <c r="V4" s="102" t="s">
        <v>220</v>
      </c>
      <c r="W4" s="102" t="s">
        <v>220</v>
      </c>
      <c r="X4" s="102" t="s">
        <v>221</v>
      </c>
      <c r="Y4" s="102" t="s">
        <v>220</v>
      </c>
      <c r="Z4" s="102" t="s">
        <v>221</v>
      </c>
      <c r="AA4" s="102" t="s">
        <v>220</v>
      </c>
      <c r="AB4" s="102" t="s">
        <v>221</v>
      </c>
      <c r="AC4" s="102" t="s">
        <v>221</v>
      </c>
      <c r="AD4" s="102" t="s">
        <v>220</v>
      </c>
      <c r="AE4" s="102" t="s">
        <v>220</v>
      </c>
      <c r="AF4" s="102" t="s">
        <v>221</v>
      </c>
      <c r="AG4" s="102" t="s">
        <v>220</v>
      </c>
      <c r="AH4" s="102" t="s">
        <v>220</v>
      </c>
      <c r="AI4" s="102" t="s">
        <v>220</v>
      </c>
      <c r="AJ4" s="102" t="s">
        <v>220</v>
      </c>
      <c r="AK4" s="102" t="s">
        <v>221</v>
      </c>
      <c r="AL4" s="102" t="s">
        <v>220</v>
      </c>
      <c r="AM4" s="102" t="s">
        <v>220</v>
      </c>
      <c r="AN4" s="102" t="s">
        <v>220</v>
      </c>
      <c r="AO4" s="102" t="s">
        <v>127</v>
      </c>
      <c r="AP4" s="102" t="s">
        <v>230</v>
      </c>
      <c r="AQ4" s="102" t="s">
        <v>294</v>
      </c>
    </row>
    <row r="5" spans="1:43" ht="27" thickBot="1" x14ac:dyDescent="0.3">
      <c r="B5" s="102" t="s">
        <v>118</v>
      </c>
      <c r="C5" s="102"/>
      <c r="D5" s="102"/>
      <c r="E5" s="102"/>
      <c r="F5" s="102"/>
      <c r="G5" s="102"/>
      <c r="H5" s="102"/>
      <c r="I5" s="102" t="s">
        <v>220</v>
      </c>
      <c r="J5" s="102" t="s">
        <v>220</v>
      </c>
      <c r="K5" s="102" t="s">
        <v>221</v>
      </c>
      <c r="L5" s="102" t="s">
        <v>220</v>
      </c>
      <c r="M5" s="102" t="s">
        <v>220</v>
      </c>
      <c r="N5" s="102" t="s">
        <v>220</v>
      </c>
      <c r="O5" s="102" t="s">
        <v>221</v>
      </c>
      <c r="P5" s="102" t="s">
        <v>221</v>
      </c>
      <c r="Q5" s="102" t="s">
        <v>221</v>
      </c>
      <c r="R5" s="102" t="s">
        <v>220</v>
      </c>
      <c r="S5" s="102" t="s">
        <v>220</v>
      </c>
      <c r="T5" s="102" t="s">
        <v>221</v>
      </c>
      <c r="U5" s="102" t="s">
        <v>221</v>
      </c>
      <c r="V5" s="102" t="s">
        <v>221</v>
      </c>
      <c r="W5" s="102" t="s">
        <v>221</v>
      </c>
      <c r="X5" s="102" t="s">
        <v>221</v>
      </c>
      <c r="Y5" s="102" t="s">
        <v>220</v>
      </c>
      <c r="Z5" s="102" t="s">
        <v>221</v>
      </c>
      <c r="AA5" s="102" t="s">
        <v>220</v>
      </c>
      <c r="AB5" s="102" t="s">
        <v>220</v>
      </c>
      <c r="AC5" s="102" t="s">
        <v>220</v>
      </c>
      <c r="AD5" s="102" t="s">
        <v>220</v>
      </c>
      <c r="AE5" s="102" t="s">
        <v>220</v>
      </c>
      <c r="AF5" s="102" t="s">
        <v>221</v>
      </c>
      <c r="AG5" s="102" t="s">
        <v>221</v>
      </c>
      <c r="AH5" s="102" t="s">
        <v>220</v>
      </c>
      <c r="AI5" s="102" t="s">
        <v>220</v>
      </c>
      <c r="AJ5" s="102" t="s">
        <v>220</v>
      </c>
      <c r="AK5" s="102" t="s">
        <v>221</v>
      </c>
      <c r="AL5" s="102" t="s">
        <v>221</v>
      </c>
      <c r="AM5" s="102" t="s">
        <v>221</v>
      </c>
      <c r="AN5" s="102" t="s">
        <v>220</v>
      </c>
      <c r="AO5" s="102" t="s">
        <v>127</v>
      </c>
      <c r="AP5" s="102" t="s">
        <v>306</v>
      </c>
      <c r="AQ5" s="102" t="s">
        <v>295</v>
      </c>
    </row>
    <row r="6" spans="1:43" ht="27" thickBot="1" x14ac:dyDescent="0.3">
      <c r="B6" s="102" t="s">
        <v>118</v>
      </c>
      <c r="C6" s="102"/>
      <c r="D6" s="102"/>
      <c r="E6" s="102"/>
      <c r="F6" s="102"/>
      <c r="G6" s="102"/>
      <c r="H6" s="102"/>
      <c r="I6" s="102" t="s">
        <v>220</v>
      </c>
      <c r="J6" s="102" t="s">
        <v>221</v>
      </c>
      <c r="K6" s="102" t="s">
        <v>221</v>
      </c>
      <c r="L6" s="102" t="s">
        <v>221</v>
      </c>
      <c r="M6" s="102" t="s">
        <v>221</v>
      </c>
      <c r="N6" s="102" t="s">
        <v>220</v>
      </c>
      <c r="O6" s="102" t="s">
        <v>220</v>
      </c>
      <c r="P6" s="102" t="s">
        <v>221</v>
      </c>
      <c r="Q6" s="102" t="s">
        <v>220</v>
      </c>
      <c r="R6" s="102" t="s">
        <v>220</v>
      </c>
      <c r="S6" s="102" t="s">
        <v>220</v>
      </c>
      <c r="T6" s="102" t="s">
        <v>220</v>
      </c>
      <c r="U6" s="102" t="s">
        <v>221</v>
      </c>
      <c r="V6" s="102" t="s">
        <v>220</v>
      </c>
      <c r="W6" s="102" t="s">
        <v>221</v>
      </c>
      <c r="X6" s="102" t="s">
        <v>220</v>
      </c>
      <c r="Y6" s="102" t="s">
        <v>221</v>
      </c>
      <c r="Z6" s="102" t="s">
        <v>221</v>
      </c>
      <c r="AA6" s="102" t="s">
        <v>221</v>
      </c>
      <c r="AB6" s="102" t="s">
        <v>220</v>
      </c>
      <c r="AC6" s="102" t="s">
        <v>221</v>
      </c>
      <c r="AD6" s="102" t="s">
        <v>220</v>
      </c>
      <c r="AE6" s="102" t="s">
        <v>221</v>
      </c>
      <c r="AF6" s="102" t="s">
        <v>221</v>
      </c>
      <c r="AG6" s="102" t="s">
        <v>220</v>
      </c>
      <c r="AH6" s="102" t="s">
        <v>220</v>
      </c>
      <c r="AI6" s="102" t="s">
        <v>221</v>
      </c>
      <c r="AJ6" s="102" t="s">
        <v>220</v>
      </c>
      <c r="AK6" s="102" t="s">
        <v>221</v>
      </c>
      <c r="AL6" s="102" t="s">
        <v>221</v>
      </c>
      <c r="AM6" s="102" t="s">
        <v>221</v>
      </c>
      <c r="AN6" s="102" t="s">
        <v>220</v>
      </c>
      <c r="AO6" s="102" t="s">
        <v>146</v>
      </c>
      <c r="AP6" s="102" t="s">
        <v>124</v>
      </c>
      <c r="AQ6" s="102" t="s">
        <v>305</v>
      </c>
    </row>
    <row r="13" spans="1:43" ht="15" customHeight="1" x14ac:dyDescent="0.25"/>
    <row r="14" spans="1:43" ht="39" customHeight="1" thickBot="1" x14ac:dyDescent="0.3">
      <c r="A14" s="84" t="s">
        <v>191</v>
      </c>
      <c r="B14" s="84" t="s">
        <v>14</v>
      </c>
      <c r="C14" s="90" t="s">
        <v>222</v>
      </c>
      <c r="D14" s="90" t="s">
        <v>224</v>
      </c>
      <c r="E14" s="90" t="s">
        <v>227</v>
      </c>
      <c r="F14" s="90" t="s">
        <v>226</v>
      </c>
      <c r="G14" s="90" t="s">
        <v>225</v>
      </c>
      <c r="H14" s="89" t="s">
        <v>26</v>
      </c>
      <c r="I14" s="81" t="s">
        <v>27</v>
      </c>
      <c r="J14" s="81" t="s">
        <v>28</v>
      </c>
      <c r="K14" s="81" t="s">
        <v>29</v>
      </c>
      <c r="L14" s="81" t="s">
        <v>30</v>
      </c>
      <c r="M14" s="81" t="s">
        <v>31</v>
      </c>
      <c r="N14" s="81" t="s">
        <v>32</v>
      </c>
      <c r="O14" s="81" t="s">
        <v>33</v>
      </c>
      <c r="P14" s="81" t="s">
        <v>34</v>
      </c>
      <c r="Q14" s="81" t="s">
        <v>35</v>
      </c>
      <c r="R14" s="81" t="s">
        <v>36</v>
      </c>
      <c r="S14" s="103" t="s">
        <v>198</v>
      </c>
      <c r="T14" s="81" t="s">
        <v>37</v>
      </c>
      <c r="U14" s="81" t="s">
        <v>38</v>
      </c>
      <c r="V14" s="81" t="s">
        <v>39</v>
      </c>
      <c r="W14" s="81" t="s">
        <v>40</v>
      </c>
      <c r="X14" s="81" t="s">
        <v>41</v>
      </c>
      <c r="Y14" s="81" t="s">
        <v>202</v>
      </c>
      <c r="Z14" s="81" t="s">
        <v>42</v>
      </c>
      <c r="AA14" s="81" t="s">
        <v>43</v>
      </c>
      <c r="AB14" s="81" t="s">
        <v>44</v>
      </c>
      <c r="AC14" s="81" t="s">
        <v>45</v>
      </c>
      <c r="AD14" s="81" t="s">
        <v>205</v>
      </c>
      <c r="AE14" s="81" t="s">
        <v>206</v>
      </c>
      <c r="AF14" s="81" t="s">
        <v>207</v>
      </c>
      <c r="AG14" s="81" t="s">
        <v>208</v>
      </c>
      <c r="AH14" s="81" t="s">
        <v>209</v>
      </c>
      <c r="AI14" s="81" t="s">
        <v>211</v>
      </c>
      <c r="AJ14" s="81" t="s">
        <v>212</v>
      </c>
      <c r="AK14" s="81" t="s">
        <v>213</v>
      </c>
      <c r="AL14" s="81" t="s">
        <v>214</v>
      </c>
    </row>
    <row r="15" spans="1:43" ht="39.75" customHeight="1" thickBot="1" x14ac:dyDescent="0.3">
      <c r="B15" s="120" t="s">
        <v>116</v>
      </c>
      <c r="C15" s="102"/>
      <c r="D15" s="122"/>
      <c r="E15" s="122"/>
      <c r="F15" s="102"/>
      <c r="G15" s="102"/>
      <c r="H15" s="122" t="s">
        <v>220</v>
      </c>
      <c r="I15" s="122" t="s">
        <v>220</v>
      </c>
      <c r="J15" s="122" t="s">
        <v>220</v>
      </c>
      <c r="K15" s="122" t="s">
        <v>220</v>
      </c>
      <c r="L15" s="122" t="s">
        <v>220</v>
      </c>
      <c r="M15" s="122" t="s">
        <v>220</v>
      </c>
      <c r="N15" s="122" t="s">
        <v>221</v>
      </c>
      <c r="O15" s="122" t="s">
        <v>221</v>
      </c>
      <c r="P15" s="122" t="s">
        <v>221</v>
      </c>
      <c r="Q15" s="122" t="s">
        <v>220</v>
      </c>
      <c r="R15" s="122" t="s">
        <v>220</v>
      </c>
      <c r="S15" s="122" t="s">
        <v>220</v>
      </c>
      <c r="T15" s="122" t="s">
        <v>221</v>
      </c>
      <c r="U15" s="122" t="s">
        <v>221</v>
      </c>
      <c r="V15" s="122" t="s">
        <v>220</v>
      </c>
      <c r="W15" s="122" t="s">
        <v>220</v>
      </c>
      <c r="X15" s="122" t="s">
        <v>220</v>
      </c>
      <c r="Y15" s="122" t="s">
        <v>220</v>
      </c>
      <c r="Z15" s="122" t="s">
        <v>220</v>
      </c>
      <c r="AA15" s="122" t="s">
        <v>220</v>
      </c>
      <c r="AB15" s="122" t="s">
        <v>220</v>
      </c>
      <c r="AC15" s="122" t="s">
        <v>220</v>
      </c>
      <c r="AD15" s="102" t="s">
        <v>229</v>
      </c>
      <c r="AE15" s="102" t="s">
        <v>285</v>
      </c>
      <c r="AF15" s="102" t="s">
        <v>285</v>
      </c>
      <c r="AG15" s="102" t="s">
        <v>285</v>
      </c>
      <c r="AH15" s="102" t="s">
        <v>285</v>
      </c>
      <c r="AI15" s="102" t="s">
        <v>285</v>
      </c>
      <c r="AJ15" s="102" t="s">
        <v>285</v>
      </c>
      <c r="AK15" s="102" t="s">
        <v>285</v>
      </c>
      <c r="AL15" s="102" t="s">
        <v>285</v>
      </c>
    </row>
    <row r="16" spans="1:43" ht="15.75" customHeight="1" thickBot="1" x14ac:dyDescent="0.3">
      <c r="B16" s="120" t="s">
        <v>116</v>
      </c>
      <c r="C16" s="124"/>
      <c r="D16" s="122"/>
      <c r="E16" s="122"/>
      <c r="F16" s="102"/>
      <c r="G16" s="102"/>
      <c r="H16" s="122" t="s">
        <v>221</v>
      </c>
      <c r="I16" s="122" t="s">
        <v>221</v>
      </c>
      <c r="J16" s="122" t="s">
        <v>220</v>
      </c>
      <c r="K16" s="122" t="s">
        <v>220</v>
      </c>
      <c r="L16" s="122" t="s">
        <v>220</v>
      </c>
      <c r="M16" s="122" t="s">
        <v>221</v>
      </c>
      <c r="N16" s="122" t="s">
        <v>221</v>
      </c>
      <c r="O16" s="122" t="s">
        <v>221</v>
      </c>
      <c r="P16" s="122" t="s">
        <v>221</v>
      </c>
      <c r="Q16" s="122" t="s">
        <v>221</v>
      </c>
      <c r="R16" s="122" t="s">
        <v>221</v>
      </c>
      <c r="S16" s="122" t="s">
        <v>221</v>
      </c>
      <c r="T16" s="122" t="s">
        <v>221</v>
      </c>
      <c r="U16" s="122" t="s">
        <v>220</v>
      </c>
      <c r="V16" s="122" t="s">
        <v>221</v>
      </c>
      <c r="W16" s="122" t="s">
        <v>221</v>
      </c>
      <c r="X16" s="122" t="s">
        <v>220</v>
      </c>
      <c r="Y16" s="122" t="s">
        <v>221</v>
      </c>
      <c r="Z16" s="122" t="s">
        <v>221</v>
      </c>
      <c r="AA16" s="122" t="s">
        <v>221</v>
      </c>
      <c r="AB16" s="122" t="s">
        <v>221</v>
      </c>
      <c r="AC16" s="122" t="s">
        <v>221</v>
      </c>
      <c r="AD16" s="102" t="s">
        <v>221</v>
      </c>
      <c r="AE16" s="102" t="s">
        <v>221</v>
      </c>
      <c r="AF16" s="102" t="s">
        <v>221</v>
      </c>
      <c r="AG16" s="102" t="s">
        <v>221</v>
      </c>
      <c r="AH16" s="102" t="s">
        <v>221</v>
      </c>
      <c r="AI16" s="102" t="s">
        <v>221</v>
      </c>
      <c r="AJ16" s="102" t="s">
        <v>221</v>
      </c>
      <c r="AK16" s="102" t="s">
        <v>221</v>
      </c>
      <c r="AL16" s="102" t="s">
        <v>221</v>
      </c>
    </row>
    <row r="17" spans="1:44" ht="15" customHeight="1" x14ac:dyDescent="0.25"/>
    <row r="18" spans="1:44" ht="15" customHeight="1" x14ac:dyDescent="0.25"/>
    <row r="19" spans="1:44" ht="15" customHeight="1" x14ac:dyDescent="0.25"/>
    <row r="20" spans="1:44" ht="15" customHeight="1" x14ac:dyDescent="0.25"/>
    <row r="21" spans="1:44" ht="39" customHeight="1" thickBot="1" x14ac:dyDescent="0.3">
      <c r="A21" s="84" t="s">
        <v>215</v>
      </c>
      <c r="B21" s="84" t="s">
        <v>14</v>
      </c>
      <c r="C21" s="87" t="s">
        <v>234</v>
      </c>
      <c r="D21" s="90" t="s">
        <v>223</v>
      </c>
      <c r="E21" s="90" t="s">
        <v>222</v>
      </c>
      <c r="F21" s="90" t="s">
        <v>224</v>
      </c>
      <c r="G21" s="90" t="s">
        <v>227</v>
      </c>
      <c r="H21" s="90" t="s">
        <v>226</v>
      </c>
      <c r="I21" s="90" t="s">
        <v>225</v>
      </c>
      <c r="J21" s="81" t="s">
        <v>26</v>
      </c>
      <c r="K21" s="81" t="s">
        <v>27</v>
      </c>
      <c r="L21" s="81" t="s">
        <v>28</v>
      </c>
      <c r="M21" s="81" t="s">
        <v>29</v>
      </c>
      <c r="N21" s="81" t="s">
        <v>31</v>
      </c>
      <c r="O21" s="81" t="s">
        <v>32</v>
      </c>
      <c r="P21" s="81" t="s">
        <v>33</v>
      </c>
      <c r="Q21" s="81" t="s">
        <v>34</v>
      </c>
      <c r="R21" s="81" t="s">
        <v>35</v>
      </c>
      <c r="S21" s="81" t="s">
        <v>36</v>
      </c>
      <c r="T21" s="81" t="s">
        <v>37</v>
      </c>
      <c r="U21" s="81" t="s">
        <v>38</v>
      </c>
      <c r="V21" s="81" t="s">
        <v>39</v>
      </c>
      <c r="W21" s="81" t="s">
        <v>200</v>
      </c>
      <c r="X21" s="81" t="s">
        <v>40</v>
      </c>
      <c r="Y21" s="81" t="s">
        <v>41</v>
      </c>
      <c r="Z21" s="81" t="s">
        <v>202</v>
      </c>
      <c r="AA21" s="81" t="s">
        <v>42</v>
      </c>
      <c r="AB21" s="81" t="s">
        <v>43</v>
      </c>
      <c r="AC21" s="81" t="s">
        <v>44</v>
      </c>
      <c r="AD21" s="81" t="s">
        <v>45</v>
      </c>
      <c r="AE21" s="81" t="s">
        <v>205</v>
      </c>
      <c r="AF21" s="81" t="s">
        <v>206</v>
      </c>
      <c r="AG21" s="81" t="s">
        <v>207</v>
      </c>
      <c r="AH21" s="81" t="s">
        <v>208</v>
      </c>
      <c r="AI21" s="81" t="s">
        <v>209</v>
      </c>
      <c r="AJ21" s="81" t="s">
        <v>211</v>
      </c>
      <c r="AK21" s="81" t="s">
        <v>212</v>
      </c>
      <c r="AL21" s="81" t="s">
        <v>213</v>
      </c>
      <c r="AM21" s="81" t="s">
        <v>214</v>
      </c>
    </row>
    <row r="22" spans="1:44" ht="15.75" customHeight="1" thickBot="1" x14ac:dyDescent="0.3">
      <c r="B22" s="104" t="s">
        <v>298</v>
      </c>
      <c r="C22" s="87" t="s">
        <v>68</v>
      </c>
      <c r="D22" s="102" t="s">
        <v>68</v>
      </c>
      <c r="E22" s="104" t="s">
        <v>307</v>
      </c>
      <c r="F22" s="104" t="s">
        <v>308</v>
      </c>
      <c r="G22" s="104" t="s">
        <v>186</v>
      </c>
      <c r="H22" s="102" t="s">
        <v>72</v>
      </c>
      <c r="I22" s="102" t="s">
        <v>72</v>
      </c>
      <c r="J22" s="102" t="s">
        <v>220</v>
      </c>
      <c r="K22" s="102" t="s">
        <v>220</v>
      </c>
      <c r="L22" s="102" t="s">
        <v>220</v>
      </c>
      <c r="M22" s="102" t="s">
        <v>220</v>
      </c>
      <c r="N22" s="102" t="s">
        <v>221</v>
      </c>
      <c r="O22" s="102" t="s">
        <v>220</v>
      </c>
      <c r="P22" s="102" t="s">
        <v>220</v>
      </c>
      <c r="Q22" s="102" t="s">
        <v>220</v>
      </c>
      <c r="R22" s="102" t="s">
        <v>220</v>
      </c>
      <c r="S22" s="102" t="s">
        <v>220</v>
      </c>
      <c r="T22" s="102" t="s">
        <v>221</v>
      </c>
      <c r="U22" s="102" t="s">
        <v>221</v>
      </c>
      <c r="V22" s="102" t="s">
        <v>220</v>
      </c>
      <c r="W22" s="102" t="s">
        <v>221</v>
      </c>
      <c r="X22" s="102" t="s">
        <v>220</v>
      </c>
      <c r="Y22" s="102" t="s">
        <v>220</v>
      </c>
      <c r="Z22" s="102" t="s">
        <v>220</v>
      </c>
      <c r="AA22" s="102" t="s">
        <v>220</v>
      </c>
      <c r="AB22" s="102" t="s">
        <v>220</v>
      </c>
      <c r="AC22" s="102" t="s">
        <v>220</v>
      </c>
      <c r="AD22" s="102" t="s">
        <v>220</v>
      </c>
      <c r="AE22" s="102" t="s">
        <v>221</v>
      </c>
      <c r="AF22" s="102" t="s">
        <v>220</v>
      </c>
      <c r="AG22" s="102" t="s">
        <v>220</v>
      </c>
      <c r="AH22" s="102" t="s">
        <v>220</v>
      </c>
      <c r="AI22" s="102" t="s">
        <v>220</v>
      </c>
      <c r="AJ22" s="102" t="s">
        <v>221</v>
      </c>
      <c r="AK22" s="102" t="s">
        <v>221</v>
      </c>
      <c r="AL22" s="102" t="s">
        <v>221</v>
      </c>
      <c r="AM22" s="102" t="s">
        <v>220</v>
      </c>
    </row>
    <row r="23" spans="1:44" ht="27" customHeight="1" thickBot="1" x14ac:dyDescent="0.3">
      <c r="D23" s="102"/>
      <c r="E23" s="102"/>
      <c r="F23" s="102"/>
      <c r="G23" s="102"/>
      <c r="H23" s="102"/>
      <c r="I23" s="102"/>
      <c r="J23" s="102"/>
      <c r="K23" s="102"/>
      <c r="L23" s="102"/>
      <c r="M23" s="102"/>
      <c r="N23" s="102"/>
      <c r="O23" s="102"/>
      <c r="P23" s="102"/>
      <c r="Q23" s="102"/>
      <c r="R23" s="102"/>
      <c r="S23" s="102"/>
      <c r="T23" s="102"/>
      <c r="U23" s="102"/>
      <c r="V23" s="102"/>
      <c r="W23" s="102"/>
      <c r="X23" s="102"/>
      <c r="Y23" s="102"/>
      <c r="Z23" s="102"/>
      <c r="AA23" s="102"/>
      <c r="AB23" s="102"/>
      <c r="AC23" s="102"/>
      <c r="AD23" s="102"/>
      <c r="AE23" s="102"/>
      <c r="AF23" s="102"/>
      <c r="AG23" s="102"/>
      <c r="AH23" s="102"/>
      <c r="AI23" s="102"/>
      <c r="AJ23" s="102"/>
      <c r="AK23" s="102"/>
      <c r="AL23" s="102"/>
      <c r="AM23" s="102"/>
    </row>
    <row r="27" spans="1:44" s="106" customFormat="1" x14ac:dyDescent="0.25">
      <c r="A27" s="105"/>
      <c r="B27" s="105"/>
      <c r="D27" s="107"/>
      <c r="E27" s="107"/>
      <c r="F27" s="107"/>
      <c r="G27" s="107"/>
      <c r="H27" s="107"/>
      <c r="I27" s="107"/>
    </row>
    <row r="29" spans="1:44" ht="15.75" thickBot="1" x14ac:dyDescent="0.3"/>
    <row r="30" spans="1:44" ht="17.25" thickBot="1" x14ac:dyDescent="0.3">
      <c r="A30" s="50" t="s">
        <v>14</v>
      </c>
      <c r="B30" s="51" t="s">
        <v>196</v>
      </c>
      <c r="D30" s="122"/>
      <c r="E30" s="122"/>
      <c r="F30" s="122"/>
      <c r="G30" s="80"/>
      <c r="H30" s="50" t="s">
        <v>14</v>
      </c>
      <c r="I30" s="51" t="s">
        <v>118</v>
      </c>
      <c r="O30" s="50" t="s">
        <v>14</v>
      </c>
      <c r="P30" s="51" t="s">
        <v>126</v>
      </c>
      <c r="V30" s="50" t="s">
        <v>14</v>
      </c>
      <c r="W30" s="51" t="s">
        <v>78</v>
      </c>
    </row>
    <row r="31" spans="1:44" s="83" customFormat="1" ht="17.25" thickBot="1" x14ac:dyDescent="0.3">
      <c r="A31" s="50" t="s">
        <v>129</v>
      </c>
      <c r="B31" s="51">
        <v>2024</v>
      </c>
      <c r="C31" s="122"/>
      <c r="D31" s="122"/>
      <c r="E31" s="122"/>
      <c r="F31" s="122"/>
      <c r="H31" s="50" t="s">
        <v>129</v>
      </c>
      <c r="I31" s="51">
        <v>2024</v>
      </c>
      <c r="J31" s="122"/>
      <c r="K31" s="122"/>
      <c r="L31" s="122"/>
      <c r="M31" s="122"/>
      <c r="N31" s="122"/>
      <c r="O31" s="50" t="s">
        <v>129</v>
      </c>
      <c r="P31" s="51">
        <v>2024</v>
      </c>
      <c r="Q31" s="122"/>
      <c r="R31" s="122"/>
      <c r="S31" s="122"/>
      <c r="T31" s="122"/>
      <c r="U31" s="122"/>
      <c r="V31" s="50" t="s">
        <v>129</v>
      </c>
      <c r="W31" s="51">
        <v>2024</v>
      </c>
      <c r="X31" s="122"/>
      <c r="Y31" s="122"/>
      <c r="Z31" s="122"/>
      <c r="AA31" s="122"/>
      <c r="AB31" s="122"/>
      <c r="AC31" s="122"/>
      <c r="AD31" s="122"/>
      <c r="AE31" s="122"/>
      <c r="AF31" s="122"/>
      <c r="AG31" s="122"/>
      <c r="AH31" s="122"/>
      <c r="AI31" s="122"/>
      <c r="AJ31" s="122"/>
      <c r="AK31" s="122"/>
      <c r="AL31" s="122"/>
      <c r="AM31" s="122"/>
      <c r="AN31" s="122"/>
      <c r="AO31" s="122"/>
      <c r="AP31" s="122"/>
      <c r="AQ31" s="122"/>
      <c r="AR31" s="122"/>
    </row>
    <row r="32" spans="1:44" s="83" customFormat="1" ht="17.25" thickBot="1" x14ac:dyDescent="0.3">
      <c r="A32" s="50" t="s">
        <v>128</v>
      </c>
      <c r="B32" s="51">
        <f>I32+P32+W32</f>
        <v>4</v>
      </c>
      <c r="C32" s="122"/>
      <c r="D32" s="122"/>
      <c r="E32" s="122"/>
      <c r="F32" s="122"/>
      <c r="H32" s="50" t="s">
        <v>128</v>
      </c>
      <c r="I32" s="51">
        <f>COUNTIF(Table612917[Prodi],"S1 Sistem Informasi")</f>
        <v>2</v>
      </c>
      <c r="J32" s="122"/>
      <c r="K32" s="122"/>
      <c r="L32" s="122"/>
      <c r="M32" s="122"/>
      <c r="N32" s="122"/>
      <c r="O32" s="50" t="s">
        <v>128</v>
      </c>
      <c r="P32" s="51">
        <f>COUNTIF(Table612917[Prodi],"S1 Teknik Komputer")</f>
        <v>2</v>
      </c>
      <c r="Q32" s="122"/>
      <c r="R32" s="122"/>
      <c r="S32" s="122"/>
      <c r="T32" s="122"/>
      <c r="U32" s="122"/>
      <c r="V32" s="50" t="s">
        <v>128</v>
      </c>
      <c r="W32" s="51">
        <f>COUNTIF(Table612917[Prodi],"D3 Sistem Informasi")</f>
        <v>0</v>
      </c>
      <c r="X32" s="122"/>
      <c r="Y32" s="122"/>
      <c r="Z32" s="122"/>
      <c r="AA32" s="122"/>
      <c r="AB32" s="122"/>
      <c r="AC32" s="122"/>
      <c r="AD32" s="122"/>
      <c r="AE32" s="122"/>
      <c r="AF32" s="122"/>
      <c r="AG32" s="122"/>
      <c r="AH32" s="122"/>
      <c r="AI32" s="122"/>
      <c r="AJ32" s="122"/>
      <c r="AK32" s="122"/>
      <c r="AL32" s="122"/>
      <c r="AM32" s="122"/>
      <c r="AN32" s="122"/>
      <c r="AO32" s="122"/>
      <c r="AP32" s="122"/>
      <c r="AQ32" s="122"/>
      <c r="AR32" s="122"/>
    </row>
    <row r="33" spans="1:44" s="83" customFormat="1" ht="16.5" x14ac:dyDescent="0.3">
      <c r="A33" s="41"/>
      <c r="B33" s="42" t="s">
        <v>220</v>
      </c>
      <c r="C33" s="42" t="s">
        <v>221</v>
      </c>
      <c r="D33" s="42" t="s">
        <v>301</v>
      </c>
      <c r="E33" s="42" t="s">
        <v>302</v>
      </c>
      <c r="F33" s="42"/>
      <c r="H33" s="41"/>
      <c r="I33" s="42" t="s">
        <v>220</v>
      </c>
      <c r="J33" s="42" t="s">
        <v>221</v>
      </c>
      <c r="K33" s="42" t="s">
        <v>301</v>
      </c>
      <c r="L33" s="42" t="s">
        <v>302</v>
      </c>
      <c r="M33" s="42"/>
      <c r="N33" s="122"/>
      <c r="O33" s="41"/>
      <c r="P33" s="42" t="s">
        <v>220</v>
      </c>
      <c r="Q33" s="42" t="s">
        <v>221</v>
      </c>
      <c r="R33" s="42" t="s">
        <v>301</v>
      </c>
      <c r="S33" s="42" t="s">
        <v>302</v>
      </c>
      <c r="T33" s="42"/>
      <c r="U33" s="122"/>
      <c r="V33" s="41"/>
      <c r="W33" s="42" t="s">
        <v>220</v>
      </c>
      <c r="X33" s="42" t="s">
        <v>221</v>
      </c>
      <c r="Y33" s="42" t="s">
        <v>301</v>
      </c>
      <c r="Z33" s="42" t="s">
        <v>302</v>
      </c>
      <c r="AA33" s="42"/>
      <c r="AB33" s="122"/>
      <c r="AC33" s="122"/>
      <c r="AD33" s="122"/>
      <c r="AE33" s="122"/>
      <c r="AF33" s="122"/>
      <c r="AG33" s="122"/>
      <c r="AH33" s="122"/>
      <c r="AI33" s="122"/>
      <c r="AJ33" s="122"/>
      <c r="AK33" s="122"/>
      <c r="AL33" s="122"/>
      <c r="AM33" s="122"/>
      <c r="AN33" s="122"/>
      <c r="AO33" s="122"/>
      <c r="AP33" s="122"/>
      <c r="AQ33" s="122"/>
      <c r="AR33" s="122"/>
    </row>
    <row r="34" spans="1:44" s="83" customFormat="1" ht="16.5" x14ac:dyDescent="0.3">
      <c r="A34" s="43" t="s">
        <v>26</v>
      </c>
      <c r="B34" s="52">
        <f>COUNTIF(Table612917[B1],B$33)/$B$32</f>
        <v>0.75</v>
      </c>
      <c r="C34" s="52">
        <f>COUNTIF(Table612917[B1],C$33)/$B$32</f>
        <v>0.25</v>
      </c>
      <c r="D34" s="52">
        <f>COUNTIF(Table612917[B1],D$33)/$B$32</f>
        <v>0</v>
      </c>
      <c r="E34" s="52">
        <f>COUNTIF(Table612917[B1],E$33)/$B$32</f>
        <v>0</v>
      </c>
      <c r="F34" s="48">
        <f t="shared" ref="F34:F74" si="0">SUM(B34:E34)</f>
        <v>1</v>
      </c>
      <c r="H34" s="43" t="s">
        <v>26</v>
      </c>
      <c r="I34" s="52">
        <f>COUNTIFS(Table612917[Prodi],"S1 Sistem Informasi",Table612917[B1],I$33)/$I$32</f>
        <v>1</v>
      </c>
      <c r="J34" s="52">
        <f>COUNTIFS(Table612917[Prodi],"S1 Sistem Informasi",Table612917[B1],J$33)/$I$32</f>
        <v>0</v>
      </c>
      <c r="K34" s="52">
        <f>COUNTIFS(Table612917[Prodi],"S1 Sistem Informasi",Table612917[B1],K$33)/$I$32</f>
        <v>0</v>
      </c>
      <c r="L34" s="52">
        <f>COUNTIFS(Table612917[Prodi],"S1 Sistem Informasi",Table612917[B1],L$33)/$I$32</f>
        <v>0</v>
      </c>
      <c r="M34" s="48">
        <f t="shared" ref="M34:M41" si="1">SUM(I34:L34)</f>
        <v>1</v>
      </c>
      <c r="N34" s="122"/>
      <c r="O34" s="43" t="s">
        <v>26</v>
      </c>
      <c r="P34" s="52">
        <f>COUNTIFS(Table612917[Prodi],"S1 Teknik Komputer",Table612917[B1],P$33)/$P$32</f>
        <v>0.5</v>
      </c>
      <c r="Q34" s="52">
        <f>COUNTIFS(Table612917[Prodi],"S1 Teknik Komputer",Table612917[B1],Q$33)/$P$32</f>
        <v>0.5</v>
      </c>
      <c r="R34" s="52">
        <f>COUNTIFS(Table612917[Prodi],"S1 Teknik Komputer",Table612917[B1],R$33)/$P$32</f>
        <v>0</v>
      </c>
      <c r="S34" s="52">
        <f>COUNTIFS(Table612917[Prodi],"S1 Teknik Komputer",Table612917[B1],S$33)/$P$32</f>
        <v>0</v>
      </c>
      <c r="T34" s="48">
        <f t="shared" ref="T34:T41" si="2">SUM(P34:S34)</f>
        <v>1</v>
      </c>
      <c r="U34" s="122"/>
      <c r="V34" s="43" t="s">
        <v>26</v>
      </c>
      <c r="W34" s="52" t="e">
        <f>COUNTIFS(Table612917[Prodi],"D3 Sistem Informasi",Table612917[B1],W$33)/$W$32</f>
        <v>#DIV/0!</v>
      </c>
      <c r="X34" s="52" t="e">
        <f>COUNTIFS(Table612917[Prodi],"D3 Sistem Informasi",Table612917[B1],X$33)/$W$32</f>
        <v>#DIV/0!</v>
      </c>
      <c r="Y34" s="52" t="e">
        <f>COUNTIFS(Table612917[Prodi],"D3 Sistem Informasi",Table612917[B1],Y$33)/$W$32</f>
        <v>#DIV/0!</v>
      </c>
      <c r="Z34" s="52" t="e">
        <f>COUNTIFS(Table612917[Prodi],"D3 Sistem Informasi",Table612917[B1],Z$33)/$W$32</f>
        <v>#DIV/0!</v>
      </c>
      <c r="AA34" s="48" t="e">
        <f t="shared" ref="AA34:AA41" si="3">SUM(W34:Z34)</f>
        <v>#DIV/0!</v>
      </c>
      <c r="AB34" s="122"/>
      <c r="AC34" s="122"/>
      <c r="AD34" s="122"/>
      <c r="AE34" s="122"/>
      <c r="AF34" s="122"/>
      <c r="AG34" s="122"/>
      <c r="AH34" s="122"/>
      <c r="AI34" s="122"/>
      <c r="AJ34" s="122"/>
      <c r="AK34" s="122"/>
      <c r="AL34" s="122"/>
      <c r="AM34" s="122"/>
      <c r="AN34" s="122"/>
      <c r="AO34" s="122"/>
      <c r="AP34" s="122"/>
      <c r="AQ34" s="122"/>
      <c r="AR34" s="122"/>
    </row>
    <row r="35" spans="1:44" s="83" customFormat="1" ht="16.5" x14ac:dyDescent="0.3">
      <c r="A35" s="43" t="s">
        <v>27</v>
      </c>
      <c r="B35" s="52">
        <f>COUNTIF(Table612917[B1],B$33)/$B$32</f>
        <v>0.75</v>
      </c>
      <c r="C35" s="52">
        <f>COUNTIF(Table612917[B1],C$33)/$B$32</f>
        <v>0.25</v>
      </c>
      <c r="D35" s="52">
        <f>COUNTIF(Table612917[B1],D$33)/$B$32</f>
        <v>0</v>
      </c>
      <c r="E35" s="52">
        <f>COUNTIF(Table612917[B1],E$33)/$B$32</f>
        <v>0</v>
      </c>
      <c r="F35" s="48">
        <f t="shared" si="0"/>
        <v>1</v>
      </c>
      <c r="H35" s="43" t="s">
        <v>27</v>
      </c>
      <c r="I35" s="52">
        <f>COUNTIFS(Table612917[Prodi],"S1 Sistem Informasi",Table612917[B2],I$33)/$I$32</f>
        <v>0.5</v>
      </c>
      <c r="J35" s="52">
        <f>COUNTIFS(Table612917[Prodi],"S1 Sistem Informasi",Table612917[B2],J$33)/$I$32</f>
        <v>0.5</v>
      </c>
      <c r="K35" s="52">
        <f>COUNTIFS(Table612917[Prodi],"S1 Sistem Informasi",Table612917[B2],K$33)/$I$32</f>
        <v>0</v>
      </c>
      <c r="L35" s="52">
        <f>COUNTIFS(Table612917[Prodi],"S1 Sistem Informasi",Table612917[B2],L$33)/$I$32</f>
        <v>0</v>
      </c>
      <c r="M35" s="48">
        <f t="shared" si="1"/>
        <v>1</v>
      </c>
      <c r="N35" s="122"/>
      <c r="O35" s="43" t="s">
        <v>27</v>
      </c>
      <c r="P35" s="52">
        <f>COUNTIFS(Table612917[Prodi],"S1 Teknik Komputer",Table612917[B2],P$33)/$P$32</f>
        <v>0</v>
      </c>
      <c r="Q35" s="52">
        <f>COUNTIFS(Table612917[Prodi],"S1 Teknik Komputer",Table612917[B2],Q$33)/$P$32</f>
        <v>1</v>
      </c>
      <c r="R35" s="52">
        <f>COUNTIFS(Table612917[Prodi],"S1 Teknik Komputer",Table612917[B2],R$33)/$P$32</f>
        <v>0</v>
      </c>
      <c r="S35" s="52">
        <f>COUNTIFS(Table612917[Prodi],"S1 Teknik Komputer",Table612917[B2],S$33)/$P$32</f>
        <v>0</v>
      </c>
      <c r="T35" s="48">
        <f t="shared" si="2"/>
        <v>1</v>
      </c>
      <c r="U35" s="122"/>
      <c r="V35" s="43" t="s">
        <v>27</v>
      </c>
      <c r="W35" s="52" t="e">
        <f>COUNTIFS(Table612917[Prodi],"D3 Sistem Informasi",Table612917[B2],W$33)/$W$32</f>
        <v>#DIV/0!</v>
      </c>
      <c r="X35" s="52" t="e">
        <f>COUNTIFS(Table612917[Prodi],"D3 Sistem Informasi",Table612917[B2],X$33)/$W$32</f>
        <v>#DIV/0!</v>
      </c>
      <c r="Y35" s="52" t="e">
        <f>COUNTIFS(Table612917[Prodi],"D3 Sistem Informasi",Table612917[B2],Y$33)/$W$32</f>
        <v>#DIV/0!</v>
      </c>
      <c r="Z35" s="52" t="e">
        <f>COUNTIFS(Table612917[Prodi],"D3 Sistem Informasi",Table612917[B2],Z$33)/$W$32</f>
        <v>#DIV/0!</v>
      </c>
      <c r="AA35" s="48" t="e">
        <f t="shared" si="3"/>
        <v>#DIV/0!</v>
      </c>
      <c r="AB35" s="122"/>
      <c r="AC35" s="122"/>
      <c r="AD35" s="122"/>
      <c r="AE35" s="122"/>
      <c r="AF35" s="122"/>
      <c r="AG35" s="122"/>
      <c r="AH35" s="122"/>
      <c r="AI35" s="122"/>
      <c r="AJ35" s="122"/>
      <c r="AK35" s="122"/>
      <c r="AL35" s="122"/>
      <c r="AM35" s="122"/>
      <c r="AN35" s="122"/>
      <c r="AO35" s="122"/>
      <c r="AP35" s="122"/>
      <c r="AQ35" s="122"/>
      <c r="AR35" s="122"/>
    </row>
    <row r="36" spans="1:44" s="83" customFormat="1" ht="16.5" x14ac:dyDescent="0.3">
      <c r="A36" s="43" t="s">
        <v>28</v>
      </c>
      <c r="B36" s="52">
        <f>COUNTIF(Table612917[B1],B$33)/$B$32</f>
        <v>0.75</v>
      </c>
      <c r="C36" s="52">
        <f>COUNTIF(Table612917[B1],C$33)/$B$32</f>
        <v>0.25</v>
      </c>
      <c r="D36" s="52">
        <f>COUNTIF(Table612917[B1],D$33)/$B$32</f>
        <v>0</v>
      </c>
      <c r="E36" s="52">
        <f>COUNTIF(Table612917[B1],E$33)/$B$32</f>
        <v>0</v>
      </c>
      <c r="F36" s="48">
        <f t="shared" si="0"/>
        <v>1</v>
      </c>
      <c r="H36" s="43" t="s">
        <v>28</v>
      </c>
      <c r="I36" s="52">
        <f>COUNTIFS(Table612917[Prodi],"S1 Sistem Informasi",Table612917[B3],I$33)/$I$32</f>
        <v>0</v>
      </c>
      <c r="J36" s="52">
        <f>COUNTIFS(Table612917[Prodi],"S1 Sistem Informasi",Table612917[B3],J$33)/$I$32</f>
        <v>1</v>
      </c>
      <c r="K36" s="52">
        <f>COUNTIFS(Table612917[Prodi],"S1 Sistem Informasi",Table612917[B3],K$33)/$I$32</f>
        <v>0</v>
      </c>
      <c r="L36" s="52">
        <f>COUNTIFS(Table612917[Prodi],"S1 Sistem Informasi",Table612917[B3],L$33)/$I$32</f>
        <v>0</v>
      </c>
      <c r="M36" s="48">
        <f t="shared" si="1"/>
        <v>1</v>
      </c>
      <c r="N36" s="122"/>
      <c r="O36" s="43" t="s">
        <v>28</v>
      </c>
      <c r="P36" s="52">
        <f>COUNTIFS(Table612917[Prodi],"S1 Teknik Komputer",Table612917[B3],P$33)/$P$32</f>
        <v>0.5</v>
      </c>
      <c r="Q36" s="52">
        <f>COUNTIFS(Table612917[Prodi],"S1 Teknik Komputer",Table612917[B3],Q$33)/$P$32</f>
        <v>0.5</v>
      </c>
      <c r="R36" s="52">
        <f>COUNTIFS(Table612917[Prodi],"S1 Teknik Komputer",Table612917[B3],R$33)/$P$32</f>
        <v>0</v>
      </c>
      <c r="S36" s="52">
        <f>COUNTIFS(Table612917[Prodi],"S1 Teknik Komputer",Table612917[B3],S$33)/$P$32</f>
        <v>0</v>
      </c>
      <c r="T36" s="48">
        <f t="shared" si="2"/>
        <v>1</v>
      </c>
      <c r="U36" s="122"/>
      <c r="V36" s="43" t="s">
        <v>28</v>
      </c>
      <c r="W36" s="52" t="e">
        <f>COUNTIFS(Table612917[Prodi],"D3 Sistem Informasi",Table612917[B3],W$33)/$W$32</f>
        <v>#DIV/0!</v>
      </c>
      <c r="X36" s="52" t="e">
        <f>COUNTIFS(Table612917[Prodi],"D3 Sistem Informasi",Table612917[B3],X$33)/$W$32</f>
        <v>#DIV/0!</v>
      </c>
      <c r="Y36" s="52" t="e">
        <f>COUNTIFS(Table612917[Prodi],"D3 Sistem Informasi",Table612917[B3],Y$33)/$W$32</f>
        <v>#DIV/0!</v>
      </c>
      <c r="Z36" s="52" t="e">
        <f>COUNTIFS(Table612917[Prodi],"D3 Sistem Informasi",Table612917[B3],Z$33)/$W$32</f>
        <v>#DIV/0!</v>
      </c>
      <c r="AA36" s="48" t="e">
        <f t="shared" si="3"/>
        <v>#DIV/0!</v>
      </c>
      <c r="AB36" s="122"/>
      <c r="AC36" s="122"/>
      <c r="AD36" s="122"/>
      <c r="AE36" s="122"/>
      <c r="AF36" s="122"/>
      <c r="AG36" s="122"/>
      <c r="AH36" s="122"/>
      <c r="AI36" s="122"/>
      <c r="AJ36" s="122"/>
      <c r="AK36" s="122"/>
      <c r="AL36" s="122"/>
      <c r="AM36" s="122"/>
      <c r="AN36" s="122"/>
      <c r="AO36" s="122"/>
      <c r="AP36" s="122"/>
      <c r="AQ36" s="122"/>
      <c r="AR36" s="122"/>
    </row>
    <row r="37" spans="1:44" s="83" customFormat="1" ht="16.5" x14ac:dyDescent="0.3">
      <c r="A37" s="43" t="s">
        <v>29</v>
      </c>
      <c r="B37" s="52">
        <f>COUNTIF(Table612917[B1],B$33)/$B$32</f>
        <v>0.75</v>
      </c>
      <c r="C37" s="52">
        <f>COUNTIF(Table612917[B1],C$33)/$B$32</f>
        <v>0.25</v>
      </c>
      <c r="D37" s="52">
        <f>COUNTIF(Table612917[B1],D$33)/$B$32</f>
        <v>0</v>
      </c>
      <c r="E37" s="52">
        <f>COUNTIF(Table612917[B1],E$33)/$B$32</f>
        <v>0</v>
      </c>
      <c r="F37" s="48">
        <f t="shared" si="0"/>
        <v>1</v>
      </c>
      <c r="H37" s="43" t="s">
        <v>29</v>
      </c>
      <c r="I37" s="52">
        <f>COUNTIFS(Table612917[Prodi],"S1 Sistem Informasi",Table612917[B4],I$33)/$I$32</f>
        <v>0.5</v>
      </c>
      <c r="J37" s="52">
        <f>COUNTIFS(Table612917[Prodi],"S1 Sistem Informasi",Table612917[B4],J$33)/$I$32</f>
        <v>0.5</v>
      </c>
      <c r="K37" s="52">
        <f>COUNTIFS(Table612917[Prodi],"S1 Sistem Informasi",Table612917[B4],K$33)/$I$32</f>
        <v>0</v>
      </c>
      <c r="L37" s="52">
        <f>COUNTIFS(Table612917[Prodi],"S1 Sistem Informasi",Table612917[B4],L$33)/$I$32</f>
        <v>0</v>
      </c>
      <c r="M37" s="48">
        <f t="shared" si="1"/>
        <v>1</v>
      </c>
      <c r="N37" s="122"/>
      <c r="O37" s="43" t="s">
        <v>29</v>
      </c>
      <c r="P37" s="52">
        <f>COUNTIFS(Table612917[Prodi],"S1 Teknik Komputer",Table612917[B4],P$33)/$P$32</f>
        <v>0</v>
      </c>
      <c r="Q37" s="52">
        <f>COUNTIFS(Table612917[Prodi],"S1 Teknik Komputer",Table612917[B4],Q$33)/$P$32</f>
        <v>1</v>
      </c>
      <c r="R37" s="52">
        <f>COUNTIFS(Table612917[Prodi],"S1 Teknik Komputer",Table612917[B4],R$33)/$P$32</f>
        <v>0</v>
      </c>
      <c r="S37" s="52">
        <f>COUNTIFS(Table612917[Prodi],"S1 Teknik Komputer",Table612917[B4],S$33)/$P$32</f>
        <v>0</v>
      </c>
      <c r="T37" s="48">
        <f t="shared" si="2"/>
        <v>1</v>
      </c>
      <c r="U37" s="122"/>
      <c r="V37" s="43" t="s">
        <v>29</v>
      </c>
      <c r="W37" s="52" t="e">
        <f>COUNTIFS(Table612917[Prodi],"D3 Sistem Informasi",Table612917[B4],W$33)/$W$32</f>
        <v>#DIV/0!</v>
      </c>
      <c r="X37" s="52" t="e">
        <f>COUNTIFS(Table612917[Prodi],"D3 Sistem Informasi",Table612917[B4],X$33)/$W$32</f>
        <v>#DIV/0!</v>
      </c>
      <c r="Y37" s="52" t="e">
        <f>COUNTIFS(Table612917[Prodi],"D3 Sistem Informasi",Table612917[B4],Y$33)/$W$32</f>
        <v>#DIV/0!</v>
      </c>
      <c r="Z37" s="52" t="e">
        <f>COUNTIFS(Table612917[Prodi],"D3 Sistem Informasi",Table612917[B4],Z$33)/$W$32</f>
        <v>#DIV/0!</v>
      </c>
      <c r="AA37" s="48" t="e">
        <f t="shared" si="3"/>
        <v>#DIV/0!</v>
      </c>
      <c r="AB37" s="122"/>
      <c r="AC37" s="122"/>
      <c r="AD37" s="122"/>
      <c r="AE37" s="122"/>
      <c r="AF37" s="122"/>
      <c r="AG37" s="122"/>
      <c r="AH37" s="122"/>
      <c r="AI37" s="122"/>
      <c r="AJ37" s="122"/>
      <c r="AK37" s="122"/>
      <c r="AL37" s="122"/>
      <c r="AM37" s="122"/>
      <c r="AN37" s="122"/>
      <c r="AO37" s="122"/>
      <c r="AP37" s="122"/>
      <c r="AQ37" s="122"/>
      <c r="AR37" s="122"/>
    </row>
    <row r="38" spans="1:44" s="83" customFormat="1" ht="16.5" x14ac:dyDescent="0.3">
      <c r="A38" s="46"/>
      <c r="B38" s="47">
        <f>AVERAGE(B34:B37)</f>
        <v>0.75</v>
      </c>
      <c r="C38" s="47">
        <f>AVERAGE(C34:C37)</f>
        <v>0.25</v>
      </c>
      <c r="D38" s="47">
        <f>AVERAGE(D34:D37)</f>
        <v>0</v>
      </c>
      <c r="E38" s="47">
        <f>AVERAGE(E34:E37)</f>
        <v>0</v>
      </c>
      <c r="F38" s="48">
        <f t="shared" si="0"/>
        <v>1</v>
      </c>
      <c r="H38" s="46"/>
      <c r="I38" s="47">
        <f>AVERAGE(I34:I37)</f>
        <v>0.5</v>
      </c>
      <c r="J38" s="47">
        <f>AVERAGE(J34:J37)</f>
        <v>0.5</v>
      </c>
      <c r="K38" s="47">
        <f>AVERAGE(K34:K37)</f>
        <v>0</v>
      </c>
      <c r="L38" s="47">
        <f>AVERAGE(L34:L37)</f>
        <v>0</v>
      </c>
      <c r="M38" s="48">
        <f t="shared" si="1"/>
        <v>1</v>
      </c>
      <c r="N38" s="122"/>
      <c r="O38" s="46"/>
      <c r="P38" s="47">
        <f>AVERAGE(P34:P37)</f>
        <v>0.25</v>
      </c>
      <c r="Q38" s="47">
        <f>AVERAGE(Q34:Q37)</f>
        <v>0.75</v>
      </c>
      <c r="R38" s="47">
        <f>AVERAGE(R34:R37)</f>
        <v>0</v>
      </c>
      <c r="S38" s="47">
        <f>AVERAGE(S34:S37)</f>
        <v>0</v>
      </c>
      <c r="T38" s="48">
        <f t="shared" si="2"/>
        <v>1</v>
      </c>
      <c r="U38" s="122"/>
      <c r="V38" s="46"/>
      <c r="W38" s="47" t="e">
        <f>AVERAGE(W34:W37)</f>
        <v>#DIV/0!</v>
      </c>
      <c r="X38" s="47" t="e">
        <f>AVERAGE(X34:X37)</f>
        <v>#DIV/0!</v>
      </c>
      <c r="Y38" s="47" t="e">
        <f>AVERAGE(Y34:Y37)</f>
        <v>#DIV/0!</v>
      </c>
      <c r="Z38" s="47" t="e">
        <f>AVERAGE(Z34:Z37)</f>
        <v>#DIV/0!</v>
      </c>
      <c r="AA38" s="48" t="e">
        <f t="shared" si="3"/>
        <v>#DIV/0!</v>
      </c>
      <c r="AB38" s="122"/>
      <c r="AC38" s="122"/>
      <c r="AD38" s="122"/>
      <c r="AE38" s="122"/>
      <c r="AF38" s="122"/>
      <c r="AG38" s="122"/>
      <c r="AH38" s="122"/>
      <c r="AI38" s="122"/>
      <c r="AJ38" s="122"/>
      <c r="AK38" s="122"/>
      <c r="AL38" s="122"/>
      <c r="AM38" s="122"/>
      <c r="AN38" s="122"/>
      <c r="AO38" s="122"/>
      <c r="AP38" s="122"/>
      <c r="AQ38" s="122"/>
      <c r="AR38" s="122"/>
    </row>
    <row r="39" spans="1:44" s="83" customFormat="1" ht="16.5" x14ac:dyDescent="0.3">
      <c r="A39" s="43" t="s">
        <v>31</v>
      </c>
      <c r="B39" s="52">
        <f>COUNTIF(Table612917[C1],B$33)/$B$32</f>
        <v>0.5</v>
      </c>
      <c r="C39" s="52">
        <f>COUNTIF(Table612917[C1],C$33)/$B$32</f>
        <v>0.5</v>
      </c>
      <c r="D39" s="52">
        <f>COUNTIF(Table612917[C1],D$33)/$B$32</f>
        <v>0</v>
      </c>
      <c r="E39" s="52">
        <f>COUNTIF(Table612917[C1],E$33)/$B$32</f>
        <v>0</v>
      </c>
      <c r="F39" s="48">
        <f t="shared" si="0"/>
        <v>1</v>
      </c>
      <c r="H39" s="43" t="s">
        <v>31</v>
      </c>
      <c r="I39" s="52">
        <f>COUNTIFS(Table612917[Prodi],"S1 Sistem Informasi",Table612917[C1],I$33)/$I$32</f>
        <v>0.5</v>
      </c>
      <c r="J39" s="52">
        <f>COUNTIFS(Table612917[Prodi],"S1 Sistem Informasi",Table612917[C1],J$33)/$I$32</f>
        <v>0.5</v>
      </c>
      <c r="K39" s="52">
        <f>COUNTIFS(Table612917[Prodi],"S1 Sistem Informasi",Table612917[C1],K$33)/$I$32</f>
        <v>0</v>
      </c>
      <c r="L39" s="52">
        <f>COUNTIFS(Table612917[Prodi],"S1 Sistem Informasi",Table612917[C1],L$33)/$I$32</f>
        <v>0</v>
      </c>
      <c r="M39" s="48">
        <f t="shared" si="1"/>
        <v>1</v>
      </c>
      <c r="N39" s="122"/>
      <c r="O39" s="43" t="s">
        <v>31</v>
      </c>
      <c r="P39" s="52">
        <f>COUNTIFS(Table612917[Prodi],"S1 Teknik Komputer",Table612917[C1],P$33)/$P$32</f>
        <v>0.5</v>
      </c>
      <c r="Q39" s="52">
        <f>COUNTIFS(Table612917[Prodi],"S1 Teknik Komputer",Table612917[C1],Q$33)/$P$32</f>
        <v>0.5</v>
      </c>
      <c r="R39" s="52">
        <f>COUNTIFS(Table612917[Prodi],"S1 Teknik Komputer",Table612917[C1],R$33)/$P$32</f>
        <v>0</v>
      </c>
      <c r="S39" s="52">
        <f>COUNTIFS(Table612917[Prodi],"S1 Teknik Komputer",Table612917[C1],S$33)/$P$32</f>
        <v>0</v>
      </c>
      <c r="T39" s="48">
        <f t="shared" si="2"/>
        <v>1</v>
      </c>
      <c r="U39" s="122"/>
      <c r="V39" s="43" t="s">
        <v>31</v>
      </c>
      <c r="W39" s="52" t="e">
        <f>COUNTIFS(Table612917[Prodi],"D3 Sistem Informasi",Table612917[C1],W$33)/$W$32</f>
        <v>#DIV/0!</v>
      </c>
      <c r="X39" s="52" t="e">
        <f>COUNTIFS(Table612917[Prodi],"D3 Sistem Informasi",Table612917[C1],X$33)/$W$32</f>
        <v>#DIV/0!</v>
      </c>
      <c r="Y39" s="52" t="e">
        <f>COUNTIFS(Table612917[Prodi],"D3 Sistem Informasi",Table612917[C1],Y$33)/$W$32</f>
        <v>#DIV/0!</v>
      </c>
      <c r="Z39" s="52" t="e">
        <f>COUNTIFS(Table612917[Prodi],"D3 Sistem Informasi",Table612917[C1],Z$33)/$W$32</f>
        <v>#DIV/0!</v>
      </c>
      <c r="AA39" s="48" t="e">
        <f t="shared" si="3"/>
        <v>#DIV/0!</v>
      </c>
      <c r="AB39" s="122"/>
      <c r="AC39" s="122"/>
      <c r="AD39" s="122"/>
      <c r="AE39" s="122"/>
      <c r="AF39" s="122"/>
      <c r="AG39" s="122"/>
      <c r="AH39" s="122"/>
      <c r="AI39" s="122"/>
      <c r="AJ39" s="122"/>
      <c r="AK39" s="122"/>
      <c r="AL39" s="122"/>
      <c r="AM39" s="122"/>
      <c r="AN39" s="122"/>
      <c r="AO39" s="122"/>
      <c r="AP39" s="122"/>
      <c r="AQ39" s="122"/>
      <c r="AR39" s="122"/>
    </row>
    <row r="40" spans="1:44" s="83" customFormat="1" ht="16.5" x14ac:dyDescent="0.3">
      <c r="A40" s="43" t="s">
        <v>32</v>
      </c>
      <c r="B40" s="52">
        <f>COUNTIF(Table612917[C2],B$33)/$B$32</f>
        <v>0.5</v>
      </c>
      <c r="C40" s="52">
        <f>COUNTIF(Table612917[C2],C$33)/$B$32</f>
        <v>0.5</v>
      </c>
      <c r="D40" s="52">
        <f>COUNTIF(Table612917[C2],D$33)/$B$32</f>
        <v>0</v>
      </c>
      <c r="E40" s="52">
        <f>COUNTIF(Table612917[C2],E$33)/$B$32</f>
        <v>0</v>
      </c>
      <c r="F40" s="48">
        <f t="shared" si="0"/>
        <v>1</v>
      </c>
      <c r="H40" s="43" t="s">
        <v>32</v>
      </c>
      <c r="I40" s="52">
        <f>COUNTIFS(Table612917[Prodi],"S1 Sistem Informasi",Table612917[C2],I$33)/$I$32</f>
        <v>1</v>
      </c>
      <c r="J40" s="52">
        <f>COUNTIFS(Table612917[Prodi],"S1 Sistem Informasi",Table612917[C2],J$33)/$I$32</f>
        <v>0</v>
      </c>
      <c r="K40" s="52">
        <f>COUNTIFS(Table612917[Prodi],"S1 Sistem Informasi",Table612917[C2],K$33)/$I$32</f>
        <v>0</v>
      </c>
      <c r="L40" s="52">
        <f>COUNTIFS(Table612917[Prodi],"S1 Sistem Informasi",Table612917[C2],L$33)/$I$32</f>
        <v>0</v>
      </c>
      <c r="M40" s="48">
        <f t="shared" si="1"/>
        <v>1</v>
      </c>
      <c r="N40" s="122"/>
      <c r="O40" s="43" t="s">
        <v>32</v>
      </c>
      <c r="P40" s="52">
        <f>COUNTIFS(Table612917[Prodi],"S1 Teknik Komputer",Table612917[C2],P$33)/$P$32</f>
        <v>0</v>
      </c>
      <c r="Q40" s="52">
        <f>COUNTIFS(Table612917[Prodi],"S1 Teknik Komputer",Table612917[C2],Q$33)/$P$32</f>
        <v>1</v>
      </c>
      <c r="R40" s="52">
        <f>COUNTIFS(Table612917[Prodi],"S1 Teknik Komputer",Table612917[C2],R$33)/$P$32</f>
        <v>0</v>
      </c>
      <c r="S40" s="52">
        <f>COUNTIFS(Table612917[Prodi],"S1 Teknik Komputer",Table612917[C2],S$33)/$P$32</f>
        <v>0</v>
      </c>
      <c r="T40" s="48">
        <f t="shared" si="2"/>
        <v>1</v>
      </c>
      <c r="U40" s="122"/>
      <c r="V40" s="43" t="s">
        <v>32</v>
      </c>
      <c r="W40" s="52" t="e">
        <f>COUNTIFS(Table612917[Prodi],"D3 Sistem Informasi",Table612917[C2],W$33)/$W$32</f>
        <v>#DIV/0!</v>
      </c>
      <c r="X40" s="52" t="e">
        <f>COUNTIFS(Table612917[Prodi],"D3 Sistem Informasi",Table612917[C2],X$33)/$W$32</f>
        <v>#DIV/0!</v>
      </c>
      <c r="Y40" s="52" t="e">
        <f>COUNTIFS(Table612917[Prodi],"D3 Sistem Informasi",Table612917[C2],Y$33)/$W$32</f>
        <v>#DIV/0!</v>
      </c>
      <c r="Z40" s="52" t="e">
        <f>COUNTIFS(Table612917[Prodi],"D3 Sistem Informasi",Table612917[C2],Z$33)/$W$32</f>
        <v>#DIV/0!</v>
      </c>
      <c r="AA40" s="48" t="e">
        <f t="shared" si="3"/>
        <v>#DIV/0!</v>
      </c>
      <c r="AB40" s="122"/>
      <c r="AC40" s="122"/>
      <c r="AD40" s="122"/>
      <c r="AE40" s="122"/>
      <c r="AF40" s="122"/>
      <c r="AG40" s="122"/>
      <c r="AH40" s="122"/>
      <c r="AI40" s="122"/>
      <c r="AJ40" s="122"/>
      <c r="AK40" s="122"/>
      <c r="AL40" s="122"/>
      <c r="AM40" s="122"/>
      <c r="AN40" s="122"/>
      <c r="AO40" s="122"/>
      <c r="AP40" s="122"/>
      <c r="AQ40" s="122"/>
      <c r="AR40" s="122"/>
    </row>
    <row r="41" spans="1:44" s="83" customFormat="1" ht="16.5" x14ac:dyDescent="0.3">
      <c r="A41" s="43" t="s">
        <v>194</v>
      </c>
      <c r="B41" s="52">
        <f>COUNTIF(Table612917[C3],B$33)/$B$32</f>
        <v>0.5</v>
      </c>
      <c r="C41" s="52">
        <f>COUNTIF(Table612917[C3],C$33)/$B$32</f>
        <v>0.5</v>
      </c>
      <c r="D41" s="52">
        <f>COUNTIF(Table612917[C3],D$33)/$B$32</f>
        <v>0</v>
      </c>
      <c r="E41" s="52">
        <f>COUNTIF(Table612917[C3],E$33)/$B$32</f>
        <v>0</v>
      </c>
      <c r="F41" s="48">
        <f t="shared" si="0"/>
        <v>1</v>
      </c>
      <c r="H41" s="43" t="s">
        <v>194</v>
      </c>
      <c r="I41" s="52">
        <f>COUNTIFS(Table612917[Prodi],"S1 Sistem Informasi",Table612917[C3],I$33)/$I$32</f>
        <v>0.5</v>
      </c>
      <c r="J41" s="52">
        <f>COUNTIFS(Table612917[Prodi],"S1 Sistem Informasi",Table612917[C3],J$33)/$I$32</f>
        <v>0.5</v>
      </c>
      <c r="K41" s="52">
        <f>COUNTIFS(Table612917[Prodi],"S1 Sistem Informasi",Table612917[C3],K$33)/$I$32</f>
        <v>0</v>
      </c>
      <c r="L41" s="52">
        <f>COUNTIFS(Table612917[Prodi],"S1 Sistem Informasi",Table612917[C3],L$33)/$I$32</f>
        <v>0</v>
      </c>
      <c r="M41" s="48">
        <f t="shared" si="1"/>
        <v>1</v>
      </c>
      <c r="N41" s="122"/>
      <c r="O41" s="43" t="s">
        <v>194</v>
      </c>
      <c r="P41" s="52">
        <f>COUNTIFS(Table612917[Prodi],"S1 Teknik Komputer",Table612917[C3],P$33)/$P$32</f>
        <v>0.5</v>
      </c>
      <c r="Q41" s="52">
        <f>COUNTIFS(Table612917[Prodi],"S1 Teknik Komputer",Table612917[C3],Q$33)/$P$32</f>
        <v>0.5</v>
      </c>
      <c r="R41" s="52">
        <f>COUNTIFS(Table612917[Prodi],"S1 Teknik Komputer",Table612917[C3],R$33)/$P$32</f>
        <v>0</v>
      </c>
      <c r="S41" s="52">
        <f>COUNTIFS(Table612917[Prodi],"S1 Teknik Komputer",Table612917[C3],S$33)/$P$32</f>
        <v>0</v>
      </c>
      <c r="T41" s="48">
        <f t="shared" si="2"/>
        <v>1</v>
      </c>
      <c r="U41" s="122"/>
      <c r="V41" s="43" t="s">
        <v>194</v>
      </c>
      <c r="W41" s="52" t="e">
        <f>COUNTIFS(Table612917[Prodi],"D3 Sistem Informasi",Table612917[C3],W$33)/$W$32</f>
        <v>#DIV/0!</v>
      </c>
      <c r="X41" s="52" t="e">
        <f>COUNTIFS(Table612917[Prodi],"D3 Sistem Informasi",Table612917[C3],X$33)/$W$32</f>
        <v>#DIV/0!</v>
      </c>
      <c r="Y41" s="52" t="e">
        <f>COUNTIFS(Table612917[Prodi],"D3 Sistem Informasi",Table612917[C3],Y$33)/$W$32</f>
        <v>#DIV/0!</v>
      </c>
      <c r="Z41" s="52" t="e">
        <f>COUNTIFS(Table612917[Prodi],"D3 Sistem Informasi",Table612917[C3],Z$33)/$W$32</f>
        <v>#DIV/0!</v>
      </c>
      <c r="AA41" s="48" t="e">
        <f t="shared" si="3"/>
        <v>#DIV/0!</v>
      </c>
      <c r="AB41" s="122"/>
      <c r="AC41" s="122"/>
      <c r="AD41" s="122"/>
      <c r="AE41" s="122"/>
      <c r="AF41" s="122"/>
      <c r="AG41" s="122"/>
      <c r="AH41" s="122"/>
      <c r="AI41" s="122"/>
      <c r="AJ41" s="122"/>
      <c r="AK41" s="122"/>
      <c r="AL41" s="122"/>
      <c r="AM41" s="122"/>
      <c r="AN41" s="122"/>
      <c r="AO41" s="122"/>
      <c r="AP41" s="122"/>
      <c r="AQ41" s="122"/>
      <c r="AR41" s="122"/>
    </row>
    <row r="42" spans="1:44" s="83" customFormat="1" ht="16.5" x14ac:dyDescent="0.3">
      <c r="A42" s="46"/>
      <c r="B42" s="47">
        <f>AVERAGE(B39:B41)</f>
        <v>0.5</v>
      </c>
      <c r="C42" s="47">
        <f>AVERAGE(C39:C41)</f>
        <v>0.5</v>
      </c>
      <c r="D42" s="47">
        <f>AVERAGE(D39:D41)</f>
        <v>0</v>
      </c>
      <c r="E42" s="47">
        <f>AVERAGE(E39:E41)</f>
        <v>0</v>
      </c>
      <c r="F42" s="48">
        <f>SUM(B42:E42)</f>
        <v>1</v>
      </c>
      <c r="H42" s="46"/>
      <c r="I42" s="47">
        <f>AVERAGE(I39:I41)</f>
        <v>0.66666666666666663</v>
      </c>
      <c r="J42" s="47">
        <f>AVERAGE(J39:J41)</f>
        <v>0.33333333333333331</v>
      </c>
      <c r="K42" s="47">
        <f>AVERAGE(K39:K41)</f>
        <v>0</v>
      </c>
      <c r="L42" s="47">
        <f>AVERAGE(L39:L41)</f>
        <v>0</v>
      </c>
      <c r="M42" s="48">
        <f>SUM(I42:L42)</f>
        <v>1</v>
      </c>
      <c r="N42" s="122"/>
      <c r="O42" s="46"/>
      <c r="P42" s="47">
        <f>AVERAGE(P39:P41)</f>
        <v>0.33333333333333331</v>
      </c>
      <c r="Q42" s="47">
        <f>AVERAGE(Q39:Q41)</f>
        <v>0.66666666666666663</v>
      </c>
      <c r="R42" s="47">
        <f>AVERAGE(R39:R41)</f>
        <v>0</v>
      </c>
      <c r="S42" s="47">
        <f>AVERAGE(S39:S41)</f>
        <v>0</v>
      </c>
      <c r="T42" s="48">
        <f>SUM(P42:S42)</f>
        <v>1</v>
      </c>
      <c r="U42" s="122"/>
      <c r="V42" s="46"/>
      <c r="W42" s="47" t="e">
        <f>AVERAGE(W39:W41)</f>
        <v>#DIV/0!</v>
      </c>
      <c r="X42" s="47" t="e">
        <f>AVERAGE(X39:X41)</f>
        <v>#DIV/0!</v>
      </c>
      <c r="Y42" s="47" t="e">
        <f>AVERAGE(Y39:Y41)</f>
        <v>#DIV/0!</v>
      </c>
      <c r="Z42" s="47" t="e">
        <f>AVERAGE(Z39:Z41)</f>
        <v>#DIV/0!</v>
      </c>
      <c r="AA42" s="48" t="e">
        <f>SUM(W42:Z42)</f>
        <v>#DIV/0!</v>
      </c>
      <c r="AB42" s="122"/>
      <c r="AC42" s="122"/>
      <c r="AD42" s="122"/>
      <c r="AE42" s="122"/>
      <c r="AF42" s="122"/>
      <c r="AG42" s="122"/>
      <c r="AH42" s="122"/>
      <c r="AI42" s="122"/>
      <c r="AJ42" s="122"/>
      <c r="AK42" s="122"/>
      <c r="AL42" s="122"/>
      <c r="AM42" s="122"/>
      <c r="AN42" s="122"/>
      <c r="AO42" s="122"/>
      <c r="AP42" s="122"/>
      <c r="AQ42" s="122"/>
      <c r="AR42" s="122"/>
    </row>
    <row r="43" spans="1:44" s="83" customFormat="1" ht="16.5" x14ac:dyDescent="0.3">
      <c r="A43" s="43" t="s">
        <v>33</v>
      </c>
      <c r="B43" s="52">
        <f>COUNTIF(Table612917[D1],B$33)/$B$32</f>
        <v>0</v>
      </c>
      <c r="C43" s="52">
        <f>COUNTIF(Table612917[D1],C$33)/$B$32</f>
        <v>1</v>
      </c>
      <c r="D43" s="52">
        <f>COUNTIF(Table612917[D1],D$33)/$B$32</f>
        <v>0</v>
      </c>
      <c r="E43" s="52">
        <f>COUNTIF(Table612917[D1],E$33)/$B$32</f>
        <v>0</v>
      </c>
      <c r="F43" s="48">
        <f t="shared" si="0"/>
        <v>1</v>
      </c>
      <c r="H43" s="43" t="s">
        <v>33</v>
      </c>
      <c r="I43" s="52">
        <f>COUNTIFS(Table612917[Prodi],"S1 Sistem Informasi",Table612917[D1],I$33)/$I$32</f>
        <v>0</v>
      </c>
      <c r="J43" s="52">
        <f>COUNTIFS(Table612917[Prodi],"S1 Sistem Informasi",Table612917[D1],J$33)/$I$32</f>
        <v>1</v>
      </c>
      <c r="K43" s="52">
        <f>COUNTIFS(Table612917[Prodi],"S1 Sistem Informasi",Table612917[D1],K$33)/$I$32</f>
        <v>0</v>
      </c>
      <c r="L43" s="52">
        <f>COUNTIFS(Table612917[Prodi],"S1 Sistem Informasi",Table612917[D1],L$33)/$I$32</f>
        <v>0</v>
      </c>
      <c r="M43" s="48">
        <f t="shared" ref="M43:M74" si="4">SUM(I43:L43)</f>
        <v>1</v>
      </c>
      <c r="N43" s="122"/>
      <c r="O43" s="43" t="s">
        <v>33</v>
      </c>
      <c r="P43" s="52">
        <f>COUNTIFS(Table612917[Prodi],"S1 Teknik Komputer",Table612917[D1],P$33)/$P$32</f>
        <v>0</v>
      </c>
      <c r="Q43" s="52">
        <f>COUNTIFS(Table612917[Prodi],"S1 Teknik Komputer",Table612917[D1],Q$33)/$P$32</f>
        <v>1</v>
      </c>
      <c r="R43" s="52">
        <f>COUNTIFS(Table612917[Prodi],"S1 Teknik Komputer",Table612917[D1],R$33)/$P$32</f>
        <v>0</v>
      </c>
      <c r="S43" s="52">
        <f>COUNTIFS(Table612917[Prodi],"S1 Teknik Komputer",Table612917[D1],S$33)/$P$32</f>
        <v>0</v>
      </c>
      <c r="T43" s="48">
        <f t="shared" ref="T43:T74" si="5">SUM(P43:S43)</f>
        <v>1</v>
      </c>
      <c r="U43" s="122"/>
      <c r="V43" s="43" t="s">
        <v>33</v>
      </c>
      <c r="W43" s="52" t="e">
        <f>COUNTIFS(Table612917[Prodi],"D3 Sistem Informasi",Table612917[D1],W$33)/$W$32</f>
        <v>#DIV/0!</v>
      </c>
      <c r="X43" s="52" t="e">
        <f>COUNTIFS(Table612917[Prodi],"D3 Sistem Informasi",Table612917[D1],X$33)/$W$32</f>
        <v>#DIV/0!</v>
      </c>
      <c r="Y43" s="52" t="e">
        <f>COUNTIFS(Table612917[Prodi],"D3 Sistem Informasi",Table612917[D1],Y$33)/$W$32</f>
        <v>#DIV/0!</v>
      </c>
      <c r="Z43" s="52" t="e">
        <f>COUNTIFS(Table612917[Prodi],"D3 Sistem Informasi",Table612917[D1],Z$33)/$W$32</f>
        <v>#DIV/0!</v>
      </c>
      <c r="AA43" s="48" t="e">
        <f t="shared" ref="AA43:AA74" si="6">SUM(W43:Z43)</f>
        <v>#DIV/0!</v>
      </c>
      <c r="AB43" s="122"/>
      <c r="AC43" s="122"/>
      <c r="AD43" s="122"/>
      <c r="AE43" s="122"/>
      <c r="AF43" s="122"/>
      <c r="AG43" s="122"/>
      <c r="AH43" s="122"/>
      <c r="AI43" s="122"/>
      <c r="AJ43" s="122"/>
      <c r="AK43" s="122"/>
      <c r="AL43" s="122"/>
      <c r="AM43" s="122"/>
      <c r="AN43" s="122"/>
      <c r="AO43" s="122"/>
      <c r="AP43" s="122"/>
      <c r="AQ43" s="122"/>
      <c r="AR43" s="122"/>
    </row>
    <row r="44" spans="1:44" s="83" customFormat="1" ht="16.5" x14ac:dyDescent="0.3">
      <c r="A44" s="43" t="s">
        <v>34</v>
      </c>
      <c r="B44" s="52">
        <f>COUNTIF(Table612917[D2],B$33)/$B$32</f>
        <v>0.25</v>
      </c>
      <c r="C44" s="52">
        <f>COUNTIF(Table612917[D2],C$33)/$B$32</f>
        <v>0.75</v>
      </c>
      <c r="D44" s="52">
        <f>COUNTIF(Table612917[D2],D$33)/$B$32</f>
        <v>0</v>
      </c>
      <c r="E44" s="52">
        <f>COUNTIF(Table612917[D2],E$33)/$B$32</f>
        <v>0</v>
      </c>
      <c r="F44" s="48">
        <f t="shared" si="0"/>
        <v>1</v>
      </c>
      <c r="H44" s="43" t="s">
        <v>34</v>
      </c>
      <c r="I44" s="52">
        <f>COUNTIFS(Table612917[Prodi],"S1 Sistem Informasi",Table612917[D2],I$33)/$I$32</f>
        <v>0.5</v>
      </c>
      <c r="J44" s="52">
        <f>COUNTIFS(Table612917[Prodi],"S1 Sistem Informasi",Table612917[D2],J$33)/$I$32</f>
        <v>0.5</v>
      </c>
      <c r="K44" s="52">
        <f>COUNTIFS(Table612917[Prodi],"S1 Sistem Informasi",Table612917[D2],K$33)/$I$32</f>
        <v>0</v>
      </c>
      <c r="L44" s="52">
        <f>COUNTIFS(Table612917[Prodi],"S1 Sistem Informasi",Table612917[D2],L$33)/$I$32</f>
        <v>0</v>
      </c>
      <c r="M44" s="48">
        <f t="shared" si="4"/>
        <v>1</v>
      </c>
      <c r="N44" s="122"/>
      <c r="O44" s="43" t="s">
        <v>34</v>
      </c>
      <c r="P44" s="52">
        <f>COUNTIFS(Table612917[Prodi],"S1 Teknik Komputer",Table612917[D2],P$33)/$P$32</f>
        <v>0</v>
      </c>
      <c r="Q44" s="52">
        <f>COUNTIFS(Table612917[Prodi],"S1 Teknik Komputer",Table612917[D2],Q$33)/$P$32</f>
        <v>1</v>
      </c>
      <c r="R44" s="52">
        <f>COUNTIFS(Table612917[Prodi],"S1 Teknik Komputer",Table612917[D2],R$33)/$P$32</f>
        <v>0</v>
      </c>
      <c r="S44" s="52">
        <f>COUNTIFS(Table612917[Prodi],"S1 Teknik Komputer",Table612917[D2],S$33)/$P$32</f>
        <v>0</v>
      </c>
      <c r="T44" s="48">
        <f t="shared" si="5"/>
        <v>1</v>
      </c>
      <c r="U44" s="122"/>
      <c r="V44" s="43" t="s">
        <v>34</v>
      </c>
      <c r="W44" s="52" t="e">
        <f>COUNTIFS(Table612917[Prodi],"D3 Sistem Informasi",Table612917[D2],W$33)/$W$32</f>
        <v>#DIV/0!</v>
      </c>
      <c r="X44" s="52" t="e">
        <f>COUNTIFS(Table612917[Prodi],"D3 Sistem Informasi",Table612917[D2],X$33)/$W$32</f>
        <v>#DIV/0!</v>
      </c>
      <c r="Y44" s="52" t="e">
        <f>COUNTIFS(Table612917[Prodi],"D3 Sistem Informasi",Table612917[D2],Y$33)/$W$32</f>
        <v>#DIV/0!</v>
      </c>
      <c r="Z44" s="52" t="e">
        <f>COUNTIFS(Table612917[Prodi],"D3 Sistem Informasi",Table612917[D2],Z$33)/$W$32</f>
        <v>#DIV/0!</v>
      </c>
      <c r="AA44" s="48" t="e">
        <f t="shared" si="6"/>
        <v>#DIV/0!</v>
      </c>
      <c r="AB44" s="122"/>
      <c r="AC44" s="122"/>
      <c r="AD44" s="122"/>
      <c r="AE44" s="122"/>
      <c r="AF44" s="122"/>
      <c r="AG44" s="122"/>
      <c r="AH44" s="122"/>
      <c r="AI44" s="122"/>
      <c r="AJ44" s="122"/>
      <c r="AK44" s="122"/>
      <c r="AL44" s="122"/>
      <c r="AM44" s="122"/>
      <c r="AN44" s="122"/>
      <c r="AO44" s="122"/>
      <c r="AP44" s="122"/>
      <c r="AQ44" s="122"/>
      <c r="AR44" s="122"/>
    </row>
    <row r="45" spans="1:44" s="83" customFormat="1" ht="16.5" x14ac:dyDescent="0.3">
      <c r="A45" s="46"/>
      <c r="B45" s="47">
        <f>AVERAGE(B43:B44)</f>
        <v>0.125</v>
      </c>
      <c r="C45" s="47">
        <f>AVERAGE(C43:C44)</f>
        <v>0.875</v>
      </c>
      <c r="D45" s="47">
        <f>AVERAGE(D43:D44)</f>
        <v>0</v>
      </c>
      <c r="E45" s="47">
        <f>AVERAGE(E43:E44)</f>
        <v>0</v>
      </c>
      <c r="F45" s="48">
        <f t="shared" si="0"/>
        <v>1</v>
      </c>
      <c r="H45" s="46"/>
      <c r="I45" s="47">
        <f>AVERAGE(I43:I44)</f>
        <v>0.25</v>
      </c>
      <c r="J45" s="47">
        <f>AVERAGE(J43:J44)</f>
        <v>0.75</v>
      </c>
      <c r="K45" s="47">
        <f>AVERAGE(K43:K44)</f>
        <v>0</v>
      </c>
      <c r="L45" s="47">
        <f>AVERAGE(L43:L44)</f>
        <v>0</v>
      </c>
      <c r="M45" s="48">
        <f t="shared" si="4"/>
        <v>1</v>
      </c>
      <c r="N45" s="122"/>
      <c r="O45" s="46"/>
      <c r="P45" s="47">
        <f>AVERAGE(P43:P44)</f>
        <v>0</v>
      </c>
      <c r="Q45" s="47">
        <f>AVERAGE(Q43:Q44)</f>
        <v>1</v>
      </c>
      <c r="R45" s="47">
        <f>AVERAGE(R43:R44)</f>
        <v>0</v>
      </c>
      <c r="S45" s="47">
        <f>AVERAGE(S43:S44)</f>
        <v>0</v>
      </c>
      <c r="T45" s="48">
        <f t="shared" si="5"/>
        <v>1</v>
      </c>
      <c r="U45" s="122"/>
      <c r="V45" s="46"/>
      <c r="W45" s="47" t="e">
        <f>AVERAGE(W43:W44)</f>
        <v>#DIV/0!</v>
      </c>
      <c r="X45" s="47" t="e">
        <f>AVERAGE(X43:X44)</f>
        <v>#DIV/0!</v>
      </c>
      <c r="Y45" s="47" t="e">
        <f>AVERAGE(Y43:Y44)</f>
        <v>#DIV/0!</v>
      </c>
      <c r="Z45" s="47" t="e">
        <f>AVERAGE(Z43:Z44)</f>
        <v>#DIV/0!</v>
      </c>
      <c r="AA45" s="48" t="e">
        <f t="shared" si="6"/>
        <v>#DIV/0!</v>
      </c>
      <c r="AB45" s="122"/>
      <c r="AC45" s="122"/>
      <c r="AD45" s="122"/>
      <c r="AE45" s="122"/>
      <c r="AF45" s="122"/>
      <c r="AG45" s="122"/>
      <c r="AH45" s="122"/>
      <c r="AI45" s="122"/>
      <c r="AJ45" s="122"/>
      <c r="AK45" s="122"/>
      <c r="AL45" s="122"/>
      <c r="AM45" s="122"/>
      <c r="AN45" s="122"/>
      <c r="AO45" s="122"/>
      <c r="AP45" s="122"/>
      <c r="AQ45" s="122"/>
      <c r="AR45" s="122"/>
    </row>
    <row r="46" spans="1:44" s="83" customFormat="1" ht="16.5" x14ac:dyDescent="0.3">
      <c r="A46" s="43" t="s">
        <v>35</v>
      </c>
      <c r="B46" s="52">
        <f>COUNTIF(Table612917[E1],B$33)/$B$32</f>
        <v>0.75</v>
      </c>
      <c r="C46" s="52">
        <f>COUNTIF(Table612917[E1],C$33)/$B$32</f>
        <v>0.25</v>
      </c>
      <c r="D46" s="52">
        <f>COUNTIF(Table612917[E1],D$33)/$B$32</f>
        <v>0</v>
      </c>
      <c r="E46" s="52">
        <f>COUNTIF(Table612917[E1],E$33)/$B$32</f>
        <v>0</v>
      </c>
      <c r="F46" s="48">
        <f t="shared" si="0"/>
        <v>1</v>
      </c>
      <c r="H46" s="43" t="s">
        <v>35</v>
      </c>
      <c r="I46" s="52">
        <f>COUNTIFS(Table612917[Prodi],"S1 Sistem Informasi",Table612917[E1],I$33)/$I$32</f>
        <v>1</v>
      </c>
      <c r="J46" s="52">
        <f>COUNTIFS(Table612917[Prodi],"S1 Sistem Informasi",Table612917[E1],J$33)/$I$32</f>
        <v>0</v>
      </c>
      <c r="K46" s="52">
        <f>COUNTIFS(Table612917[Prodi],"S1 Sistem Informasi",Table612917[E1],K$33)/$I$32</f>
        <v>0</v>
      </c>
      <c r="L46" s="52">
        <f>COUNTIFS(Table612917[Prodi],"S1 Sistem Informasi",Table612917[E1],L$33)/$I$32</f>
        <v>0</v>
      </c>
      <c r="M46" s="48">
        <f t="shared" si="4"/>
        <v>1</v>
      </c>
      <c r="N46" s="122"/>
      <c r="O46" s="43" t="s">
        <v>35</v>
      </c>
      <c r="P46" s="52">
        <f>COUNTIFS(Table612917[Prodi],"S1 Teknik Komputer",Table612917[E1],P$33)/$P$32</f>
        <v>0.5</v>
      </c>
      <c r="Q46" s="52">
        <f>COUNTIFS(Table612917[Prodi],"S1 Teknik Komputer",Table612917[E1],Q$33)/$P$32</f>
        <v>0.5</v>
      </c>
      <c r="R46" s="52">
        <f>COUNTIFS(Table612917[Prodi],"S1 Teknik Komputer",Table612917[E1],R$33)/$P$32</f>
        <v>0</v>
      </c>
      <c r="S46" s="52">
        <f>COUNTIFS(Table612917[Prodi],"S1 Teknik Komputer",Table612917[E1],S$33)/$P$32</f>
        <v>0</v>
      </c>
      <c r="T46" s="48">
        <f t="shared" si="5"/>
        <v>1</v>
      </c>
      <c r="U46" s="122"/>
      <c r="V46" s="43" t="s">
        <v>35</v>
      </c>
      <c r="W46" s="52" t="e">
        <f>COUNTIFS(Table612917[Prodi],"D3 Sistem Informasi",Table612917[E1],W$33)/$W$32</f>
        <v>#DIV/0!</v>
      </c>
      <c r="X46" s="52" t="e">
        <f>COUNTIFS(Table612917[Prodi],"D3 Sistem Informasi",Table612917[E1],X$33)/$W$32</f>
        <v>#DIV/0!</v>
      </c>
      <c r="Y46" s="52" t="e">
        <f>COUNTIFS(Table612917[Prodi],"D3 Sistem Informasi",Table612917[E1],Y$33)/$W$32</f>
        <v>#DIV/0!</v>
      </c>
      <c r="Z46" s="52" t="e">
        <f>COUNTIFS(Table612917[Prodi],"D3 Sistem Informasi",Table612917[E1],Z$33)/$W$32</f>
        <v>#DIV/0!</v>
      </c>
      <c r="AA46" s="48" t="e">
        <f t="shared" si="6"/>
        <v>#DIV/0!</v>
      </c>
      <c r="AB46" s="122"/>
      <c r="AC46" s="122"/>
      <c r="AD46" s="122"/>
      <c r="AE46" s="122"/>
      <c r="AF46" s="122"/>
      <c r="AG46" s="122"/>
      <c r="AH46" s="122"/>
      <c r="AI46" s="122"/>
      <c r="AJ46" s="122"/>
      <c r="AK46" s="122"/>
      <c r="AL46" s="122"/>
      <c r="AM46" s="122"/>
      <c r="AN46" s="122"/>
      <c r="AO46" s="122"/>
      <c r="AP46" s="122"/>
      <c r="AQ46" s="122"/>
      <c r="AR46" s="122"/>
    </row>
    <row r="47" spans="1:44" s="83" customFormat="1" ht="16.5" x14ac:dyDescent="0.3">
      <c r="A47" s="43" t="s">
        <v>36</v>
      </c>
      <c r="B47" s="52">
        <f>COUNTIF(Table612917[E2],B$33)/$B$32</f>
        <v>0.75</v>
      </c>
      <c r="C47" s="52">
        <f>COUNTIF(Table612917[E2],C$33)/$B$32</f>
        <v>0.25</v>
      </c>
      <c r="D47" s="52">
        <f>COUNTIF(Table612917[E2],D$33)/$B$32</f>
        <v>0</v>
      </c>
      <c r="E47" s="52">
        <f>COUNTIF(Table612917[E2],E$33)/$B$32</f>
        <v>0</v>
      </c>
      <c r="F47" s="48">
        <f t="shared" si="0"/>
        <v>1</v>
      </c>
      <c r="H47" s="43" t="s">
        <v>36</v>
      </c>
      <c r="I47" s="52">
        <f>COUNTIFS(Table612917[Prodi],"S1 Sistem Informasi",Table612917[E2],I$33)/$I$32</f>
        <v>1</v>
      </c>
      <c r="J47" s="52">
        <f>COUNTIFS(Table612917[Prodi],"S1 Sistem Informasi",Table612917[E2],J$33)/$I$32</f>
        <v>0</v>
      </c>
      <c r="K47" s="52">
        <f>COUNTIFS(Table612917[Prodi],"S1 Sistem Informasi",Table612917[E2],K$33)/$I$32</f>
        <v>0</v>
      </c>
      <c r="L47" s="52">
        <f>COUNTIFS(Table612917[Prodi],"S1 Sistem Informasi",Table612917[E2],L$33)/$I$32</f>
        <v>0</v>
      </c>
      <c r="M47" s="48">
        <f t="shared" si="4"/>
        <v>1</v>
      </c>
      <c r="N47" s="122"/>
      <c r="O47" s="43" t="s">
        <v>36</v>
      </c>
      <c r="P47" s="52">
        <f>COUNTIFS(Table612917[Prodi],"S1 Teknik Komputer",Table612917[E2],P$33)/$P$32</f>
        <v>0.5</v>
      </c>
      <c r="Q47" s="52">
        <f>COUNTIFS(Table612917[Prodi],"S1 Teknik Komputer",Table612917[E2],Q$33)/$P$32</f>
        <v>0.5</v>
      </c>
      <c r="R47" s="52">
        <f>COUNTIFS(Table612917[Prodi],"S1 Teknik Komputer",Table612917[E2],R$33)/$P$32</f>
        <v>0</v>
      </c>
      <c r="S47" s="52">
        <f>COUNTIFS(Table612917[Prodi],"S1 Teknik Komputer",Table612917[E2],S$33)/$P$32</f>
        <v>0</v>
      </c>
      <c r="T47" s="48">
        <f t="shared" si="5"/>
        <v>1</v>
      </c>
      <c r="U47" s="122"/>
      <c r="V47" s="43" t="s">
        <v>36</v>
      </c>
      <c r="W47" s="52" t="e">
        <f>COUNTIFS(Table612917[Prodi],"D3 Sistem Informasi",Table612917[E2],W$33)/$W$32</f>
        <v>#DIV/0!</v>
      </c>
      <c r="X47" s="52" t="e">
        <f>COUNTIFS(Table612917[Prodi],"D3 Sistem Informasi",Table612917[E2],X$33)/$W$32</f>
        <v>#DIV/0!</v>
      </c>
      <c r="Y47" s="52" t="e">
        <f>COUNTIFS(Table612917[Prodi],"D3 Sistem Informasi",Table612917[E2],Y$33)/$W$32</f>
        <v>#DIV/0!</v>
      </c>
      <c r="Z47" s="52" t="e">
        <f>COUNTIFS(Table612917[Prodi],"D3 Sistem Informasi",Table612917[E2],Z$33)/$W$32</f>
        <v>#DIV/0!</v>
      </c>
      <c r="AA47" s="48" t="e">
        <f t="shared" si="6"/>
        <v>#DIV/0!</v>
      </c>
      <c r="AB47" s="122"/>
      <c r="AC47" s="122"/>
      <c r="AD47" s="122"/>
      <c r="AE47" s="122"/>
      <c r="AF47" s="122"/>
      <c r="AG47" s="122"/>
      <c r="AH47" s="122"/>
      <c r="AI47" s="122"/>
      <c r="AJ47" s="122"/>
      <c r="AK47" s="122"/>
      <c r="AL47" s="122"/>
      <c r="AM47" s="122"/>
      <c r="AN47" s="122"/>
      <c r="AO47" s="122"/>
      <c r="AP47" s="122"/>
      <c r="AQ47" s="122"/>
      <c r="AR47" s="122"/>
    </row>
    <row r="48" spans="1:44" s="83" customFormat="1" ht="16.5" x14ac:dyDescent="0.3">
      <c r="A48" s="43" t="s">
        <v>198</v>
      </c>
      <c r="B48" s="52">
        <f>COUNTIF(Table612917[E3],B$33)/$B$32</f>
        <v>0.5</v>
      </c>
      <c r="C48" s="52">
        <f>COUNTIF(Table612917[E3],C$33)/$B$32</f>
        <v>0.5</v>
      </c>
      <c r="D48" s="52">
        <f>COUNTIF(Table612917[E3],D$33)/$B$32</f>
        <v>0</v>
      </c>
      <c r="E48" s="52">
        <f>COUNTIF(Table612917[E3],E$33)/$B$32</f>
        <v>0</v>
      </c>
      <c r="F48" s="48">
        <f t="shared" si="0"/>
        <v>1</v>
      </c>
      <c r="H48" s="43" t="s">
        <v>198</v>
      </c>
      <c r="I48" s="52">
        <f>COUNTIFS(Table612917[Prodi],"S1 Sistem Informasi",Table612917[E3],I$33)/$I$32</f>
        <v>0.5</v>
      </c>
      <c r="J48" s="52">
        <f>COUNTIFS(Table612917[Prodi],"S1 Sistem Informasi",Table612917[E3],J$33)/$I$32</f>
        <v>0.5</v>
      </c>
      <c r="K48" s="52">
        <f>COUNTIFS(Table612917[Prodi],"S1 Sistem Informasi",Table612917[E3],K$33)/$I$32</f>
        <v>0</v>
      </c>
      <c r="L48" s="52">
        <f>COUNTIFS(Table612917[Prodi],"S1 Sistem Informasi",Table612917[E3],L$33)/$I$32</f>
        <v>0</v>
      </c>
      <c r="M48" s="48">
        <f t="shared" si="4"/>
        <v>1</v>
      </c>
      <c r="N48" s="122"/>
      <c r="O48" s="43" t="s">
        <v>198</v>
      </c>
      <c r="P48" s="52">
        <f>COUNTIFS(Table612917[Prodi],"S1 Teknik Komputer",Table612917[E3],P$33)/$P$32</f>
        <v>0.5</v>
      </c>
      <c r="Q48" s="52">
        <f>COUNTIFS(Table612917[Prodi],"S1 Teknik Komputer",Table612917[E3],Q$33)/$P$32</f>
        <v>0.5</v>
      </c>
      <c r="R48" s="52">
        <f>COUNTIFS(Table612917[Prodi],"S1 Teknik Komputer",Table612917[E3],R$33)/$P$32</f>
        <v>0</v>
      </c>
      <c r="S48" s="52">
        <f>COUNTIFS(Table612917[Prodi],"S1 Teknik Komputer",Table612917[E3],S$33)/$P$32</f>
        <v>0</v>
      </c>
      <c r="T48" s="48">
        <f t="shared" si="5"/>
        <v>1</v>
      </c>
      <c r="U48" s="122"/>
      <c r="V48" s="43" t="s">
        <v>198</v>
      </c>
      <c r="W48" s="52" t="e">
        <f>COUNTIFS(Table612917[Prodi],"D3 Sistem Informasi",Table612917[E3],W$33)/$W$32</f>
        <v>#DIV/0!</v>
      </c>
      <c r="X48" s="52" t="e">
        <f>COUNTIFS(Table612917[Prodi],"D3 Sistem Informasi",Table612917[E3],X$33)/$W$32</f>
        <v>#DIV/0!</v>
      </c>
      <c r="Y48" s="52" t="e">
        <f>COUNTIFS(Table612917[Prodi],"D3 Sistem Informasi",Table612917[E3],Y$33)/$W$32</f>
        <v>#DIV/0!</v>
      </c>
      <c r="Z48" s="52" t="e">
        <f>COUNTIFS(Table612917[Prodi],"D3 Sistem Informasi",Table612917[E3],Z$33)/$W$32</f>
        <v>#DIV/0!</v>
      </c>
      <c r="AA48" s="48" t="e">
        <f t="shared" si="6"/>
        <v>#DIV/0!</v>
      </c>
      <c r="AB48" s="122"/>
      <c r="AC48" s="122"/>
      <c r="AD48" s="122"/>
      <c r="AE48" s="122"/>
      <c r="AF48" s="122"/>
      <c r="AG48" s="122"/>
      <c r="AH48" s="122"/>
      <c r="AI48" s="122"/>
      <c r="AJ48" s="122"/>
      <c r="AK48" s="122"/>
      <c r="AL48" s="122"/>
      <c r="AM48" s="122"/>
      <c r="AN48" s="122"/>
      <c r="AO48" s="122"/>
      <c r="AP48" s="122"/>
      <c r="AQ48" s="122"/>
      <c r="AR48" s="122"/>
    </row>
    <row r="49" spans="1:44" s="83" customFormat="1" ht="16.5" x14ac:dyDescent="0.3">
      <c r="A49" s="46"/>
      <c r="B49" s="47">
        <f>AVERAGE(B46:B48)</f>
        <v>0.66666666666666663</v>
      </c>
      <c r="C49" s="47">
        <f>AVERAGE(C46:C48)</f>
        <v>0.33333333333333331</v>
      </c>
      <c r="D49" s="47">
        <f>AVERAGE(D46:D48)</f>
        <v>0</v>
      </c>
      <c r="E49" s="47">
        <f>AVERAGE(E46:E48)</f>
        <v>0</v>
      </c>
      <c r="F49" s="48">
        <f t="shared" si="0"/>
        <v>1</v>
      </c>
      <c r="H49" s="46"/>
      <c r="I49" s="47">
        <f>AVERAGE(I46:I48)</f>
        <v>0.83333333333333337</v>
      </c>
      <c r="J49" s="47">
        <f>AVERAGE(J46:J48)</f>
        <v>0.16666666666666666</v>
      </c>
      <c r="K49" s="47">
        <f>AVERAGE(K46:K48)</f>
        <v>0</v>
      </c>
      <c r="L49" s="47">
        <f>AVERAGE(L46:L48)</f>
        <v>0</v>
      </c>
      <c r="M49" s="48">
        <f t="shared" si="4"/>
        <v>1</v>
      </c>
      <c r="N49" s="122"/>
      <c r="O49" s="46"/>
      <c r="P49" s="47">
        <f>AVERAGE(P46:P48)</f>
        <v>0.5</v>
      </c>
      <c r="Q49" s="47">
        <f>AVERAGE(Q46:Q48)</f>
        <v>0.5</v>
      </c>
      <c r="R49" s="47">
        <f>AVERAGE(R46:R48)</f>
        <v>0</v>
      </c>
      <c r="S49" s="47">
        <f>AVERAGE(S46:S48)</f>
        <v>0</v>
      </c>
      <c r="T49" s="48">
        <f t="shared" si="5"/>
        <v>1</v>
      </c>
      <c r="U49" s="122"/>
      <c r="V49" s="46"/>
      <c r="W49" s="47" t="e">
        <f>AVERAGE(W46:W48)</f>
        <v>#DIV/0!</v>
      </c>
      <c r="X49" s="47" t="e">
        <f>AVERAGE(X46:X48)</f>
        <v>#DIV/0!</v>
      </c>
      <c r="Y49" s="47" t="e">
        <f>AVERAGE(Y46:Y48)</f>
        <v>#DIV/0!</v>
      </c>
      <c r="Z49" s="47" t="e">
        <f>AVERAGE(Z46:Z48)</f>
        <v>#DIV/0!</v>
      </c>
      <c r="AA49" s="48" t="e">
        <f t="shared" si="6"/>
        <v>#DIV/0!</v>
      </c>
      <c r="AB49" s="122"/>
      <c r="AC49" s="122"/>
      <c r="AD49" s="122"/>
      <c r="AE49" s="122"/>
      <c r="AF49" s="122"/>
      <c r="AG49" s="122"/>
      <c r="AH49" s="122"/>
      <c r="AI49" s="122"/>
      <c r="AJ49" s="122"/>
      <c r="AK49" s="122"/>
      <c r="AL49" s="122"/>
      <c r="AM49" s="122"/>
      <c r="AN49" s="122"/>
      <c r="AO49" s="122"/>
      <c r="AP49" s="122"/>
      <c r="AQ49" s="122"/>
      <c r="AR49" s="122"/>
    </row>
    <row r="50" spans="1:44" s="83" customFormat="1" ht="16.5" x14ac:dyDescent="0.3">
      <c r="A50" s="43" t="s">
        <v>37</v>
      </c>
      <c r="B50" s="52">
        <f>COUNTIF(Table612917[F1],B$33)/$B$32</f>
        <v>0</v>
      </c>
      <c r="C50" s="52">
        <f>COUNTIF(Table612917[F1],C$33)/$B$32</f>
        <v>1</v>
      </c>
      <c r="D50" s="52">
        <f>COUNTIF(Table612917[F1],D$33)/$B$32</f>
        <v>0</v>
      </c>
      <c r="E50" s="52">
        <f>COUNTIF(Table612917[F1],E$33)/$B$32</f>
        <v>0</v>
      </c>
      <c r="F50" s="48">
        <f t="shared" si="0"/>
        <v>1</v>
      </c>
      <c r="H50" s="43" t="s">
        <v>37</v>
      </c>
      <c r="I50" s="52">
        <f>COUNTIFS(Table612917[Prodi],"S1 Sistem Informasi",Table612917[F1],I$33)/$I$32</f>
        <v>0</v>
      </c>
      <c r="J50" s="52">
        <f>COUNTIFS(Table612917[Prodi],"S1 Sistem Informasi",Table612917[F1],J$33)/$I$32</f>
        <v>1</v>
      </c>
      <c r="K50" s="52">
        <f>COUNTIFS(Table612917[Prodi],"S1 Sistem Informasi",Table612917[F1],K$33)/$I$32</f>
        <v>0</v>
      </c>
      <c r="L50" s="52">
        <f>COUNTIFS(Table612917[Prodi],"S1 Sistem Informasi",Table612917[F1],L$33)/$I$32</f>
        <v>0</v>
      </c>
      <c r="M50" s="48">
        <f t="shared" si="4"/>
        <v>1</v>
      </c>
      <c r="N50" s="122" t="s">
        <v>296</v>
      </c>
      <c r="O50" s="43" t="s">
        <v>37</v>
      </c>
      <c r="P50" s="52">
        <f>COUNTIFS(Table612917[Prodi],"S1 Teknik Komputer",Table612917[F1],P$33)/$P$32</f>
        <v>0</v>
      </c>
      <c r="Q50" s="52">
        <f>COUNTIFS(Table612917[Prodi],"S1 Teknik Komputer",Table612917[F1],Q$33)/$P$32</f>
        <v>1</v>
      </c>
      <c r="R50" s="52">
        <f>COUNTIFS(Table612917[Prodi],"S1 Teknik Komputer",Table612917[F1],R$33)/$P$32</f>
        <v>0</v>
      </c>
      <c r="S50" s="52">
        <f>COUNTIFS(Table612917[Prodi],"S1 Teknik Komputer",Table612917[F1],S$33)/$P$32</f>
        <v>0</v>
      </c>
      <c r="T50" s="48">
        <f t="shared" si="5"/>
        <v>1</v>
      </c>
      <c r="U50" s="122"/>
      <c r="V50" s="43" t="s">
        <v>37</v>
      </c>
      <c r="W50" s="52" t="e">
        <f>COUNTIFS(Table612917[Prodi],"D3 Sistem Informasi",Table612917[F1],W$33)/$W$32</f>
        <v>#DIV/0!</v>
      </c>
      <c r="X50" s="52" t="e">
        <f>COUNTIFS(Table612917[Prodi],"D3 Sistem Informasi",Table612917[F1],X$33)/$W$32</f>
        <v>#DIV/0!</v>
      </c>
      <c r="Y50" s="52" t="e">
        <f>COUNTIFS(Table612917[Prodi],"D3 Sistem Informasi",Table612917[F1],Y$33)/$W$32</f>
        <v>#DIV/0!</v>
      </c>
      <c r="Z50" s="52" t="e">
        <f>COUNTIFS(Table612917[Prodi],"D3 Sistem Informasi",Table612917[F1],Z$33)/$W$32</f>
        <v>#DIV/0!</v>
      </c>
      <c r="AA50" s="48" t="e">
        <f t="shared" si="6"/>
        <v>#DIV/0!</v>
      </c>
      <c r="AB50" s="122"/>
      <c r="AC50" s="122"/>
      <c r="AD50" s="122"/>
      <c r="AE50" s="122"/>
      <c r="AF50" s="122"/>
      <c r="AG50" s="122"/>
      <c r="AH50" s="122"/>
      <c r="AI50" s="122"/>
      <c r="AJ50" s="122"/>
      <c r="AK50" s="122"/>
      <c r="AL50" s="122"/>
      <c r="AM50" s="122"/>
      <c r="AN50" s="122"/>
      <c r="AO50" s="122"/>
      <c r="AP50" s="122"/>
      <c r="AQ50" s="122"/>
      <c r="AR50" s="122"/>
    </row>
    <row r="51" spans="1:44" s="83" customFormat="1" ht="16.5" x14ac:dyDescent="0.3">
      <c r="A51" s="43" t="s">
        <v>38</v>
      </c>
      <c r="B51" s="52">
        <f>COUNTIF(Table612917[F2],B$33)/$B$32</f>
        <v>0.5</v>
      </c>
      <c r="C51" s="52">
        <f>COUNTIF(Table612917[F2],C$33)/$B$32</f>
        <v>0.5</v>
      </c>
      <c r="D51" s="52">
        <f>COUNTIF(Table612917[F2],D$33)/$B$32</f>
        <v>0</v>
      </c>
      <c r="E51" s="52">
        <f>COUNTIF(Table612917[F2],E$33)/$B$32</f>
        <v>0</v>
      </c>
      <c r="F51" s="48">
        <f t="shared" si="0"/>
        <v>1</v>
      </c>
      <c r="H51" s="43" t="s">
        <v>38</v>
      </c>
      <c r="I51" s="52">
        <f>COUNTIFS(Table612917[Prodi],"S1 Sistem Informasi",Table612917[F2],I$33)/$I$32</f>
        <v>0.5</v>
      </c>
      <c r="J51" s="52">
        <f>COUNTIFS(Table612917[Prodi],"S1 Sistem Informasi",Table612917[F2],J$33)/$I$32</f>
        <v>0.5</v>
      </c>
      <c r="K51" s="52">
        <f>COUNTIFS(Table612917[Prodi],"S1 Sistem Informasi",Table612917[F2],K$33)/$I$32</f>
        <v>0</v>
      </c>
      <c r="L51" s="52">
        <f>COUNTIFS(Table612917[Prodi],"S1 Sistem Informasi",Table612917[F2],L$33)/$I$32</f>
        <v>0</v>
      </c>
      <c r="M51" s="48">
        <f t="shared" si="4"/>
        <v>1</v>
      </c>
      <c r="N51" s="122"/>
      <c r="O51" s="43" t="s">
        <v>38</v>
      </c>
      <c r="P51" s="52">
        <f>COUNTIFS(Table612917[Prodi],"S1 Teknik Komputer",Table612917[F2],P$33)/$P$32</f>
        <v>0.5</v>
      </c>
      <c r="Q51" s="52">
        <f>COUNTIFS(Table612917[Prodi],"S1 Teknik Komputer",Table612917[F2],Q$33)/$P$32</f>
        <v>0.5</v>
      </c>
      <c r="R51" s="52">
        <f>COUNTIFS(Table612917[Prodi],"S1 Teknik Komputer",Table612917[F2],R$33)/$P$32</f>
        <v>0</v>
      </c>
      <c r="S51" s="52">
        <f>COUNTIFS(Table612917[Prodi],"S1 Teknik Komputer",Table612917[F2],S$33)/$P$32</f>
        <v>0</v>
      </c>
      <c r="T51" s="48">
        <f t="shared" si="5"/>
        <v>1</v>
      </c>
      <c r="U51" s="122"/>
      <c r="V51" s="43" t="s">
        <v>38</v>
      </c>
      <c r="W51" s="52" t="e">
        <f>COUNTIFS(Table612917[Prodi],"D3 Sistem Informasi",Table612917[F2],W$33)/$W$32</f>
        <v>#DIV/0!</v>
      </c>
      <c r="X51" s="52" t="e">
        <f>COUNTIFS(Table612917[Prodi],"D3 Sistem Informasi",Table612917[F2],X$33)/$W$32</f>
        <v>#DIV/0!</v>
      </c>
      <c r="Y51" s="52" t="e">
        <f>COUNTIFS(Table612917[Prodi],"D3 Sistem Informasi",Table612917[F2],Y$33)/$W$32</f>
        <v>#DIV/0!</v>
      </c>
      <c r="Z51" s="52" t="e">
        <f>COUNTIFS(Table612917[Prodi],"D3 Sistem Informasi",Table612917[F2],Z$33)/$W$32</f>
        <v>#DIV/0!</v>
      </c>
      <c r="AA51" s="48" t="e">
        <f t="shared" si="6"/>
        <v>#DIV/0!</v>
      </c>
      <c r="AB51" s="122"/>
      <c r="AC51" s="122"/>
      <c r="AD51" s="122"/>
      <c r="AE51" s="122"/>
      <c r="AF51" s="122"/>
      <c r="AG51" s="122"/>
      <c r="AH51" s="122"/>
      <c r="AI51" s="122"/>
      <c r="AJ51" s="122"/>
      <c r="AK51" s="122"/>
      <c r="AL51" s="122"/>
      <c r="AM51" s="122"/>
      <c r="AN51" s="122"/>
      <c r="AO51" s="122"/>
      <c r="AP51" s="122"/>
      <c r="AQ51" s="122"/>
      <c r="AR51" s="122"/>
    </row>
    <row r="52" spans="1:44" s="83" customFormat="1" ht="16.5" x14ac:dyDescent="0.3">
      <c r="A52" s="43" t="s">
        <v>39</v>
      </c>
      <c r="B52" s="52">
        <f>COUNTIF(Table612917[F3],B$33)/$B$32</f>
        <v>0.25</v>
      </c>
      <c r="C52" s="52">
        <f>COUNTIF(Table612917[F3],C$33)/$B$32</f>
        <v>0.75</v>
      </c>
      <c r="D52" s="52">
        <f>COUNTIF(Table612917[F3],D$33)/$B$32</f>
        <v>0</v>
      </c>
      <c r="E52" s="52">
        <f>COUNTIF(Table612917[F3],E$33)/$B$32</f>
        <v>0</v>
      </c>
      <c r="F52" s="48">
        <f t="shared" si="0"/>
        <v>1</v>
      </c>
      <c r="H52" s="43" t="s">
        <v>39</v>
      </c>
      <c r="I52" s="52">
        <f>COUNTIFS(Table612917[Prodi],"S1 Sistem Informasi",Table612917[F3],I$33)/$I$32</f>
        <v>0</v>
      </c>
      <c r="J52" s="52">
        <f>COUNTIFS(Table612917[Prodi],"S1 Sistem Informasi",Table612917[F3],J$33)/$I$32</f>
        <v>1</v>
      </c>
      <c r="K52" s="52">
        <f>COUNTIFS(Table612917[Prodi],"S1 Sistem Informasi",Table612917[F3],K$33)/$I$32</f>
        <v>0</v>
      </c>
      <c r="L52" s="52">
        <f>COUNTIFS(Table612917[Prodi],"S1 Sistem Informasi",Table612917[F3],L$33)/$I$32</f>
        <v>0</v>
      </c>
      <c r="M52" s="48">
        <f t="shared" si="4"/>
        <v>1</v>
      </c>
      <c r="N52" s="122"/>
      <c r="O52" s="43" t="s">
        <v>39</v>
      </c>
      <c r="P52" s="52">
        <f>COUNTIFS(Table612917[Prodi],"S1 Teknik Komputer",Table612917[F3],P$33)/$P$32</f>
        <v>0.5</v>
      </c>
      <c r="Q52" s="52">
        <f>COUNTIFS(Table612917[Prodi],"S1 Teknik Komputer",Table612917[F3],Q$33)/$P$32</f>
        <v>0.5</v>
      </c>
      <c r="R52" s="52">
        <f>COUNTIFS(Table612917[Prodi],"S1 Teknik Komputer",Table612917[F3],R$33)/$P$32</f>
        <v>0</v>
      </c>
      <c r="S52" s="52">
        <f>COUNTIFS(Table612917[Prodi],"S1 Teknik Komputer",Table612917[F3],S$33)/$P$32</f>
        <v>0</v>
      </c>
      <c r="T52" s="48">
        <f t="shared" si="5"/>
        <v>1</v>
      </c>
      <c r="U52" s="122"/>
      <c r="V52" s="43" t="s">
        <v>39</v>
      </c>
      <c r="W52" s="52" t="e">
        <f>COUNTIFS(Table612917[Prodi],"D3 Sistem Informasi",Table612917[F3],W$33)/$W$32</f>
        <v>#DIV/0!</v>
      </c>
      <c r="X52" s="52" t="e">
        <f>COUNTIFS(Table612917[Prodi],"D3 Sistem Informasi",Table612917[F3],X$33)/$W$32</f>
        <v>#DIV/0!</v>
      </c>
      <c r="Y52" s="52" t="e">
        <f>COUNTIFS(Table612917[Prodi],"D3 Sistem Informasi",Table612917[F3],Y$33)/$W$32</f>
        <v>#DIV/0!</v>
      </c>
      <c r="Z52" s="52" t="e">
        <f>COUNTIFS(Table612917[Prodi],"D3 Sistem Informasi",Table612917[F3],Z$33)/$W$32</f>
        <v>#DIV/0!</v>
      </c>
      <c r="AA52" s="48" t="e">
        <f t="shared" si="6"/>
        <v>#DIV/0!</v>
      </c>
      <c r="AB52" s="122"/>
      <c r="AC52" s="122"/>
      <c r="AD52" s="122"/>
      <c r="AE52" s="122"/>
      <c r="AF52" s="122"/>
      <c r="AG52" s="122"/>
      <c r="AH52" s="122"/>
      <c r="AI52" s="122"/>
      <c r="AJ52" s="122"/>
      <c r="AK52" s="122"/>
      <c r="AL52" s="122"/>
      <c r="AM52" s="122"/>
      <c r="AN52" s="122"/>
      <c r="AO52" s="122"/>
      <c r="AP52" s="122"/>
      <c r="AQ52" s="122"/>
      <c r="AR52" s="122"/>
    </row>
    <row r="53" spans="1:44" s="83" customFormat="1" ht="16.5" x14ac:dyDescent="0.3">
      <c r="A53" s="43" t="s">
        <v>200</v>
      </c>
      <c r="B53" s="52">
        <f>COUNTIF(Table612917[F4],B$33)/$B$32</f>
        <v>0.25</v>
      </c>
      <c r="C53" s="52">
        <f>COUNTIF(Table612917[F4],C$33)/$B$32</f>
        <v>0.75</v>
      </c>
      <c r="D53" s="52">
        <f>COUNTIF(Table612917[F4],D$33)/$B$32</f>
        <v>0</v>
      </c>
      <c r="E53" s="52">
        <f>COUNTIF(Table612917[F4],E$33)/$B$32</f>
        <v>0</v>
      </c>
      <c r="F53" s="48">
        <f t="shared" si="0"/>
        <v>1</v>
      </c>
      <c r="H53" s="43" t="s">
        <v>200</v>
      </c>
      <c r="I53" s="52">
        <f>COUNTIFS(Table612917[Prodi],"S1 Sistem Informasi",Table612917[F4],I$33)/$I$32</f>
        <v>0.5</v>
      </c>
      <c r="J53" s="52">
        <f>COUNTIFS(Table612917[Prodi],"S1 Sistem Informasi",Table612917[F4],J$33)/$I$32</f>
        <v>0.5</v>
      </c>
      <c r="K53" s="52">
        <f>COUNTIFS(Table612917[Prodi],"S1 Sistem Informasi",Table612917[F4],K$33)/$I$32</f>
        <v>0</v>
      </c>
      <c r="L53" s="52">
        <f>COUNTIFS(Table612917[Prodi],"S1 Sistem Informasi",Table612917[F4],L$33)/$I$32</f>
        <v>0</v>
      </c>
      <c r="M53" s="48">
        <f t="shared" si="4"/>
        <v>1</v>
      </c>
      <c r="N53" s="122"/>
      <c r="O53" s="43" t="s">
        <v>200</v>
      </c>
      <c r="P53" s="52">
        <f>COUNTIFS(Table612917[Prodi],"S1 Teknik Komputer",Table612917[F4],P$33)/$P$32</f>
        <v>0</v>
      </c>
      <c r="Q53" s="52">
        <f>COUNTIFS(Table612917[Prodi],"S1 Teknik Komputer",Table612917[F4],Q$33)/$P$32</f>
        <v>1</v>
      </c>
      <c r="R53" s="52">
        <f>COUNTIFS(Table612917[Prodi],"S1 Teknik Komputer",Table612917[F4],R$33)/$P$32</f>
        <v>0</v>
      </c>
      <c r="S53" s="52">
        <f>COUNTIFS(Table612917[Prodi],"S1 Teknik Komputer",Table612917[F4],S$33)/$P$32</f>
        <v>0</v>
      </c>
      <c r="T53" s="48">
        <f t="shared" si="5"/>
        <v>1</v>
      </c>
      <c r="U53" s="122"/>
      <c r="V53" s="43" t="s">
        <v>200</v>
      </c>
      <c r="W53" s="52" t="e">
        <f>COUNTIFS(Table612917[Prodi],"D3 Sistem Informasi",Table612917[F4],W$33)/$W$32</f>
        <v>#DIV/0!</v>
      </c>
      <c r="X53" s="52" t="e">
        <f>COUNTIFS(Table612917[Prodi],"D3 Sistem Informasi",Table612917[F4],X$33)/$W$32</f>
        <v>#DIV/0!</v>
      </c>
      <c r="Y53" s="52" t="e">
        <f>COUNTIFS(Table612917[Prodi],"D3 Sistem Informasi",Table612917[F4],Y$33)/$W$32</f>
        <v>#DIV/0!</v>
      </c>
      <c r="Z53" s="52" t="e">
        <f>COUNTIFS(Table612917[Prodi],"D3 Sistem Informasi",Table612917[F4],Z$33)/$W$32</f>
        <v>#DIV/0!</v>
      </c>
      <c r="AA53" s="48" t="e">
        <f t="shared" si="6"/>
        <v>#DIV/0!</v>
      </c>
      <c r="AB53" s="122"/>
      <c r="AC53" s="122"/>
      <c r="AD53" s="122"/>
      <c r="AE53" s="122"/>
      <c r="AF53" s="122"/>
      <c r="AG53" s="122"/>
      <c r="AH53" s="122"/>
      <c r="AI53" s="122"/>
      <c r="AJ53" s="122"/>
      <c r="AK53" s="122"/>
      <c r="AL53" s="122"/>
      <c r="AM53" s="122"/>
      <c r="AN53" s="122"/>
      <c r="AO53" s="122"/>
      <c r="AP53" s="122"/>
      <c r="AQ53" s="122"/>
      <c r="AR53" s="122"/>
    </row>
    <row r="54" spans="1:44" s="83" customFormat="1" ht="16.5" x14ac:dyDescent="0.3">
      <c r="A54" s="46"/>
      <c r="B54" s="47">
        <f>AVERAGE(B50:B53)</f>
        <v>0.25</v>
      </c>
      <c r="C54" s="47">
        <f>AVERAGE(C50:C53)</f>
        <v>0.75</v>
      </c>
      <c r="D54" s="47">
        <f>AVERAGE(D50:D53)</f>
        <v>0</v>
      </c>
      <c r="E54" s="47">
        <f>AVERAGE(E50:E53)</f>
        <v>0</v>
      </c>
      <c r="F54" s="48">
        <f t="shared" si="0"/>
        <v>1</v>
      </c>
      <c r="H54" s="46"/>
      <c r="I54" s="47">
        <f>AVERAGE(I50:I53)</f>
        <v>0.25</v>
      </c>
      <c r="J54" s="47">
        <f>AVERAGE(J50:J53)</f>
        <v>0.75</v>
      </c>
      <c r="K54" s="47">
        <f>AVERAGE(K50:K53)</f>
        <v>0</v>
      </c>
      <c r="L54" s="47">
        <f>AVERAGE(L50:L53)</f>
        <v>0</v>
      </c>
      <c r="M54" s="48">
        <f t="shared" si="4"/>
        <v>1</v>
      </c>
      <c r="N54" s="122"/>
      <c r="O54" s="46"/>
      <c r="P54" s="47">
        <f>AVERAGE(P50:P53)</f>
        <v>0.25</v>
      </c>
      <c r="Q54" s="47">
        <f>AVERAGE(Q50:Q53)</f>
        <v>0.75</v>
      </c>
      <c r="R54" s="47">
        <f>AVERAGE(R50:R53)</f>
        <v>0</v>
      </c>
      <c r="S54" s="47">
        <f>AVERAGE(S50:S53)</f>
        <v>0</v>
      </c>
      <c r="T54" s="48">
        <f t="shared" si="5"/>
        <v>1</v>
      </c>
      <c r="U54" s="122"/>
      <c r="V54" s="46"/>
      <c r="W54" s="47" t="e">
        <f>AVERAGE(W50:W53)</f>
        <v>#DIV/0!</v>
      </c>
      <c r="X54" s="47" t="e">
        <f>AVERAGE(X50:X53)</f>
        <v>#DIV/0!</v>
      </c>
      <c r="Y54" s="47" t="e">
        <f>AVERAGE(Y50:Y53)</f>
        <v>#DIV/0!</v>
      </c>
      <c r="Z54" s="47" t="e">
        <f>AVERAGE(Z50:Z53)</f>
        <v>#DIV/0!</v>
      </c>
      <c r="AA54" s="48" t="e">
        <f t="shared" si="6"/>
        <v>#DIV/0!</v>
      </c>
      <c r="AB54" s="122"/>
      <c r="AC54" s="122"/>
      <c r="AD54" s="122"/>
      <c r="AE54" s="122"/>
      <c r="AF54" s="122"/>
      <c r="AG54" s="122"/>
      <c r="AH54" s="122"/>
      <c r="AI54" s="122"/>
      <c r="AJ54" s="122"/>
      <c r="AK54" s="122"/>
      <c r="AL54" s="122"/>
      <c r="AM54" s="122"/>
      <c r="AN54" s="122"/>
      <c r="AO54" s="122"/>
      <c r="AP54" s="122"/>
      <c r="AQ54" s="122"/>
      <c r="AR54" s="122"/>
    </row>
    <row r="55" spans="1:44" s="83" customFormat="1" ht="16.5" x14ac:dyDescent="0.3">
      <c r="A55" s="43" t="s">
        <v>40</v>
      </c>
      <c r="B55" s="52">
        <f>COUNTIF(Table612917[G1],B$33)/$B$32</f>
        <v>0.5</v>
      </c>
      <c r="C55" s="52">
        <f>COUNTIF(Table612917[G1],C$33)/$B$32</f>
        <v>0.5</v>
      </c>
      <c r="D55" s="52">
        <f>COUNTIF(Table612917[G1],D$33)/$B$32</f>
        <v>0</v>
      </c>
      <c r="E55" s="52">
        <f>COUNTIF(Table612917[G1],E$33)/$B$32</f>
        <v>0</v>
      </c>
      <c r="F55" s="48">
        <f t="shared" si="0"/>
        <v>1</v>
      </c>
      <c r="H55" s="43" t="s">
        <v>40</v>
      </c>
      <c r="I55" s="52">
        <f>COUNTIFS(Table612917[Prodi],"S1 Sistem Informasi",Table612917[G1],I$33)/$I$32</f>
        <v>0.5</v>
      </c>
      <c r="J55" s="52">
        <f>COUNTIFS(Table612917[Prodi],"S1 Sistem Informasi",Table612917[G1],J$33)/$I$32</f>
        <v>0.5</v>
      </c>
      <c r="K55" s="52">
        <f>COUNTIFS(Table612917[Prodi],"S1 Sistem Informasi",Table612917[G1],K$33)/$I$32</f>
        <v>0</v>
      </c>
      <c r="L55" s="52">
        <f>COUNTIFS(Table612917[Prodi],"S1 Sistem Informasi",Table612917[G1],L$33)/$I$32</f>
        <v>0</v>
      </c>
      <c r="M55" s="48">
        <f t="shared" si="4"/>
        <v>1</v>
      </c>
      <c r="N55" s="122"/>
      <c r="O55" s="43" t="s">
        <v>40</v>
      </c>
      <c r="P55" s="52">
        <f>COUNTIFS(Table612917[Prodi],"S1 Teknik Komputer",Table612917[G1],P$33)/$P$32</f>
        <v>0.5</v>
      </c>
      <c r="Q55" s="52">
        <f>COUNTIFS(Table612917[Prodi],"S1 Teknik Komputer",Table612917[G1],Q$33)/$P$32</f>
        <v>0.5</v>
      </c>
      <c r="R55" s="52">
        <f>COUNTIFS(Table612917[Prodi],"S1 Teknik Komputer",Table612917[G1],R$33)/$P$32</f>
        <v>0</v>
      </c>
      <c r="S55" s="52">
        <f>COUNTIFS(Table612917[Prodi],"S1 Teknik Komputer",Table612917[G1],S$33)/$P$32</f>
        <v>0</v>
      </c>
      <c r="T55" s="48">
        <f t="shared" si="5"/>
        <v>1</v>
      </c>
      <c r="U55" s="122"/>
      <c r="V55" s="43" t="s">
        <v>40</v>
      </c>
      <c r="W55" s="52" t="e">
        <f>COUNTIFS(Table612917[Prodi],"D3 Sistem Informasi",Table612917[G1],W$33)/$W$32</f>
        <v>#DIV/0!</v>
      </c>
      <c r="X55" s="52" t="e">
        <f>COUNTIFS(Table612917[Prodi],"D3 Sistem Informasi",Table612917[G1],X$33)/$W$32</f>
        <v>#DIV/0!</v>
      </c>
      <c r="Y55" s="52" t="e">
        <f>COUNTIFS(Table612917[Prodi],"D3 Sistem Informasi",Table612917[G1],Y$33)/$W$32</f>
        <v>#DIV/0!</v>
      </c>
      <c r="Z55" s="52" t="e">
        <f>COUNTIFS(Table612917[Prodi],"D3 Sistem Informasi",Table612917[G1],Z$33)/$W$32</f>
        <v>#DIV/0!</v>
      </c>
      <c r="AA55" s="48" t="e">
        <f t="shared" si="6"/>
        <v>#DIV/0!</v>
      </c>
      <c r="AB55" s="122"/>
      <c r="AC55" s="122"/>
      <c r="AD55" s="122"/>
      <c r="AE55" s="122"/>
      <c r="AF55" s="122"/>
      <c r="AG55" s="122"/>
      <c r="AH55" s="122"/>
      <c r="AI55" s="122"/>
      <c r="AJ55" s="122"/>
      <c r="AK55" s="122"/>
      <c r="AL55" s="122"/>
      <c r="AM55" s="122"/>
      <c r="AN55" s="122"/>
      <c r="AO55" s="122"/>
      <c r="AP55" s="122"/>
      <c r="AQ55" s="122"/>
      <c r="AR55" s="122"/>
    </row>
    <row r="56" spans="1:44" s="83" customFormat="1" ht="16.5" x14ac:dyDescent="0.3">
      <c r="A56" s="43" t="s">
        <v>41</v>
      </c>
      <c r="B56" s="52">
        <f>COUNTIF(Table612917[G2],B$33)/$B$32</f>
        <v>0</v>
      </c>
      <c r="C56" s="52">
        <f>COUNTIF(Table612917[G2],C$33)/$B$32</f>
        <v>1</v>
      </c>
      <c r="D56" s="52">
        <f>COUNTIF(Table612917[G2],D$33)/$B$32</f>
        <v>0</v>
      </c>
      <c r="E56" s="52">
        <f>COUNTIF(Table612917[G2],E$33)/$B$32</f>
        <v>0</v>
      </c>
      <c r="F56" s="48">
        <f t="shared" si="0"/>
        <v>1</v>
      </c>
      <c r="H56" s="43" t="s">
        <v>41</v>
      </c>
      <c r="I56" s="52">
        <f>COUNTIFS(Table612917[Prodi],"S1 Sistem Informasi",Table612917[G2],I$33)/$I$32</f>
        <v>0</v>
      </c>
      <c r="J56" s="52">
        <f>COUNTIFS(Table612917[Prodi],"S1 Sistem Informasi",Table612917[G2],J$33)/$I$32</f>
        <v>1</v>
      </c>
      <c r="K56" s="52">
        <f>COUNTIFS(Table612917[Prodi],"S1 Sistem Informasi",Table612917[G2],K$33)/$I$32</f>
        <v>0</v>
      </c>
      <c r="L56" s="52">
        <f>COUNTIFS(Table612917[Prodi],"S1 Sistem Informasi",Table612917[G2],L$33)/$I$32</f>
        <v>0</v>
      </c>
      <c r="M56" s="48">
        <f t="shared" si="4"/>
        <v>1</v>
      </c>
      <c r="N56" s="122"/>
      <c r="O56" s="43" t="s">
        <v>41</v>
      </c>
      <c r="P56" s="52">
        <f>COUNTIFS(Table612917[Prodi],"S1 Teknik Komputer",Table612917[G2],P$33)/$P$32</f>
        <v>0</v>
      </c>
      <c r="Q56" s="52">
        <f>COUNTIFS(Table612917[Prodi],"S1 Teknik Komputer",Table612917[G2],Q$33)/$P$32</f>
        <v>1</v>
      </c>
      <c r="R56" s="52">
        <f>COUNTIFS(Table612917[Prodi],"S1 Teknik Komputer",Table612917[G2],R$33)/$P$32</f>
        <v>0</v>
      </c>
      <c r="S56" s="52">
        <f>COUNTIFS(Table612917[Prodi],"S1 Teknik Komputer",Table612917[G2],S$33)/$P$32</f>
        <v>0</v>
      </c>
      <c r="T56" s="48">
        <f t="shared" si="5"/>
        <v>1</v>
      </c>
      <c r="U56" s="122"/>
      <c r="V56" s="43" t="s">
        <v>41</v>
      </c>
      <c r="W56" s="52" t="e">
        <f>COUNTIFS(Table612917[Prodi],"D3 Sistem Informasi",Table612917[G2],W$33)/$W$32</f>
        <v>#DIV/0!</v>
      </c>
      <c r="X56" s="52" t="e">
        <f>COUNTIFS(Table612917[Prodi],"D3 Sistem Informasi",Table612917[G2],X$33)/$W$32</f>
        <v>#DIV/0!</v>
      </c>
      <c r="Y56" s="52" t="e">
        <f>COUNTIFS(Table612917[Prodi],"D3 Sistem Informasi",Table612917[G2],Y$33)/$W$32</f>
        <v>#DIV/0!</v>
      </c>
      <c r="Z56" s="52" t="e">
        <f>COUNTIFS(Table612917[Prodi],"D3 Sistem Informasi",Table612917[G2],Z$33)/$W$32</f>
        <v>#DIV/0!</v>
      </c>
      <c r="AA56" s="48" t="e">
        <f t="shared" si="6"/>
        <v>#DIV/0!</v>
      </c>
      <c r="AB56" s="122"/>
      <c r="AC56" s="122"/>
      <c r="AD56" s="122"/>
      <c r="AE56" s="122"/>
      <c r="AF56" s="122"/>
      <c r="AG56" s="122"/>
      <c r="AH56" s="122"/>
      <c r="AI56" s="122"/>
      <c r="AJ56" s="122"/>
      <c r="AK56" s="122"/>
      <c r="AL56" s="122"/>
      <c r="AM56" s="122"/>
      <c r="AN56" s="122"/>
      <c r="AO56" s="122"/>
      <c r="AP56" s="122"/>
      <c r="AQ56" s="122"/>
      <c r="AR56" s="122"/>
    </row>
    <row r="57" spans="1:44" s="83" customFormat="1" ht="16.5" x14ac:dyDescent="0.3">
      <c r="A57" s="43" t="s">
        <v>202</v>
      </c>
      <c r="B57" s="52">
        <f>COUNTIF(Table612917[G3],B$33)/$B$32</f>
        <v>0.5</v>
      </c>
      <c r="C57" s="52">
        <f>COUNTIF(Table612917[G3],C$33)/$B$32</f>
        <v>0.5</v>
      </c>
      <c r="D57" s="52">
        <f>COUNTIF(Table612917[G3],D$33)/$B$32</f>
        <v>0</v>
      </c>
      <c r="E57" s="52">
        <f>COUNTIF(Table612917[G3],E$33)/$B$32</f>
        <v>0</v>
      </c>
      <c r="F57" s="48">
        <f t="shared" si="0"/>
        <v>1</v>
      </c>
      <c r="H57" s="43" t="s">
        <v>202</v>
      </c>
      <c r="I57" s="52">
        <f>COUNTIFS(Table612917[Prodi],"S1 Sistem Informasi",Table612917[G3],I$33)/$I$32</f>
        <v>0.5</v>
      </c>
      <c r="J57" s="52">
        <f>COUNTIFS(Table612917[Prodi],"S1 Sistem Informasi",Table612917[G3],J$33)/$I$32</f>
        <v>0.5</v>
      </c>
      <c r="K57" s="52">
        <f>COUNTIFS(Table612917[Prodi],"S1 Sistem Informasi",Table612917[G3],K$33)/$I$32</f>
        <v>0</v>
      </c>
      <c r="L57" s="52">
        <f>COUNTIFS(Table612917[Prodi],"S1 Sistem Informasi",Table612917[G3],L$33)/$I$32</f>
        <v>0</v>
      </c>
      <c r="M57" s="48">
        <f t="shared" si="4"/>
        <v>1</v>
      </c>
      <c r="N57" s="122"/>
      <c r="O57" s="43" t="s">
        <v>202</v>
      </c>
      <c r="P57" s="52">
        <f>COUNTIFS(Table612917[Prodi],"S1 Teknik Komputer",Table612917[G3],P$33)/$P$32</f>
        <v>0.5</v>
      </c>
      <c r="Q57" s="52">
        <f>COUNTIFS(Table612917[Prodi],"S1 Teknik Komputer",Table612917[G3],Q$33)/$P$32</f>
        <v>0.5</v>
      </c>
      <c r="R57" s="52">
        <f>COUNTIFS(Table612917[Prodi],"S1 Teknik Komputer",Table612917[G3],R$33)/$P$32</f>
        <v>0</v>
      </c>
      <c r="S57" s="52">
        <f>COUNTIFS(Table612917[Prodi],"S1 Teknik Komputer",Table612917[G3],S$33)/$P$32</f>
        <v>0</v>
      </c>
      <c r="T57" s="48">
        <f t="shared" si="5"/>
        <v>1</v>
      </c>
      <c r="U57" s="122"/>
      <c r="V57" s="43" t="s">
        <v>202</v>
      </c>
      <c r="W57" s="52" t="e">
        <f>COUNTIFS(Table612917[Prodi],"D3 Sistem Informasi",Table612917[G3],W$33)/$W$32</f>
        <v>#DIV/0!</v>
      </c>
      <c r="X57" s="52" t="e">
        <f>COUNTIFS(Table612917[Prodi],"D3 Sistem Informasi",Table612917[G3],X$33)/$W$32</f>
        <v>#DIV/0!</v>
      </c>
      <c r="Y57" s="52" t="e">
        <f>COUNTIFS(Table612917[Prodi],"D3 Sistem Informasi",Table612917[G3],Y$33)/$W$32</f>
        <v>#DIV/0!</v>
      </c>
      <c r="Z57" s="52" t="e">
        <f>COUNTIFS(Table612917[Prodi],"D3 Sistem Informasi",Table612917[G3],Z$33)/$W$32</f>
        <v>#DIV/0!</v>
      </c>
      <c r="AA57" s="48" t="e">
        <f t="shared" si="6"/>
        <v>#DIV/0!</v>
      </c>
      <c r="AB57" s="122"/>
      <c r="AC57" s="122"/>
      <c r="AD57" s="122"/>
      <c r="AE57" s="122"/>
      <c r="AF57" s="122"/>
      <c r="AG57" s="122"/>
      <c r="AH57" s="122"/>
      <c r="AI57" s="122"/>
      <c r="AJ57" s="122"/>
      <c r="AK57" s="122"/>
      <c r="AL57" s="122"/>
      <c r="AM57" s="122"/>
      <c r="AN57" s="122"/>
      <c r="AO57" s="122"/>
      <c r="AP57" s="122"/>
      <c r="AQ57" s="122"/>
      <c r="AR57" s="122"/>
    </row>
    <row r="58" spans="1:44" s="83" customFormat="1" ht="16.5" x14ac:dyDescent="0.3">
      <c r="A58" s="46"/>
      <c r="B58" s="47">
        <f>AVERAGE(B55:B57)</f>
        <v>0.33333333333333331</v>
      </c>
      <c r="C58" s="47">
        <f>AVERAGE(C55:C57)</f>
        <v>0.66666666666666663</v>
      </c>
      <c r="D58" s="47">
        <f>AVERAGE(D55:D57)</f>
        <v>0</v>
      </c>
      <c r="E58" s="47">
        <f>AVERAGE(E55:E57)</f>
        <v>0</v>
      </c>
      <c r="F58" s="48">
        <f t="shared" si="0"/>
        <v>1</v>
      </c>
      <c r="H58" s="46"/>
      <c r="I58" s="47">
        <f>AVERAGE(I55:I57)</f>
        <v>0.33333333333333331</v>
      </c>
      <c r="J58" s="47">
        <f>AVERAGE(J55:J57)</f>
        <v>0.66666666666666663</v>
      </c>
      <c r="K58" s="47">
        <f>AVERAGE(K55:K57)</f>
        <v>0</v>
      </c>
      <c r="L58" s="47">
        <f>AVERAGE(L55:L57)</f>
        <v>0</v>
      </c>
      <c r="M58" s="48">
        <f t="shared" si="4"/>
        <v>1</v>
      </c>
      <c r="N58" s="122"/>
      <c r="O58" s="46"/>
      <c r="P58" s="47">
        <f>AVERAGE(P55:P57)</f>
        <v>0.33333333333333331</v>
      </c>
      <c r="Q58" s="47">
        <f>AVERAGE(Q55:Q57)</f>
        <v>0.66666666666666663</v>
      </c>
      <c r="R58" s="47">
        <f>AVERAGE(R55:R57)</f>
        <v>0</v>
      </c>
      <c r="S58" s="47">
        <f>AVERAGE(S55:S57)</f>
        <v>0</v>
      </c>
      <c r="T58" s="48">
        <f t="shared" si="5"/>
        <v>1</v>
      </c>
      <c r="U58" s="122"/>
      <c r="V58" s="46"/>
      <c r="W58" s="47" t="e">
        <f>AVERAGE(W55:W57)</f>
        <v>#DIV/0!</v>
      </c>
      <c r="X58" s="47" t="e">
        <f>AVERAGE(X55:X57)</f>
        <v>#DIV/0!</v>
      </c>
      <c r="Y58" s="47" t="e">
        <f>AVERAGE(Y55:Y57)</f>
        <v>#DIV/0!</v>
      </c>
      <c r="Z58" s="47" t="e">
        <f>AVERAGE(Z55:Z57)</f>
        <v>#DIV/0!</v>
      </c>
      <c r="AA58" s="48" t="e">
        <f t="shared" si="6"/>
        <v>#DIV/0!</v>
      </c>
      <c r="AB58" s="122"/>
      <c r="AC58" s="122"/>
      <c r="AD58" s="122"/>
      <c r="AE58" s="122"/>
      <c r="AF58" s="122"/>
      <c r="AG58" s="122"/>
      <c r="AH58" s="122"/>
      <c r="AI58" s="122"/>
      <c r="AJ58" s="122"/>
      <c r="AK58" s="122"/>
      <c r="AL58" s="122"/>
      <c r="AM58" s="122"/>
      <c r="AN58" s="122"/>
      <c r="AO58" s="122"/>
      <c r="AP58" s="122"/>
      <c r="AQ58" s="122"/>
      <c r="AR58" s="122"/>
    </row>
    <row r="59" spans="1:44" s="83" customFormat="1" ht="16.5" x14ac:dyDescent="0.3">
      <c r="A59" s="43" t="s">
        <v>42</v>
      </c>
      <c r="B59" s="52">
        <f>COUNTIF(Table612917[H1],B$33)/$B$32</f>
        <v>0.5</v>
      </c>
      <c r="C59" s="52">
        <f>COUNTIF(Table612917[H1],C$33)/$B$32</f>
        <v>0.5</v>
      </c>
      <c r="D59" s="52">
        <f>COUNTIF(Table612917[H1],D$33)/$B$32</f>
        <v>0</v>
      </c>
      <c r="E59" s="52">
        <f>COUNTIF(Table612917[H1],E$33)/$B$32</f>
        <v>0</v>
      </c>
      <c r="F59" s="48">
        <f t="shared" si="0"/>
        <v>1</v>
      </c>
      <c r="H59" s="43" t="s">
        <v>42</v>
      </c>
      <c r="I59" s="52">
        <f>COUNTIFS(Table612917[Prodi],"S1 Sistem Informasi",Table612917[H1],I$33)/$I$32</f>
        <v>1</v>
      </c>
      <c r="J59" s="52">
        <f>COUNTIFS(Table612917[Prodi],"S1 Sistem Informasi",Table612917[H1],J$33)/$I$32</f>
        <v>0</v>
      </c>
      <c r="K59" s="52">
        <f>COUNTIFS(Table612917[Prodi],"S1 Sistem Informasi",Table612917[H1],K$33)/$I$32</f>
        <v>0</v>
      </c>
      <c r="L59" s="52">
        <f>COUNTIFS(Table612917[Prodi],"S1 Sistem Informasi",Table612917[H1],L$33)/$I$32</f>
        <v>0</v>
      </c>
      <c r="M59" s="48">
        <f t="shared" si="4"/>
        <v>1</v>
      </c>
      <c r="N59" s="122"/>
      <c r="O59" s="43" t="s">
        <v>42</v>
      </c>
      <c r="P59" s="52">
        <f>COUNTIFS(Table612917[Prodi],"S1 Teknik Komputer",Table612917[H1],P$33)/$P$32</f>
        <v>0</v>
      </c>
      <c r="Q59" s="52">
        <f>COUNTIFS(Table612917[Prodi],"S1 Teknik Komputer",Table612917[H1],Q$33)/$P$32</f>
        <v>1</v>
      </c>
      <c r="R59" s="52">
        <f>COUNTIFS(Table612917[Prodi],"S1 Teknik Komputer",Table612917[H1],R$33)/$P$32</f>
        <v>0</v>
      </c>
      <c r="S59" s="52">
        <f>COUNTIFS(Table612917[Prodi],"S1 Teknik Komputer",Table612917[H1],S$33)/$P$32</f>
        <v>0</v>
      </c>
      <c r="T59" s="48">
        <f t="shared" si="5"/>
        <v>1</v>
      </c>
      <c r="U59" s="122"/>
      <c r="V59" s="43" t="s">
        <v>42</v>
      </c>
      <c r="W59" s="52" t="e">
        <f>COUNTIFS(Table612917[Prodi],"D3 Sistem Informasi",Table612917[H1],W$33)/$W$32</f>
        <v>#DIV/0!</v>
      </c>
      <c r="X59" s="52" t="e">
        <f>COUNTIFS(Table612917[Prodi],"D3 Sistem Informasi",Table612917[H1],X$33)/$W$32</f>
        <v>#DIV/0!</v>
      </c>
      <c r="Y59" s="52" t="e">
        <f>COUNTIFS(Table612917[Prodi],"D3 Sistem Informasi",Table612917[H1],Y$33)/$W$32</f>
        <v>#DIV/0!</v>
      </c>
      <c r="Z59" s="52" t="e">
        <f>COUNTIFS(Table612917[Prodi],"D3 Sistem Informasi",Table612917[H1],Z$33)/$W$32</f>
        <v>#DIV/0!</v>
      </c>
      <c r="AA59" s="48" t="e">
        <f t="shared" si="6"/>
        <v>#DIV/0!</v>
      </c>
      <c r="AB59" s="122"/>
      <c r="AC59" s="122"/>
      <c r="AD59" s="122"/>
      <c r="AE59" s="122"/>
      <c r="AF59" s="122"/>
      <c r="AG59" s="122"/>
      <c r="AH59" s="122"/>
      <c r="AI59" s="122"/>
      <c r="AJ59" s="122"/>
      <c r="AK59" s="122"/>
      <c r="AL59" s="122"/>
      <c r="AM59" s="122"/>
      <c r="AN59" s="122"/>
      <c r="AO59" s="122"/>
      <c r="AP59" s="122"/>
      <c r="AQ59" s="122"/>
      <c r="AR59" s="122"/>
    </row>
    <row r="60" spans="1:44" s="83" customFormat="1" ht="16.5" x14ac:dyDescent="0.3">
      <c r="A60" s="43" t="s">
        <v>43</v>
      </c>
      <c r="B60" s="52">
        <f>COUNTIF(Table612917[H2],B$33)/$B$32</f>
        <v>0.25</v>
      </c>
      <c r="C60" s="52">
        <f>COUNTIF(Table612917[H2],C$33)/$B$32</f>
        <v>0.75</v>
      </c>
      <c r="D60" s="52">
        <f>COUNTIF(Table612917[H2],D$33)/$B$32</f>
        <v>0</v>
      </c>
      <c r="E60" s="52">
        <f>COUNTIF(Table612917[H2],E$33)/$B$32</f>
        <v>0</v>
      </c>
      <c r="F60" s="48">
        <f t="shared" si="0"/>
        <v>1</v>
      </c>
      <c r="H60" s="43" t="s">
        <v>43</v>
      </c>
      <c r="I60" s="52">
        <f>COUNTIFS(Table612917[Prodi],"S1 Sistem Informasi",Table612917[H2],I$33)/$I$32</f>
        <v>0.5</v>
      </c>
      <c r="J60" s="52">
        <f>COUNTIFS(Table612917[Prodi],"S1 Sistem Informasi",Table612917[H2],J$33)/$I$32</f>
        <v>0.5</v>
      </c>
      <c r="K60" s="52">
        <f>COUNTIFS(Table612917[Prodi],"S1 Sistem Informasi",Table612917[H2],K$33)/$I$32</f>
        <v>0</v>
      </c>
      <c r="L60" s="52">
        <f>COUNTIFS(Table612917[Prodi],"S1 Sistem Informasi",Table612917[H2],L$33)/$I$32</f>
        <v>0</v>
      </c>
      <c r="M60" s="48">
        <f t="shared" si="4"/>
        <v>1</v>
      </c>
      <c r="N60" s="122"/>
      <c r="O60" s="43" t="s">
        <v>43</v>
      </c>
      <c r="P60" s="52">
        <f>COUNTIFS(Table612917[Prodi],"S1 Teknik Komputer",Table612917[H2],P$33)/$P$32</f>
        <v>0</v>
      </c>
      <c r="Q60" s="52">
        <f>COUNTIFS(Table612917[Prodi],"S1 Teknik Komputer",Table612917[H2],Q$33)/$P$32</f>
        <v>1</v>
      </c>
      <c r="R60" s="52">
        <f>COUNTIFS(Table612917[Prodi],"S1 Teknik Komputer",Table612917[H2],R$33)/$P$32</f>
        <v>0</v>
      </c>
      <c r="S60" s="52">
        <f>COUNTIFS(Table612917[Prodi],"S1 Teknik Komputer",Table612917[H2],S$33)/$P$32</f>
        <v>0</v>
      </c>
      <c r="T60" s="48">
        <f t="shared" si="5"/>
        <v>1</v>
      </c>
      <c r="U60" s="122"/>
      <c r="V60" s="43" t="s">
        <v>43</v>
      </c>
      <c r="W60" s="52" t="e">
        <f>COUNTIFS(Table612917[Prodi],"D3 Sistem Informasi",Table612917[H2],W$33)/$W$32</f>
        <v>#DIV/0!</v>
      </c>
      <c r="X60" s="52" t="e">
        <f>COUNTIFS(Table612917[Prodi],"D3 Sistem Informasi",Table612917[H2],X$33)/$W$32</f>
        <v>#DIV/0!</v>
      </c>
      <c r="Y60" s="52" t="e">
        <f>COUNTIFS(Table612917[Prodi],"D3 Sistem Informasi",Table612917[H2],Y$33)/$W$32</f>
        <v>#DIV/0!</v>
      </c>
      <c r="Z60" s="52" t="e">
        <f>COUNTIFS(Table612917[Prodi],"D3 Sistem Informasi",Table612917[H2],Z$33)/$W$32</f>
        <v>#DIV/0!</v>
      </c>
      <c r="AA60" s="48" t="e">
        <f t="shared" si="6"/>
        <v>#DIV/0!</v>
      </c>
      <c r="AB60" s="122"/>
      <c r="AC60" s="122"/>
      <c r="AD60" s="122"/>
      <c r="AE60" s="122"/>
      <c r="AF60" s="122"/>
      <c r="AG60" s="122"/>
      <c r="AH60" s="122"/>
      <c r="AI60" s="122"/>
      <c r="AJ60" s="122"/>
      <c r="AK60" s="122"/>
      <c r="AL60" s="122"/>
      <c r="AM60" s="122"/>
      <c r="AN60" s="122"/>
      <c r="AO60" s="122"/>
      <c r="AP60" s="122"/>
      <c r="AQ60" s="122"/>
      <c r="AR60" s="122"/>
    </row>
    <row r="61" spans="1:44" s="83" customFormat="1" ht="16.5" x14ac:dyDescent="0.3">
      <c r="A61" s="43" t="s">
        <v>44</v>
      </c>
      <c r="B61" s="52">
        <f>COUNTIF(Table612917[H3],B$33)/$B$32</f>
        <v>0.75</v>
      </c>
      <c r="C61" s="52">
        <f>COUNTIF(Table612917[H3],C$33)/$B$32</f>
        <v>0.25</v>
      </c>
      <c r="D61" s="52">
        <f>COUNTIF(Table612917[H3],D$33)/$B$32</f>
        <v>0</v>
      </c>
      <c r="E61" s="52">
        <f>COUNTIF(Table612917[H3],E$33)/$B$32</f>
        <v>0</v>
      </c>
      <c r="F61" s="48">
        <f t="shared" si="0"/>
        <v>1</v>
      </c>
      <c r="H61" s="43" t="s">
        <v>44</v>
      </c>
      <c r="I61" s="52">
        <f>COUNTIFS(Table612917[Prodi],"S1 Sistem Informasi",Table612917[H3],I$33)/$I$32</f>
        <v>1</v>
      </c>
      <c r="J61" s="52">
        <f>COUNTIFS(Table612917[Prodi],"S1 Sistem Informasi",Table612917[H3],J$33)/$I$32</f>
        <v>0</v>
      </c>
      <c r="K61" s="52">
        <f>COUNTIFS(Table612917[Prodi],"S1 Sistem Informasi",Table612917[H3],K$33)/$I$32</f>
        <v>0</v>
      </c>
      <c r="L61" s="52">
        <f>COUNTIFS(Table612917[Prodi],"S1 Sistem Informasi",Table612917[H3],L$33)/$I$32</f>
        <v>0</v>
      </c>
      <c r="M61" s="48">
        <f t="shared" si="4"/>
        <v>1</v>
      </c>
      <c r="N61" s="122"/>
      <c r="O61" s="43" t="s">
        <v>44</v>
      </c>
      <c r="P61" s="52">
        <f>COUNTIFS(Table612917[Prodi],"S1 Teknik Komputer",Table612917[H3],P$33)/$P$32</f>
        <v>0.5</v>
      </c>
      <c r="Q61" s="52">
        <f>COUNTIFS(Table612917[Prodi],"S1 Teknik Komputer",Table612917[H3],Q$33)/$P$32</f>
        <v>0.5</v>
      </c>
      <c r="R61" s="52">
        <f>COUNTIFS(Table612917[Prodi],"S1 Teknik Komputer",Table612917[H3],R$33)/$P$32</f>
        <v>0</v>
      </c>
      <c r="S61" s="52">
        <f>COUNTIFS(Table612917[Prodi],"S1 Teknik Komputer",Table612917[H3],S$33)/$P$32</f>
        <v>0</v>
      </c>
      <c r="T61" s="48">
        <f t="shared" si="5"/>
        <v>1</v>
      </c>
      <c r="U61" s="122"/>
      <c r="V61" s="43" t="s">
        <v>44</v>
      </c>
      <c r="W61" s="52" t="e">
        <f>COUNTIFS(Table612917[Prodi],"D3 Sistem Informasi",Table612917[H3],W$33)/$W$32</f>
        <v>#DIV/0!</v>
      </c>
      <c r="X61" s="52" t="e">
        <f>COUNTIFS(Table612917[Prodi],"D3 Sistem Informasi",Table612917[H3],X$33)/$W$32</f>
        <v>#DIV/0!</v>
      </c>
      <c r="Y61" s="52" t="e">
        <f>COUNTIFS(Table612917[Prodi],"D3 Sistem Informasi",Table612917[H3],Y$33)/$W$32</f>
        <v>#DIV/0!</v>
      </c>
      <c r="Z61" s="52" t="e">
        <f>COUNTIFS(Table612917[Prodi],"D3 Sistem Informasi",Table612917[H3],Z$33)/$W$32</f>
        <v>#DIV/0!</v>
      </c>
      <c r="AA61" s="48" t="e">
        <f t="shared" si="6"/>
        <v>#DIV/0!</v>
      </c>
      <c r="AB61" s="122"/>
      <c r="AC61" s="122"/>
      <c r="AD61" s="122"/>
      <c r="AE61" s="122"/>
      <c r="AF61" s="122"/>
      <c r="AG61" s="122"/>
      <c r="AH61" s="122"/>
      <c r="AI61" s="122"/>
      <c r="AJ61" s="122"/>
      <c r="AK61" s="122"/>
      <c r="AL61" s="122"/>
      <c r="AM61" s="122"/>
      <c r="AN61" s="122"/>
      <c r="AO61" s="122"/>
      <c r="AP61" s="122"/>
      <c r="AQ61" s="122"/>
      <c r="AR61" s="122"/>
    </row>
    <row r="62" spans="1:44" s="83" customFormat="1" ht="16.5" x14ac:dyDescent="0.3">
      <c r="A62" s="43" t="s">
        <v>45</v>
      </c>
      <c r="B62" s="52">
        <f>COUNTIF(Table612917[H4],B$33)/$B$32</f>
        <v>0.5</v>
      </c>
      <c r="C62" s="52">
        <f>COUNTIF(Table612917[H4],C$33)/$B$32</f>
        <v>0.5</v>
      </c>
      <c r="D62" s="52">
        <f>COUNTIF(Table612917[H4],D$33)/$B$32</f>
        <v>0</v>
      </c>
      <c r="E62" s="52">
        <f>COUNTIF(Table612917[H4],E$33)/$B$32</f>
        <v>0</v>
      </c>
      <c r="F62" s="48">
        <f t="shared" si="0"/>
        <v>1</v>
      </c>
      <c r="H62" s="43" t="s">
        <v>45</v>
      </c>
      <c r="I62" s="52">
        <f>COUNTIFS(Table612917[Prodi],"S1 Sistem Informasi",Table612917[H4],I$33)/$I$32</f>
        <v>0.5</v>
      </c>
      <c r="J62" s="52">
        <f>COUNTIFS(Table612917[Prodi],"S1 Sistem Informasi",Table612917[H4],J$33)/$I$32</f>
        <v>0.5</v>
      </c>
      <c r="K62" s="52">
        <f>COUNTIFS(Table612917[Prodi],"S1 Sistem Informasi",Table612917[H4],K$33)/$I$32</f>
        <v>0</v>
      </c>
      <c r="L62" s="52">
        <f>COUNTIFS(Table612917[Prodi],"S1 Sistem Informasi",Table612917[H4],L$33)/$I$32</f>
        <v>0</v>
      </c>
      <c r="M62" s="48">
        <f t="shared" si="4"/>
        <v>1</v>
      </c>
      <c r="N62" s="122"/>
      <c r="O62" s="43" t="s">
        <v>45</v>
      </c>
      <c r="P62" s="52">
        <f>COUNTIFS(Table612917[Prodi],"S1 Teknik Komputer",Table612917[H4],P$33)/$P$32</f>
        <v>0.5</v>
      </c>
      <c r="Q62" s="52">
        <f>COUNTIFS(Table612917[Prodi],"S1 Teknik Komputer",Table612917[H4],Q$33)/$P$32</f>
        <v>0.5</v>
      </c>
      <c r="R62" s="52">
        <f>COUNTIFS(Table612917[Prodi],"S1 Teknik Komputer",Table612917[H4],R$33)/$P$32</f>
        <v>0</v>
      </c>
      <c r="S62" s="52">
        <f>COUNTIFS(Table612917[Prodi],"S1 Teknik Komputer",Table612917[H4],S$33)/$P$32</f>
        <v>0</v>
      </c>
      <c r="T62" s="48">
        <f t="shared" si="5"/>
        <v>1</v>
      </c>
      <c r="U62" s="122"/>
      <c r="V62" s="43" t="s">
        <v>45</v>
      </c>
      <c r="W62" s="52" t="e">
        <f>COUNTIFS(Table612917[Prodi],"D3 Sistem Informasi",Table612917[H4],W$33)/$W$32</f>
        <v>#DIV/0!</v>
      </c>
      <c r="X62" s="52" t="e">
        <f>COUNTIFS(Table612917[Prodi],"D3 Sistem Informasi",Table612917[H4],X$33)/$W$32</f>
        <v>#DIV/0!</v>
      </c>
      <c r="Y62" s="52" t="e">
        <f>COUNTIFS(Table612917[Prodi],"D3 Sistem Informasi",Table612917[H4],Y$33)/$W$32</f>
        <v>#DIV/0!</v>
      </c>
      <c r="Z62" s="52" t="e">
        <f>COUNTIFS(Table612917[Prodi],"D3 Sistem Informasi",Table612917[H4],Z$33)/$W$32</f>
        <v>#DIV/0!</v>
      </c>
      <c r="AA62" s="48" t="e">
        <f t="shared" si="6"/>
        <v>#DIV/0!</v>
      </c>
      <c r="AB62" s="122"/>
      <c r="AC62" s="122"/>
      <c r="AD62" s="122"/>
      <c r="AE62" s="122"/>
      <c r="AF62" s="122"/>
      <c r="AG62" s="122"/>
      <c r="AH62" s="122"/>
      <c r="AI62" s="122"/>
      <c r="AJ62" s="122"/>
      <c r="AK62" s="122"/>
      <c r="AL62" s="122"/>
      <c r="AM62" s="122"/>
      <c r="AN62" s="122"/>
      <c r="AO62" s="122"/>
      <c r="AP62" s="122"/>
      <c r="AQ62" s="122"/>
      <c r="AR62" s="122"/>
    </row>
    <row r="63" spans="1:44" s="83" customFormat="1" ht="16.5" x14ac:dyDescent="0.3">
      <c r="A63" s="46"/>
      <c r="B63" s="47">
        <f>AVERAGE(B59:B62)</f>
        <v>0.5</v>
      </c>
      <c r="C63" s="47">
        <f>AVERAGE(C59:C62)</f>
        <v>0.5</v>
      </c>
      <c r="D63" s="47">
        <f>AVERAGE(D59:D62)</f>
        <v>0</v>
      </c>
      <c r="E63" s="47">
        <f>AVERAGE(E59:E62)</f>
        <v>0</v>
      </c>
      <c r="F63" s="48">
        <f t="shared" si="0"/>
        <v>1</v>
      </c>
      <c r="H63" s="46"/>
      <c r="I63" s="47">
        <f>AVERAGE(I59:I62)</f>
        <v>0.75</v>
      </c>
      <c r="J63" s="47">
        <f>AVERAGE(J59:J62)</f>
        <v>0.25</v>
      </c>
      <c r="K63" s="47">
        <f>AVERAGE(K59:K62)</f>
        <v>0</v>
      </c>
      <c r="L63" s="47">
        <f>AVERAGE(L59:L62)</f>
        <v>0</v>
      </c>
      <c r="M63" s="48">
        <f t="shared" si="4"/>
        <v>1</v>
      </c>
      <c r="N63" s="122"/>
      <c r="O63" s="46"/>
      <c r="P63" s="47">
        <f>AVERAGE(P59:P62)</f>
        <v>0.25</v>
      </c>
      <c r="Q63" s="47">
        <f>AVERAGE(Q59:Q62)</f>
        <v>0.75</v>
      </c>
      <c r="R63" s="47">
        <f>AVERAGE(R59:R62)</f>
        <v>0</v>
      </c>
      <c r="S63" s="47">
        <f>AVERAGE(S59:S62)</f>
        <v>0</v>
      </c>
      <c r="T63" s="48">
        <f t="shared" si="5"/>
        <v>1</v>
      </c>
      <c r="U63" s="122"/>
      <c r="V63" s="46"/>
      <c r="W63" s="47" t="e">
        <f>AVERAGE(W59:W62)</f>
        <v>#DIV/0!</v>
      </c>
      <c r="X63" s="47" t="e">
        <f>AVERAGE(X59:X62)</f>
        <v>#DIV/0!</v>
      </c>
      <c r="Y63" s="47" t="e">
        <f>AVERAGE(Y59:Y62)</f>
        <v>#DIV/0!</v>
      </c>
      <c r="Z63" s="47" t="e">
        <f>AVERAGE(Z59:Z62)</f>
        <v>#DIV/0!</v>
      </c>
      <c r="AA63" s="48" t="e">
        <f t="shared" si="6"/>
        <v>#DIV/0!</v>
      </c>
      <c r="AB63" s="122"/>
      <c r="AC63" s="122"/>
      <c r="AD63" s="122"/>
      <c r="AE63" s="122"/>
      <c r="AF63" s="122"/>
      <c r="AG63" s="122"/>
      <c r="AH63" s="122"/>
      <c r="AI63" s="122"/>
      <c r="AJ63" s="122"/>
      <c r="AK63" s="122"/>
      <c r="AL63" s="122"/>
      <c r="AM63" s="122"/>
      <c r="AN63" s="122"/>
      <c r="AO63" s="122"/>
      <c r="AP63" s="122"/>
      <c r="AQ63" s="122"/>
      <c r="AR63" s="122"/>
    </row>
    <row r="64" spans="1:44" s="83" customFormat="1" ht="16.5" x14ac:dyDescent="0.3">
      <c r="A64" s="43" t="s">
        <v>130</v>
      </c>
      <c r="B64" s="52">
        <f>COUNTIF(Table612917[I1.1],B$33)/$B$32</f>
        <v>0</v>
      </c>
      <c r="C64" s="52">
        <f>COUNTIF(Table612917[I1.1],C$33)/$B$32</f>
        <v>1</v>
      </c>
      <c r="D64" s="52">
        <f>COUNTIF(Table612917[I1.1],D$33)/$B$32</f>
        <v>0</v>
      </c>
      <c r="E64" s="52">
        <f>COUNTIF(Table612917[I1.1],E$33)/$B$32</f>
        <v>0</v>
      </c>
      <c r="F64" s="48">
        <f t="shared" si="0"/>
        <v>1</v>
      </c>
      <c r="H64" s="43" t="s">
        <v>130</v>
      </c>
      <c r="I64" s="52">
        <f>COUNTIFS(Table612917[Prodi],"S1 Sistem Informasi",Table612917[I1.1],I$33)/$I$32</f>
        <v>0</v>
      </c>
      <c r="J64" s="52">
        <f>COUNTIFS(Table612917[Prodi],"S1 Sistem Informasi",Table612917[I1.1],J$33)/$I$32</f>
        <v>1</v>
      </c>
      <c r="K64" s="52">
        <f>COUNTIFS(Table612917[Prodi],"S1 Sistem Informasi",Table612917[I1.1],K$33)/$I$32</f>
        <v>0</v>
      </c>
      <c r="L64" s="52">
        <f>COUNTIFS(Table612917[Prodi],"S1 Sistem Informasi",Table612917[I1.1],L$33)/$I$32</f>
        <v>0</v>
      </c>
      <c r="M64" s="48">
        <f t="shared" si="4"/>
        <v>1</v>
      </c>
      <c r="N64" s="122"/>
      <c r="O64" s="43" t="s">
        <v>130</v>
      </c>
      <c r="P64" s="52">
        <f>COUNTIFS(Table612917[Prodi],"S1 Teknik Komputer",Table612917[I1.1],P$33)/$P$32</f>
        <v>0</v>
      </c>
      <c r="Q64" s="52">
        <f>COUNTIFS(Table612917[Prodi],"S1 Teknik Komputer",Table612917[I1.1],Q$33)/$P$32</f>
        <v>1</v>
      </c>
      <c r="R64" s="52">
        <f>COUNTIFS(Table612917[Prodi],"S1 Teknik Komputer",Table612917[I1.1],R$33)/$P$32</f>
        <v>0</v>
      </c>
      <c r="S64" s="52">
        <f>COUNTIFS(Table612917[Prodi],"S1 Teknik Komputer",Table612917[I1.1],S$33)/$P$32</f>
        <v>0</v>
      </c>
      <c r="T64" s="48">
        <f t="shared" si="5"/>
        <v>1</v>
      </c>
      <c r="U64" s="122"/>
      <c r="V64" s="43" t="s">
        <v>130</v>
      </c>
      <c r="W64" s="52" t="e">
        <f>COUNTIFS(Table612917[Prodi],"D3 Sistem Informasi",Table612917[I1.1],W$33)/$W$32</f>
        <v>#DIV/0!</v>
      </c>
      <c r="X64" s="52" t="e">
        <f>COUNTIFS(Table612917[Prodi],"D3 Sistem Informasi",Table612917[I1.1],X$33)/$W$32</f>
        <v>#DIV/0!</v>
      </c>
      <c r="Y64" s="52" t="e">
        <f>COUNTIFS(Table612917[Prodi],"D3 Sistem Informasi",Table612917[I1.1],Y$33)/$W$32</f>
        <v>#DIV/0!</v>
      </c>
      <c r="Z64" s="52" t="e">
        <f>COUNTIFS(Table612917[Prodi],"D3 Sistem Informasi",Table612917[I1.1],Z$33)/$W$32</f>
        <v>#DIV/0!</v>
      </c>
      <c r="AA64" s="48" t="e">
        <f t="shared" si="6"/>
        <v>#DIV/0!</v>
      </c>
      <c r="AB64" s="122"/>
      <c r="AC64" s="122"/>
      <c r="AD64" s="122"/>
      <c r="AE64" s="122"/>
      <c r="AF64" s="122"/>
      <c r="AG64" s="122"/>
      <c r="AH64" s="122"/>
      <c r="AI64" s="122"/>
      <c r="AJ64" s="122"/>
      <c r="AK64" s="122"/>
      <c r="AL64" s="122"/>
      <c r="AM64" s="122"/>
      <c r="AN64" s="122"/>
      <c r="AO64" s="122"/>
      <c r="AP64" s="122"/>
      <c r="AQ64" s="122"/>
      <c r="AR64" s="122"/>
    </row>
    <row r="65" spans="1:44" s="83" customFormat="1" ht="16.5" x14ac:dyDescent="0.3">
      <c r="A65" s="43" t="s">
        <v>131</v>
      </c>
      <c r="B65" s="52">
        <f>COUNTIF(Table612917[I1.2],B$33)/$B$32</f>
        <v>0.5</v>
      </c>
      <c r="C65" s="52">
        <f>COUNTIF(Table612917[I1.2],C$33)/$B$32</f>
        <v>0.5</v>
      </c>
      <c r="D65" s="52">
        <f>COUNTIF(Table612917[I1.2],D$33)/$B$32</f>
        <v>0</v>
      </c>
      <c r="E65" s="52">
        <f>COUNTIF(Table612917[I1.2],E$33)/$B$32</f>
        <v>0</v>
      </c>
      <c r="F65" s="48">
        <f t="shared" si="0"/>
        <v>1</v>
      </c>
      <c r="H65" s="43" t="s">
        <v>131</v>
      </c>
      <c r="I65" s="52">
        <f>COUNTIFS(Table612917[Prodi],"S1 Sistem Informasi",Table612917[I1.2],I$33)/$I$32</f>
        <v>0.5</v>
      </c>
      <c r="J65" s="52">
        <f>COUNTIFS(Table612917[Prodi],"S1 Sistem Informasi",Table612917[I1.2],J$33)/$I$32</f>
        <v>0.5</v>
      </c>
      <c r="K65" s="52">
        <f>COUNTIFS(Table612917[Prodi],"S1 Sistem Informasi",Table612917[I1.2],K$33)/$I$32</f>
        <v>0</v>
      </c>
      <c r="L65" s="52">
        <f>COUNTIFS(Table612917[Prodi],"S1 Sistem Informasi",Table612917[I1.2],L$33)/$I$32</f>
        <v>0</v>
      </c>
      <c r="M65" s="48">
        <f t="shared" si="4"/>
        <v>1</v>
      </c>
      <c r="N65" s="122"/>
      <c r="O65" s="43" t="s">
        <v>131</v>
      </c>
      <c r="P65" s="52">
        <f>COUNTIFS(Table612917[Prodi],"S1 Teknik Komputer",Table612917[I1.2],P$33)/$P$32</f>
        <v>0.5</v>
      </c>
      <c r="Q65" s="52">
        <f>COUNTIFS(Table612917[Prodi],"S1 Teknik Komputer",Table612917[I1.2],Q$33)/$P$32</f>
        <v>0.5</v>
      </c>
      <c r="R65" s="52">
        <f>COUNTIFS(Table612917[Prodi],"S1 Teknik Komputer",Table612917[I1.2],R$33)/$P$32</f>
        <v>0</v>
      </c>
      <c r="S65" s="52">
        <f>COUNTIFS(Table612917[Prodi],"S1 Teknik Komputer",Table612917[I1.2],S$33)/$P$32</f>
        <v>0</v>
      </c>
      <c r="T65" s="48">
        <f t="shared" si="5"/>
        <v>1</v>
      </c>
      <c r="U65" s="122"/>
      <c r="V65" s="43" t="s">
        <v>131</v>
      </c>
      <c r="W65" s="52" t="e">
        <f>COUNTIFS(Table612917[Prodi],"D3 Sistem Informasi",Table612917[I1.2],W$33)/$W$32</f>
        <v>#DIV/0!</v>
      </c>
      <c r="X65" s="52" t="e">
        <f>COUNTIFS(Table612917[Prodi],"D3 Sistem Informasi",Table612917[I1.2],X$33)/$W$32</f>
        <v>#DIV/0!</v>
      </c>
      <c r="Y65" s="52" t="e">
        <f>COUNTIFS(Table612917[Prodi],"D3 Sistem Informasi",Table612917[I1.2],Y$33)/$W$32</f>
        <v>#DIV/0!</v>
      </c>
      <c r="Z65" s="52" t="e">
        <f>COUNTIFS(Table612917[Prodi],"D3 Sistem Informasi",Table612917[I1.2],Z$33)/$W$32</f>
        <v>#DIV/0!</v>
      </c>
      <c r="AA65" s="48" t="e">
        <f t="shared" si="6"/>
        <v>#DIV/0!</v>
      </c>
      <c r="AB65" s="122"/>
      <c r="AC65" s="122"/>
      <c r="AD65" s="122"/>
      <c r="AE65" s="122"/>
      <c r="AF65" s="122"/>
      <c r="AG65" s="122"/>
      <c r="AH65" s="122"/>
      <c r="AI65" s="122"/>
      <c r="AJ65" s="122"/>
      <c r="AK65" s="122"/>
      <c r="AL65" s="122"/>
      <c r="AM65" s="122"/>
      <c r="AN65" s="122"/>
      <c r="AO65" s="122"/>
      <c r="AP65" s="122"/>
      <c r="AQ65" s="122"/>
      <c r="AR65" s="122"/>
    </row>
    <row r="66" spans="1:44" s="83" customFormat="1" ht="16.5" x14ac:dyDescent="0.3">
      <c r="A66" s="43" t="s">
        <v>132</v>
      </c>
      <c r="B66" s="52">
        <f>COUNTIF(Table612917[I1.3],B$33)/$B$32</f>
        <v>0.75</v>
      </c>
      <c r="C66" s="52">
        <f>COUNTIF(Table612917[I1.3],C$33)/$B$32</f>
        <v>0.25</v>
      </c>
      <c r="D66" s="52">
        <f>COUNTIF(Table612917[I1.3],D$33)/$B$32</f>
        <v>0</v>
      </c>
      <c r="E66" s="52">
        <f>COUNTIF(Table612917[I1.3],E$33)/$B$32</f>
        <v>0</v>
      </c>
      <c r="F66" s="48">
        <f t="shared" si="0"/>
        <v>1</v>
      </c>
      <c r="H66" s="43" t="s">
        <v>132</v>
      </c>
      <c r="I66" s="52">
        <f>COUNTIFS(Table612917[Prodi],"S1 Sistem Informasi",Table612917[I1.3],I$33)/$I$32</f>
        <v>1</v>
      </c>
      <c r="J66" s="52">
        <f>COUNTIFS(Table612917[Prodi],"S1 Sistem Informasi",Table612917[I1.3],J$33)/$I$32</f>
        <v>0</v>
      </c>
      <c r="K66" s="52">
        <f>COUNTIFS(Table612917[Prodi],"S1 Sistem Informasi",Table612917[I1.3],K$33)/$I$32</f>
        <v>0</v>
      </c>
      <c r="L66" s="52">
        <f>COUNTIFS(Table612917[Prodi],"S1 Sistem Informasi",Table612917[I1.3],L$33)/$I$32</f>
        <v>0</v>
      </c>
      <c r="M66" s="48">
        <f t="shared" si="4"/>
        <v>1</v>
      </c>
      <c r="N66" s="122"/>
      <c r="O66" s="43" t="s">
        <v>132</v>
      </c>
      <c r="P66" s="52">
        <f>COUNTIFS(Table612917[Prodi],"S1 Teknik Komputer",Table612917[I1.3],P$33)/$P$32</f>
        <v>0.5</v>
      </c>
      <c r="Q66" s="52">
        <f>COUNTIFS(Table612917[Prodi],"S1 Teknik Komputer",Table612917[I1.3],Q$33)/$P$32</f>
        <v>0.5</v>
      </c>
      <c r="R66" s="52">
        <f>COUNTIFS(Table612917[Prodi],"S1 Teknik Komputer",Table612917[I1.3],R$33)/$P$32</f>
        <v>0</v>
      </c>
      <c r="S66" s="52">
        <f>COUNTIFS(Table612917[Prodi],"S1 Teknik Komputer",Table612917[I1.3],S$33)/$P$32</f>
        <v>0</v>
      </c>
      <c r="T66" s="48">
        <f t="shared" si="5"/>
        <v>1</v>
      </c>
      <c r="U66" s="122"/>
      <c r="V66" s="43" t="s">
        <v>132</v>
      </c>
      <c r="W66" s="52" t="e">
        <f>COUNTIFS(Table612917[Prodi],"D3 Sistem Informasi",Table612917[I1.3],W$33)/$W$32</f>
        <v>#DIV/0!</v>
      </c>
      <c r="X66" s="52" t="e">
        <f>COUNTIFS(Table612917[Prodi],"D3 Sistem Informasi",Table612917[I1.3],X$33)/$W$32</f>
        <v>#DIV/0!</v>
      </c>
      <c r="Y66" s="52" t="e">
        <f>COUNTIFS(Table612917[Prodi],"D3 Sistem Informasi",Table612917[I1.3],Y$33)/$W$32</f>
        <v>#DIV/0!</v>
      </c>
      <c r="Z66" s="52" t="e">
        <f>COUNTIFS(Table612917[Prodi],"D3 Sistem Informasi",Table612917[I1.3],Z$33)/$W$32</f>
        <v>#DIV/0!</v>
      </c>
      <c r="AA66" s="48" t="e">
        <f t="shared" si="6"/>
        <v>#DIV/0!</v>
      </c>
      <c r="AB66" s="122"/>
      <c r="AC66" s="122"/>
      <c r="AD66" s="122"/>
      <c r="AE66" s="122"/>
      <c r="AF66" s="122"/>
      <c r="AG66" s="122"/>
      <c r="AH66" s="122"/>
      <c r="AI66" s="122"/>
      <c r="AJ66" s="122"/>
      <c r="AK66" s="122"/>
      <c r="AL66" s="122"/>
      <c r="AM66" s="122"/>
      <c r="AN66" s="122"/>
      <c r="AO66" s="122"/>
      <c r="AP66" s="122"/>
      <c r="AQ66" s="122"/>
      <c r="AR66" s="122"/>
    </row>
    <row r="67" spans="1:44" s="83" customFormat="1" ht="16.5" x14ac:dyDescent="0.3">
      <c r="A67" s="43" t="s">
        <v>133</v>
      </c>
      <c r="B67" s="52">
        <f>COUNTIF(Table612917[I1.4],B$33)/$B$32</f>
        <v>0.5</v>
      </c>
      <c r="C67" s="52">
        <f>COUNTIF(Table612917[I1.4],C$33)/$B$32</f>
        <v>0.5</v>
      </c>
      <c r="D67" s="52">
        <f>COUNTIF(Table612917[I1.4],D$33)/$B$32</f>
        <v>0</v>
      </c>
      <c r="E67" s="52">
        <f>COUNTIF(Table612917[I1.4],E$33)/$B$32</f>
        <v>0</v>
      </c>
      <c r="F67" s="48">
        <f t="shared" si="0"/>
        <v>1</v>
      </c>
      <c r="H67" s="43" t="s">
        <v>133</v>
      </c>
      <c r="I67" s="52">
        <f>COUNTIFS(Table612917[Prodi],"S1 Sistem Informasi",Table612917[I1.4],I$33)/$I$32</f>
        <v>0.5</v>
      </c>
      <c r="J67" s="52">
        <f>COUNTIFS(Table612917[Prodi],"S1 Sistem Informasi",Table612917[I1.4],J$33)/$I$32</f>
        <v>0.5</v>
      </c>
      <c r="K67" s="52">
        <f>COUNTIFS(Table612917[Prodi],"S1 Sistem Informasi",Table612917[I1.4],K$33)/$I$32</f>
        <v>0</v>
      </c>
      <c r="L67" s="52">
        <f>COUNTIFS(Table612917[Prodi],"S1 Sistem Informasi",Table612917[I1.4],L$33)/$I$32</f>
        <v>0</v>
      </c>
      <c r="M67" s="48">
        <f t="shared" si="4"/>
        <v>1</v>
      </c>
      <c r="N67" s="122"/>
      <c r="O67" s="43" t="s">
        <v>133</v>
      </c>
      <c r="P67" s="52">
        <f>COUNTIFS(Table612917[Prodi],"S1 Teknik Komputer",Table612917[I1.4],P$33)/$P$32</f>
        <v>0.5</v>
      </c>
      <c r="Q67" s="52">
        <f>COUNTIFS(Table612917[Prodi],"S1 Teknik Komputer",Table612917[I1.4],Q$33)/$P$32</f>
        <v>0.5</v>
      </c>
      <c r="R67" s="52">
        <f>COUNTIFS(Table612917[Prodi],"S1 Teknik Komputer",Table612917[I1.4],R$33)/$P$32</f>
        <v>0</v>
      </c>
      <c r="S67" s="52">
        <f>COUNTIFS(Table612917[Prodi],"S1 Teknik Komputer",Table612917[I1.4],S$33)/$P$32</f>
        <v>0</v>
      </c>
      <c r="T67" s="48">
        <f t="shared" si="5"/>
        <v>1</v>
      </c>
      <c r="U67" s="122"/>
      <c r="V67" s="43" t="s">
        <v>133</v>
      </c>
      <c r="W67" s="52" t="e">
        <f>COUNTIFS(Table612917[Prodi],"D3 Sistem Informasi",Table612917[I1.4],W$33)/$W$32</f>
        <v>#DIV/0!</v>
      </c>
      <c r="X67" s="52" t="e">
        <f>COUNTIFS(Table612917[Prodi],"D3 Sistem Informasi",Table612917[I1.4],X$33)/$W$32</f>
        <v>#DIV/0!</v>
      </c>
      <c r="Y67" s="52" t="e">
        <f>COUNTIFS(Table612917[Prodi],"D3 Sistem Informasi",Table612917[I1.4],Y$33)/$W$32</f>
        <v>#DIV/0!</v>
      </c>
      <c r="Z67" s="52" t="e">
        <f>COUNTIFS(Table612917[Prodi],"D3 Sistem Informasi",Table612917[I1.4],Z$33)/$W$32</f>
        <v>#DIV/0!</v>
      </c>
      <c r="AA67" s="48" t="e">
        <f t="shared" si="6"/>
        <v>#DIV/0!</v>
      </c>
      <c r="AB67" s="122"/>
      <c r="AC67" s="122"/>
      <c r="AD67" s="122"/>
      <c r="AE67" s="122"/>
      <c r="AF67" s="122"/>
      <c r="AG67" s="122"/>
      <c r="AH67" s="122"/>
      <c r="AI67" s="122"/>
      <c r="AJ67" s="122"/>
      <c r="AK67" s="122"/>
      <c r="AL67" s="122"/>
      <c r="AM67" s="122"/>
      <c r="AN67" s="122"/>
      <c r="AO67" s="122"/>
      <c r="AP67" s="122"/>
      <c r="AQ67" s="122"/>
      <c r="AR67" s="122"/>
    </row>
    <row r="68" spans="1:44" s="83" customFormat="1" ht="16.5" x14ac:dyDescent="0.3">
      <c r="A68" s="43" t="s">
        <v>134</v>
      </c>
      <c r="B68" s="52">
        <f>COUNTIF(Table612917[I1.5],B$33)/$B$32</f>
        <v>0.75</v>
      </c>
      <c r="C68" s="52">
        <f>COUNTIF(Table612917[I1.5],C$33)/$B$32</f>
        <v>0.25</v>
      </c>
      <c r="D68" s="52">
        <f>COUNTIF(Table612917[I1.5],D$33)/$B$32</f>
        <v>0</v>
      </c>
      <c r="E68" s="52">
        <f>COUNTIF(Table612917[I1.5],E$33)/$B$32</f>
        <v>0</v>
      </c>
      <c r="F68" s="48">
        <f t="shared" si="0"/>
        <v>1</v>
      </c>
      <c r="H68" s="43" t="s">
        <v>134</v>
      </c>
      <c r="I68" s="52">
        <f>COUNTIFS(Table612917[Prodi],"S1 Sistem Informasi",Table612917[I1.5],I$33)/$I$32</f>
        <v>1</v>
      </c>
      <c r="J68" s="52">
        <f>COUNTIFS(Table612917[Prodi],"S1 Sistem Informasi",Table612917[I1.5],J$33)/$I$32</f>
        <v>0</v>
      </c>
      <c r="K68" s="52">
        <f>COUNTIFS(Table612917[Prodi],"S1 Sistem Informasi",Table612917[I1.5],K$33)/$I$32</f>
        <v>0</v>
      </c>
      <c r="L68" s="52">
        <f>COUNTIFS(Table612917[Prodi],"S1 Sistem Informasi",Table612917[I1.5],L$33)/$I$32</f>
        <v>0</v>
      </c>
      <c r="M68" s="48">
        <f t="shared" si="4"/>
        <v>1</v>
      </c>
      <c r="N68" s="122"/>
      <c r="O68" s="43" t="s">
        <v>134</v>
      </c>
      <c r="P68" s="52">
        <f>COUNTIFS(Table612917[Prodi],"S1 Teknik Komputer",Table612917[I1.5],P$33)/$P$32</f>
        <v>0.5</v>
      </c>
      <c r="Q68" s="52">
        <f>COUNTIFS(Table612917[Prodi],"S1 Teknik Komputer",Table612917[I1.5],Q$33)/$P$32</f>
        <v>0.5</v>
      </c>
      <c r="R68" s="52">
        <f>COUNTIFS(Table612917[Prodi],"S1 Teknik Komputer",Table612917[I1.5],R$33)/$P$32</f>
        <v>0</v>
      </c>
      <c r="S68" s="52">
        <f>COUNTIFS(Table612917[Prodi],"S1 Teknik Komputer",Table612917[I1.5],S$33)/$P$32</f>
        <v>0</v>
      </c>
      <c r="T68" s="48">
        <f t="shared" si="5"/>
        <v>1</v>
      </c>
      <c r="U68" s="122"/>
      <c r="V68" s="43" t="s">
        <v>134</v>
      </c>
      <c r="W68" s="52" t="e">
        <f>COUNTIFS(Table612917[Prodi],"D3 Sistem Informasi",Table612917[I1.5],W$33)/$W$32</f>
        <v>#DIV/0!</v>
      </c>
      <c r="X68" s="52" t="e">
        <f>COUNTIFS(Table612917[Prodi],"D3 Sistem Informasi",Table612917[I1.5],X$33)/$W$32</f>
        <v>#DIV/0!</v>
      </c>
      <c r="Y68" s="52" t="e">
        <f>COUNTIFS(Table612917[Prodi],"D3 Sistem Informasi",Table612917[I1.5],Y$33)/$W$32</f>
        <v>#DIV/0!</v>
      </c>
      <c r="Z68" s="52" t="e">
        <f>COUNTIFS(Table612917[Prodi],"D3 Sistem Informasi",Table612917[I1.5],Z$33)/$W$32</f>
        <v>#DIV/0!</v>
      </c>
      <c r="AA68" s="48" t="e">
        <f t="shared" si="6"/>
        <v>#DIV/0!</v>
      </c>
      <c r="AB68" s="122"/>
      <c r="AC68" s="122"/>
      <c r="AD68" s="122"/>
      <c r="AE68" s="122"/>
      <c r="AF68" s="122"/>
      <c r="AG68" s="122"/>
      <c r="AH68" s="122"/>
      <c r="AI68" s="122"/>
      <c r="AJ68" s="122"/>
      <c r="AK68" s="122"/>
      <c r="AL68" s="122"/>
      <c r="AM68" s="122"/>
      <c r="AN68" s="122"/>
      <c r="AO68" s="122"/>
      <c r="AP68" s="122"/>
      <c r="AQ68" s="122"/>
      <c r="AR68" s="122"/>
    </row>
    <row r="69" spans="1:44" s="83" customFormat="1" ht="16.5" x14ac:dyDescent="0.3">
      <c r="A69" s="46"/>
      <c r="B69" s="47">
        <f>AVERAGE(B65:B68)</f>
        <v>0.625</v>
      </c>
      <c r="C69" s="47">
        <f>AVERAGE(C65:C68)</f>
        <v>0.375</v>
      </c>
      <c r="D69" s="47">
        <f>AVERAGE(D65:D68)</f>
        <v>0</v>
      </c>
      <c r="E69" s="47">
        <f>AVERAGE(E65:E68)</f>
        <v>0</v>
      </c>
      <c r="F69" s="48">
        <f t="shared" si="0"/>
        <v>1</v>
      </c>
      <c r="H69" s="46"/>
      <c r="I69" s="47">
        <f>AVERAGE(I65:I68)</f>
        <v>0.75</v>
      </c>
      <c r="J69" s="47">
        <f>AVERAGE(J65:J68)</f>
        <v>0.25</v>
      </c>
      <c r="K69" s="47">
        <f>AVERAGE(K65:K68)</f>
        <v>0</v>
      </c>
      <c r="L69" s="47">
        <f>AVERAGE(L65:L68)</f>
        <v>0</v>
      </c>
      <c r="M69" s="48">
        <f t="shared" si="4"/>
        <v>1</v>
      </c>
      <c r="N69" s="122"/>
      <c r="O69" s="46"/>
      <c r="P69" s="47">
        <f>AVERAGE(P65:P68)</f>
        <v>0.5</v>
      </c>
      <c r="Q69" s="47">
        <f>AVERAGE(Q65:Q68)</f>
        <v>0.5</v>
      </c>
      <c r="R69" s="47">
        <f>AVERAGE(R65:R68)</f>
        <v>0</v>
      </c>
      <c r="S69" s="47">
        <f>AVERAGE(S65:S68)</f>
        <v>0</v>
      </c>
      <c r="T69" s="48">
        <f t="shared" si="5"/>
        <v>1</v>
      </c>
      <c r="U69" s="122"/>
      <c r="V69" s="46"/>
      <c r="W69" s="47" t="e">
        <f>AVERAGE(W65:W68)</f>
        <v>#DIV/0!</v>
      </c>
      <c r="X69" s="47" t="e">
        <f>AVERAGE(X65:X68)</f>
        <v>#DIV/0!</v>
      </c>
      <c r="Y69" s="47" t="e">
        <f>AVERAGE(Y65:Y68)</f>
        <v>#DIV/0!</v>
      </c>
      <c r="Z69" s="47" t="e">
        <f>AVERAGE(Z65:Z68)</f>
        <v>#DIV/0!</v>
      </c>
      <c r="AA69" s="48" t="e">
        <f t="shared" si="6"/>
        <v>#DIV/0!</v>
      </c>
      <c r="AB69" s="122"/>
      <c r="AC69" s="122"/>
      <c r="AD69" s="122"/>
      <c r="AE69" s="122"/>
      <c r="AF69" s="122"/>
      <c r="AG69" s="122"/>
      <c r="AH69" s="122"/>
      <c r="AI69" s="122"/>
      <c r="AJ69" s="122"/>
      <c r="AK69" s="122"/>
      <c r="AL69" s="122"/>
      <c r="AM69" s="122"/>
      <c r="AN69" s="122"/>
      <c r="AO69" s="122"/>
      <c r="AP69" s="122"/>
      <c r="AQ69" s="122"/>
      <c r="AR69" s="122"/>
    </row>
    <row r="70" spans="1:44" s="83" customFormat="1" ht="16.5" x14ac:dyDescent="0.3">
      <c r="A70" s="43" t="s">
        <v>135</v>
      </c>
      <c r="B70" s="52">
        <f>COUNTIF(Table612917[I2.1],B$33)/$B$32</f>
        <v>0</v>
      </c>
      <c r="C70" s="52">
        <f>COUNTIF(Table612917[I2.1],C$33)/$B$32</f>
        <v>1</v>
      </c>
      <c r="D70" s="52">
        <f>COUNTIF(Table612917[I2.1],D$33)/$B$32</f>
        <v>0</v>
      </c>
      <c r="E70" s="52">
        <f>COUNTIF(Table612917[I2.1],E$33)/$B$32</f>
        <v>0</v>
      </c>
      <c r="F70" s="48">
        <f t="shared" si="0"/>
        <v>1</v>
      </c>
      <c r="H70" s="43" t="s">
        <v>135</v>
      </c>
      <c r="I70" s="52">
        <f>COUNTIFS(Table612917[Prodi],"S1 Sistem Informasi",Table612917[I2.1],I$33)/$I$32</f>
        <v>0</v>
      </c>
      <c r="J70" s="52">
        <f>COUNTIFS(Table612917[Prodi],"S1 Sistem Informasi",Table612917[I2.1],J$33)/$I$32</f>
        <v>1</v>
      </c>
      <c r="K70" s="52">
        <f>COUNTIFS(Table612917[Prodi],"S1 Sistem Informasi",Table612917[I2.1],K$33)/$I$32</f>
        <v>0</v>
      </c>
      <c r="L70" s="52">
        <f>COUNTIFS(Table612917[Prodi],"S1 Sistem Informasi",Table612917[I2.1],L$33)/$I$32</f>
        <v>0</v>
      </c>
      <c r="M70" s="48">
        <f t="shared" si="4"/>
        <v>1</v>
      </c>
      <c r="N70" s="122"/>
      <c r="O70" s="43" t="s">
        <v>135</v>
      </c>
      <c r="P70" s="52">
        <f>COUNTIFS(Table612917[Prodi],"S1 Teknik Komputer",Table612917[I2.1],P$33)/$P$32</f>
        <v>0</v>
      </c>
      <c r="Q70" s="52">
        <f>COUNTIFS(Table612917[Prodi],"S1 Teknik Komputer",Table612917[I2.1],Q$33)/$P$32</f>
        <v>1</v>
      </c>
      <c r="R70" s="52">
        <f>COUNTIFS(Table612917[Prodi],"S1 Teknik Komputer",Table612917[I2.1],R$33)/$P$32</f>
        <v>0</v>
      </c>
      <c r="S70" s="52">
        <f>COUNTIFS(Table612917[Prodi],"S1 Teknik Komputer",Table612917[I2.1],S$33)/$P$32</f>
        <v>0</v>
      </c>
      <c r="T70" s="48">
        <f t="shared" si="5"/>
        <v>1</v>
      </c>
      <c r="U70" s="122"/>
      <c r="V70" s="43" t="s">
        <v>135</v>
      </c>
      <c r="W70" s="52" t="e">
        <f>COUNTIFS(Table612917[Prodi],"D3 Sistem Informasi",Table612917[I2.1],W$33)/$W$32</f>
        <v>#DIV/0!</v>
      </c>
      <c r="X70" s="52" t="e">
        <f>COUNTIFS(Table612917[Prodi],"D3 Sistem Informasi",Table612917[I2.1],X$33)/$W$32</f>
        <v>#DIV/0!</v>
      </c>
      <c r="Y70" s="52" t="e">
        <f>COUNTIFS(Table612917[Prodi],"D3 Sistem Informasi",Table612917[I2.1],Y$33)/$W$32</f>
        <v>#DIV/0!</v>
      </c>
      <c r="Z70" s="52" t="e">
        <f>COUNTIFS(Table612917[Prodi],"D3 Sistem Informasi",Table612917[I2.1],Z$33)/$W$32</f>
        <v>#DIV/0!</v>
      </c>
      <c r="AA70" s="48" t="e">
        <f t="shared" si="6"/>
        <v>#DIV/0!</v>
      </c>
      <c r="AB70" s="122"/>
      <c r="AC70" s="122"/>
      <c r="AD70" s="122"/>
      <c r="AE70" s="122"/>
      <c r="AF70" s="122"/>
      <c r="AG70" s="122"/>
      <c r="AH70" s="122"/>
      <c r="AI70" s="122"/>
      <c r="AJ70" s="122"/>
      <c r="AK70" s="122"/>
      <c r="AL70" s="122"/>
      <c r="AM70" s="122"/>
      <c r="AN70" s="122"/>
      <c r="AO70" s="122"/>
      <c r="AP70" s="122"/>
      <c r="AQ70" s="122"/>
      <c r="AR70" s="122"/>
    </row>
    <row r="71" spans="1:44" s="83" customFormat="1" ht="16.5" x14ac:dyDescent="0.3">
      <c r="A71" s="43" t="s">
        <v>136</v>
      </c>
      <c r="B71" s="52">
        <f>COUNTIF(Table612917[I2.2],B$33)/$B$32</f>
        <v>0.25</v>
      </c>
      <c r="C71" s="52">
        <f>COUNTIF(Table612917[I2.2],C$33)/$B$32</f>
        <v>0.75</v>
      </c>
      <c r="D71" s="52">
        <f>COUNTIF(Table612917[I2.2],D$33)/$B$32</f>
        <v>0</v>
      </c>
      <c r="E71" s="52">
        <f>COUNTIF(Table612917[I2.2],E$33)/$B$32</f>
        <v>0</v>
      </c>
      <c r="F71" s="48">
        <f t="shared" si="0"/>
        <v>1</v>
      </c>
      <c r="H71" s="43" t="s">
        <v>136</v>
      </c>
      <c r="I71" s="52">
        <f>COUNTIFS(Table612917[Prodi],"S1 Sistem Informasi",Table612917[I2.2],I$33)/$I$32</f>
        <v>0</v>
      </c>
      <c r="J71" s="52">
        <f>COUNTIFS(Table612917[Prodi],"S1 Sistem Informasi",Table612917[I2.2],J$33)/$I$32</f>
        <v>1</v>
      </c>
      <c r="K71" s="52">
        <f>COUNTIFS(Table612917[Prodi],"S1 Sistem Informasi",Table612917[I2.2],K$33)/$I$32</f>
        <v>0</v>
      </c>
      <c r="L71" s="52">
        <f>COUNTIFS(Table612917[Prodi],"S1 Sistem Informasi",Table612917[I2.2],L$33)/$I$32</f>
        <v>0</v>
      </c>
      <c r="M71" s="48">
        <f t="shared" si="4"/>
        <v>1</v>
      </c>
      <c r="N71" s="122"/>
      <c r="O71" s="43" t="s">
        <v>136</v>
      </c>
      <c r="P71" s="52">
        <f>COUNTIFS(Table612917[Prodi],"S1 Teknik Komputer",Table612917[I2.2],P$33)/$P$32</f>
        <v>0.5</v>
      </c>
      <c r="Q71" s="52">
        <f>COUNTIFS(Table612917[Prodi],"S1 Teknik Komputer",Table612917[I2.2],Q$33)/$P$32</f>
        <v>0.5</v>
      </c>
      <c r="R71" s="52">
        <f>COUNTIFS(Table612917[Prodi],"S1 Teknik Komputer",Table612917[I2.2],R$33)/$P$32</f>
        <v>0</v>
      </c>
      <c r="S71" s="52">
        <f>COUNTIFS(Table612917[Prodi],"S1 Teknik Komputer",Table612917[I2.2],S$33)/$P$32</f>
        <v>0</v>
      </c>
      <c r="T71" s="48">
        <f t="shared" si="5"/>
        <v>1</v>
      </c>
      <c r="U71" s="122"/>
      <c r="V71" s="43" t="s">
        <v>136</v>
      </c>
      <c r="W71" s="52" t="e">
        <f>COUNTIFS(Table612917[Prodi],"D3 Sistem Informasi",Table612917[I2.2],W$33)/$W$32</f>
        <v>#DIV/0!</v>
      </c>
      <c r="X71" s="52" t="e">
        <f>COUNTIFS(Table612917[Prodi],"D3 Sistem Informasi",Table612917[I2.2],X$33)/$W$32</f>
        <v>#DIV/0!</v>
      </c>
      <c r="Y71" s="52" t="e">
        <f>COUNTIFS(Table612917[Prodi],"D3 Sistem Informasi",Table612917[I2.2],Y$33)/$W$32</f>
        <v>#DIV/0!</v>
      </c>
      <c r="Z71" s="52" t="e">
        <f>COUNTIFS(Table612917[Prodi],"D3 Sistem Informasi",Table612917[I2.2],Z$33)/$W$32</f>
        <v>#DIV/0!</v>
      </c>
      <c r="AA71" s="48" t="e">
        <f t="shared" si="6"/>
        <v>#DIV/0!</v>
      </c>
      <c r="AB71" s="122"/>
      <c r="AC71" s="122"/>
      <c r="AD71" s="122"/>
      <c r="AE71" s="122"/>
      <c r="AF71" s="122"/>
      <c r="AG71" s="122"/>
      <c r="AH71" s="122"/>
      <c r="AI71" s="122"/>
      <c r="AJ71" s="122"/>
      <c r="AK71" s="122"/>
      <c r="AL71" s="122"/>
      <c r="AM71" s="122"/>
      <c r="AN71" s="122"/>
      <c r="AO71" s="122"/>
      <c r="AP71" s="122"/>
      <c r="AQ71" s="122"/>
      <c r="AR71" s="122"/>
    </row>
    <row r="72" spans="1:44" s="83" customFormat="1" ht="16.5" x14ac:dyDescent="0.3">
      <c r="A72" s="43" t="s">
        <v>137</v>
      </c>
      <c r="B72" s="52">
        <f>COUNTIF(Table612917[I2.3],B$33)/$B$32</f>
        <v>0.25</v>
      </c>
      <c r="C72" s="52">
        <f>COUNTIF(Table612917[I2.3],C$33)/$B$32</f>
        <v>0.75</v>
      </c>
      <c r="D72" s="52">
        <f>COUNTIF(Table612917[I2.3],D$33)/$B$32</f>
        <v>0</v>
      </c>
      <c r="E72" s="52">
        <f>COUNTIF(Table612917[I2.3],E$33)/$B$32</f>
        <v>0</v>
      </c>
      <c r="F72" s="48">
        <f t="shared" si="0"/>
        <v>1</v>
      </c>
      <c r="H72" s="43" t="s">
        <v>137</v>
      </c>
      <c r="I72" s="52">
        <f>COUNTIFS(Table612917[Prodi],"S1 Sistem Informasi",Table612917[I2.3],I$33)/$I$32</f>
        <v>0</v>
      </c>
      <c r="J72" s="52">
        <f>COUNTIFS(Table612917[Prodi],"S1 Sistem Informasi",Table612917[I2.3],J$33)/$I$32</f>
        <v>1</v>
      </c>
      <c r="K72" s="52">
        <f>COUNTIFS(Table612917[Prodi],"S1 Sistem Informasi",Table612917[I2.3],K$33)/$I$32</f>
        <v>0</v>
      </c>
      <c r="L72" s="52">
        <f>COUNTIFS(Table612917[Prodi],"S1 Sistem Informasi",Table612917[I2.3],L$33)/$I$32</f>
        <v>0</v>
      </c>
      <c r="M72" s="48">
        <f t="shared" si="4"/>
        <v>1</v>
      </c>
      <c r="N72" s="122"/>
      <c r="O72" s="43" t="s">
        <v>137</v>
      </c>
      <c r="P72" s="52">
        <f>COUNTIFS(Table612917[Prodi],"S1 Teknik Komputer",Table612917[I2.3],P$33)/$P$32</f>
        <v>0.5</v>
      </c>
      <c r="Q72" s="52">
        <f>COUNTIFS(Table612917[Prodi],"S1 Teknik Komputer",Table612917[I2.3],Q$33)/$P$32</f>
        <v>0.5</v>
      </c>
      <c r="R72" s="52">
        <f>COUNTIFS(Table612917[Prodi],"S1 Teknik Komputer",Table612917[I2.3],R$33)/$P$32</f>
        <v>0</v>
      </c>
      <c r="S72" s="52">
        <f>COUNTIFS(Table612917[Prodi],"S1 Teknik Komputer",Table612917[I2.3],S$33)/$P$32</f>
        <v>0</v>
      </c>
      <c r="T72" s="48">
        <f t="shared" si="5"/>
        <v>1</v>
      </c>
      <c r="U72" s="122"/>
      <c r="V72" s="43" t="s">
        <v>137</v>
      </c>
      <c r="W72" s="52" t="e">
        <f>COUNTIFS(Table612917[Prodi],"D3 Sistem Informasi",Table612917[I2.3],W$33)/$W$32</f>
        <v>#DIV/0!</v>
      </c>
      <c r="X72" s="52" t="e">
        <f>COUNTIFS(Table612917[Prodi],"D3 Sistem Informasi",Table612917[I2.3],X$33)/$W$32</f>
        <v>#DIV/0!</v>
      </c>
      <c r="Y72" s="52" t="e">
        <f>COUNTIFS(Table612917[Prodi],"D3 Sistem Informasi",Table612917[I2.3],Y$33)/$W$32</f>
        <v>#DIV/0!</v>
      </c>
      <c r="Z72" s="52" t="e">
        <f>COUNTIFS(Table612917[Prodi],"D3 Sistem Informasi",Table612917[I2.3],Z$33)/$W$32</f>
        <v>#DIV/0!</v>
      </c>
      <c r="AA72" s="48" t="e">
        <f t="shared" si="6"/>
        <v>#DIV/0!</v>
      </c>
      <c r="AB72" s="122"/>
      <c r="AC72" s="122"/>
      <c r="AD72" s="122"/>
      <c r="AE72" s="122"/>
      <c r="AF72" s="122"/>
      <c r="AG72" s="122"/>
      <c r="AH72" s="122"/>
      <c r="AI72" s="122"/>
      <c r="AJ72" s="122"/>
      <c r="AK72" s="122"/>
      <c r="AL72" s="122"/>
      <c r="AM72" s="122"/>
      <c r="AN72" s="122"/>
      <c r="AO72" s="122"/>
      <c r="AP72" s="122"/>
      <c r="AQ72" s="122"/>
      <c r="AR72" s="122"/>
    </row>
    <row r="73" spans="1:44" s="83" customFormat="1" ht="16.5" x14ac:dyDescent="0.3">
      <c r="A73" s="43" t="s">
        <v>138</v>
      </c>
      <c r="B73" s="52">
        <f>COUNTIF(Table612917[I2.4],B$33)/$B$32</f>
        <v>0.75</v>
      </c>
      <c r="C73" s="52">
        <f>COUNTIF(Table612917[I2.4],C$33)/$B$32</f>
        <v>0.25</v>
      </c>
      <c r="D73" s="52">
        <f>COUNTIF(Table612917[I2.4],D$33)/$B$32</f>
        <v>0</v>
      </c>
      <c r="E73" s="52">
        <f>COUNTIF(Table612917[I2.4],E$33)/$B$32</f>
        <v>0</v>
      </c>
      <c r="F73" s="48">
        <f t="shared" si="0"/>
        <v>1</v>
      </c>
      <c r="H73" s="43" t="s">
        <v>138</v>
      </c>
      <c r="I73" s="52">
        <f>COUNTIFS(Table612917[Prodi],"S1 Sistem Informasi",Table612917[I2.4],I$33)/$I$32</f>
        <v>1</v>
      </c>
      <c r="J73" s="52">
        <f>COUNTIFS(Table612917[Prodi],"S1 Sistem Informasi",Table612917[I2.4],J$33)/$I$32</f>
        <v>0</v>
      </c>
      <c r="K73" s="52">
        <f>COUNTIFS(Table612917[Prodi],"S1 Sistem Informasi",Table612917[I2.4],K$33)/$I$32</f>
        <v>0</v>
      </c>
      <c r="L73" s="52">
        <f>COUNTIFS(Table612917[Prodi],"S1 Sistem Informasi",Table612917[I2.4],L$33)/$I$32</f>
        <v>0</v>
      </c>
      <c r="M73" s="48">
        <f t="shared" si="4"/>
        <v>1</v>
      </c>
      <c r="N73" s="122"/>
      <c r="O73" s="43" t="s">
        <v>138</v>
      </c>
      <c r="P73" s="52">
        <f>COUNTIFS(Table612917[Prodi],"S1 Teknik Komputer",Table612917[I2.4],P$33)/$P$32</f>
        <v>0.5</v>
      </c>
      <c r="Q73" s="52">
        <f>COUNTIFS(Table612917[Prodi],"S1 Teknik Komputer",Table612917[I2.4],Q$33)/$P$32</f>
        <v>0.5</v>
      </c>
      <c r="R73" s="52">
        <f>COUNTIFS(Table612917[Prodi],"S1 Teknik Komputer",Table612917[I2.4],R$33)/$P$32</f>
        <v>0</v>
      </c>
      <c r="S73" s="52">
        <f>COUNTIFS(Table612917[Prodi],"S1 Teknik Komputer",Table612917[I2.4],S$33)/$P$32</f>
        <v>0</v>
      </c>
      <c r="T73" s="48">
        <f t="shared" si="5"/>
        <v>1</v>
      </c>
      <c r="U73" s="122"/>
      <c r="V73" s="43" t="s">
        <v>138</v>
      </c>
      <c r="W73" s="52" t="e">
        <f>COUNTIFS(Table612917[Prodi],"D3 Sistem Informasi",Table612917[I2.4],W$33)/$W$32</f>
        <v>#DIV/0!</v>
      </c>
      <c r="X73" s="52" t="e">
        <f>COUNTIFS(Table612917[Prodi],"D3 Sistem Informasi",Table612917[I2.4],X$33)/$W$32</f>
        <v>#DIV/0!</v>
      </c>
      <c r="Y73" s="52" t="e">
        <f>COUNTIFS(Table612917[Prodi],"D3 Sistem Informasi",Table612917[I2.4],Y$33)/$W$32</f>
        <v>#DIV/0!</v>
      </c>
      <c r="Z73" s="52" t="e">
        <f>COUNTIFS(Table612917[Prodi],"D3 Sistem Informasi",Table612917[I2.4],Z$33)/$W$32</f>
        <v>#DIV/0!</v>
      </c>
      <c r="AA73" s="48" t="e">
        <f t="shared" si="6"/>
        <v>#DIV/0!</v>
      </c>
      <c r="AB73" s="122"/>
      <c r="AC73" s="122"/>
      <c r="AD73" s="122"/>
      <c r="AE73" s="122"/>
      <c r="AF73" s="122"/>
      <c r="AG73" s="122"/>
      <c r="AH73" s="122"/>
      <c r="AI73" s="122"/>
      <c r="AJ73" s="122"/>
      <c r="AK73" s="122"/>
      <c r="AL73" s="122"/>
      <c r="AM73" s="122"/>
      <c r="AN73" s="122"/>
      <c r="AO73" s="122"/>
      <c r="AP73" s="122"/>
      <c r="AQ73" s="122"/>
      <c r="AR73" s="122"/>
    </row>
    <row r="74" spans="1:44" s="83" customFormat="1" ht="17.25" thickBot="1" x14ac:dyDescent="0.35">
      <c r="A74" s="53"/>
      <c r="B74" s="47">
        <f>AVERAGE(B70:B73)</f>
        <v>0.3125</v>
      </c>
      <c r="C74" s="47">
        <f>AVERAGE(C70:C73)</f>
        <v>0.6875</v>
      </c>
      <c r="D74" s="47">
        <f>AVERAGE(D70:D73)</f>
        <v>0</v>
      </c>
      <c r="E74" s="47">
        <f>AVERAGE(E70:E73)</f>
        <v>0</v>
      </c>
      <c r="F74" s="48">
        <f t="shared" si="0"/>
        <v>1</v>
      </c>
      <c r="H74" s="53"/>
      <c r="I74" s="47">
        <f>AVERAGE(I70:I73)</f>
        <v>0.25</v>
      </c>
      <c r="J74" s="47">
        <f>AVERAGE(J70:J73)</f>
        <v>0.75</v>
      </c>
      <c r="K74" s="47">
        <f>AVERAGE(K70:K73)</f>
        <v>0</v>
      </c>
      <c r="L74" s="47">
        <f>AVERAGE(L70:L73)</f>
        <v>0</v>
      </c>
      <c r="M74" s="48">
        <f t="shared" si="4"/>
        <v>1</v>
      </c>
      <c r="N74" s="122"/>
      <c r="O74" s="53"/>
      <c r="P74" s="47">
        <f>AVERAGE(P70:P73)</f>
        <v>0.375</v>
      </c>
      <c r="Q74" s="47">
        <f>AVERAGE(Q70:Q73)</f>
        <v>0.625</v>
      </c>
      <c r="R74" s="47">
        <f>AVERAGE(R70:R73)</f>
        <v>0</v>
      </c>
      <c r="S74" s="47">
        <f>AVERAGE(S70:S73)</f>
        <v>0</v>
      </c>
      <c r="T74" s="48">
        <f t="shared" si="5"/>
        <v>1</v>
      </c>
      <c r="U74" s="122"/>
      <c r="V74" s="53"/>
      <c r="W74" s="47" t="e">
        <f>AVERAGE(W70:W73)</f>
        <v>#DIV/0!</v>
      </c>
      <c r="X74" s="47" t="e">
        <f>AVERAGE(X70:X73)</f>
        <v>#DIV/0!</v>
      </c>
      <c r="Y74" s="47" t="e">
        <f>AVERAGE(Y70:Y73)</f>
        <v>#DIV/0!</v>
      </c>
      <c r="Z74" s="47" t="e">
        <f>AVERAGE(Z70:Z73)</f>
        <v>#DIV/0!</v>
      </c>
      <c r="AA74" s="48" t="e">
        <f t="shared" si="6"/>
        <v>#DIV/0!</v>
      </c>
      <c r="AB74" s="122"/>
      <c r="AC74" s="122"/>
      <c r="AD74" s="122"/>
      <c r="AE74" s="122"/>
      <c r="AF74" s="122"/>
      <c r="AG74" s="122"/>
      <c r="AH74" s="122"/>
      <c r="AI74" s="122"/>
      <c r="AJ74" s="122"/>
      <c r="AK74" s="122"/>
      <c r="AL74" s="122"/>
      <c r="AM74" s="122"/>
      <c r="AN74" s="122"/>
      <c r="AO74" s="122"/>
      <c r="AP74" s="122"/>
      <c r="AQ74" s="122"/>
      <c r="AR74" s="122"/>
    </row>
    <row r="75" spans="1:44" ht="15.75" thickBot="1" x14ac:dyDescent="0.3"/>
    <row r="76" spans="1:44" s="83" customFormat="1" ht="17.25" thickBot="1" x14ac:dyDescent="0.3">
      <c r="A76" s="50" t="s">
        <v>14</v>
      </c>
      <c r="B76" s="51" t="s">
        <v>191</v>
      </c>
      <c r="C76" s="122"/>
      <c r="H76" s="50" t="s">
        <v>14</v>
      </c>
      <c r="I76" s="51" t="s">
        <v>116</v>
      </c>
      <c r="J76" s="122"/>
      <c r="O76" s="50" t="s">
        <v>14</v>
      </c>
      <c r="P76" s="51" t="s">
        <v>219</v>
      </c>
      <c r="Q76" s="122"/>
      <c r="U76" s="122"/>
      <c r="V76" s="50" t="s">
        <v>14</v>
      </c>
      <c r="W76" s="51" t="s">
        <v>115</v>
      </c>
      <c r="X76" s="122"/>
      <c r="AB76" s="122"/>
      <c r="AC76" s="122"/>
      <c r="AD76" s="122"/>
      <c r="AE76" s="122"/>
      <c r="AF76" s="122"/>
      <c r="AG76" s="122"/>
      <c r="AH76" s="122"/>
      <c r="AI76" s="122"/>
      <c r="AJ76" s="122"/>
      <c r="AK76" s="122"/>
      <c r="AL76" s="122"/>
      <c r="AM76" s="122"/>
      <c r="AN76" s="122"/>
      <c r="AO76" s="122"/>
      <c r="AP76" s="122"/>
      <c r="AQ76" s="122"/>
      <c r="AR76" s="122"/>
    </row>
    <row r="77" spans="1:44" s="83" customFormat="1" ht="17.25" thickBot="1" x14ac:dyDescent="0.3">
      <c r="A77" s="50" t="s">
        <v>129</v>
      </c>
      <c r="B77" s="51">
        <v>2024</v>
      </c>
      <c r="C77" s="122"/>
      <c r="H77" s="50" t="s">
        <v>129</v>
      </c>
      <c r="I77" s="51">
        <v>2024</v>
      </c>
      <c r="J77" s="122"/>
      <c r="O77" s="50" t="s">
        <v>129</v>
      </c>
      <c r="P77" s="51">
        <v>2024</v>
      </c>
      <c r="Q77" s="122"/>
      <c r="U77" s="122"/>
      <c r="V77" s="50" t="s">
        <v>129</v>
      </c>
      <c r="W77" s="51">
        <v>2024</v>
      </c>
      <c r="X77" s="122"/>
      <c r="AB77" s="122"/>
      <c r="AC77" s="122"/>
      <c r="AD77" s="122"/>
      <c r="AE77" s="122"/>
      <c r="AF77" s="122"/>
      <c r="AG77" s="122"/>
      <c r="AH77" s="122"/>
      <c r="AI77" s="122"/>
      <c r="AJ77" s="122"/>
      <c r="AK77" s="122"/>
      <c r="AL77" s="122"/>
      <c r="AM77" s="122"/>
      <c r="AN77" s="122"/>
      <c r="AO77" s="122"/>
      <c r="AP77" s="122"/>
      <c r="AQ77" s="122"/>
      <c r="AR77" s="122"/>
    </row>
    <row r="78" spans="1:44" s="83" customFormat="1" ht="17.25" thickBot="1" x14ac:dyDescent="0.3">
      <c r="A78" s="50" t="s">
        <v>128</v>
      </c>
      <c r="B78" s="51">
        <f>COUNTIF(Table9131518[Prodi],"S1 Desain Komunikasi Visual") + COUNTIF(Table9131518[Prodi],"S1 Desain Produk") + COUNTIF(Table9131518[Prodi],"D4 Produksi Film dan Televisi")</f>
        <v>2</v>
      </c>
      <c r="C78" s="122"/>
      <c r="H78" s="50" t="s">
        <v>128</v>
      </c>
      <c r="I78" s="51">
        <f>COUNTIF(Table9131518[Prodi],"S1 Desain Komunikasi Visual")</f>
        <v>2</v>
      </c>
      <c r="J78" s="122"/>
      <c r="O78" s="50" t="s">
        <v>128</v>
      </c>
      <c r="P78" s="51">
        <f>COUNTIF(Table9131518[Prodi],P76)</f>
        <v>0</v>
      </c>
      <c r="Q78" s="122"/>
      <c r="U78" s="122"/>
      <c r="V78" s="50" t="s">
        <v>128</v>
      </c>
      <c r="W78" s="51">
        <f>COUNTIF(Table9131518[Prodi],W76)</f>
        <v>0</v>
      </c>
      <c r="X78" s="122"/>
      <c r="AB78" s="122"/>
      <c r="AC78" s="122"/>
      <c r="AD78" s="122"/>
      <c r="AE78" s="122"/>
      <c r="AF78" s="122"/>
      <c r="AG78" s="122"/>
      <c r="AH78" s="122"/>
      <c r="AI78" s="122"/>
      <c r="AJ78" s="122"/>
      <c r="AK78" s="122"/>
      <c r="AL78" s="122"/>
      <c r="AM78" s="122"/>
      <c r="AN78" s="122"/>
      <c r="AO78" s="122"/>
      <c r="AP78" s="122"/>
      <c r="AQ78" s="122"/>
      <c r="AR78" s="122"/>
    </row>
    <row r="79" spans="1:44" s="83" customFormat="1" ht="16.5" x14ac:dyDescent="0.3">
      <c r="A79" s="108"/>
      <c r="B79" s="42" t="s">
        <v>220</v>
      </c>
      <c r="C79" s="42" t="s">
        <v>221</v>
      </c>
      <c r="D79" s="42" t="s">
        <v>229</v>
      </c>
      <c r="E79" s="42" t="s">
        <v>285</v>
      </c>
      <c r="F79" s="109"/>
      <c r="H79" s="108"/>
      <c r="I79" s="42" t="s">
        <v>220</v>
      </c>
      <c r="J79" s="42" t="s">
        <v>221</v>
      </c>
      <c r="K79" s="42" t="s">
        <v>229</v>
      </c>
      <c r="L79" s="42" t="s">
        <v>285</v>
      </c>
      <c r="M79" s="109"/>
      <c r="O79" s="108"/>
      <c r="P79" s="42" t="s">
        <v>220</v>
      </c>
      <c r="Q79" s="42" t="s">
        <v>221</v>
      </c>
      <c r="R79" s="42" t="s">
        <v>229</v>
      </c>
      <c r="S79" s="42" t="s">
        <v>285</v>
      </c>
      <c r="T79" s="109"/>
      <c r="U79" s="122"/>
      <c r="V79" s="108"/>
      <c r="W79" s="42" t="s">
        <v>220</v>
      </c>
      <c r="X79" s="42" t="s">
        <v>221</v>
      </c>
      <c r="Y79" s="42" t="s">
        <v>229</v>
      </c>
      <c r="Z79" s="42" t="s">
        <v>285</v>
      </c>
      <c r="AA79" s="109"/>
      <c r="AB79" s="122"/>
      <c r="AC79" s="122"/>
      <c r="AD79" s="122"/>
      <c r="AE79" s="122"/>
      <c r="AF79" s="122"/>
      <c r="AG79" s="122"/>
      <c r="AH79" s="122"/>
      <c r="AI79" s="122"/>
      <c r="AJ79" s="122"/>
      <c r="AK79" s="122"/>
      <c r="AL79" s="122"/>
      <c r="AM79" s="122"/>
      <c r="AN79" s="122"/>
      <c r="AO79" s="122"/>
      <c r="AP79" s="122"/>
      <c r="AQ79" s="122"/>
      <c r="AR79" s="122"/>
    </row>
    <row r="80" spans="1:44" s="83" customFormat="1" ht="16.5" x14ac:dyDescent="0.3">
      <c r="A80" s="110" t="s">
        <v>26</v>
      </c>
      <c r="B80" s="111">
        <f>COUNTIF(Table9131518[B1],B$79)/$B$78</f>
        <v>0.5</v>
      </c>
      <c r="C80" s="111">
        <f>COUNTIF(Table9131518[B1],C$79)/$B$78</f>
        <v>0.5</v>
      </c>
      <c r="D80" s="111">
        <f>COUNTIF(Table9131518[B1],D$79)/$B$78</f>
        <v>0</v>
      </c>
      <c r="E80" s="111">
        <f>COUNTIF(Table9131518[B1],E$79)/$B$78</f>
        <v>0</v>
      </c>
      <c r="F80" s="48">
        <f>SUM(B80:E80)</f>
        <v>1</v>
      </c>
      <c r="H80" s="110" t="s">
        <v>26</v>
      </c>
      <c r="I80" s="111">
        <f>COUNTIFS(Table9131518[Prodi],"S1 Desain Komunikasi Visual",Table9131518[B1],I$79)/$I$78</f>
        <v>0.5</v>
      </c>
      <c r="J80" s="111">
        <f>COUNTIFS(Table9131518[Prodi],"S1 Desain Komunikasi Visual",Table9131518[B1],J$79)/$I$78</f>
        <v>0.5</v>
      </c>
      <c r="K80" s="111">
        <f>COUNTIFS(Table9131518[Prodi],"S1 Desain Komunikasi Visual",Table9131518[B1],K$79)/$I$78</f>
        <v>0</v>
      </c>
      <c r="L80" s="111">
        <f>COUNTIFS(Table9131518[Prodi],"S1 Desain Komunikasi Visual",Table9131518[B1],L$79)/$I$78</f>
        <v>0</v>
      </c>
      <c r="M80" s="48">
        <f>SUM(I80:L80)</f>
        <v>1</v>
      </c>
      <c r="O80" s="110" t="s">
        <v>26</v>
      </c>
      <c r="P80" s="111" t="e">
        <f>COUNTIFS(Table9131518[Prodi],$P$76,Table9131518[B1],P$79)/$P$78</f>
        <v>#DIV/0!</v>
      </c>
      <c r="Q80" s="111" t="e">
        <f>COUNTIFS(Table9131518[Prodi],$P$76,Table9131518[B1],Q$79)/$P$78</f>
        <v>#DIV/0!</v>
      </c>
      <c r="R80" s="111" t="e">
        <f>COUNTIFS(Table9131518[Prodi],$P$76,Table9131518[B1],R$79)/$P$78</f>
        <v>#DIV/0!</v>
      </c>
      <c r="S80" s="111" t="e">
        <f>COUNTIFS(Table9131518[Prodi],$P$76,Table9131518[B1],S$79)/$P$78</f>
        <v>#DIV/0!</v>
      </c>
      <c r="T80" s="48" t="e">
        <f>SUM(P80:S80)</f>
        <v>#DIV/0!</v>
      </c>
      <c r="U80" s="122"/>
      <c r="V80" s="110" t="s">
        <v>26</v>
      </c>
      <c r="W80" s="111" t="e">
        <f>COUNTIFS(Table9131518[Prodi],$W$76,Table9131518[B1],W$79)/$W$78</f>
        <v>#DIV/0!</v>
      </c>
      <c r="X80" s="111" t="e">
        <f>COUNTIFS(Table9131518[Prodi],$W$76,Table9131518[B1],X$79)/$W$78</f>
        <v>#DIV/0!</v>
      </c>
      <c r="Y80" s="111" t="e">
        <f>COUNTIFS(Table9131518[Prodi],$W$76,Table9131518[B1],Y$79)/$W$78</f>
        <v>#DIV/0!</v>
      </c>
      <c r="Z80" s="111" t="e">
        <f>COUNTIFS(Table9131518[Prodi],$W$76,Table9131518[B1],Z$79)/$W$78</f>
        <v>#DIV/0!</v>
      </c>
      <c r="AA80" s="48" t="e">
        <f>SUM(W80:Z80)</f>
        <v>#DIV/0!</v>
      </c>
      <c r="AB80" s="122"/>
      <c r="AC80" s="122"/>
      <c r="AD80" s="122"/>
      <c r="AE80" s="122"/>
      <c r="AF80" s="122"/>
      <c r="AG80" s="122"/>
      <c r="AH80" s="122"/>
      <c r="AI80" s="122"/>
      <c r="AJ80" s="122"/>
      <c r="AK80" s="122"/>
      <c r="AL80" s="122"/>
      <c r="AM80" s="122"/>
      <c r="AN80" s="122"/>
      <c r="AO80" s="122"/>
      <c r="AP80" s="122"/>
      <c r="AQ80" s="122"/>
      <c r="AR80" s="122"/>
    </row>
    <row r="81" spans="1:44" s="83" customFormat="1" ht="16.5" x14ac:dyDescent="0.3">
      <c r="A81" s="110" t="s">
        <v>27</v>
      </c>
      <c r="B81" s="111">
        <f>COUNTIF(Table9131518[B2],B$79)/$B$78</f>
        <v>0.5</v>
      </c>
      <c r="C81" s="111">
        <f>COUNTIF(Table9131518[B2],C$79)/$B$78</f>
        <v>0.5</v>
      </c>
      <c r="D81" s="111">
        <f>COUNTIF(Table9131518[B2],D$79)/$B$78</f>
        <v>0</v>
      </c>
      <c r="E81" s="111">
        <f>COUNTIF(Table9131518[B2],E$79)/$B$78</f>
        <v>0</v>
      </c>
      <c r="F81" s="48">
        <f t="shared" ref="F81:F119" si="7">SUM(B81:E81)</f>
        <v>1</v>
      </c>
      <c r="H81" s="110" t="s">
        <v>27</v>
      </c>
      <c r="I81" s="111">
        <f>COUNTIFS(Table9131518[Prodi],"S1 Desain Komunikasi Visual",Table9131518[B2],I$79)/$I$78</f>
        <v>0.5</v>
      </c>
      <c r="J81" s="111">
        <f>COUNTIFS(Table9131518[Prodi],"S1 Desain Komunikasi Visual",Table9131518[B2],J$79)/$I$78</f>
        <v>0.5</v>
      </c>
      <c r="K81" s="111">
        <f>COUNTIFS(Table9131518[Prodi],"S1 Desain Komunikasi Visual",Table9131518[B2],K$79)/$I$78</f>
        <v>0</v>
      </c>
      <c r="L81" s="111">
        <f>COUNTIFS(Table9131518[Prodi],"S1 Desain Komunikasi Visual",Table9131518[B2],L$79)/$I$78</f>
        <v>0</v>
      </c>
      <c r="M81" s="48">
        <f t="shared" ref="M81:M98" si="8">SUM(I81:L81)</f>
        <v>1</v>
      </c>
      <c r="O81" s="110" t="s">
        <v>27</v>
      </c>
      <c r="P81" s="111" t="e">
        <f>COUNTIFS(Table9131518[Prodi],$P$76,Table9131518[B2],P$79)/$P$78</f>
        <v>#DIV/0!</v>
      </c>
      <c r="Q81" s="111" t="e">
        <f>COUNTIFS(Table9131518[Prodi],$P$76,Table9131518[B2],Q$79)/$P$78</f>
        <v>#DIV/0!</v>
      </c>
      <c r="R81" s="111" t="e">
        <f>COUNTIFS(Table9131518[Prodi],$P$76,Table9131518[B2],R$79)/$P$78</f>
        <v>#DIV/0!</v>
      </c>
      <c r="S81" s="111" t="e">
        <f>COUNTIFS(Table9131518[Prodi],$P$76,Table9131518[B2],S$79)/$P$78</f>
        <v>#DIV/0!</v>
      </c>
      <c r="T81" s="48" t="e">
        <f t="shared" ref="T81:T98" si="9">SUM(P81:S81)</f>
        <v>#DIV/0!</v>
      </c>
      <c r="U81" s="122"/>
      <c r="V81" s="110" t="s">
        <v>27</v>
      </c>
      <c r="W81" s="111" t="e">
        <f>COUNTIFS(Table9131518[Prodi],$W$76,Table9131518[B2],W$79)/$W$78</f>
        <v>#DIV/0!</v>
      </c>
      <c r="X81" s="111" t="e">
        <f>COUNTIFS(Table9131518[Prodi],$W$76,Table9131518[B2],X$79)/$W$78</f>
        <v>#DIV/0!</v>
      </c>
      <c r="Y81" s="111" t="e">
        <f>COUNTIFS(Table9131518[Prodi],$W$76,Table9131518[B2],Y$79)/$W$78</f>
        <v>#DIV/0!</v>
      </c>
      <c r="Z81" s="111" t="e">
        <f>COUNTIFS(Table9131518[Prodi],$W$76,Table9131518[B2],Z$79)/$W$78</f>
        <v>#DIV/0!</v>
      </c>
      <c r="AA81" s="48" t="e">
        <f t="shared" ref="AA81:AA98" si="10">SUM(W81:Z81)</f>
        <v>#DIV/0!</v>
      </c>
      <c r="AB81" s="122"/>
      <c r="AC81" s="122"/>
      <c r="AD81" s="122"/>
      <c r="AE81" s="122"/>
      <c r="AF81" s="122"/>
      <c r="AG81" s="122"/>
      <c r="AH81" s="122"/>
      <c r="AI81" s="122"/>
      <c r="AJ81" s="122"/>
      <c r="AK81" s="122"/>
      <c r="AL81" s="122"/>
      <c r="AM81" s="122"/>
      <c r="AN81" s="122"/>
      <c r="AO81" s="122"/>
      <c r="AP81" s="122"/>
      <c r="AQ81" s="122"/>
      <c r="AR81" s="122"/>
    </row>
    <row r="82" spans="1:44" s="83" customFormat="1" ht="16.5" x14ac:dyDescent="0.3">
      <c r="A82" s="110" t="s">
        <v>28</v>
      </c>
      <c r="B82" s="111">
        <f>COUNTIF(Table9131518[B3],B$79)/$B$78</f>
        <v>1</v>
      </c>
      <c r="C82" s="111">
        <f>COUNTIF(Table9131518[B3],C$79)/$B$78</f>
        <v>0</v>
      </c>
      <c r="D82" s="111">
        <f>COUNTIF(Table9131518[B3],D$79)/$B$78</f>
        <v>0</v>
      </c>
      <c r="E82" s="111">
        <f>COUNTIF(Table9131518[B3],E$79)/$B$78</f>
        <v>0</v>
      </c>
      <c r="F82" s="48">
        <f t="shared" si="7"/>
        <v>1</v>
      </c>
      <c r="H82" s="110" t="s">
        <v>28</v>
      </c>
      <c r="I82" s="111">
        <f>COUNTIFS(Table9131518[Prodi],"S1 Desain Komunikasi Visual",Table9131518[B3],I$79)/$I$78</f>
        <v>1</v>
      </c>
      <c r="J82" s="111">
        <f>COUNTIFS(Table9131518[Prodi],"S1 Desain Komunikasi Visual",Table9131518[B3],J$79)/$I$78</f>
        <v>0</v>
      </c>
      <c r="K82" s="111">
        <f>COUNTIFS(Table9131518[Prodi],"S1 Desain Komunikasi Visual",Table9131518[B3],K$79)/$I$78</f>
        <v>0</v>
      </c>
      <c r="L82" s="111">
        <f>COUNTIFS(Table9131518[Prodi],"S1 Desain Komunikasi Visual",Table9131518[B3],L$79)/$I$78</f>
        <v>0</v>
      </c>
      <c r="M82" s="48">
        <f t="shared" si="8"/>
        <v>1</v>
      </c>
      <c r="O82" s="110" t="s">
        <v>28</v>
      </c>
      <c r="P82" s="111" t="e">
        <f>COUNTIFS(Table9131518[Prodi],$P$76,Table9131518[B3],P$79)/$P$78</f>
        <v>#DIV/0!</v>
      </c>
      <c r="Q82" s="111" t="e">
        <f>COUNTIFS(Table9131518[Prodi],$P$76,Table9131518[B3],Q$79)/$P$78</f>
        <v>#DIV/0!</v>
      </c>
      <c r="R82" s="111" t="e">
        <f>COUNTIFS(Table9131518[Prodi],$P$76,Table9131518[B3],R$79)/$P$78</f>
        <v>#DIV/0!</v>
      </c>
      <c r="S82" s="111" t="e">
        <f>COUNTIFS(Table9131518[Prodi],$P$76,Table9131518[B3],S$79)/$P$78</f>
        <v>#DIV/0!</v>
      </c>
      <c r="T82" s="48" t="e">
        <f t="shared" si="9"/>
        <v>#DIV/0!</v>
      </c>
      <c r="U82" s="122"/>
      <c r="V82" s="110" t="s">
        <v>28</v>
      </c>
      <c r="W82" s="111" t="e">
        <f>COUNTIFS(Table9131518[Prodi],$W$76,Table9131518[B3],W$79)/$W$78</f>
        <v>#DIV/0!</v>
      </c>
      <c r="X82" s="111" t="e">
        <f>COUNTIFS(Table9131518[Prodi],$W$76,Table9131518[B3],X$79)/$W$78</f>
        <v>#DIV/0!</v>
      </c>
      <c r="Y82" s="111" t="e">
        <f>COUNTIFS(Table9131518[Prodi],$W$76,Table9131518[B3],Y$79)/$W$78</f>
        <v>#DIV/0!</v>
      </c>
      <c r="Z82" s="111" t="e">
        <f>COUNTIFS(Table9131518[Prodi],$W$76,Table9131518[B3],Z$79)/$W$78</f>
        <v>#DIV/0!</v>
      </c>
      <c r="AA82" s="48" t="e">
        <f t="shared" si="10"/>
        <v>#DIV/0!</v>
      </c>
      <c r="AB82" s="122"/>
      <c r="AC82" s="122"/>
      <c r="AD82" s="122"/>
      <c r="AE82" s="122"/>
      <c r="AF82" s="122"/>
      <c r="AG82" s="122"/>
      <c r="AH82" s="122"/>
      <c r="AI82" s="122"/>
      <c r="AJ82" s="122"/>
      <c r="AK82" s="122"/>
      <c r="AL82" s="122"/>
      <c r="AM82" s="122"/>
      <c r="AN82" s="122"/>
      <c r="AO82" s="122"/>
      <c r="AP82" s="122"/>
      <c r="AQ82" s="122"/>
      <c r="AR82" s="122"/>
    </row>
    <row r="83" spans="1:44" s="83" customFormat="1" ht="16.5" x14ac:dyDescent="0.3">
      <c r="A83" s="110" t="s">
        <v>29</v>
      </c>
      <c r="B83" s="111">
        <f>COUNTIF(Table9131518[B4],B$79)/$B$78</f>
        <v>1</v>
      </c>
      <c r="C83" s="111">
        <f>COUNTIF(Table9131518[B4],C$79)/$B$78</f>
        <v>0</v>
      </c>
      <c r="D83" s="111">
        <f>COUNTIF(Table9131518[B4],D$79)/$B$78</f>
        <v>0</v>
      </c>
      <c r="E83" s="111">
        <f>COUNTIF(Table9131518[B4],E$79)/$B$78</f>
        <v>0</v>
      </c>
      <c r="F83" s="48">
        <f t="shared" si="7"/>
        <v>1</v>
      </c>
      <c r="H83" s="110" t="s">
        <v>29</v>
      </c>
      <c r="I83" s="111">
        <f>COUNTIFS(Table9131518[Prodi],"S1 Desain Komunikasi Visual",Table9131518[B4],I$79)/$I$78</f>
        <v>1</v>
      </c>
      <c r="J83" s="111">
        <f>COUNTIFS(Table9131518[Prodi],"S1 Desain Komunikasi Visual",Table9131518[B4],J$79)/$I$78</f>
        <v>0</v>
      </c>
      <c r="K83" s="111">
        <f>COUNTIFS(Table9131518[Prodi],"S1 Desain Komunikasi Visual",Table9131518[B4],K$79)/$I$78</f>
        <v>0</v>
      </c>
      <c r="L83" s="111">
        <f>COUNTIFS(Table9131518[Prodi],"S1 Desain Komunikasi Visual",Table9131518[B4],L$79)/$I$78</f>
        <v>0</v>
      </c>
      <c r="M83" s="48">
        <f t="shared" si="8"/>
        <v>1</v>
      </c>
      <c r="O83" s="110" t="s">
        <v>29</v>
      </c>
      <c r="P83" s="111" t="e">
        <f>COUNTIFS(Table9131518[Prodi],$P$76,Table9131518[B4],P$79)/$P$78</f>
        <v>#DIV/0!</v>
      </c>
      <c r="Q83" s="111" t="e">
        <f>COUNTIFS(Table9131518[Prodi],$P$76,Table9131518[B4],Q$79)/$P$78</f>
        <v>#DIV/0!</v>
      </c>
      <c r="R83" s="111" t="e">
        <f>COUNTIFS(Table9131518[Prodi],$P$76,Table9131518[B4],R$79)/$P$78</f>
        <v>#DIV/0!</v>
      </c>
      <c r="S83" s="111" t="e">
        <f>COUNTIFS(Table9131518[Prodi],$P$76,Table9131518[B4],S$79)/$P$78</f>
        <v>#DIV/0!</v>
      </c>
      <c r="T83" s="48" t="e">
        <f t="shared" si="9"/>
        <v>#DIV/0!</v>
      </c>
      <c r="U83" s="122"/>
      <c r="V83" s="110" t="s">
        <v>29</v>
      </c>
      <c r="W83" s="111" t="e">
        <f>COUNTIFS(Table9131518[Prodi],$W$76,Table9131518[B4],W$79)/$W$78</f>
        <v>#DIV/0!</v>
      </c>
      <c r="X83" s="111" t="e">
        <f>COUNTIFS(Table9131518[Prodi],$W$76,Table9131518[B4],X$79)/$W$78</f>
        <v>#DIV/0!</v>
      </c>
      <c r="Y83" s="111" t="e">
        <f>COUNTIFS(Table9131518[Prodi],$W$76,Table9131518[B4],Y$79)/$W$78</f>
        <v>#DIV/0!</v>
      </c>
      <c r="Z83" s="111" t="e">
        <f>COUNTIFS(Table9131518[Prodi],$W$76,Table9131518[B4],Z$79)/$W$78</f>
        <v>#DIV/0!</v>
      </c>
      <c r="AA83" s="48" t="e">
        <f t="shared" si="10"/>
        <v>#DIV/0!</v>
      </c>
      <c r="AB83" s="122"/>
      <c r="AC83" s="122"/>
      <c r="AD83" s="122"/>
      <c r="AE83" s="122"/>
      <c r="AF83" s="122"/>
      <c r="AG83" s="122"/>
      <c r="AH83" s="122"/>
      <c r="AI83" s="122"/>
      <c r="AJ83" s="122"/>
      <c r="AK83" s="122"/>
      <c r="AL83" s="122"/>
      <c r="AM83" s="122"/>
      <c r="AN83" s="122"/>
      <c r="AO83" s="122"/>
      <c r="AP83" s="122"/>
      <c r="AQ83" s="122"/>
      <c r="AR83" s="122"/>
    </row>
    <row r="84" spans="1:44" s="83" customFormat="1" ht="16.5" x14ac:dyDescent="0.3">
      <c r="A84" s="110" t="s">
        <v>30</v>
      </c>
      <c r="B84" s="111">
        <f>COUNTIF(Table9131518[B5],B$79)/$B$78</f>
        <v>1</v>
      </c>
      <c r="C84" s="111">
        <f>COUNTIF(Table9131518[B5],C$79)/$B$78</f>
        <v>0</v>
      </c>
      <c r="D84" s="111">
        <f>COUNTIF(Table9131518[B5],D$79)/$B$78</f>
        <v>0</v>
      </c>
      <c r="E84" s="111">
        <f>COUNTIF(Table9131518[B5],E$79)/$B$78</f>
        <v>0</v>
      </c>
      <c r="F84" s="48">
        <f t="shared" si="7"/>
        <v>1</v>
      </c>
      <c r="H84" s="110" t="s">
        <v>30</v>
      </c>
      <c r="I84" s="111">
        <f>COUNTIFS(Table9131518[Prodi],"S1 Desain Komunikasi Visual",Table9131518[B5],I$79)/$I$78</f>
        <v>1</v>
      </c>
      <c r="J84" s="111">
        <f>COUNTIFS(Table9131518[Prodi],"S1 Desain Komunikasi Visual",Table9131518[B5],J$79)/$I$78</f>
        <v>0</v>
      </c>
      <c r="K84" s="111">
        <f>COUNTIFS(Table9131518[Prodi],"S1 Desain Komunikasi Visual",Table9131518[B5],K$79)/$I$78</f>
        <v>0</v>
      </c>
      <c r="L84" s="111">
        <f>COUNTIFS(Table9131518[Prodi],"S1 Desain Komunikasi Visual",Table9131518[B5],L$79)/$I$78</f>
        <v>0</v>
      </c>
      <c r="M84" s="48">
        <f t="shared" si="8"/>
        <v>1</v>
      </c>
      <c r="O84" s="110" t="s">
        <v>30</v>
      </c>
      <c r="P84" s="111" t="e">
        <f>COUNTIFS(Table9131518[Prodi],$P$76,Table9131518[B5],P$79)/$P$78</f>
        <v>#DIV/0!</v>
      </c>
      <c r="Q84" s="111" t="e">
        <f>COUNTIFS(Table9131518[Prodi],$P$76,Table9131518[B5],Q$79)/$P$78</f>
        <v>#DIV/0!</v>
      </c>
      <c r="R84" s="111" t="e">
        <f>COUNTIFS(Table9131518[Prodi],$P$76,Table9131518[B5],R$79)/$P$78</f>
        <v>#DIV/0!</v>
      </c>
      <c r="S84" s="111" t="e">
        <f>COUNTIFS(Table9131518[Prodi],$P$76,Table9131518[B5],S$79)/$P$78</f>
        <v>#DIV/0!</v>
      </c>
      <c r="T84" s="48" t="e">
        <f t="shared" si="9"/>
        <v>#DIV/0!</v>
      </c>
      <c r="U84" s="122"/>
      <c r="V84" s="110" t="s">
        <v>30</v>
      </c>
      <c r="W84" s="111" t="e">
        <f>COUNTIFS(Table9131518[Prodi],$W$76,Table9131518[B5],W$79)/$W$78</f>
        <v>#DIV/0!</v>
      </c>
      <c r="X84" s="111" t="e">
        <f>COUNTIFS(Table9131518[Prodi],$W$76,Table9131518[B5],X$79)/$W$78</f>
        <v>#DIV/0!</v>
      </c>
      <c r="Y84" s="111" t="e">
        <f>COUNTIFS(Table9131518[Prodi],$W$76,Table9131518[B5],Y$79)/$W$78</f>
        <v>#DIV/0!</v>
      </c>
      <c r="Z84" s="111" t="e">
        <f>COUNTIFS(Table9131518[Prodi],$W$76,Table9131518[B5],Z$79)/$W$78</f>
        <v>#DIV/0!</v>
      </c>
      <c r="AA84" s="48" t="e">
        <f t="shared" si="10"/>
        <v>#DIV/0!</v>
      </c>
      <c r="AB84" s="122"/>
      <c r="AC84" s="122"/>
      <c r="AD84" s="122"/>
      <c r="AE84" s="122"/>
      <c r="AF84" s="122"/>
      <c r="AG84" s="122"/>
      <c r="AH84" s="122"/>
      <c r="AI84" s="122"/>
      <c r="AJ84" s="122"/>
      <c r="AK84" s="122"/>
      <c r="AL84" s="122"/>
      <c r="AM84" s="122"/>
      <c r="AN84" s="122"/>
      <c r="AO84" s="122"/>
      <c r="AP84" s="122"/>
      <c r="AQ84" s="122"/>
      <c r="AR84" s="122"/>
    </row>
    <row r="85" spans="1:44" s="83" customFormat="1" ht="16.5" x14ac:dyDescent="0.3">
      <c r="A85" s="112"/>
      <c r="B85" s="47">
        <f>AVERAGE(B80:B84)</f>
        <v>0.8</v>
      </c>
      <c r="C85" s="47">
        <f>AVERAGE(C80:C84)</f>
        <v>0.2</v>
      </c>
      <c r="D85" s="47">
        <f>AVERAGE(D80:D84)</f>
        <v>0</v>
      </c>
      <c r="E85" s="47">
        <f>AVERAGE(E80:E84)</f>
        <v>0</v>
      </c>
      <c r="F85" s="48">
        <f t="shared" si="7"/>
        <v>1</v>
      </c>
      <c r="H85" s="112"/>
      <c r="I85" s="47">
        <f>AVERAGE(I80:I84)</f>
        <v>0.8</v>
      </c>
      <c r="J85" s="47">
        <f>AVERAGE(J80:J84)</f>
        <v>0.2</v>
      </c>
      <c r="K85" s="47">
        <f>AVERAGE(K80:K84)</f>
        <v>0</v>
      </c>
      <c r="L85" s="47">
        <f>AVERAGE(L80:L84)</f>
        <v>0</v>
      </c>
      <c r="M85" s="48">
        <f t="shared" si="8"/>
        <v>1</v>
      </c>
      <c r="O85" s="112"/>
      <c r="P85" s="47" t="e">
        <f>AVERAGE(P80:P84)</f>
        <v>#DIV/0!</v>
      </c>
      <c r="Q85" s="47" t="e">
        <f>AVERAGE(Q80:Q84)</f>
        <v>#DIV/0!</v>
      </c>
      <c r="R85" s="47" t="e">
        <f>AVERAGE(R80:R84)</f>
        <v>#DIV/0!</v>
      </c>
      <c r="S85" s="47" t="e">
        <f>AVERAGE(S80:S84)</f>
        <v>#DIV/0!</v>
      </c>
      <c r="T85" s="48" t="e">
        <f t="shared" si="9"/>
        <v>#DIV/0!</v>
      </c>
      <c r="U85" s="122"/>
      <c r="V85" s="112"/>
      <c r="W85" s="47" t="e">
        <f>AVERAGE(W80:W84)</f>
        <v>#DIV/0!</v>
      </c>
      <c r="X85" s="47" t="e">
        <f>AVERAGE(X80:X84)</f>
        <v>#DIV/0!</v>
      </c>
      <c r="Y85" s="47" t="e">
        <f>AVERAGE(Y80:Y84)</f>
        <v>#DIV/0!</v>
      </c>
      <c r="Z85" s="47" t="e">
        <f>AVERAGE(Z80:Z84)</f>
        <v>#DIV/0!</v>
      </c>
      <c r="AA85" s="48" t="e">
        <f t="shared" si="10"/>
        <v>#DIV/0!</v>
      </c>
      <c r="AB85" s="122"/>
      <c r="AC85" s="122"/>
      <c r="AD85" s="122"/>
      <c r="AE85" s="122"/>
      <c r="AF85" s="122"/>
      <c r="AG85" s="122"/>
      <c r="AH85" s="122"/>
      <c r="AI85" s="122"/>
      <c r="AJ85" s="122"/>
      <c r="AK85" s="122"/>
      <c r="AL85" s="122"/>
      <c r="AM85" s="122"/>
      <c r="AN85" s="122"/>
      <c r="AO85" s="122"/>
      <c r="AP85" s="122"/>
      <c r="AQ85" s="122"/>
      <c r="AR85" s="122"/>
    </row>
    <row r="86" spans="1:44" s="83" customFormat="1" ht="16.5" x14ac:dyDescent="0.3">
      <c r="A86" s="110" t="s">
        <v>31</v>
      </c>
      <c r="B86" s="111">
        <f>COUNTIF(Table9131518[C1],B$79)/$B$78</f>
        <v>0.5</v>
      </c>
      <c r="C86" s="111">
        <f>COUNTIF(Table9131518[C1],C$79)/$B$78</f>
        <v>0.5</v>
      </c>
      <c r="D86" s="111">
        <f>COUNTIF(Table9131518[C1],D$79)/$B$78</f>
        <v>0</v>
      </c>
      <c r="E86" s="111">
        <f>COUNTIF(Table9131518[C1],E$79)/$B$78</f>
        <v>0</v>
      </c>
      <c r="F86" s="48">
        <f t="shared" si="7"/>
        <v>1</v>
      </c>
      <c r="H86" s="110" t="s">
        <v>31</v>
      </c>
      <c r="I86" s="111">
        <f>COUNTIFS(Table9131518[Prodi],"S1 Desain Komunikasi Visual",Table9131518[C1],I$79)/$I$78</f>
        <v>0.5</v>
      </c>
      <c r="J86" s="111">
        <f>COUNTIFS(Table9131518[Prodi],"S1 Desain Komunikasi Visual",Table9131518[C1],J$79)/$I$78</f>
        <v>0.5</v>
      </c>
      <c r="K86" s="111">
        <f>COUNTIFS(Table9131518[Prodi],"S1 Desain Komunikasi Visual",Table9131518[C1],K$79)/$I$78</f>
        <v>0</v>
      </c>
      <c r="L86" s="111">
        <f>COUNTIFS(Table9131518[Prodi],"S1 Desain Komunikasi Visual",Table9131518[C1],L$79)/$I$78</f>
        <v>0</v>
      </c>
      <c r="M86" s="48">
        <f t="shared" si="8"/>
        <v>1</v>
      </c>
      <c r="O86" s="110" t="s">
        <v>31</v>
      </c>
      <c r="P86" s="111" t="e">
        <f>COUNTIFS(Table9131518[Prodi],$P$76,Table9131518[C1],P$79)/$P$78</f>
        <v>#DIV/0!</v>
      </c>
      <c r="Q86" s="111" t="e">
        <f>COUNTIFS(Table9131518[Prodi],$P$76,Table9131518[C1],Q$79)/$P$78</f>
        <v>#DIV/0!</v>
      </c>
      <c r="R86" s="111" t="e">
        <f>COUNTIFS(Table9131518[Prodi],$P$76,Table9131518[C1],R$79)/$P$78</f>
        <v>#DIV/0!</v>
      </c>
      <c r="S86" s="111" t="e">
        <f>COUNTIFS(Table9131518[Prodi],$P$76,Table9131518[C1],S$79)/$P$78</f>
        <v>#DIV/0!</v>
      </c>
      <c r="T86" s="48" t="e">
        <f t="shared" si="9"/>
        <v>#DIV/0!</v>
      </c>
      <c r="U86" s="122"/>
      <c r="V86" s="110" t="s">
        <v>31</v>
      </c>
      <c r="W86" s="111" t="e">
        <f>COUNTIFS(Table9131518[Prodi],$W$76,Table9131518[C1],W$79)/$W$78</f>
        <v>#DIV/0!</v>
      </c>
      <c r="X86" s="111" t="e">
        <f>COUNTIFS(Table9131518[Prodi],$W$76,Table9131518[C1],X$79)/$W$78</f>
        <v>#DIV/0!</v>
      </c>
      <c r="Y86" s="111" t="e">
        <f>COUNTIFS(Table9131518[Prodi],$W$76,Table9131518[C1],Y$79)/$W$78</f>
        <v>#DIV/0!</v>
      </c>
      <c r="Z86" s="111" t="e">
        <f>COUNTIFS(Table9131518[Prodi],$W$76,Table9131518[C1],Z$79)/$W$78</f>
        <v>#DIV/0!</v>
      </c>
      <c r="AA86" s="48" t="e">
        <f t="shared" si="10"/>
        <v>#DIV/0!</v>
      </c>
      <c r="AB86" s="122"/>
      <c r="AC86" s="122"/>
      <c r="AD86" s="122"/>
      <c r="AE86" s="122"/>
      <c r="AF86" s="122"/>
      <c r="AG86" s="122"/>
      <c r="AH86" s="122"/>
      <c r="AI86" s="122"/>
      <c r="AJ86" s="122"/>
      <c r="AK86" s="122"/>
      <c r="AL86" s="122"/>
      <c r="AM86" s="122"/>
      <c r="AN86" s="122"/>
      <c r="AO86" s="122"/>
      <c r="AP86" s="122"/>
      <c r="AQ86" s="122"/>
      <c r="AR86" s="122"/>
    </row>
    <row r="87" spans="1:44" s="83" customFormat="1" ht="16.5" x14ac:dyDescent="0.3">
      <c r="A87" s="110" t="s">
        <v>32</v>
      </c>
      <c r="B87" s="111">
        <f>COUNTIF(Table9131518[C2],B$79)/$B$78</f>
        <v>0</v>
      </c>
      <c r="C87" s="111">
        <f>COUNTIF(Table9131518[C2],C$79)/$B$78</f>
        <v>1</v>
      </c>
      <c r="D87" s="111">
        <f>COUNTIF(Table9131518[C2],D$79)/$B$78</f>
        <v>0</v>
      </c>
      <c r="E87" s="111">
        <f>COUNTIF(Table9131518[C2],E$79)/$B$78</f>
        <v>0</v>
      </c>
      <c r="F87" s="48">
        <f t="shared" si="7"/>
        <v>1</v>
      </c>
      <c r="H87" s="110" t="s">
        <v>32</v>
      </c>
      <c r="I87" s="111">
        <f>COUNTIFS(Table9131518[Prodi],"S1 Desain Komunikasi Visual",Table9131518[C2],I$79)/$I$78</f>
        <v>0</v>
      </c>
      <c r="J87" s="111">
        <f>COUNTIFS(Table9131518[Prodi],"S1 Desain Komunikasi Visual",Table9131518[C2],J$79)/$I$78</f>
        <v>1</v>
      </c>
      <c r="K87" s="111">
        <f>COUNTIFS(Table9131518[Prodi],"S1 Desain Komunikasi Visual",Table9131518[C2],K$79)/$I$78</f>
        <v>0</v>
      </c>
      <c r="L87" s="111">
        <f>COUNTIFS(Table9131518[Prodi],"S1 Desain Komunikasi Visual",Table9131518[C2],L$79)/$I$78</f>
        <v>0</v>
      </c>
      <c r="M87" s="48">
        <f t="shared" si="8"/>
        <v>1</v>
      </c>
      <c r="O87" s="110" t="s">
        <v>32</v>
      </c>
      <c r="P87" s="111" t="e">
        <f>COUNTIFS(Table9131518[Prodi],$P$76,Table9131518[C2],P$79)/$P$78</f>
        <v>#DIV/0!</v>
      </c>
      <c r="Q87" s="111" t="e">
        <f>COUNTIFS(Table9131518[Prodi],$P$76,Table9131518[C2],Q$79)/$P$78</f>
        <v>#DIV/0!</v>
      </c>
      <c r="R87" s="111" t="e">
        <f>COUNTIFS(Table9131518[Prodi],$P$76,Table9131518[C2],R$79)/$P$78</f>
        <v>#DIV/0!</v>
      </c>
      <c r="S87" s="111" t="e">
        <f>COUNTIFS(Table9131518[Prodi],$P$76,Table9131518[C2],S$79)/$P$78</f>
        <v>#DIV/0!</v>
      </c>
      <c r="T87" s="48" t="e">
        <f t="shared" si="9"/>
        <v>#DIV/0!</v>
      </c>
      <c r="U87" s="122"/>
      <c r="V87" s="110" t="s">
        <v>32</v>
      </c>
      <c r="W87" s="111" t="e">
        <f>COUNTIFS(Table9131518[Prodi],$W$76,Table9131518[C2],W$79)/$W$78</f>
        <v>#DIV/0!</v>
      </c>
      <c r="X87" s="111" t="e">
        <f>COUNTIFS(Table9131518[Prodi],$W$76,Table9131518[C2],X$79)/$W$78</f>
        <v>#DIV/0!</v>
      </c>
      <c r="Y87" s="111" t="e">
        <f>COUNTIFS(Table9131518[Prodi],$W$76,Table9131518[C2],Y$79)/$W$78</f>
        <v>#DIV/0!</v>
      </c>
      <c r="Z87" s="111" t="e">
        <f>COUNTIFS(Table9131518[Prodi],$W$76,Table9131518[C2],Z$79)/$W$78</f>
        <v>#DIV/0!</v>
      </c>
      <c r="AA87" s="48" t="e">
        <f t="shared" si="10"/>
        <v>#DIV/0!</v>
      </c>
      <c r="AB87" s="122"/>
      <c r="AC87" s="122"/>
      <c r="AD87" s="122"/>
      <c r="AE87" s="122"/>
      <c r="AF87" s="122"/>
      <c r="AG87" s="122"/>
      <c r="AH87" s="122"/>
      <c r="AI87" s="122"/>
      <c r="AJ87" s="122"/>
      <c r="AK87" s="122"/>
      <c r="AL87" s="122"/>
      <c r="AM87" s="122"/>
      <c r="AN87" s="122"/>
      <c r="AO87" s="122"/>
      <c r="AP87" s="122"/>
      <c r="AQ87" s="122"/>
      <c r="AR87" s="122"/>
    </row>
    <row r="88" spans="1:44" s="83" customFormat="1" ht="16.5" x14ac:dyDescent="0.3">
      <c r="A88" s="113"/>
      <c r="B88" s="47">
        <f>AVERAGE(B86:B87)</f>
        <v>0.25</v>
      </c>
      <c r="C88" s="47">
        <f>AVERAGE(C86:C87)</f>
        <v>0.75</v>
      </c>
      <c r="D88" s="47">
        <f>AVERAGE(D86:D87)</f>
        <v>0</v>
      </c>
      <c r="E88" s="47">
        <f>AVERAGE(E86:E87)</f>
        <v>0</v>
      </c>
      <c r="F88" s="48">
        <f t="shared" si="7"/>
        <v>1</v>
      </c>
      <c r="H88" s="113"/>
      <c r="I88" s="47">
        <f>AVERAGE(I86:I87)</f>
        <v>0.25</v>
      </c>
      <c r="J88" s="47">
        <f>AVERAGE(J86:J87)</f>
        <v>0.75</v>
      </c>
      <c r="K88" s="47">
        <f>AVERAGE(K86:K87)</f>
        <v>0</v>
      </c>
      <c r="L88" s="47">
        <f>AVERAGE(L86:L87)</f>
        <v>0</v>
      </c>
      <c r="M88" s="48">
        <f t="shared" si="8"/>
        <v>1</v>
      </c>
      <c r="O88" s="113"/>
      <c r="P88" s="47" t="e">
        <f>AVERAGE(P86:P87)</f>
        <v>#DIV/0!</v>
      </c>
      <c r="Q88" s="47" t="e">
        <f>AVERAGE(Q86:Q87)</f>
        <v>#DIV/0!</v>
      </c>
      <c r="R88" s="47" t="e">
        <f>AVERAGE(R86:R87)</f>
        <v>#DIV/0!</v>
      </c>
      <c r="S88" s="47" t="e">
        <f>AVERAGE(S86:S87)</f>
        <v>#DIV/0!</v>
      </c>
      <c r="T88" s="48" t="e">
        <f t="shared" si="9"/>
        <v>#DIV/0!</v>
      </c>
      <c r="U88" s="122"/>
      <c r="V88" s="113"/>
      <c r="W88" s="47" t="e">
        <f>AVERAGE(W86:W87)</f>
        <v>#DIV/0!</v>
      </c>
      <c r="X88" s="47" t="e">
        <f>AVERAGE(X86:X87)</f>
        <v>#DIV/0!</v>
      </c>
      <c r="Y88" s="47" t="e">
        <f>AVERAGE(Y86:Y87)</f>
        <v>#DIV/0!</v>
      </c>
      <c r="Z88" s="47" t="e">
        <f>AVERAGE(Z86:Z87)</f>
        <v>#DIV/0!</v>
      </c>
      <c r="AA88" s="48" t="e">
        <f t="shared" si="10"/>
        <v>#DIV/0!</v>
      </c>
      <c r="AB88" s="122"/>
      <c r="AC88" s="122"/>
      <c r="AD88" s="122"/>
      <c r="AE88" s="122"/>
      <c r="AF88" s="122"/>
      <c r="AG88" s="122"/>
      <c r="AH88" s="122"/>
      <c r="AI88" s="122"/>
      <c r="AJ88" s="122"/>
      <c r="AK88" s="122"/>
      <c r="AL88" s="122"/>
      <c r="AM88" s="122"/>
      <c r="AN88" s="122"/>
      <c r="AO88" s="122"/>
      <c r="AP88" s="122"/>
      <c r="AQ88" s="122"/>
      <c r="AR88" s="122"/>
    </row>
    <row r="89" spans="1:44" s="83" customFormat="1" ht="16.5" x14ac:dyDescent="0.3">
      <c r="A89" s="114" t="s">
        <v>33</v>
      </c>
      <c r="B89" s="111">
        <f>COUNTIF(Table9131518[D1],B$79)/$B$78</f>
        <v>0</v>
      </c>
      <c r="C89" s="111">
        <f>COUNTIF(Table9131518[D1],C$79)/$B$78</f>
        <v>1</v>
      </c>
      <c r="D89" s="111">
        <f>COUNTIF(Table9131518[D1],D$79)/$B$78</f>
        <v>0</v>
      </c>
      <c r="E89" s="111">
        <f>COUNTIF(Table9131518[D1],E$79)/$B$78</f>
        <v>0</v>
      </c>
      <c r="F89" s="48">
        <f t="shared" si="7"/>
        <v>1</v>
      </c>
      <c r="H89" s="114" t="s">
        <v>33</v>
      </c>
      <c r="I89" s="111">
        <f>COUNTIFS(Table9131518[Prodi],"S1 Desain Komunikasi Visual",Table9131518[D1],I$79)/$I$78</f>
        <v>0</v>
      </c>
      <c r="J89" s="111">
        <f>COUNTIFS(Table9131518[Prodi],"S1 Desain Komunikasi Visual",Table9131518[D1],J$79)/$I$78</f>
        <v>1</v>
      </c>
      <c r="K89" s="111">
        <f>COUNTIFS(Table9131518[Prodi],"S1 Desain Komunikasi Visual",Table9131518[D1],K$79)/$I$78</f>
        <v>0</v>
      </c>
      <c r="L89" s="111">
        <f>COUNTIFS(Table9131518[Prodi],"S1 Desain Komunikasi Visual",Table9131518[D1],L$79)/$I$78</f>
        <v>0</v>
      </c>
      <c r="M89" s="48">
        <f t="shared" si="8"/>
        <v>1</v>
      </c>
      <c r="O89" s="114" t="s">
        <v>33</v>
      </c>
      <c r="P89" s="111" t="e">
        <f>COUNTIFS(Table9131518[Prodi],$P$76,Table9131518[D1],P$79)/$P$78</f>
        <v>#DIV/0!</v>
      </c>
      <c r="Q89" s="111" t="e">
        <f>COUNTIFS(Table9131518[Prodi],$P$76,Table9131518[D1],Q$79)/$P$78</f>
        <v>#DIV/0!</v>
      </c>
      <c r="R89" s="111" t="e">
        <f>COUNTIFS(Table9131518[Prodi],$P$76,Table9131518[D1],R$79)/$P$78</f>
        <v>#DIV/0!</v>
      </c>
      <c r="S89" s="111" t="e">
        <f>COUNTIFS(Table9131518[Prodi],$P$76,Table9131518[D1],S$79)/$P$78</f>
        <v>#DIV/0!</v>
      </c>
      <c r="T89" s="48" t="e">
        <f t="shared" si="9"/>
        <v>#DIV/0!</v>
      </c>
      <c r="U89" s="122"/>
      <c r="V89" s="114" t="s">
        <v>33</v>
      </c>
      <c r="W89" s="111" t="e">
        <f>COUNTIFS(Table9131518[Prodi],$W$76,Table9131518[D1],W$79)/$W$78</f>
        <v>#DIV/0!</v>
      </c>
      <c r="X89" s="111" t="e">
        <f>COUNTIFS(Table9131518[Prodi],$W$76,Table9131518[D1],X$79)/$W$78</f>
        <v>#DIV/0!</v>
      </c>
      <c r="Y89" s="111" t="e">
        <f>COUNTIFS(Table9131518[Prodi],$W$76,Table9131518[D1],Y$79)/$W$78</f>
        <v>#DIV/0!</v>
      </c>
      <c r="Z89" s="111" t="e">
        <f>COUNTIFS(Table9131518[Prodi],$W$76,Table9131518[D1],Z$79)/$W$78</f>
        <v>#DIV/0!</v>
      </c>
      <c r="AA89" s="48" t="e">
        <f t="shared" si="10"/>
        <v>#DIV/0!</v>
      </c>
      <c r="AB89" s="122"/>
      <c r="AC89" s="122"/>
      <c r="AD89" s="122"/>
      <c r="AE89" s="122"/>
      <c r="AF89" s="122"/>
      <c r="AG89" s="122"/>
      <c r="AH89" s="122"/>
      <c r="AI89" s="122"/>
      <c r="AJ89" s="122"/>
      <c r="AK89" s="122"/>
      <c r="AL89" s="122"/>
      <c r="AM89" s="122"/>
      <c r="AN89" s="122"/>
      <c r="AO89" s="122"/>
      <c r="AP89" s="122"/>
      <c r="AQ89" s="122"/>
      <c r="AR89" s="122"/>
    </row>
    <row r="90" spans="1:44" s="83" customFormat="1" ht="16.5" x14ac:dyDescent="0.3">
      <c r="A90" s="110" t="s">
        <v>34</v>
      </c>
      <c r="B90" s="111">
        <f>COUNTIF(Table9131518[D2],B$79)/$B$78</f>
        <v>0</v>
      </c>
      <c r="C90" s="111">
        <f>COUNTIF(Table9131518[D2],C$79)/$B$78</f>
        <v>1</v>
      </c>
      <c r="D90" s="111">
        <f>COUNTIF(Table9131518[D2],D$79)/$B$78</f>
        <v>0</v>
      </c>
      <c r="E90" s="111">
        <f>COUNTIF(Table9131518[D2],E$79)/$B$78</f>
        <v>0</v>
      </c>
      <c r="F90" s="48">
        <f t="shared" si="7"/>
        <v>1</v>
      </c>
      <c r="H90" s="110" t="s">
        <v>34</v>
      </c>
      <c r="I90" s="111">
        <f>COUNTIFS(Table9131518[Prodi],"S1 Desain Komunikasi Visual",Table9131518[D2],I$79)/$I$78</f>
        <v>0</v>
      </c>
      <c r="J90" s="111">
        <f>COUNTIFS(Table9131518[Prodi],"S1 Desain Komunikasi Visual",Table9131518[D2],J$79)/$I$78</f>
        <v>1</v>
      </c>
      <c r="K90" s="111">
        <f>COUNTIFS(Table9131518[Prodi],"S1 Desain Komunikasi Visual",Table9131518[D2],K$79)/$I$78</f>
        <v>0</v>
      </c>
      <c r="L90" s="111">
        <f>COUNTIFS(Table9131518[Prodi],"S1 Desain Komunikasi Visual",Table9131518[D2],L$79)/$I$78</f>
        <v>0</v>
      </c>
      <c r="M90" s="48">
        <f t="shared" si="8"/>
        <v>1</v>
      </c>
      <c r="O90" s="110" t="s">
        <v>34</v>
      </c>
      <c r="P90" s="111" t="e">
        <f>COUNTIFS(Table9131518[Prodi],$P$76,Table9131518[D2],P$79)/$P$78</f>
        <v>#DIV/0!</v>
      </c>
      <c r="Q90" s="111" t="e">
        <f>COUNTIFS(Table9131518[Prodi],$P$76,Table9131518[D2],Q$79)/$P$78</f>
        <v>#DIV/0!</v>
      </c>
      <c r="R90" s="111" t="e">
        <f>COUNTIFS(Table9131518[Prodi],$P$76,Table9131518[D2],R$79)/$P$78</f>
        <v>#DIV/0!</v>
      </c>
      <c r="S90" s="111" t="e">
        <f>COUNTIFS(Table9131518[Prodi],$P$76,Table9131518[D2],S$79)/$P$78</f>
        <v>#DIV/0!</v>
      </c>
      <c r="T90" s="48" t="e">
        <f t="shared" si="9"/>
        <v>#DIV/0!</v>
      </c>
      <c r="U90" s="122"/>
      <c r="V90" s="110" t="s">
        <v>34</v>
      </c>
      <c r="W90" s="111" t="e">
        <f>COUNTIFS(Table9131518[Prodi],$W$76,Table9131518[D2],W$79)/$W$78</f>
        <v>#DIV/0!</v>
      </c>
      <c r="X90" s="111" t="e">
        <f>COUNTIFS(Table9131518[Prodi],$W$76,Table9131518[D2],X$79)/$W$78</f>
        <v>#DIV/0!</v>
      </c>
      <c r="Y90" s="111" t="e">
        <f>COUNTIFS(Table9131518[Prodi],$W$76,Table9131518[D2],Y$79)/$W$78</f>
        <v>#DIV/0!</v>
      </c>
      <c r="Z90" s="111" t="e">
        <f>COUNTIFS(Table9131518[Prodi],$W$76,Table9131518[D2],Z$79)/$W$78</f>
        <v>#DIV/0!</v>
      </c>
      <c r="AA90" s="48" t="e">
        <f t="shared" si="10"/>
        <v>#DIV/0!</v>
      </c>
      <c r="AB90" s="122"/>
      <c r="AC90" s="122"/>
      <c r="AD90" s="122"/>
      <c r="AE90" s="122"/>
      <c r="AF90" s="122"/>
      <c r="AG90" s="122"/>
      <c r="AH90" s="122"/>
      <c r="AI90" s="122"/>
      <c r="AJ90" s="122"/>
      <c r="AK90" s="122"/>
      <c r="AL90" s="122"/>
      <c r="AM90" s="122"/>
      <c r="AN90" s="122"/>
      <c r="AO90" s="122"/>
      <c r="AP90" s="122"/>
      <c r="AQ90" s="122"/>
      <c r="AR90" s="122"/>
    </row>
    <row r="91" spans="1:44" s="83" customFormat="1" ht="16.5" x14ac:dyDescent="0.3">
      <c r="A91" s="113"/>
      <c r="B91" s="47">
        <f>AVERAGE(B89:B90)</f>
        <v>0</v>
      </c>
      <c r="C91" s="47">
        <f>AVERAGE(C89:C90)</f>
        <v>1</v>
      </c>
      <c r="D91" s="47">
        <f>AVERAGE(D89:D90)</f>
        <v>0</v>
      </c>
      <c r="E91" s="47">
        <f>AVERAGE(E89:E90)</f>
        <v>0</v>
      </c>
      <c r="F91" s="48">
        <f t="shared" si="7"/>
        <v>1</v>
      </c>
      <c r="H91" s="113"/>
      <c r="I91" s="47">
        <f>AVERAGE(I89:I90)</f>
        <v>0</v>
      </c>
      <c r="J91" s="47">
        <f>AVERAGE(J89:J90)</f>
        <v>1</v>
      </c>
      <c r="K91" s="47">
        <f>AVERAGE(K89:K90)</f>
        <v>0</v>
      </c>
      <c r="L91" s="47">
        <f>AVERAGE(L89:L90)</f>
        <v>0</v>
      </c>
      <c r="M91" s="48">
        <f t="shared" si="8"/>
        <v>1</v>
      </c>
      <c r="O91" s="113"/>
      <c r="P91" s="47" t="e">
        <f>AVERAGE(P89:P90)</f>
        <v>#DIV/0!</v>
      </c>
      <c r="Q91" s="47" t="e">
        <f>AVERAGE(Q89:Q90)</f>
        <v>#DIV/0!</v>
      </c>
      <c r="R91" s="47" t="e">
        <f>AVERAGE(R89:R90)</f>
        <v>#DIV/0!</v>
      </c>
      <c r="S91" s="47" t="e">
        <f>AVERAGE(S89:S90)</f>
        <v>#DIV/0!</v>
      </c>
      <c r="T91" s="48" t="e">
        <f t="shared" si="9"/>
        <v>#DIV/0!</v>
      </c>
      <c r="U91" s="122"/>
      <c r="V91" s="113"/>
      <c r="W91" s="47" t="e">
        <f>AVERAGE(W89:W90)</f>
        <v>#DIV/0!</v>
      </c>
      <c r="X91" s="47" t="e">
        <f>AVERAGE(X89:X90)</f>
        <v>#DIV/0!</v>
      </c>
      <c r="Y91" s="47" t="e">
        <f>AVERAGE(Y89:Y90)</f>
        <v>#DIV/0!</v>
      </c>
      <c r="Z91" s="47" t="e">
        <f>AVERAGE(Z89:Z90)</f>
        <v>#DIV/0!</v>
      </c>
      <c r="AA91" s="48" t="e">
        <f t="shared" si="10"/>
        <v>#DIV/0!</v>
      </c>
      <c r="AB91" s="122"/>
      <c r="AC91" s="122"/>
      <c r="AD91" s="122"/>
      <c r="AE91" s="122"/>
      <c r="AF91" s="122"/>
      <c r="AG91" s="122"/>
      <c r="AH91" s="122"/>
      <c r="AI91" s="122"/>
      <c r="AJ91" s="122"/>
      <c r="AK91" s="122"/>
      <c r="AL91" s="122"/>
      <c r="AM91" s="122"/>
      <c r="AN91" s="122"/>
      <c r="AO91" s="122"/>
      <c r="AP91" s="122"/>
      <c r="AQ91" s="122"/>
      <c r="AR91" s="122"/>
    </row>
    <row r="92" spans="1:44" s="83" customFormat="1" ht="16.5" x14ac:dyDescent="0.3">
      <c r="A92" s="114" t="s">
        <v>35</v>
      </c>
      <c r="B92" s="111">
        <f>COUNTIF(Table9131518[E1],B$79)/$B$78</f>
        <v>0.5</v>
      </c>
      <c r="C92" s="111">
        <f>COUNTIF(Table9131518[E1],C$79)/$B$78</f>
        <v>0.5</v>
      </c>
      <c r="D92" s="111">
        <f>COUNTIF(Table9131518[E1],D$79)/$B$78</f>
        <v>0</v>
      </c>
      <c r="E92" s="111">
        <f>COUNTIF(Table9131518[E1],E$79)/$B$78</f>
        <v>0</v>
      </c>
      <c r="F92" s="48">
        <f t="shared" si="7"/>
        <v>1</v>
      </c>
      <c r="H92" s="114" t="s">
        <v>35</v>
      </c>
      <c r="I92" s="111">
        <f>COUNTIFS(Table9131518[Prodi],"S1 Desain Komunikasi Visual",Table9131518[E1],I$79)/$I$78</f>
        <v>0.5</v>
      </c>
      <c r="J92" s="111">
        <f>COUNTIFS(Table9131518[Prodi],"S1 Desain Komunikasi Visual",Table9131518[E1],J$79)/$I$78</f>
        <v>0.5</v>
      </c>
      <c r="K92" s="111">
        <f>COUNTIFS(Table9131518[Prodi],"S1 Desain Komunikasi Visual",Table9131518[E1],K$79)/$I$78</f>
        <v>0</v>
      </c>
      <c r="L92" s="111">
        <f>COUNTIFS(Table9131518[Prodi],"S1 Desain Komunikasi Visual",Table9131518[E1],L$79)/$I$78</f>
        <v>0</v>
      </c>
      <c r="M92" s="48">
        <f t="shared" si="8"/>
        <v>1</v>
      </c>
      <c r="O92" s="114" t="s">
        <v>35</v>
      </c>
      <c r="P92" s="111" t="e">
        <f>COUNTIFS(Table9131518[Prodi],$P$76,Table9131518[E1],P$79)/$P$78</f>
        <v>#DIV/0!</v>
      </c>
      <c r="Q92" s="111" t="e">
        <f>COUNTIFS(Table9131518[Prodi],$P$76,Table9131518[E1],Q$79)/$P$78</f>
        <v>#DIV/0!</v>
      </c>
      <c r="R92" s="111" t="e">
        <f>COUNTIFS(Table9131518[Prodi],$P$76,Table9131518[E1],R$79)/$P$78</f>
        <v>#DIV/0!</v>
      </c>
      <c r="S92" s="111" t="e">
        <f>COUNTIFS(Table9131518[Prodi],$P$76,Table9131518[E1],S$79)/$P$78</f>
        <v>#DIV/0!</v>
      </c>
      <c r="T92" s="48" t="e">
        <f t="shared" si="9"/>
        <v>#DIV/0!</v>
      </c>
      <c r="U92" s="122"/>
      <c r="V92" s="114" t="s">
        <v>35</v>
      </c>
      <c r="W92" s="111" t="e">
        <f>COUNTIFS(Table9131518[Prodi],$W$76,Table9131518[E1],W$79)/$W$78</f>
        <v>#DIV/0!</v>
      </c>
      <c r="X92" s="111" t="e">
        <f>COUNTIFS(Table9131518[Prodi],$W$76,Table9131518[E1],X$79)/$W$78</f>
        <v>#DIV/0!</v>
      </c>
      <c r="Y92" s="111" t="e">
        <f>COUNTIFS(Table9131518[Prodi],$W$76,Table9131518[E1],Y$79)/$W$78</f>
        <v>#DIV/0!</v>
      </c>
      <c r="Z92" s="111" t="e">
        <f>COUNTIFS(Table9131518[Prodi],$W$76,Table9131518[E1],Z$79)/$W$78</f>
        <v>#DIV/0!</v>
      </c>
      <c r="AA92" s="48" t="e">
        <f t="shared" si="10"/>
        <v>#DIV/0!</v>
      </c>
      <c r="AB92" s="122"/>
      <c r="AC92" s="122"/>
      <c r="AD92" s="122"/>
      <c r="AE92" s="122"/>
      <c r="AF92" s="122"/>
      <c r="AG92" s="122"/>
      <c r="AH92" s="122"/>
      <c r="AI92" s="122"/>
      <c r="AJ92" s="122"/>
      <c r="AK92" s="122"/>
      <c r="AL92" s="122"/>
      <c r="AM92" s="122"/>
      <c r="AN92" s="122"/>
      <c r="AO92" s="122"/>
      <c r="AP92" s="122"/>
      <c r="AQ92" s="122"/>
      <c r="AR92" s="122"/>
    </row>
    <row r="93" spans="1:44" s="83" customFormat="1" ht="16.5" x14ac:dyDescent="0.3">
      <c r="A93" s="110" t="s">
        <v>36</v>
      </c>
      <c r="B93" s="111">
        <f>COUNTIF(Table9131518[E2],B$79)/$B$78</f>
        <v>0.5</v>
      </c>
      <c r="C93" s="111">
        <f>COUNTIF(Table9131518[E2],C$79)/$B$78</f>
        <v>0.5</v>
      </c>
      <c r="D93" s="111">
        <f>COUNTIF(Table9131518[E2],D$79)/$B$78</f>
        <v>0</v>
      </c>
      <c r="E93" s="111">
        <f>COUNTIF(Table9131518[E2],E$79)/$B$78</f>
        <v>0</v>
      </c>
      <c r="F93" s="48">
        <f t="shared" si="7"/>
        <v>1</v>
      </c>
      <c r="H93" s="110" t="s">
        <v>36</v>
      </c>
      <c r="I93" s="111">
        <f>COUNTIFS(Table9131518[Prodi],"S1 Desain Komunikasi Visual",Table9131518[E2],I$79)/$I$78</f>
        <v>0.5</v>
      </c>
      <c r="J93" s="111">
        <f>COUNTIFS(Table9131518[Prodi],"S1 Desain Komunikasi Visual",Table9131518[E2],J$79)/$I$78</f>
        <v>0.5</v>
      </c>
      <c r="K93" s="111">
        <f>COUNTIFS(Table9131518[Prodi],"S1 Desain Komunikasi Visual",Table9131518[E2],K$79)/$I$78</f>
        <v>0</v>
      </c>
      <c r="L93" s="111">
        <f>COUNTIFS(Table9131518[Prodi],"S1 Desain Komunikasi Visual",Table9131518[E2],L$79)/$I$78</f>
        <v>0</v>
      </c>
      <c r="M93" s="48">
        <f t="shared" si="8"/>
        <v>1</v>
      </c>
      <c r="O93" s="110" t="s">
        <v>36</v>
      </c>
      <c r="P93" s="111" t="e">
        <f>COUNTIFS(Table9131518[Prodi],$P$76,Table9131518[E2],P$79)/$P$78</f>
        <v>#DIV/0!</v>
      </c>
      <c r="Q93" s="111" t="e">
        <f>COUNTIFS(Table9131518[Prodi],$P$76,Table9131518[E2],Q$79)/$P$78</f>
        <v>#DIV/0!</v>
      </c>
      <c r="R93" s="111" t="e">
        <f>COUNTIFS(Table9131518[Prodi],$P$76,Table9131518[E2],R$79)/$P$78</f>
        <v>#DIV/0!</v>
      </c>
      <c r="S93" s="111" t="e">
        <f>COUNTIFS(Table9131518[Prodi],$P$76,Table9131518[E2],S$79)/$P$78</f>
        <v>#DIV/0!</v>
      </c>
      <c r="T93" s="48" t="e">
        <f t="shared" si="9"/>
        <v>#DIV/0!</v>
      </c>
      <c r="U93" s="122"/>
      <c r="V93" s="110" t="s">
        <v>36</v>
      </c>
      <c r="W93" s="111" t="e">
        <f>COUNTIFS(Table9131518[Prodi],$W$76,Table9131518[E2],W$79)/$W$78</f>
        <v>#DIV/0!</v>
      </c>
      <c r="X93" s="111" t="e">
        <f>COUNTIFS(Table9131518[Prodi],$W$76,Table9131518[E2],X$79)/$W$78</f>
        <v>#DIV/0!</v>
      </c>
      <c r="Y93" s="111" t="e">
        <f>COUNTIFS(Table9131518[Prodi],$W$76,Table9131518[E2],Y$79)/$W$78</f>
        <v>#DIV/0!</v>
      </c>
      <c r="Z93" s="111" t="e">
        <f>COUNTIFS(Table9131518[Prodi],$W$76,Table9131518[E2],Z$79)/$W$78</f>
        <v>#DIV/0!</v>
      </c>
      <c r="AA93" s="48" t="e">
        <f t="shared" si="10"/>
        <v>#DIV/0!</v>
      </c>
      <c r="AB93" s="122"/>
      <c r="AC93" s="122"/>
      <c r="AD93" s="122"/>
      <c r="AE93" s="122"/>
      <c r="AF93" s="122"/>
      <c r="AG93" s="122"/>
      <c r="AH93" s="122"/>
      <c r="AI93" s="122"/>
      <c r="AJ93" s="122"/>
      <c r="AK93" s="122"/>
      <c r="AL93" s="122"/>
      <c r="AM93" s="122"/>
      <c r="AN93" s="122"/>
      <c r="AO93" s="122"/>
      <c r="AP93" s="122"/>
      <c r="AQ93" s="122"/>
      <c r="AR93" s="122"/>
    </row>
    <row r="94" spans="1:44" s="83" customFormat="1" ht="16.5" x14ac:dyDescent="0.3">
      <c r="A94" s="110" t="s">
        <v>198</v>
      </c>
      <c r="B94" s="111">
        <f>COUNTIF(Table9131518[E3],B$79)/$B$78</f>
        <v>0.5</v>
      </c>
      <c r="C94" s="111">
        <f>COUNTIF(Table9131518[E3],C$79)/$B$78</f>
        <v>0.5</v>
      </c>
      <c r="D94" s="111">
        <f>COUNTIF(Table9131518[E3],D$79)/$B$78</f>
        <v>0</v>
      </c>
      <c r="E94" s="111">
        <f>COUNTIF(Table9131518[E3],E$79)/$B$78</f>
        <v>0</v>
      </c>
      <c r="F94" s="48">
        <f t="shared" si="7"/>
        <v>1</v>
      </c>
      <c r="H94" s="110" t="s">
        <v>198</v>
      </c>
      <c r="I94" s="111">
        <f>COUNTIFS(Table9131518[Prodi],"S1 Desain Komunikasi Visual",Table9131518[E3],I$79)/$I$78</f>
        <v>0.5</v>
      </c>
      <c r="J94" s="111">
        <f>COUNTIFS(Table9131518[Prodi],"S1 Desain Komunikasi Visual",Table9131518[E3],J$79)/$I$78</f>
        <v>0.5</v>
      </c>
      <c r="K94" s="111">
        <f>COUNTIFS(Table9131518[Prodi],"S1 Desain Komunikasi Visual",Table9131518[E3],K$79)/$I$78</f>
        <v>0</v>
      </c>
      <c r="L94" s="111">
        <f>COUNTIFS(Table9131518[Prodi],"S1 Desain Komunikasi Visual",Table9131518[E3],L$79)/$I$78</f>
        <v>0</v>
      </c>
      <c r="M94" s="48">
        <f t="shared" si="8"/>
        <v>1</v>
      </c>
      <c r="O94" s="110" t="s">
        <v>198</v>
      </c>
      <c r="P94" s="111" t="e">
        <f>COUNTIFS(Table9131518[Prodi],$P$76,Table9131518[E3],P$79)/$P$78</f>
        <v>#DIV/0!</v>
      </c>
      <c r="Q94" s="111" t="e">
        <f>COUNTIFS(Table9131518[Prodi],$P$76,Table9131518[E3],Q$79)/$P$78</f>
        <v>#DIV/0!</v>
      </c>
      <c r="R94" s="111" t="e">
        <f>COUNTIFS(Table9131518[Prodi],$P$76,Table9131518[E3],R$79)/$P$78</f>
        <v>#DIV/0!</v>
      </c>
      <c r="S94" s="111" t="e">
        <f>COUNTIFS(Table9131518[Prodi],$P$76,Table9131518[E3],S$79)/$P$78</f>
        <v>#DIV/0!</v>
      </c>
      <c r="T94" s="48" t="e">
        <f t="shared" si="9"/>
        <v>#DIV/0!</v>
      </c>
      <c r="U94" s="122"/>
      <c r="V94" s="110" t="s">
        <v>198</v>
      </c>
      <c r="W94" s="111" t="e">
        <f>COUNTIFS(Table9131518[Prodi],$W$76,Table9131518[E3],W$79)/$W$78</f>
        <v>#DIV/0!</v>
      </c>
      <c r="X94" s="111" t="e">
        <f>COUNTIFS(Table9131518[Prodi],$W$76,Table9131518[E3],X$79)/$W$78</f>
        <v>#DIV/0!</v>
      </c>
      <c r="Y94" s="111" t="e">
        <f>COUNTIFS(Table9131518[Prodi],$W$76,Table9131518[E3],Y$79)/$W$78</f>
        <v>#DIV/0!</v>
      </c>
      <c r="Z94" s="111" t="e">
        <f>COUNTIFS(Table9131518[Prodi],$W$76,Table9131518[E3],Z$79)/$W$78</f>
        <v>#DIV/0!</v>
      </c>
      <c r="AA94" s="48" t="e">
        <f t="shared" si="10"/>
        <v>#DIV/0!</v>
      </c>
      <c r="AB94" s="122"/>
      <c r="AC94" s="122"/>
      <c r="AD94" s="122"/>
      <c r="AE94" s="122"/>
      <c r="AF94" s="122"/>
      <c r="AG94" s="122"/>
      <c r="AH94" s="122"/>
      <c r="AI94" s="122"/>
      <c r="AJ94" s="122"/>
      <c r="AK94" s="122"/>
      <c r="AL94" s="122"/>
      <c r="AM94" s="122"/>
      <c r="AN94" s="122"/>
      <c r="AO94" s="122"/>
      <c r="AP94" s="122"/>
      <c r="AQ94" s="122"/>
      <c r="AR94" s="122"/>
    </row>
    <row r="95" spans="1:44" s="83" customFormat="1" ht="16.5" x14ac:dyDescent="0.3">
      <c r="A95" s="113"/>
      <c r="B95" s="47">
        <f>AVERAGE(B92:B94)</f>
        <v>0.5</v>
      </c>
      <c r="C95" s="47">
        <f>AVERAGE(C92:C94)</f>
        <v>0.5</v>
      </c>
      <c r="D95" s="47">
        <f>AVERAGE(D92:D94)</f>
        <v>0</v>
      </c>
      <c r="E95" s="47">
        <f>AVERAGE(E92:E94)</f>
        <v>0</v>
      </c>
      <c r="F95" s="48">
        <f t="shared" si="7"/>
        <v>1</v>
      </c>
      <c r="H95" s="113"/>
      <c r="I95" s="47">
        <f>AVERAGE(I92:I94)</f>
        <v>0.5</v>
      </c>
      <c r="J95" s="47">
        <f>AVERAGE(J92:J94)</f>
        <v>0.5</v>
      </c>
      <c r="K95" s="47">
        <f>AVERAGE(K92:K94)</f>
        <v>0</v>
      </c>
      <c r="L95" s="47">
        <f>AVERAGE(L92:L94)</f>
        <v>0</v>
      </c>
      <c r="M95" s="48">
        <f t="shared" si="8"/>
        <v>1</v>
      </c>
      <c r="O95" s="113"/>
      <c r="P95" s="47" t="e">
        <f>AVERAGE(P92:P94)</f>
        <v>#DIV/0!</v>
      </c>
      <c r="Q95" s="47" t="e">
        <f>AVERAGE(Q92:Q94)</f>
        <v>#DIV/0!</v>
      </c>
      <c r="R95" s="47" t="e">
        <f>AVERAGE(R92:R94)</f>
        <v>#DIV/0!</v>
      </c>
      <c r="S95" s="47" t="e">
        <f>AVERAGE(S92:S94)</f>
        <v>#DIV/0!</v>
      </c>
      <c r="T95" s="48" t="e">
        <f t="shared" si="9"/>
        <v>#DIV/0!</v>
      </c>
      <c r="U95" s="122"/>
      <c r="V95" s="113"/>
      <c r="W95" s="47" t="e">
        <f>AVERAGE(W92:W94)</f>
        <v>#DIV/0!</v>
      </c>
      <c r="X95" s="47" t="e">
        <f>AVERAGE(X92:X94)</f>
        <v>#DIV/0!</v>
      </c>
      <c r="Y95" s="47" t="e">
        <f>AVERAGE(Y92:Y94)</f>
        <v>#DIV/0!</v>
      </c>
      <c r="Z95" s="47" t="e">
        <f>AVERAGE(Z92:Z94)</f>
        <v>#DIV/0!</v>
      </c>
      <c r="AA95" s="48" t="e">
        <f t="shared" si="10"/>
        <v>#DIV/0!</v>
      </c>
      <c r="AB95" s="122"/>
      <c r="AC95" s="122"/>
      <c r="AD95" s="122"/>
      <c r="AE95" s="122"/>
      <c r="AF95" s="122"/>
      <c r="AG95" s="122"/>
      <c r="AH95" s="122"/>
      <c r="AI95" s="122"/>
      <c r="AJ95" s="122"/>
      <c r="AK95" s="122"/>
      <c r="AL95" s="122"/>
      <c r="AM95" s="122"/>
      <c r="AN95" s="122"/>
      <c r="AO95" s="122"/>
      <c r="AP95" s="122"/>
      <c r="AQ95" s="122"/>
      <c r="AR95" s="122"/>
    </row>
    <row r="96" spans="1:44" s="83" customFormat="1" ht="16.5" x14ac:dyDescent="0.3">
      <c r="A96" s="114" t="s">
        <v>37</v>
      </c>
      <c r="B96" s="111">
        <f>COUNTIF(Table9131518[F1],B$79)/$B$78</f>
        <v>0</v>
      </c>
      <c r="C96" s="111">
        <f>COUNTIF(Table9131518[F1],C$79)/$B$78</f>
        <v>1</v>
      </c>
      <c r="D96" s="111">
        <f>COUNTIF(Table9131518[F1],D$79)/$B$78</f>
        <v>0</v>
      </c>
      <c r="E96" s="111">
        <f>COUNTIF(Table9131518[F1],E$79)/$B$78</f>
        <v>0</v>
      </c>
      <c r="F96" s="48">
        <f t="shared" si="7"/>
        <v>1</v>
      </c>
      <c r="H96" s="114" t="s">
        <v>37</v>
      </c>
      <c r="I96" s="111">
        <f>COUNTIFS(Table9131518[Prodi],"S1 Desain Komunikasi Visual",Table9131518[F1],I$79)/$I$78</f>
        <v>0</v>
      </c>
      <c r="J96" s="111">
        <f>COUNTIFS(Table9131518[Prodi],"S1 Desain Komunikasi Visual",Table9131518[F1],J$79)/$I$78</f>
        <v>1</v>
      </c>
      <c r="K96" s="111">
        <f>COUNTIFS(Table9131518[Prodi],"S1 Desain Komunikasi Visual",Table9131518[F1],K$79)/$I$78</f>
        <v>0</v>
      </c>
      <c r="L96" s="111">
        <f>COUNTIFS(Table9131518[Prodi],"S1 Desain Komunikasi Visual",Table9131518[F1],L$79)/$I$78</f>
        <v>0</v>
      </c>
      <c r="M96" s="48">
        <f t="shared" si="8"/>
        <v>1</v>
      </c>
      <c r="O96" s="114" t="s">
        <v>37</v>
      </c>
      <c r="P96" s="111" t="e">
        <f>COUNTIFS(Table9131518[Prodi],$P$76,Table9131518[F1],P$79)/$P$78</f>
        <v>#DIV/0!</v>
      </c>
      <c r="Q96" s="111" t="e">
        <f>COUNTIFS(Table9131518[Prodi],$P$76,Table9131518[F1],Q$79)/$P$78</f>
        <v>#DIV/0!</v>
      </c>
      <c r="R96" s="111" t="e">
        <f>COUNTIFS(Table9131518[Prodi],$P$76,Table9131518[F1],R$79)/$P$78</f>
        <v>#DIV/0!</v>
      </c>
      <c r="S96" s="111" t="e">
        <f>COUNTIFS(Table9131518[Prodi],$P$76,Table9131518[F1],S$79)/$P$78</f>
        <v>#DIV/0!</v>
      </c>
      <c r="T96" s="48" t="e">
        <f t="shared" si="9"/>
        <v>#DIV/0!</v>
      </c>
      <c r="U96" s="122"/>
      <c r="V96" s="114" t="s">
        <v>37</v>
      </c>
      <c r="W96" s="111" t="e">
        <f>COUNTIFS(Table9131518[Prodi],$W$76,Table9131518[F1],W$79)/$W$78</f>
        <v>#DIV/0!</v>
      </c>
      <c r="X96" s="111" t="e">
        <f>COUNTIFS(Table9131518[Prodi],$W$76,Table9131518[F1],X$79)/$W$78</f>
        <v>#DIV/0!</v>
      </c>
      <c r="Y96" s="111" t="e">
        <f>COUNTIFS(Table9131518[Prodi],$W$76,Table9131518[F1],Y$79)/$W$78</f>
        <v>#DIV/0!</v>
      </c>
      <c r="Z96" s="111" t="e">
        <f>COUNTIFS(Table9131518[Prodi],$W$76,Table9131518[F1],Z$79)/$W$78</f>
        <v>#DIV/0!</v>
      </c>
      <c r="AA96" s="48" t="e">
        <f t="shared" si="10"/>
        <v>#DIV/0!</v>
      </c>
      <c r="AB96" s="122"/>
      <c r="AC96" s="122"/>
      <c r="AD96" s="122"/>
      <c r="AE96" s="122"/>
      <c r="AF96" s="122"/>
      <c r="AG96" s="122"/>
      <c r="AH96" s="122"/>
      <c r="AI96" s="122"/>
      <c r="AJ96" s="122"/>
      <c r="AK96" s="122"/>
      <c r="AL96" s="122"/>
      <c r="AM96" s="122"/>
      <c r="AN96" s="122"/>
      <c r="AO96" s="122"/>
      <c r="AP96" s="122"/>
      <c r="AQ96" s="122"/>
      <c r="AR96" s="122"/>
    </row>
    <row r="97" spans="1:44" s="83" customFormat="1" ht="16.5" x14ac:dyDescent="0.3">
      <c r="A97" s="110" t="s">
        <v>38</v>
      </c>
      <c r="B97" s="111">
        <f>COUNTIF(Table9131518[F2],B$79)/$B$78</f>
        <v>0.5</v>
      </c>
      <c r="C97" s="111">
        <f>COUNTIF(Table9131518[F2],C$79)/$B$78</f>
        <v>0.5</v>
      </c>
      <c r="D97" s="111">
        <f>COUNTIF(Table9131518[F2],D$79)/$B$78</f>
        <v>0</v>
      </c>
      <c r="E97" s="111">
        <f>COUNTIF(Table9131518[F2],E$79)/$B$78</f>
        <v>0</v>
      </c>
      <c r="F97" s="48">
        <f t="shared" si="7"/>
        <v>1</v>
      </c>
      <c r="H97" s="110" t="s">
        <v>38</v>
      </c>
      <c r="I97" s="111">
        <f>COUNTIFS(Table9131518[Prodi],"S1 Desain Komunikasi Visual",Table9131518[F2],I$79)/$I$78</f>
        <v>0.5</v>
      </c>
      <c r="J97" s="111">
        <f>COUNTIFS(Table9131518[Prodi],"S1 Desain Komunikasi Visual",Table9131518[F2],J$79)/$I$78</f>
        <v>0.5</v>
      </c>
      <c r="K97" s="111">
        <f>COUNTIFS(Table9131518[Prodi],"S1 Desain Komunikasi Visual",Table9131518[F2],K$79)/$I$78</f>
        <v>0</v>
      </c>
      <c r="L97" s="111">
        <f>COUNTIFS(Table9131518[Prodi],"S1 Desain Komunikasi Visual",Table9131518[F2],L$79)/$I$78</f>
        <v>0</v>
      </c>
      <c r="M97" s="48">
        <f t="shared" si="8"/>
        <v>1</v>
      </c>
      <c r="O97" s="110" t="s">
        <v>38</v>
      </c>
      <c r="P97" s="111" t="e">
        <f>COUNTIFS(Table9131518[Prodi],$P$76,Table9131518[F2],P$79)/$P$78</f>
        <v>#DIV/0!</v>
      </c>
      <c r="Q97" s="111" t="e">
        <f>COUNTIFS(Table9131518[Prodi],$P$76,Table9131518[F2],Q$79)/$P$78</f>
        <v>#DIV/0!</v>
      </c>
      <c r="R97" s="111" t="e">
        <f>COUNTIFS(Table9131518[Prodi],$P$76,Table9131518[F2],R$79)/$P$78</f>
        <v>#DIV/0!</v>
      </c>
      <c r="S97" s="111" t="e">
        <f>COUNTIFS(Table9131518[Prodi],$P$76,Table9131518[F2],S$79)/$P$78</f>
        <v>#DIV/0!</v>
      </c>
      <c r="T97" s="48" t="e">
        <f t="shared" si="9"/>
        <v>#DIV/0!</v>
      </c>
      <c r="U97" s="122"/>
      <c r="V97" s="110" t="s">
        <v>38</v>
      </c>
      <c r="W97" s="111" t="e">
        <f>COUNTIFS(Table9131518[Prodi],$W$76,Table9131518[F2],W$79)/$W$78</f>
        <v>#DIV/0!</v>
      </c>
      <c r="X97" s="111" t="e">
        <f>COUNTIFS(Table9131518[Prodi],$W$76,Table9131518[F2],X$79)/$W$78</f>
        <v>#DIV/0!</v>
      </c>
      <c r="Y97" s="111" t="e">
        <f>COUNTIFS(Table9131518[Prodi],$W$76,Table9131518[F2],Y$79)/$W$78</f>
        <v>#DIV/0!</v>
      </c>
      <c r="Z97" s="111" t="e">
        <f>COUNTIFS(Table9131518[Prodi],$W$76,Table9131518[F2],Z$79)/$W$78</f>
        <v>#DIV/0!</v>
      </c>
      <c r="AA97" s="48" t="e">
        <f t="shared" si="10"/>
        <v>#DIV/0!</v>
      </c>
      <c r="AB97" s="122"/>
      <c r="AC97" s="122"/>
      <c r="AD97" s="122"/>
      <c r="AE97" s="122"/>
      <c r="AF97" s="122"/>
      <c r="AG97" s="122"/>
      <c r="AH97" s="122"/>
      <c r="AI97" s="122"/>
      <c r="AJ97" s="122"/>
      <c r="AK97" s="122"/>
      <c r="AL97" s="122"/>
      <c r="AM97" s="122"/>
      <c r="AN97" s="122"/>
      <c r="AO97" s="122"/>
      <c r="AP97" s="122"/>
      <c r="AQ97" s="122"/>
      <c r="AR97" s="122"/>
    </row>
    <row r="98" spans="1:44" s="83" customFormat="1" ht="16.5" x14ac:dyDescent="0.3">
      <c r="A98" s="110" t="s">
        <v>39</v>
      </c>
      <c r="B98" s="111">
        <f>COUNTIF(Table9131518[F3],B$79)/$B$78</f>
        <v>0.5</v>
      </c>
      <c r="C98" s="111">
        <f>COUNTIF(Table9131518[F3],C$79)/$B$78</f>
        <v>0.5</v>
      </c>
      <c r="D98" s="111">
        <f>COUNTIF(Table9131518[F3],D$79)/$B$78</f>
        <v>0</v>
      </c>
      <c r="E98" s="111">
        <f>COUNTIF(Table9131518[F3],E$79)/$B$78</f>
        <v>0</v>
      </c>
      <c r="F98" s="48">
        <f t="shared" si="7"/>
        <v>1</v>
      </c>
      <c r="H98" s="110" t="s">
        <v>39</v>
      </c>
      <c r="I98" s="111">
        <f>COUNTIFS(Table9131518[Prodi],"S1 Desain Komunikasi Visual",Table9131518[F3],I$79)/$I$78</f>
        <v>0.5</v>
      </c>
      <c r="J98" s="111">
        <f>COUNTIFS(Table9131518[Prodi],"S1 Desain Komunikasi Visual",Table9131518[F3],J$79)/$I$78</f>
        <v>0.5</v>
      </c>
      <c r="K98" s="111">
        <f>COUNTIFS(Table9131518[Prodi],"S1 Desain Komunikasi Visual",Table9131518[F3],K$79)/$I$78</f>
        <v>0</v>
      </c>
      <c r="L98" s="111">
        <f>COUNTIFS(Table9131518[Prodi],"S1 Desain Komunikasi Visual",Table9131518[F3],L$79)/$I$78</f>
        <v>0</v>
      </c>
      <c r="M98" s="48">
        <f t="shared" si="8"/>
        <v>1</v>
      </c>
      <c r="O98" s="110" t="s">
        <v>39</v>
      </c>
      <c r="P98" s="111" t="e">
        <f>COUNTIFS(Table9131518[Prodi],$P$76,Table9131518[F3],P$79)/$P$78</f>
        <v>#DIV/0!</v>
      </c>
      <c r="Q98" s="111" t="e">
        <f>COUNTIFS(Table9131518[Prodi],$P$76,Table9131518[F3],Q$79)/$P$78</f>
        <v>#DIV/0!</v>
      </c>
      <c r="R98" s="111" t="e">
        <f>COUNTIFS(Table9131518[Prodi],$P$76,Table9131518[F3],R$79)/$P$78</f>
        <v>#DIV/0!</v>
      </c>
      <c r="S98" s="111" t="e">
        <f>COUNTIFS(Table9131518[Prodi],$P$76,Table9131518[F3],S$79)/$P$78</f>
        <v>#DIV/0!</v>
      </c>
      <c r="T98" s="48" t="e">
        <f t="shared" si="9"/>
        <v>#DIV/0!</v>
      </c>
      <c r="U98" s="122"/>
      <c r="V98" s="110" t="s">
        <v>39</v>
      </c>
      <c r="W98" s="111" t="e">
        <f>COUNTIFS(Table9131518[Prodi],$W$76,Table9131518[F3],W$79)/$W$78</f>
        <v>#DIV/0!</v>
      </c>
      <c r="X98" s="111" t="e">
        <f>COUNTIFS(Table9131518[Prodi],$W$76,Table9131518[F3],X$79)/$W$78</f>
        <v>#DIV/0!</v>
      </c>
      <c r="Y98" s="111" t="e">
        <f>COUNTIFS(Table9131518[Prodi],$W$76,Table9131518[F3],Y$79)/$W$78</f>
        <v>#DIV/0!</v>
      </c>
      <c r="Z98" s="111" t="e">
        <f>COUNTIFS(Table9131518[Prodi],$W$76,Table9131518[F3],Z$79)/$W$78</f>
        <v>#DIV/0!</v>
      </c>
      <c r="AA98" s="48" t="e">
        <f t="shared" si="10"/>
        <v>#DIV/0!</v>
      </c>
      <c r="AB98" s="122"/>
      <c r="AC98" s="122"/>
      <c r="AD98" s="122"/>
      <c r="AE98" s="122"/>
      <c r="AF98" s="122"/>
      <c r="AG98" s="122"/>
      <c r="AH98" s="122"/>
      <c r="AI98" s="122"/>
      <c r="AJ98" s="122"/>
      <c r="AK98" s="122"/>
      <c r="AL98" s="122"/>
      <c r="AM98" s="122"/>
      <c r="AN98" s="122"/>
      <c r="AO98" s="122"/>
      <c r="AP98" s="122"/>
      <c r="AQ98" s="122"/>
      <c r="AR98" s="122"/>
    </row>
    <row r="99" spans="1:44" s="83" customFormat="1" ht="16.5" x14ac:dyDescent="0.3">
      <c r="A99" s="113"/>
      <c r="B99" s="47">
        <f>AVERAGE(B96:B98)</f>
        <v>0.33333333333333331</v>
      </c>
      <c r="C99" s="47">
        <f>AVERAGE(C96:C98)</f>
        <v>0.66666666666666663</v>
      </c>
      <c r="D99" s="47">
        <f>AVERAGE(D96:D98)</f>
        <v>0</v>
      </c>
      <c r="E99" s="47">
        <f>AVERAGE(E96:E98)</f>
        <v>0</v>
      </c>
      <c r="F99" s="48">
        <f>SUM(B99:E99)</f>
        <v>1</v>
      </c>
      <c r="H99" s="113"/>
      <c r="I99" s="47">
        <f>AVERAGE(I96:I98)</f>
        <v>0.33333333333333331</v>
      </c>
      <c r="J99" s="47">
        <f>AVERAGE(J96:J98)</f>
        <v>0.66666666666666663</v>
      </c>
      <c r="K99" s="47">
        <f>AVERAGE(K96:K98)</f>
        <v>0</v>
      </c>
      <c r="L99" s="47">
        <f>AVERAGE(L96:L98)</f>
        <v>0</v>
      </c>
      <c r="M99" s="48">
        <f>SUM(I99:L99)</f>
        <v>1</v>
      </c>
      <c r="O99" s="113"/>
      <c r="P99" s="47" t="e">
        <f>AVERAGE(P96:P98)</f>
        <v>#DIV/0!</v>
      </c>
      <c r="Q99" s="47" t="e">
        <f>AVERAGE(Q96:Q98)</f>
        <v>#DIV/0!</v>
      </c>
      <c r="R99" s="47" t="e">
        <f>AVERAGE(R96:R98)</f>
        <v>#DIV/0!</v>
      </c>
      <c r="S99" s="47" t="e">
        <f>AVERAGE(S96:S98)</f>
        <v>#DIV/0!</v>
      </c>
      <c r="T99" s="48" t="e">
        <f>SUM(P99:S99)</f>
        <v>#DIV/0!</v>
      </c>
      <c r="U99" s="122"/>
      <c r="V99" s="113"/>
      <c r="W99" s="47" t="e">
        <f>AVERAGE(W96:W98)</f>
        <v>#DIV/0!</v>
      </c>
      <c r="X99" s="47" t="e">
        <f>AVERAGE(X96:X98)</f>
        <v>#DIV/0!</v>
      </c>
      <c r="Y99" s="47" t="e">
        <f>AVERAGE(Y96:Y98)</f>
        <v>#DIV/0!</v>
      </c>
      <c r="Z99" s="47" t="e">
        <f>AVERAGE(Z96:Z98)</f>
        <v>#DIV/0!</v>
      </c>
      <c r="AA99" s="48" t="e">
        <f>SUM(W99:Z99)</f>
        <v>#DIV/0!</v>
      </c>
      <c r="AB99" s="122"/>
      <c r="AC99" s="122"/>
      <c r="AD99" s="122"/>
      <c r="AE99" s="122"/>
      <c r="AF99" s="122"/>
      <c r="AG99" s="122"/>
      <c r="AH99" s="122"/>
      <c r="AI99" s="122"/>
      <c r="AJ99" s="122"/>
      <c r="AK99" s="122"/>
      <c r="AL99" s="122"/>
      <c r="AM99" s="122"/>
      <c r="AN99" s="122"/>
      <c r="AO99" s="122"/>
      <c r="AP99" s="122"/>
      <c r="AQ99" s="122"/>
      <c r="AR99" s="122"/>
    </row>
    <row r="100" spans="1:44" s="83" customFormat="1" ht="16.5" x14ac:dyDescent="0.3">
      <c r="A100" s="110" t="s">
        <v>40</v>
      </c>
      <c r="B100" s="111">
        <f>COUNTIF(Table9131518[G1],B$79)/$B$78</f>
        <v>0.5</v>
      </c>
      <c r="C100" s="111">
        <f>COUNTIF(Table9131518[G1],C$79)/$B$78</f>
        <v>0.5</v>
      </c>
      <c r="D100" s="111">
        <f>COUNTIF(Table9131518[G1],D$79)/$B$78</f>
        <v>0</v>
      </c>
      <c r="E100" s="111">
        <f>COUNTIF(Table9131518[G1],E$79)/$B$78</f>
        <v>0</v>
      </c>
      <c r="F100" s="48">
        <f t="shared" si="7"/>
        <v>1</v>
      </c>
      <c r="H100" s="110" t="s">
        <v>40</v>
      </c>
      <c r="I100" s="111">
        <f>COUNTIFS(Table9131518[Prodi],"S1 Desain Komunikasi Visual",Table9131518[G1],I$79)/$I$78</f>
        <v>0.5</v>
      </c>
      <c r="J100" s="111">
        <f>COUNTIFS(Table9131518[Prodi],"S1 Desain Komunikasi Visual",Table9131518[G1],J$79)/$I$78</f>
        <v>0.5</v>
      </c>
      <c r="K100" s="111">
        <f>COUNTIFS(Table9131518[Prodi],"S1 Desain Komunikasi Visual",Table9131518[G1],K$79)/$I$78</f>
        <v>0</v>
      </c>
      <c r="L100" s="111">
        <f>COUNTIFS(Table9131518[Prodi],"S1 Desain Komunikasi Visual",Table9131518[G1],L$79)/$I$78</f>
        <v>0</v>
      </c>
      <c r="M100" s="48">
        <f t="shared" ref="M100:M119" si="11">SUM(I100:L100)</f>
        <v>1</v>
      </c>
      <c r="O100" s="110" t="s">
        <v>40</v>
      </c>
      <c r="P100" s="111" t="e">
        <f>COUNTIFS(Table9131518[Prodi],$P$76,Table9131518[G1],P$79)/$P$78</f>
        <v>#DIV/0!</v>
      </c>
      <c r="Q100" s="111" t="e">
        <f>COUNTIFS(Table9131518[Prodi],$P$76,Table9131518[G1],Q$79)/$P$78</f>
        <v>#DIV/0!</v>
      </c>
      <c r="R100" s="111" t="e">
        <f>COUNTIFS(Table9131518[Prodi],$P$76,Table9131518[G1],R$79)/$P$78</f>
        <v>#DIV/0!</v>
      </c>
      <c r="S100" s="111" t="e">
        <f>COUNTIFS(Table9131518[Prodi],$P$76,Table9131518[G1],S$79)/$P$78</f>
        <v>#DIV/0!</v>
      </c>
      <c r="T100" s="48" t="e">
        <f t="shared" ref="T100:T119" si="12">SUM(P100:S100)</f>
        <v>#DIV/0!</v>
      </c>
      <c r="U100" s="122"/>
      <c r="V100" s="110" t="s">
        <v>40</v>
      </c>
      <c r="W100" s="111" t="e">
        <f>COUNTIFS(Table9131518[Prodi],$W$76,Table9131518[G1],W$79)/$W$78</f>
        <v>#DIV/0!</v>
      </c>
      <c r="X100" s="111" t="e">
        <f>COUNTIFS(Table9131518[Prodi],$W$76,Table9131518[G1],X$79)/$W$78</f>
        <v>#DIV/0!</v>
      </c>
      <c r="Y100" s="111" t="e">
        <f>COUNTIFS(Table9131518[Prodi],$W$76,Table9131518[G1],Y$79)/$W$78</f>
        <v>#DIV/0!</v>
      </c>
      <c r="Z100" s="111" t="e">
        <f>COUNTIFS(Table9131518[Prodi],$W$76,Table9131518[G1],Z$79)/$W$78</f>
        <v>#DIV/0!</v>
      </c>
      <c r="AA100" s="48" t="e">
        <f t="shared" ref="AA100:AA119" si="13">SUM(W100:Z100)</f>
        <v>#DIV/0!</v>
      </c>
      <c r="AB100" s="122"/>
      <c r="AC100" s="122"/>
      <c r="AD100" s="122"/>
      <c r="AE100" s="122"/>
      <c r="AF100" s="122"/>
      <c r="AG100" s="122"/>
      <c r="AH100" s="122"/>
      <c r="AI100" s="122"/>
      <c r="AJ100" s="122"/>
      <c r="AK100" s="122"/>
      <c r="AL100" s="122"/>
      <c r="AM100" s="122"/>
      <c r="AN100" s="122"/>
      <c r="AO100" s="122"/>
      <c r="AP100" s="122"/>
      <c r="AQ100" s="122"/>
      <c r="AR100" s="122"/>
    </row>
    <row r="101" spans="1:44" s="83" customFormat="1" ht="16.5" x14ac:dyDescent="0.3">
      <c r="A101" s="114" t="s">
        <v>41</v>
      </c>
      <c r="B101" s="111">
        <f>COUNTIF(Table9131518[G2],B$79)/$B$78</f>
        <v>1</v>
      </c>
      <c r="C101" s="111">
        <f>COUNTIF(Table9131518[G2],C$79)/$B$78</f>
        <v>0</v>
      </c>
      <c r="D101" s="111">
        <f>COUNTIF(Table9131518[G2],D$79)/$B$78</f>
        <v>0</v>
      </c>
      <c r="E101" s="111">
        <f>COUNTIF(Table9131518[G2],E$79)/$B$78</f>
        <v>0</v>
      </c>
      <c r="F101" s="48">
        <f t="shared" si="7"/>
        <v>1</v>
      </c>
      <c r="H101" s="114" t="s">
        <v>41</v>
      </c>
      <c r="I101" s="111">
        <f>COUNTIFS(Table9131518[Prodi],"S1 Desain Komunikasi Visual",Table9131518[G2],I$79)/$I$78</f>
        <v>1</v>
      </c>
      <c r="J101" s="111">
        <f>COUNTIFS(Table9131518[Prodi],"S1 Desain Komunikasi Visual",Table9131518[G2],J$79)/$I$78</f>
        <v>0</v>
      </c>
      <c r="K101" s="111">
        <f>COUNTIFS(Table9131518[Prodi],"S1 Desain Komunikasi Visual",Table9131518[G2],K$79)/$I$78</f>
        <v>0</v>
      </c>
      <c r="L101" s="111">
        <f>COUNTIFS(Table9131518[Prodi],"S1 Desain Komunikasi Visual",Table9131518[G2],L$79)/$I$78</f>
        <v>0</v>
      </c>
      <c r="M101" s="48">
        <f t="shared" si="11"/>
        <v>1</v>
      </c>
      <c r="O101" s="114" t="s">
        <v>41</v>
      </c>
      <c r="P101" s="111" t="e">
        <f>COUNTIFS(Table9131518[Prodi],$P$76,Table9131518[G2],P$79)/$P$78</f>
        <v>#DIV/0!</v>
      </c>
      <c r="Q101" s="111" t="e">
        <f>COUNTIFS(Table9131518[Prodi],$P$76,Table9131518[G2],Q$79)/$P$78</f>
        <v>#DIV/0!</v>
      </c>
      <c r="R101" s="111" t="e">
        <f>COUNTIFS(Table9131518[Prodi],$P$76,Table9131518[G2],R$79)/$P$78</f>
        <v>#DIV/0!</v>
      </c>
      <c r="S101" s="111" t="e">
        <f>COUNTIFS(Table9131518[Prodi],$P$76,Table9131518[G2],S$79)/$P$78</f>
        <v>#DIV/0!</v>
      </c>
      <c r="T101" s="48" t="e">
        <f t="shared" si="12"/>
        <v>#DIV/0!</v>
      </c>
      <c r="U101" s="122"/>
      <c r="V101" s="114" t="s">
        <v>41</v>
      </c>
      <c r="W101" s="111" t="e">
        <f>COUNTIFS(Table9131518[Prodi],$W$76,Table9131518[G2],W$79)/$W$78</f>
        <v>#DIV/0!</v>
      </c>
      <c r="X101" s="111" t="e">
        <f>COUNTIFS(Table9131518[Prodi],$W$76,Table9131518[G2],X$79)/$W$78</f>
        <v>#DIV/0!</v>
      </c>
      <c r="Y101" s="111" t="e">
        <f>COUNTIFS(Table9131518[Prodi],$W$76,Table9131518[G2],Y$79)/$W$78</f>
        <v>#DIV/0!</v>
      </c>
      <c r="Z101" s="111" t="e">
        <f>COUNTIFS(Table9131518[Prodi],$W$76,Table9131518[G2],Z$79)/$W$78</f>
        <v>#DIV/0!</v>
      </c>
      <c r="AA101" s="48" t="e">
        <f t="shared" si="13"/>
        <v>#DIV/0!</v>
      </c>
      <c r="AB101" s="122"/>
      <c r="AC101" s="122"/>
      <c r="AD101" s="122"/>
      <c r="AE101" s="122"/>
      <c r="AF101" s="122"/>
      <c r="AG101" s="122"/>
      <c r="AH101" s="122"/>
      <c r="AI101" s="122"/>
      <c r="AJ101" s="122"/>
      <c r="AK101" s="122"/>
      <c r="AL101" s="122"/>
      <c r="AM101" s="122"/>
      <c r="AN101" s="122"/>
      <c r="AO101" s="122"/>
      <c r="AP101" s="122"/>
      <c r="AQ101" s="122"/>
      <c r="AR101" s="122"/>
    </row>
    <row r="102" spans="1:44" s="83" customFormat="1" ht="16.5" x14ac:dyDescent="0.3">
      <c r="A102" s="110" t="s">
        <v>202</v>
      </c>
      <c r="B102" s="111">
        <f>COUNTIF(Table9131518[G3],B$79)/$B$78</f>
        <v>0.5</v>
      </c>
      <c r="C102" s="111">
        <f>COUNTIF(Table9131518[G3],C$79)/$B$78</f>
        <v>0.5</v>
      </c>
      <c r="D102" s="111">
        <f>COUNTIF(Table9131518[G3],D$79)/$B$78</f>
        <v>0</v>
      </c>
      <c r="E102" s="111">
        <f>COUNTIF(Table9131518[G3],E$79)/$B$78</f>
        <v>0</v>
      </c>
      <c r="F102" s="48">
        <f t="shared" si="7"/>
        <v>1</v>
      </c>
      <c r="H102" s="110" t="s">
        <v>202</v>
      </c>
      <c r="I102" s="111">
        <f>COUNTIFS(Table9131518[Prodi],"S1 Desain Komunikasi Visual",Table9131518[G3],I$79)/$I$78</f>
        <v>0.5</v>
      </c>
      <c r="J102" s="111">
        <f>COUNTIFS(Table9131518[Prodi],"S1 Desain Komunikasi Visual",Table9131518[G3],J$79)/$I$78</f>
        <v>0.5</v>
      </c>
      <c r="K102" s="111">
        <f>COUNTIFS(Table9131518[Prodi],"S1 Desain Komunikasi Visual",Table9131518[G3],K$79)/$I$78</f>
        <v>0</v>
      </c>
      <c r="L102" s="111">
        <f>COUNTIFS(Table9131518[Prodi],"S1 Desain Komunikasi Visual",Table9131518[G3],L$79)/$I$78</f>
        <v>0</v>
      </c>
      <c r="M102" s="48">
        <f t="shared" si="11"/>
        <v>1</v>
      </c>
      <c r="O102" s="110" t="s">
        <v>202</v>
      </c>
      <c r="P102" s="111" t="e">
        <f>COUNTIFS(Table9131518[Prodi],$P$76,Table9131518[G3],P$79)/$P$78</f>
        <v>#DIV/0!</v>
      </c>
      <c r="Q102" s="111" t="e">
        <f>COUNTIFS(Table9131518[Prodi],$P$76,Table9131518[G3],Q$79)/$P$78</f>
        <v>#DIV/0!</v>
      </c>
      <c r="R102" s="111" t="e">
        <f>COUNTIFS(Table9131518[Prodi],$P$76,Table9131518[G3],R$79)/$P$78</f>
        <v>#DIV/0!</v>
      </c>
      <c r="S102" s="111" t="e">
        <f>COUNTIFS(Table9131518[Prodi],$P$76,Table9131518[G3],S$79)/$P$78</f>
        <v>#DIV/0!</v>
      </c>
      <c r="T102" s="48" t="e">
        <f t="shared" si="12"/>
        <v>#DIV/0!</v>
      </c>
      <c r="U102" s="122"/>
      <c r="V102" s="110" t="s">
        <v>202</v>
      </c>
      <c r="W102" s="111" t="e">
        <f>COUNTIFS(Table9131518[Prodi],$W$76,Table9131518[G3],W$79)/$W$78</f>
        <v>#DIV/0!</v>
      </c>
      <c r="X102" s="111" t="e">
        <f>COUNTIFS(Table9131518[Prodi],$W$76,Table9131518[G3],X$79)/$W$78</f>
        <v>#DIV/0!</v>
      </c>
      <c r="Y102" s="111" t="e">
        <f>COUNTIFS(Table9131518[Prodi],$W$76,Table9131518[G3],Y$79)/$W$78</f>
        <v>#DIV/0!</v>
      </c>
      <c r="Z102" s="111" t="e">
        <f>COUNTIFS(Table9131518[Prodi],$W$76,Table9131518[G3],Z$79)/$W$78</f>
        <v>#DIV/0!</v>
      </c>
      <c r="AA102" s="48" t="e">
        <f t="shared" si="13"/>
        <v>#DIV/0!</v>
      </c>
      <c r="AB102" s="122"/>
      <c r="AC102" s="122"/>
      <c r="AD102" s="122"/>
      <c r="AE102" s="122"/>
      <c r="AF102" s="122"/>
      <c r="AG102" s="122"/>
      <c r="AH102" s="122"/>
      <c r="AI102" s="122"/>
      <c r="AJ102" s="122"/>
      <c r="AK102" s="122"/>
      <c r="AL102" s="122"/>
      <c r="AM102" s="122"/>
      <c r="AN102" s="122"/>
      <c r="AO102" s="122"/>
      <c r="AP102" s="122"/>
      <c r="AQ102" s="122"/>
      <c r="AR102" s="122"/>
    </row>
    <row r="103" spans="1:44" s="83" customFormat="1" ht="16.5" x14ac:dyDescent="0.3">
      <c r="A103" s="113"/>
      <c r="B103" s="47">
        <f>AVERAGE(B100:B102)</f>
        <v>0.66666666666666663</v>
      </c>
      <c r="C103" s="47">
        <f>AVERAGE(C100:C102)</f>
        <v>0.33333333333333331</v>
      </c>
      <c r="D103" s="47">
        <f>AVERAGE(D100:D102)</f>
        <v>0</v>
      </c>
      <c r="E103" s="47">
        <f>AVERAGE(E100:E102)</f>
        <v>0</v>
      </c>
      <c r="F103" s="48">
        <f t="shared" si="7"/>
        <v>1</v>
      </c>
      <c r="H103" s="113"/>
      <c r="I103" s="47">
        <f>AVERAGE(I100:I102)</f>
        <v>0.66666666666666663</v>
      </c>
      <c r="J103" s="47">
        <f>AVERAGE(J100:J102)</f>
        <v>0.33333333333333331</v>
      </c>
      <c r="K103" s="47">
        <f>AVERAGE(K100:K102)</f>
        <v>0</v>
      </c>
      <c r="L103" s="47">
        <f>AVERAGE(L100:L102)</f>
        <v>0</v>
      </c>
      <c r="M103" s="48">
        <f t="shared" si="11"/>
        <v>1</v>
      </c>
      <c r="O103" s="113"/>
      <c r="P103" s="47" t="e">
        <f>AVERAGE(P100:P102)</f>
        <v>#DIV/0!</v>
      </c>
      <c r="Q103" s="47" t="e">
        <f>AVERAGE(Q100:Q102)</f>
        <v>#DIV/0!</v>
      </c>
      <c r="R103" s="47" t="e">
        <f>AVERAGE(R100:R102)</f>
        <v>#DIV/0!</v>
      </c>
      <c r="S103" s="47" t="e">
        <f>AVERAGE(S100:S102)</f>
        <v>#DIV/0!</v>
      </c>
      <c r="T103" s="48" t="e">
        <f t="shared" si="12"/>
        <v>#DIV/0!</v>
      </c>
      <c r="U103" s="122"/>
      <c r="V103" s="113"/>
      <c r="W103" s="47" t="e">
        <f>AVERAGE(W100:W102)</f>
        <v>#DIV/0!</v>
      </c>
      <c r="X103" s="47" t="e">
        <f>AVERAGE(X100:X102)</f>
        <v>#DIV/0!</v>
      </c>
      <c r="Y103" s="47" t="e">
        <f>AVERAGE(Y100:Y102)</f>
        <v>#DIV/0!</v>
      </c>
      <c r="Z103" s="47" t="e">
        <f>AVERAGE(Z100:Z102)</f>
        <v>#DIV/0!</v>
      </c>
      <c r="AA103" s="48" t="e">
        <f t="shared" si="13"/>
        <v>#DIV/0!</v>
      </c>
      <c r="AB103" s="122"/>
      <c r="AC103" s="122"/>
      <c r="AD103" s="122"/>
      <c r="AE103" s="122"/>
      <c r="AF103" s="122"/>
      <c r="AG103" s="122"/>
      <c r="AH103" s="122"/>
      <c r="AI103" s="122"/>
      <c r="AJ103" s="122"/>
      <c r="AK103" s="122"/>
      <c r="AL103" s="122"/>
      <c r="AM103" s="122"/>
      <c r="AN103" s="122"/>
      <c r="AO103" s="122"/>
      <c r="AP103" s="122"/>
      <c r="AQ103" s="122"/>
      <c r="AR103" s="122"/>
    </row>
    <row r="104" spans="1:44" s="83" customFormat="1" ht="16.5" x14ac:dyDescent="0.3">
      <c r="A104" s="110" t="s">
        <v>42</v>
      </c>
      <c r="B104" s="111">
        <f>COUNTIF(Table9131518[H1],B$79)/$B$78</f>
        <v>0.5</v>
      </c>
      <c r="C104" s="111">
        <f>COUNTIF(Table9131518[H1],C$79)/$B$78</f>
        <v>0.5</v>
      </c>
      <c r="D104" s="111">
        <f>COUNTIF(Table9131518[H1],D$79)/$B$78</f>
        <v>0</v>
      </c>
      <c r="E104" s="111">
        <f>COUNTIF(Table9131518[H1],E$79)/$B$78</f>
        <v>0</v>
      </c>
      <c r="F104" s="48">
        <f t="shared" si="7"/>
        <v>1</v>
      </c>
      <c r="H104" s="110" t="s">
        <v>42</v>
      </c>
      <c r="I104" s="111">
        <f>COUNTIFS(Table9131518[Prodi],"S1 Desain Komunikasi Visual",Table9131518[H1],I$79)/$I$78</f>
        <v>0.5</v>
      </c>
      <c r="J104" s="111">
        <f>COUNTIFS(Table9131518[Prodi],"S1 Desain Komunikasi Visual",Table9131518[H1],J$79)/$I$78</f>
        <v>0.5</v>
      </c>
      <c r="K104" s="111">
        <f>COUNTIFS(Table9131518[Prodi],"S1 Desain Komunikasi Visual",Table9131518[H1],K$79)/$I$78</f>
        <v>0</v>
      </c>
      <c r="L104" s="111">
        <f>COUNTIFS(Table9131518[Prodi],"S1 Desain Komunikasi Visual",Table9131518[H1],L$79)/$I$78</f>
        <v>0</v>
      </c>
      <c r="M104" s="48">
        <f t="shared" si="11"/>
        <v>1</v>
      </c>
      <c r="O104" s="110" t="s">
        <v>42</v>
      </c>
      <c r="P104" s="111" t="e">
        <f>COUNTIFS(Table9131518[Prodi],$P$76,Table9131518[H1],P$79)/$P$78</f>
        <v>#DIV/0!</v>
      </c>
      <c r="Q104" s="111" t="e">
        <f>COUNTIFS(Table9131518[Prodi],$P$76,Table9131518[H1],Q$79)/$P$78</f>
        <v>#DIV/0!</v>
      </c>
      <c r="R104" s="111" t="e">
        <f>COUNTIFS(Table9131518[Prodi],$P$76,Table9131518[H1],R$79)/$P$78</f>
        <v>#DIV/0!</v>
      </c>
      <c r="S104" s="111" t="e">
        <f>COUNTIFS(Table9131518[Prodi],$P$76,Table9131518[H1],S$79)/$P$78</f>
        <v>#DIV/0!</v>
      </c>
      <c r="T104" s="48" t="e">
        <f t="shared" si="12"/>
        <v>#DIV/0!</v>
      </c>
      <c r="U104" s="122"/>
      <c r="V104" s="110" t="s">
        <v>42</v>
      </c>
      <c r="W104" s="111" t="e">
        <f>COUNTIFS(Table9131518[Prodi],$W$76,Table9131518[H1],W$79)/$W$78</f>
        <v>#DIV/0!</v>
      </c>
      <c r="X104" s="111" t="e">
        <f>COUNTIFS(Table9131518[Prodi],$W$76,Table9131518[H1],X$79)/$W$78</f>
        <v>#DIV/0!</v>
      </c>
      <c r="Y104" s="111" t="e">
        <f>COUNTIFS(Table9131518[Prodi],$W$76,Table9131518[H1],Y$79)/$W$78</f>
        <v>#DIV/0!</v>
      </c>
      <c r="Z104" s="111" t="e">
        <f>COUNTIFS(Table9131518[Prodi],$W$76,Table9131518[H1],Z$79)/$W$78</f>
        <v>#DIV/0!</v>
      </c>
      <c r="AA104" s="48" t="e">
        <f t="shared" si="13"/>
        <v>#DIV/0!</v>
      </c>
      <c r="AB104" s="122"/>
      <c r="AC104" s="122"/>
      <c r="AD104" s="122"/>
      <c r="AE104" s="122"/>
      <c r="AF104" s="122"/>
      <c r="AG104" s="122"/>
      <c r="AH104" s="122"/>
      <c r="AI104" s="122"/>
      <c r="AJ104" s="122"/>
      <c r="AK104" s="122"/>
      <c r="AL104" s="122"/>
      <c r="AM104" s="122"/>
      <c r="AN104" s="122"/>
      <c r="AO104" s="122"/>
      <c r="AP104" s="122"/>
      <c r="AQ104" s="122"/>
      <c r="AR104" s="122"/>
    </row>
    <row r="105" spans="1:44" s="83" customFormat="1" ht="16.5" x14ac:dyDescent="0.3">
      <c r="A105" s="114" t="s">
        <v>43</v>
      </c>
      <c r="B105" s="111">
        <f>COUNTIF(Table9131518[H2],B$79)/$B$78</f>
        <v>0.5</v>
      </c>
      <c r="C105" s="111">
        <f>COUNTIF(Table9131518[H2],C$79)/$B$78</f>
        <v>0.5</v>
      </c>
      <c r="D105" s="111">
        <f>COUNTIF(Table9131518[H2],D$79)/$B$78</f>
        <v>0</v>
      </c>
      <c r="E105" s="111">
        <f>COUNTIF(Table9131518[H2],E$79)/$B$78</f>
        <v>0</v>
      </c>
      <c r="F105" s="48">
        <f t="shared" si="7"/>
        <v>1</v>
      </c>
      <c r="H105" s="114" t="s">
        <v>43</v>
      </c>
      <c r="I105" s="111">
        <f>COUNTIFS(Table9131518[Prodi],"S1 Desain Komunikasi Visual",Table9131518[H2],I$79)/$I$78</f>
        <v>0.5</v>
      </c>
      <c r="J105" s="111">
        <f>COUNTIFS(Table9131518[Prodi],"S1 Desain Komunikasi Visual",Table9131518[H2],J$79)/$I$78</f>
        <v>0.5</v>
      </c>
      <c r="K105" s="111">
        <f>COUNTIFS(Table9131518[Prodi],"S1 Desain Komunikasi Visual",Table9131518[H2],K$79)/$I$78</f>
        <v>0</v>
      </c>
      <c r="L105" s="111">
        <f>COUNTIFS(Table9131518[Prodi],"S1 Desain Komunikasi Visual",Table9131518[H2],L$79)/$I$78</f>
        <v>0</v>
      </c>
      <c r="M105" s="48">
        <f t="shared" si="11"/>
        <v>1</v>
      </c>
      <c r="O105" s="114" t="s">
        <v>43</v>
      </c>
      <c r="P105" s="111" t="e">
        <f>COUNTIFS(Table9131518[Prodi],$P$76,Table9131518[H2],P$79)/$P$78</f>
        <v>#DIV/0!</v>
      </c>
      <c r="Q105" s="111" t="e">
        <f>COUNTIFS(Table9131518[Prodi],$P$76,Table9131518[H2],Q$79)/$P$78</f>
        <v>#DIV/0!</v>
      </c>
      <c r="R105" s="111" t="e">
        <f>COUNTIFS(Table9131518[Prodi],$P$76,Table9131518[H2],R$79)/$P$78</f>
        <v>#DIV/0!</v>
      </c>
      <c r="S105" s="111" t="e">
        <f>COUNTIFS(Table9131518[Prodi],$P$76,Table9131518[H2],S$79)/$P$78</f>
        <v>#DIV/0!</v>
      </c>
      <c r="T105" s="48" t="e">
        <f t="shared" si="12"/>
        <v>#DIV/0!</v>
      </c>
      <c r="U105" s="122"/>
      <c r="V105" s="114" t="s">
        <v>43</v>
      </c>
      <c r="W105" s="111" t="e">
        <f>COUNTIFS(Table9131518[Prodi],$W$76,Table9131518[H2],W$79)/$W$78</f>
        <v>#DIV/0!</v>
      </c>
      <c r="X105" s="111" t="e">
        <f>COUNTIFS(Table9131518[Prodi],$W$76,Table9131518[H2],X$79)/$W$78</f>
        <v>#DIV/0!</v>
      </c>
      <c r="Y105" s="111" t="e">
        <f>COUNTIFS(Table9131518[Prodi],$W$76,Table9131518[H2],Y$79)/$W$78</f>
        <v>#DIV/0!</v>
      </c>
      <c r="Z105" s="111" t="e">
        <f>COUNTIFS(Table9131518[Prodi],$W$76,Table9131518[H2],Z$79)/$W$78</f>
        <v>#DIV/0!</v>
      </c>
      <c r="AA105" s="48" t="e">
        <f t="shared" si="13"/>
        <v>#DIV/0!</v>
      </c>
      <c r="AB105" s="122"/>
      <c r="AC105" s="122"/>
      <c r="AD105" s="122"/>
      <c r="AE105" s="122"/>
      <c r="AF105" s="122"/>
      <c r="AG105" s="122"/>
      <c r="AH105" s="122"/>
      <c r="AI105" s="122"/>
      <c r="AJ105" s="122"/>
      <c r="AK105" s="122"/>
      <c r="AL105" s="122"/>
      <c r="AM105" s="122"/>
      <c r="AN105" s="122"/>
      <c r="AO105" s="122"/>
      <c r="AP105" s="122"/>
      <c r="AQ105" s="122"/>
      <c r="AR105" s="122"/>
    </row>
    <row r="106" spans="1:44" s="83" customFormat="1" ht="16.5" x14ac:dyDescent="0.3">
      <c r="A106" s="110" t="s">
        <v>44</v>
      </c>
      <c r="B106" s="111">
        <f>COUNTIF(Table9131518[H3],B$79)/$B$78</f>
        <v>0.5</v>
      </c>
      <c r="C106" s="111">
        <f>COUNTIF(Table9131518[H3],C$79)/$B$78</f>
        <v>0.5</v>
      </c>
      <c r="D106" s="111">
        <f>COUNTIF(Table9131518[H3],D$79)/$B$78</f>
        <v>0</v>
      </c>
      <c r="E106" s="111">
        <f>COUNTIF(Table9131518[H3],E$79)/$B$78</f>
        <v>0</v>
      </c>
      <c r="F106" s="48">
        <f t="shared" si="7"/>
        <v>1</v>
      </c>
      <c r="H106" s="110" t="s">
        <v>44</v>
      </c>
      <c r="I106" s="111">
        <f>COUNTIFS(Table9131518[Prodi],"S1 Desain Komunikasi Visual",Table9131518[H3],I$79)/$I$78</f>
        <v>0.5</v>
      </c>
      <c r="J106" s="111">
        <f>COUNTIFS(Table9131518[Prodi],"S1 Desain Komunikasi Visual",Table9131518[H3],J$79)/$I$78</f>
        <v>0.5</v>
      </c>
      <c r="K106" s="111">
        <f>COUNTIFS(Table9131518[Prodi],"S1 Desain Komunikasi Visual",Table9131518[H3],K$79)/$I$78</f>
        <v>0</v>
      </c>
      <c r="L106" s="111">
        <f>COUNTIFS(Table9131518[Prodi],"S1 Desain Komunikasi Visual",Table9131518[H3],L$79)/$I$78</f>
        <v>0</v>
      </c>
      <c r="M106" s="48">
        <f t="shared" si="11"/>
        <v>1</v>
      </c>
      <c r="O106" s="110" t="s">
        <v>44</v>
      </c>
      <c r="P106" s="111" t="e">
        <f>COUNTIFS(Table9131518[Prodi],$P$76,Table9131518[H3],P$79)/$P$78</f>
        <v>#DIV/0!</v>
      </c>
      <c r="Q106" s="111" t="e">
        <f>COUNTIFS(Table9131518[Prodi],$P$76,Table9131518[H3],Q$79)/$P$78</f>
        <v>#DIV/0!</v>
      </c>
      <c r="R106" s="111" t="e">
        <f>COUNTIFS(Table9131518[Prodi],$P$76,Table9131518[H3],R$79)/$P$78</f>
        <v>#DIV/0!</v>
      </c>
      <c r="S106" s="111" t="e">
        <f>COUNTIFS(Table9131518[Prodi],$P$76,Table9131518[H3],S$79)/$P$78</f>
        <v>#DIV/0!</v>
      </c>
      <c r="T106" s="48" t="e">
        <f t="shared" si="12"/>
        <v>#DIV/0!</v>
      </c>
      <c r="U106" s="122"/>
      <c r="V106" s="110" t="s">
        <v>44</v>
      </c>
      <c r="W106" s="111" t="e">
        <f>COUNTIFS(Table9131518[Prodi],$W$76,Table9131518[H3],W$79)/$W$78</f>
        <v>#DIV/0!</v>
      </c>
      <c r="X106" s="111" t="e">
        <f>COUNTIFS(Table9131518[Prodi],$W$76,Table9131518[H3],X$79)/$W$78</f>
        <v>#DIV/0!</v>
      </c>
      <c r="Y106" s="111" t="e">
        <f>COUNTIFS(Table9131518[Prodi],$W$76,Table9131518[H3],Y$79)/$W$78</f>
        <v>#DIV/0!</v>
      </c>
      <c r="Z106" s="111" t="e">
        <f>COUNTIFS(Table9131518[Prodi],$W$76,Table9131518[H3],Z$79)/$W$78</f>
        <v>#DIV/0!</v>
      </c>
      <c r="AA106" s="48" t="e">
        <f t="shared" si="13"/>
        <v>#DIV/0!</v>
      </c>
      <c r="AB106" s="122"/>
      <c r="AC106" s="122"/>
      <c r="AD106" s="122"/>
      <c r="AE106" s="122"/>
      <c r="AF106" s="122"/>
      <c r="AG106" s="122"/>
      <c r="AH106" s="122"/>
      <c r="AI106" s="122"/>
      <c r="AJ106" s="122"/>
      <c r="AK106" s="122"/>
      <c r="AL106" s="122"/>
      <c r="AM106" s="122"/>
      <c r="AN106" s="122"/>
      <c r="AO106" s="122"/>
      <c r="AP106" s="122"/>
      <c r="AQ106" s="122"/>
      <c r="AR106" s="122"/>
    </row>
    <row r="107" spans="1:44" s="83" customFormat="1" ht="16.5" x14ac:dyDescent="0.3">
      <c r="A107" s="110" t="s">
        <v>45</v>
      </c>
      <c r="B107" s="111">
        <f>COUNTIF(Table9131518[H4],B$79)/$B$78</f>
        <v>0.5</v>
      </c>
      <c r="C107" s="111">
        <f>COUNTIF(Table9131518[H4],C$79)/$B$78</f>
        <v>0.5</v>
      </c>
      <c r="D107" s="111">
        <f>COUNTIF(Table9131518[H4],D$79)/$B$78</f>
        <v>0</v>
      </c>
      <c r="E107" s="111">
        <f>COUNTIF(Table9131518[H4],E$79)/$B$78</f>
        <v>0</v>
      </c>
      <c r="F107" s="48">
        <f t="shared" si="7"/>
        <v>1</v>
      </c>
      <c r="H107" s="110" t="s">
        <v>45</v>
      </c>
      <c r="I107" s="111">
        <f>COUNTIFS(Table9131518[Prodi],"S1 Desain Komunikasi Visual",Table9131518[H4],I$79)/$I$78</f>
        <v>0.5</v>
      </c>
      <c r="J107" s="111">
        <f>COUNTIFS(Table9131518[Prodi],"S1 Desain Komunikasi Visual",Table9131518[H4],J$79)/$I$78</f>
        <v>0.5</v>
      </c>
      <c r="K107" s="111">
        <f>COUNTIFS(Table9131518[Prodi],"S1 Desain Komunikasi Visual",Table9131518[H4],K$79)/$I$78</f>
        <v>0</v>
      </c>
      <c r="L107" s="111">
        <f>COUNTIFS(Table9131518[Prodi],"S1 Desain Komunikasi Visual",Table9131518[H4],L$79)/$I$78</f>
        <v>0</v>
      </c>
      <c r="M107" s="48">
        <f t="shared" si="11"/>
        <v>1</v>
      </c>
      <c r="O107" s="110" t="s">
        <v>45</v>
      </c>
      <c r="P107" s="111" t="e">
        <f>COUNTIFS(Table9131518[Prodi],$P$76,Table9131518[H4],P$79)/$P$78</f>
        <v>#DIV/0!</v>
      </c>
      <c r="Q107" s="111" t="e">
        <f>COUNTIFS(Table9131518[Prodi],$P$76,Table9131518[H4],Q$79)/$P$78</f>
        <v>#DIV/0!</v>
      </c>
      <c r="R107" s="111" t="e">
        <f>COUNTIFS(Table9131518[Prodi],$P$76,Table9131518[H4],R$79)/$P$78</f>
        <v>#DIV/0!</v>
      </c>
      <c r="S107" s="111" t="e">
        <f>COUNTIFS(Table9131518[Prodi],$P$76,Table9131518[H4],S$79)/$P$78</f>
        <v>#DIV/0!</v>
      </c>
      <c r="T107" s="48" t="e">
        <f t="shared" si="12"/>
        <v>#DIV/0!</v>
      </c>
      <c r="U107" s="122"/>
      <c r="V107" s="110" t="s">
        <v>45</v>
      </c>
      <c r="W107" s="111" t="e">
        <f>COUNTIFS(Table9131518[Prodi],$W$76,Table9131518[H4],W$79)/$W$78</f>
        <v>#DIV/0!</v>
      </c>
      <c r="X107" s="111" t="e">
        <f>COUNTIFS(Table9131518[Prodi],$W$76,Table9131518[H4],X$79)/$W$78</f>
        <v>#DIV/0!</v>
      </c>
      <c r="Y107" s="111" t="e">
        <f>COUNTIFS(Table9131518[Prodi],$W$76,Table9131518[H4],Y$79)/$W$78</f>
        <v>#DIV/0!</v>
      </c>
      <c r="Z107" s="111" t="e">
        <f>COUNTIFS(Table9131518[Prodi],$W$76,Table9131518[H4],Z$79)/$W$78</f>
        <v>#DIV/0!</v>
      </c>
      <c r="AA107" s="48" t="e">
        <f t="shared" si="13"/>
        <v>#DIV/0!</v>
      </c>
      <c r="AB107" s="122"/>
      <c r="AC107" s="122"/>
      <c r="AD107" s="122"/>
      <c r="AE107" s="122"/>
      <c r="AF107" s="122"/>
      <c r="AG107" s="122"/>
      <c r="AH107" s="122"/>
      <c r="AI107" s="122"/>
      <c r="AJ107" s="122"/>
      <c r="AK107" s="122"/>
      <c r="AL107" s="122"/>
      <c r="AM107" s="122"/>
      <c r="AN107" s="122"/>
      <c r="AO107" s="122"/>
      <c r="AP107" s="122"/>
      <c r="AQ107" s="122"/>
      <c r="AR107" s="122"/>
    </row>
    <row r="108" spans="1:44" s="83" customFormat="1" ht="16.5" x14ac:dyDescent="0.3">
      <c r="A108" s="113"/>
      <c r="B108" s="47">
        <f>AVERAGE(B104:B107)</f>
        <v>0.5</v>
      </c>
      <c r="C108" s="47">
        <f>AVERAGE(C104:C107)</f>
        <v>0.5</v>
      </c>
      <c r="D108" s="47">
        <f>AVERAGE(D104:D107)</f>
        <v>0</v>
      </c>
      <c r="E108" s="47">
        <f>AVERAGE(E104:E107)</f>
        <v>0</v>
      </c>
      <c r="F108" s="48">
        <f t="shared" si="7"/>
        <v>1</v>
      </c>
      <c r="H108" s="113"/>
      <c r="I108" s="47">
        <f>AVERAGE(I104:I107)</f>
        <v>0.5</v>
      </c>
      <c r="J108" s="47">
        <f>AVERAGE(J104:J107)</f>
        <v>0.5</v>
      </c>
      <c r="K108" s="47">
        <f>AVERAGE(K104:K107)</f>
        <v>0</v>
      </c>
      <c r="L108" s="47">
        <f>AVERAGE(L104:L107)</f>
        <v>0</v>
      </c>
      <c r="M108" s="48">
        <f t="shared" si="11"/>
        <v>1</v>
      </c>
      <c r="O108" s="113"/>
      <c r="P108" s="47" t="e">
        <f>AVERAGE(P104:P107)</f>
        <v>#DIV/0!</v>
      </c>
      <c r="Q108" s="47" t="e">
        <f>AVERAGE(Q104:Q107)</f>
        <v>#DIV/0!</v>
      </c>
      <c r="R108" s="47" t="e">
        <f>AVERAGE(R104:R107)</f>
        <v>#DIV/0!</v>
      </c>
      <c r="S108" s="47" t="e">
        <f>AVERAGE(S104:S107)</f>
        <v>#DIV/0!</v>
      </c>
      <c r="T108" s="48" t="e">
        <f t="shared" si="12"/>
        <v>#DIV/0!</v>
      </c>
      <c r="U108" s="122"/>
      <c r="V108" s="113"/>
      <c r="W108" s="47" t="e">
        <f>AVERAGE(W104:W107)</f>
        <v>#DIV/0!</v>
      </c>
      <c r="X108" s="47" t="e">
        <f>AVERAGE(X104:X107)</f>
        <v>#DIV/0!</v>
      </c>
      <c r="Y108" s="47" t="e">
        <f>AVERAGE(Y104:Y107)</f>
        <v>#DIV/0!</v>
      </c>
      <c r="Z108" s="47" t="e">
        <f>AVERAGE(Z104:Z107)</f>
        <v>#DIV/0!</v>
      </c>
      <c r="AA108" s="48" t="e">
        <f t="shared" si="13"/>
        <v>#DIV/0!</v>
      </c>
      <c r="AB108" s="122"/>
      <c r="AC108" s="122"/>
      <c r="AD108" s="122"/>
      <c r="AE108" s="122"/>
      <c r="AF108" s="122"/>
      <c r="AG108" s="122"/>
      <c r="AH108" s="122"/>
      <c r="AI108" s="122"/>
      <c r="AJ108" s="122"/>
      <c r="AK108" s="122"/>
      <c r="AL108" s="122"/>
      <c r="AM108" s="122"/>
      <c r="AN108" s="122"/>
      <c r="AO108" s="122"/>
      <c r="AP108" s="122"/>
      <c r="AQ108" s="122"/>
      <c r="AR108" s="122"/>
    </row>
    <row r="109" spans="1:44" s="83" customFormat="1" ht="16.5" x14ac:dyDescent="0.3">
      <c r="A109" s="110" t="s">
        <v>205</v>
      </c>
      <c r="B109" s="111">
        <f>COUNTIF(Table9131518[I1.1],B$79)/$B$78</f>
        <v>0</v>
      </c>
      <c r="C109" s="111">
        <f>COUNTIF(Table9131518[I1.1],C$79)/$B$78</f>
        <v>0.5</v>
      </c>
      <c r="D109" s="111">
        <f>COUNTIF(Table9131518[I1.1],D$79)/$B$78</f>
        <v>0.5</v>
      </c>
      <c r="E109" s="111">
        <f>COUNTIF(Table9131518[I1.1],E$79)/$B$78</f>
        <v>0</v>
      </c>
      <c r="F109" s="48">
        <f t="shared" si="7"/>
        <v>1</v>
      </c>
      <c r="H109" s="110" t="s">
        <v>205</v>
      </c>
      <c r="I109" s="111">
        <f>COUNTIFS(Table9131518[Prodi],"S1 Desain Komunikasi Visual",Table9131518[I1.1],I$79)/$I$78</f>
        <v>0</v>
      </c>
      <c r="J109" s="111">
        <f>COUNTIFS(Table9131518[Prodi],"S1 Desain Komunikasi Visual",Table9131518[I1.1],J$79)/$I$78</f>
        <v>0.5</v>
      </c>
      <c r="K109" s="111">
        <f>COUNTIFS(Table9131518[Prodi],"S1 Desain Komunikasi Visual",Table9131518[I1.1],K$79)/$I$78</f>
        <v>0.5</v>
      </c>
      <c r="L109" s="111">
        <f>COUNTIFS(Table9131518[Prodi],"S1 Desain Komunikasi Visual",Table9131518[I1.1],L$79)/$I$78</f>
        <v>0</v>
      </c>
      <c r="M109" s="48">
        <f t="shared" si="11"/>
        <v>1</v>
      </c>
      <c r="O109" s="110" t="s">
        <v>205</v>
      </c>
      <c r="P109" s="111" t="e">
        <f>COUNTIFS(Table9131518[Prodi],$P$76,Table9131518[I1.1],P$79)/$P$78</f>
        <v>#DIV/0!</v>
      </c>
      <c r="Q109" s="111" t="e">
        <f>COUNTIFS(Table9131518[Prodi],$P$76,Table9131518[I1.1],Q$79)/$P$78</f>
        <v>#DIV/0!</v>
      </c>
      <c r="R109" s="111" t="e">
        <f>COUNTIFS(Table9131518[Prodi],$P$76,Table9131518[I1.1],R$79)/$P$78</f>
        <v>#DIV/0!</v>
      </c>
      <c r="S109" s="111" t="e">
        <f>COUNTIFS(Table9131518[Prodi],$P$76,Table9131518[I1.1],S$79)/$P$78</f>
        <v>#DIV/0!</v>
      </c>
      <c r="T109" s="48" t="e">
        <f t="shared" si="12"/>
        <v>#DIV/0!</v>
      </c>
      <c r="U109" s="122"/>
      <c r="V109" s="110" t="s">
        <v>205</v>
      </c>
      <c r="W109" s="111" t="e">
        <f>COUNTIFS(Table9131518[Prodi],$W$76,Table9131518[I1.1],W$79)/$W$78</f>
        <v>#DIV/0!</v>
      </c>
      <c r="X109" s="111" t="e">
        <f>COUNTIFS(Table9131518[Prodi],$W$76,Table9131518[I1.1],X$79)/$W$78</f>
        <v>#DIV/0!</v>
      </c>
      <c r="Y109" s="111" t="e">
        <f>COUNTIFS(Table9131518[Prodi],$W$76,Table9131518[I1.1],Y$79)/$W$78</f>
        <v>#DIV/0!</v>
      </c>
      <c r="Z109" s="111" t="e">
        <f>COUNTIFS(Table9131518[Prodi],$W$76,Table9131518[I1.1],Z$79)/$W$78</f>
        <v>#DIV/0!</v>
      </c>
      <c r="AA109" s="48" t="e">
        <f t="shared" si="13"/>
        <v>#DIV/0!</v>
      </c>
      <c r="AB109" s="122"/>
      <c r="AC109" s="122"/>
      <c r="AD109" s="122"/>
      <c r="AE109" s="122"/>
      <c r="AF109" s="122"/>
      <c r="AG109" s="122"/>
      <c r="AH109" s="122"/>
      <c r="AI109" s="122"/>
      <c r="AJ109" s="122"/>
      <c r="AK109" s="122"/>
      <c r="AL109" s="122"/>
      <c r="AM109" s="122"/>
      <c r="AN109" s="122"/>
      <c r="AO109" s="122"/>
      <c r="AP109" s="122"/>
      <c r="AQ109" s="122"/>
      <c r="AR109" s="122"/>
    </row>
    <row r="110" spans="1:44" s="83" customFormat="1" ht="16.5" x14ac:dyDescent="0.3">
      <c r="A110" s="114" t="s">
        <v>206</v>
      </c>
      <c r="B110" s="111">
        <f>COUNTIF(Table9131518[I1.2],B$79)/$B$78</f>
        <v>0</v>
      </c>
      <c r="C110" s="111">
        <f>COUNTIF(Table9131518[I1.2],C$79)/$B$78</f>
        <v>0.5</v>
      </c>
      <c r="D110" s="111">
        <f>COUNTIF(Table9131518[I1.2],D$79)/$B$78</f>
        <v>0</v>
      </c>
      <c r="E110" s="111">
        <f>COUNTIF(Table9131518[I1.2],E$79)/$B$78</f>
        <v>0.5</v>
      </c>
      <c r="F110" s="48">
        <f t="shared" si="7"/>
        <v>1</v>
      </c>
      <c r="H110" s="114" t="s">
        <v>206</v>
      </c>
      <c r="I110" s="111">
        <f>COUNTIFS(Table9131518[Prodi],"S1 Desain Komunikasi Visual",Table9131518[I1.2],I$79)/$I$78</f>
        <v>0</v>
      </c>
      <c r="J110" s="111">
        <f>COUNTIFS(Table9131518[Prodi],"S1 Desain Komunikasi Visual",Table9131518[I1.2],J$79)/$I$78</f>
        <v>0.5</v>
      </c>
      <c r="K110" s="111">
        <f>COUNTIFS(Table9131518[Prodi],"S1 Desain Komunikasi Visual",Table9131518[I1.2],K$79)/$I$78</f>
        <v>0</v>
      </c>
      <c r="L110" s="111">
        <f>COUNTIFS(Table9131518[Prodi],"S1 Desain Komunikasi Visual",Table9131518[I1.2],L$79)/$I$78</f>
        <v>0.5</v>
      </c>
      <c r="M110" s="48">
        <f t="shared" si="11"/>
        <v>1</v>
      </c>
      <c r="O110" s="114" t="s">
        <v>206</v>
      </c>
      <c r="P110" s="111" t="e">
        <f>COUNTIFS(Table9131518[Prodi],$P$76,Table9131518[I1.2],P$79)/$P$78</f>
        <v>#DIV/0!</v>
      </c>
      <c r="Q110" s="111" t="e">
        <f>COUNTIFS(Table9131518[Prodi],$P$76,Table9131518[I1.2],Q$79)/$P$78</f>
        <v>#DIV/0!</v>
      </c>
      <c r="R110" s="111" t="e">
        <f>COUNTIFS(Table9131518[Prodi],$P$76,Table9131518[I1.2],R$79)/$P$78</f>
        <v>#DIV/0!</v>
      </c>
      <c r="S110" s="111" t="e">
        <f>COUNTIFS(Table9131518[Prodi],$P$76,Table9131518[I1.2],S$79)/$P$78</f>
        <v>#DIV/0!</v>
      </c>
      <c r="T110" s="48" t="e">
        <f t="shared" si="12"/>
        <v>#DIV/0!</v>
      </c>
      <c r="U110" s="122"/>
      <c r="V110" s="114" t="s">
        <v>206</v>
      </c>
      <c r="W110" s="111" t="e">
        <f>COUNTIFS(Table9131518[Prodi],$W$76,Table9131518[I1.2],W$79)/$W$78</f>
        <v>#DIV/0!</v>
      </c>
      <c r="X110" s="111" t="e">
        <f>COUNTIFS(Table9131518[Prodi],$W$76,Table9131518[I1.2],X$79)/$W$78</f>
        <v>#DIV/0!</v>
      </c>
      <c r="Y110" s="111" t="e">
        <f>COUNTIFS(Table9131518[Prodi],$W$76,Table9131518[I1.2],Y$79)/$W$78</f>
        <v>#DIV/0!</v>
      </c>
      <c r="Z110" s="111" t="e">
        <f>COUNTIFS(Table9131518[Prodi],$W$76,Table9131518[I1.2],Z$79)/$W$78</f>
        <v>#DIV/0!</v>
      </c>
      <c r="AA110" s="48" t="e">
        <f t="shared" si="13"/>
        <v>#DIV/0!</v>
      </c>
      <c r="AB110" s="122"/>
      <c r="AC110" s="122"/>
      <c r="AD110" s="122"/>
      <c r="AE110" s="122"/>
      <c r="AF110" s="122"/>
      <c r="AG110" s="122"/>
      <c r="AH110" s="122"/>
      <c r="AI110" s="122"/>
      <c r="AJ110" s="122"/>
      <c r="AK110" s="122"/>
      <c r="AL110" s="122"/>
      <c r="AM110" s="122"/>
      <c r="AN110" s="122"/>
      <c r="AO110" s="122"/>
      <c r="AP110" s="122"/>
      <c r="AQ110" s="122"/>
      <c r="AR110" s="122"/>
    </row>
    <row r="111" spans="1:44" s="83" customFormat="1" ht="16.5" x14ac:dyDescent="0.3">
      <c r="A111" s="110" t="s">
        <v>207</v>
      </c>
      <c r="B111" s="111">
        <f>COUNTIF(Table9131518[I1.3],B$79)/$B$78</f>
        <v>0</v>
      </c>
      <c r="C111" s="111">
        <f>COUNTIF(Table9131518[I1.3],C$79)/$B$78</f>
        <v>0.5</v>
      </c>
      <c r="D111" s="111">
        <f>COUNTIF(Table9131518[I1.3],D$79)/$B$78</f>
        <v>0</v>
      </c>
      <c r="E111" s="111">
        <f>COUNTIF(Table9131518[I1.3],E$79)/$B$78</f>
        <v>0.5</v>
      </c>
      <c r="F111" s="48">
        <f t="shared" si="7"/>
        <v>1</v>
      </c>
      <c r="H111" s="110" t="s">
        <v>207</v>
      </c>
      <c r="I111" s="111">
        <f>COUNTIFS(Table9131518[Prodi],"S1 Desain Komunikasi Visual",Table9131518[I1.3],I$79)/$I$78</f>
        <v>0</v>
      </c>
      <c r="J111" s="111">
        <f>COUNTIFS(Table9131518[Prodi],"S1 Desain Komunikasi Visual",Table9131518[I1.3],J$79)/$I$78</f>
        <v>0.5</v>
      </c>
      <c r="K111" s="111">
        <f>COUNTIFS(Table9131518[Prodi],"S1 Desain Komunikasi Visual",Table9131518[I1.3],K$79)/$I$78</f>
        <v>0</v>
      </c>
      <c r="L111" s="111">
        <f>COUNTIFS(Table9131518[Prodi],"S1 Desain Komunikasi Visual",Table9131518[I1.3],L$79)/$I$78</f>
        <v>0.5</v>
      </c>
      <c r="M111" s="48">
        <f t="shared" si="11"/>
        <v>1</v>
      </c>
      <c r="O111" s="110" t="s">
        <v>207</v>
      </c>
      <c r="P111" s="111" t="e">
        <f>COUNTIFS(Table9131518[Prodi],$P$76,Table9131518[I1.3],P$79)/$P$78</f>
        <v>#DIV/0!</v>
      </c>
      <c r="Q111" s="111" t="e">
        <f>COUNTIFS(Table9131518[Prodi],$P$76,Table9131518[I1.3],Q$79)/$P$78</f>
        <v>#DIV/0!</v>
      </c>
      <c r="R111" s="111" t="e">
        <f>COUNTIFS(Table9131518[Prodi],$P$76,Table9131518[I1.3],R$79)/$P$78</f>
        <v>#DIV/0!</v>
      </c>
      <c r="S111" s="111" t="e">
        <f>COUNTIFS(Table9131518[Prodi],$P$76,Table9131518[I1.3],S$79)/$P$78</f>
        <v>#DIV/0!</v>
      </c>
      <c r="T111" s="48" t="e">
        <f t="shared" si="12"/>
        <v>#DIV/0!</v>
      </c>
      <c r="U111" s="122"/>
      <c r="V111" s="110" t="s">
        <v>207</v>
      </c>
      <c r="W111" s="111" t="e">
        <f>COUNTIFS(Table9131518[Prodi],$W$76,Table9131518[I1.3],W$79)/$W$78</f>
        <v>#DIV/0!</v>
      </c>
      <c r="X111" s="111" t="e">
        <f>COUNTIFS(Table9131518[Prodi],$W$76,Table9131518[I1.3],X$79)/$W$78</f>
        <v>#DIV/0!</v>
      </c>
      <c r="Y111" s="111" t="e">
        <f>COUNTIFS(Table9131518[Prodi],$W$76,Table9131518[I1.3],Y$79)/$W$78</f>
        <v>#DIV/0!</v>
      </c>
      <c r="Z111" s="111" t="e">
        <f>COUNTIFS(Table9131518[Prodi],$W$76,Table9131518[I1.3],Z$79)/$W$78</f>
        <v>#DIV/0!</v>
      </c>
      <c r="AA111" s="48" t="e">
        <f t="shared" si="13"/>
        <v>#DIV/0!</v>
      </c>
      <c r="AB111" s="122"/>
      <c r="AC111" s="122"/>
      <c r="AD111" s="122"/>
      <c r="AE111" s="122"/>
      <c r="AF111" s="122"/>
      <c r="AG111" s="122"/>
      <c r="AH111" s="122"/>
      <c r="AI111" s="122"/>
      <c r="AJ111" s="122"/>
      <c r="AK111" s="122"/>
      <c r="AL111" s="122"/>
      <c r="AM111" s="122"/>
      <c r="AN111" s="122"/>
      <c r="AO111" s="122"/>
      <c r="AP111" s="122"/>
      <c r="AQ111" s="122"/>
      <c r="AR111" s="122"/>
    </row>
    <row r="112" spans="1:44" s="83" customFormat="1" ht="16.5" x14ac:dyDescent="0.3">
      <c r="A112" s="110" t="s">
        <v>208</v>
      </c>
      <c r="B112" s="111">
        <f>COUNTIF(Table9131518[I1.4],B$79)/$B$78</f>
        <v>0</v>
      </c>
      <c r="C112" s="111">
        <f>COUNTIF(Table9131518[I1.4],C$79)/$B$78</f>
        <v>0.5</v>
      </c>
      <c r="D112" s="111">
        <f>COUNTIF(Table9131518[I1.4],D$79)/$B$78</f>
        <v>0</v>
      </c>
      <c r="E112" s="111">
        <f>COUNTIF(Table9131518[I1.4],E$79)/$B$78</f>
        <v>0.5</v>
      </c>
      <c r="F112" s="48">
        <f t="shared" si="7"/>
        <v>1</v>
      </c>
      <c r="H112" s="110" t="s">
        <v>208</v>
      </c>
      <c r="I112" s="111">
        <f>COUNTIFS(Table9131518[Prodi],"S1 Desain Komunikasi Visual",Table9131518[I1.4],I$79)/$I$78</f>
        <v>0</v>
      </c>
      <c r="J112" s="111">
        <f>COUNTIFS(Table9131518[Prodi],"S1 Desain Komunikasi Visual",Table9131518[I1.4],J$79)/$I$78</f>
        <v>0.5</v>
      </c>
      <c r="K112" s="111">
        <f>COUNTIFS(Table9131518[Prodi],"S1 Desain Komunikasi Visual",Table9131518[I1.4],K$79)/$I$78</f>
        <v>0</v>
      </c>
      <c r="L112" s="111">
        <f>COUNTIFS(Table9131518[Prodi],"S1 Desain Komunikasi Visual",Table9131518[I1.4],L$79)/$I$78</f>
        <v>0.5</v>
      </c>
      <c r="M112" s="48">
        <f t="shared" si="11"/>
        <v>1</v>
      </c>
      <c r="O112" s="110" t="s">
        <v>208</v>
      </c>
      <c r="P112" s="111" t="e">
        <f>COUNTIFS(Table9131518[Prodi],$P$76,Table9131518[I1.4],P$79)/$P$78</f>
        <v>#DIV/0!</v>
      </c>
      <c r="Q112" s="111" t="e">
        <f>COUNTIFS(Table9131518[Prodi],$P$76,Table9131518[I1.4],Q$79)/$P$78</f>
        <v>#DIV/0!</v>
      </c>
      <c r="R112" s="111" t="e">
        <f>COUNTIFS(Table9131518[Prodi],$P$76,Table9131518[I1.4],R$79)/$P$78</f>
        <v>#DIV/0!</v>
      </c>
      <c r="S112" s="111" t="e">
        <f>COUNTIFS(Table9131518[Prodi],$P$76,Table9131518[I1.4],S$79)/$P$78</f>
        <v>#DIV/0!</v>
      </c>
      <c r="T112" s="48" t="e">
        <f t="shared" si="12"/>
        <v>#DIV/0!</v>
      </c>
      <c r="U112" s="122"/>
      <c r="V112" s="110" t="s">
        <v>208</v>
      </c>
      <c r="W112" s="111" t="e">
        <f>COUNTIFS(Table9131518[Prodi],$W$76,Table9131518[I1.4],W$79)/$W$78</f>
        <v>#DIV/0!</v>
      </c>
      <c r="X112" s="111" t="e">
        <f>COUNTIFS(Table9131518[Prodi],$W$76,Table9131518[I1.4],X$79)/$W$78</f>
        <v>#DIV/0!</v>
      </c>
      <c r="Y112" s="111" t="e">
        <f>COUNTIFS(Table9131518[Prodi],$W$76,Table9131518[I1.4],Y$79)/$W$78</f>
        <v>#DIV/0!</v>
      </c>
      <c r="Z112" s="111" t="e">
        <f>COUNTIFS(Table9131518[Prodi],$W$76,Table9131518[I1.4],Z$79)/$W$78</f>
        <v>#DIV/0!</v>
      </c>
      <c r="AA112" s="48" t="e">
        <f t="shared" si="13"/>
        <v>#DIV/0!</v>
      </c>
      <c r="AB112" s="122"/>
      <c r="AC112" s="122"/>
      <c r="AD112" s="122"/>
      <c r="AE112" s="122"/>
      <c r="AF112" s="122"/>
      <c r="AG112" s="122"/>
      <c r="AH112" s="122"/>
      <c r="AI112" s="122"/>
      <c r="AJ112" s="122"/>
      <c r="AK112" s="122"/>
      <c r="AL112" s="122"/>
      <c r="AM112" s="122"/>
      <c r="AN112" s="122"/>
      <c r="AO112" s="122"/>
      <c r="AP112" s="122"/>
      <c r="AQ112" s="122"/>
      <c r="AR112" s="122"/>
    </row>
    <row r="113" spans="1:44" s="83" customFormat="1" ht="16.5" x14ac:dyDescent="0.3">
      <c r="A113" s="110" t="s">
        <v>209</v>
      </c>
      <c r="B113" s="111">
        <f>COUNTIF(Table9131518[I1.5],B$79)/$B$78</f>
        <v>0</v>
      </c>
      <c r="C113" s="111">
        <f>COUNTIF(Table9131518[I1.5],C$79)/$B$78</f>
        <v>0.5</v>
      </c>
      <c r="D113" s="111">
        <f>COUNTIF(Table9131518[I1.5],D$79)/$B$78</f>
        <v>0</v>
      </c>
      <c r="E113" s="111">
        <f>COUNTIF(Table9131518[I1.5],E$79)/$B$78</f>
        <v>0.5</v>
      </c>
      <c r="F113" s="48">
        <f t="shared" si="7"/>
        <v>1</v>
      </c>
      <c r="H113" s="110" t="s">
        <v>209</v>
      </c>
      <c r="I113" s="111">
        <f>COUNTIFS(Table9131518[Prodi],"S1 Desain Komunikasi Visual",Table9131518[I1.5],I$79)/$I$78</f>
        <v>0</v>
      </c>
      <c r="J113" s="111">
        <f>COUNTIFS(Table9131518[Prodi],"S1 Desain Komunikasi Visual",Table9131518[I1.5],J$79)/$I$78</f>
        <v>0.5</v>
      </c>
      <c r="K113" s="111">
        <f>COUNTIFS(Table9131518[Prodi],"S1 Desain Komunikasi Visual",Table9131518[I1.5],K$79)/$I$78</f>
        <v>0</v>
      </c>
      <c r="L113" s="111">
        <f>COUNTIFS(Table9131518[Prodi],"S1 Desain Komunikasi Visual",Table9131518[I1.5],L$79)/$I$78</f>
        <v>0.5</v>
      </c>
      <c r="M113" s="48">
        <f t="shared" si="11"/>
        <v>1</v>
      </c>
      <c r="O113" s="110" t="s">
        <v>209</v>
      </c>
      <c r="P113" s="111" t="e">
        <f>COUNTIFS(Table9131518[Prodi],$P$76,Table9131518[I1.5],P$79)/$P$78</f>
        <v>#DIV/0!</v>
      </c>
      <c r="Q113" s="111" t="e">
        <f>COUNTIFS(Table9131518[Prodi],$P$76,Table9131518[I1.5],Q$79)/$P$78</f>
        <v>#DIV/0!</v>
      </c>
      <c r="R113" s="111" t="e">
        <f>COUNTIFS(Table9131518[Prodi],$P$76,Table9131518[I1.5],R$79)/$P$78</f>
        <v>#DIV/0!</v>
      </c>
      <c r="S113" s="111" t="e">
        <f>COUNTIFS(Table9131518[Prodi],$P$76,Table9131518[I1.5],S$79)/$P$78</f>
        <v>#DIV/0!</v>
      </c>
      <c r="T113" s="48" t="e">
        <f t="shared" si="12"/>
        <v>#DIV/0!</v>
      </c>
      <c r="U113" s="122"/>
      <c r="V113" s="110" t="s">
        <v>209</v>
      </c>
      <c r="W113" s="111" t="e">
        <f>COUNTIFS(Table9131518[Prodi],$W$76,Table9131518[I1.5],W$79)/$W$78</f>
        <v>#DIV/0!</v>
      </c>
      <c r="X113" s="111" t="e">
        <f>COUNTIFS(Table9131518[Prodi],$W$76,Table9131518[I1.5],X$79)/$W$78</f>
        <v>#DIV/0!</v>
      </c>
      <c r="Y113" s="111" t="e">
        <f>COUNTIFS(Table9131518[Prodi],$W$76,Table9131518[I1.5],Y$79)/$W$78</f>
        <v>#DIV/0!</v>
      </c>
      <c r="Z113" s="111" t="e">
        <f>COUNTIFS(Table9131518[Prodi],$W$76,Table9131518[I1.5],Z$79)/$W$78</f>
        <v>#DIV/0!</v>
      </c>
      <c r="AA113" s="48" t="e">
        <f t="shared" si="13"/>
        <v>#DIV/0!</v>
      </c>
      <c r="AB113" s="122"/>
      <c r="AC113" s="122"/>
      <c r="AD113" s="122"/>
      <c r="AE113" s="122"/>
      <c r="AF113" s="122"/>
      <c r="AG113" s="122"/>
      <c r="AH113" s="122"/>
      <c r="AI113" s="122"/>
      <c r="AJ113" s="122"/>
      <c r="AK113" s="122"/>
      <c r="AL113" s="122"/>
      <c r="AM113" s="122"/>
      <c r="AN113" s="122"/>
      <c r="AO113" s="122"/>
      <c r="AP113" s="122"/>
      <c r="AQ113" s="122"/>
      <c r="AR113" s="122"/>
    </row>
    <row r="114" spans="1:44" s="83" customFormat="1" ht="16.5" x14ac:dyDescent="0.3">
      <c r="A114" s="113"/>
      <c r="B114" s="47">
        <f>AVERAGE(B109:B113)</f>
        <v>0</v>
      </c>
      <c r="C114" s="47">
        <f>AVERAGE(C109:C113)</f>
        <v>0.5</v>
      </c>
      <c r="D114" s="47">
        <f>AVERAGE(D109:D113)</f>
        <v>0.1</v>
      </c>
      <c r="E114" s="47">
        <f>AVERAGE(E109:E113)</f>
        <v>0.4</v>
      </c>
      <c r="F114" s="48">
        <f t="shared" si="7"/>
        <v>1</v>
      </c>
      <c r="H114" s="113"/>
      <c r="I114" s="47">
        <f>AVERAGE(I109:I113)</f>
        <v>0</v>
      </c>
      <c r="J114" s="47">
        <f>AVERAGE(J109:J113)</f>
        <v>0.5</v>
      </c>
      <c r="K114" s="47">
        <f>AVERAGE(K109:K113)</f>
        <v>0.1</v>
      </c>
      <c r="L114" s="47">
        <f>AVERAGE(L109:L113)</f>
        <v>0.4</v>
      </c>
      <c r="M114" s="48">
        <f t="shared" si="11"/>
        <v>1</v>
      </c>
      <c r="O114" s="113"/>
      <c r="P114" s="47" t="e">
        <f>AVERAGE(P109:P113)</f>
        <v>#DIV/0!</v>
      </c>
      <c r="Q114" s="47" t="e">
        <f>AVERAGE(Q109:Q113)</f>
        <v>#DIV/0!</v>
      </c>
      <c r="R114" s="47" t="e">
        <f>AVERAGE(R109:R113)</f>
        <v>#DIV/0!</v>
      </c>
      <c r="S114" s="47" t="e">
        <f>AVERAGE(S109:S113)</f>
        <v>#DIV/0!</v>
      </c>
      <c r="T114" s="48" t="e">
        <f t="shared" si="12"/>
        <v>#DIV/0!</v>
      </c>
      <c r="U114" s="122"/>
      <c r="V114" s="113"/>
      <c r="W114" s="47" t="e">
        <f>AVERAGE(W109:W113)</f>
        <v>#DIV/0!</v>
      </c>
      <c r="X114" s="47" t="e">
        <f>AVERAGE(X109:X113)</f>
        <v>#DIV/0!</v>
      </c>
      <c r="Y114" s="47" t="e">
        <f>AVERAGE(Y109:Y113)</f>
        <v>#DIV/0!</v>
      </c>
      <c r="Z114" s="47" t="e">
        <f>AVERAGE(Z109:Z113)</f>
        <v>#DIV/0!</v>
      </c>
      <c r="AA114" s="48" t="e">
        <f t="shared" si="13"/>
        <v>#DIV/0!</v>
      </c>
      <c r="AB114" s="122"/>
      <c r="AC114" s="122"/>
      <c r="AD114" s="122"/>
      <c r="AE114" s="122"/>
      <c r="AF114" s="122"/>
      <c r="AG114" s="122"/>
      <c r="AH114" s="122"/>
      <c r="AI114" s="122"/>
      <c r="AJ114" s="122"/>
      <c r="AK114" s="122"/>
      <c r="AL114" s="122"/>
      <c r="AM114" s="122"/>
      <c r="AN114" s="122"/>
      <c r="AO114" s="122"/>
      <c r="AP114" s="122"/>
      <c r="AQ114" s="122"/>
      <c r="AR114" s="122"/>
    </row>
    <row r="115" spans="1:44" s="83" customFormat="1" ht="16.5" x14ac:dyDescent="0.3">
      <c r="A115" s="110" t="s">
        <v>211</v>
      </c>
      <c r="B115" s="111">
        <f>COUNTIF(Table9131518[I2.1],B$79)/$B$78</f>
        <v>0</v>
      </c>
      <c r="C115" s="111">
        <f>COUNTIF(Table9131518[I2.1],C$79)/$B$78</f>
        <v>0.5</v>
      </c>
      <c r="D115" s="111">
        <f>COUNTIF(Table9131518[I2.1],D$79)/$B$78</f>
        <v>0</v>
      </c>
      <c r="E115" s="111">
        <f>COUNTIF(Table9131518[I2.1],E$79)/$B$78</f>
        <v>0.5</v>
      </c>
      <c r="F115" s="48">
        <f t="shared" si="7"/>
        <v>1</v>
      </c>
      <c r="H115" s="110" t="s">
        <v>211</v>
      </c>
      <c r="I115" s="111">
        <f>COUNTIFS(Table9131518[Prodi],"S1 Desain Komunikasi Visual",Table9131518[I2.1],I$79)/$I$78</f>
        <v>0</v>
      </c>
      <c r="J115" s="111">
        <f>COUNTIFS(Table9131518[Prodi],"S1 Desain Komunikasi Visual",Table9131518[I2.1],J$79)/$I$78</f>
        <v>0.5</v>
      </c>
      <c r="K115" s="111">
        <f>COUNTIFS(Table9131518[Prodi],"S1 Desain Komunikasi Visual",Table9131518[I2.1],K$79)/$I$78</f>
        <v>0</v>
      </c>
      <c r="L115" s="111">
        <f>COUNTIFS(Table9131518[Prodi],"S1 Desain Komunikasi Visual",Table9131518[I2.1],L$79)/$I$78</f>
        <v>0.5</v>
      </c>
      <c r="M115" s="48">
        <f t="shared" si="11"/>
        <v>1</v>
      </c>
      <c r="O115" s="110" t="s">
        <v>211</v>
      </c>
      <c r="P115" s="111" t="e">
        <f>COUNTIFS(Table9131518[Prodi],$P$76,Table9131518[I2.1],P$79)/$P$78</f>
        <v>#DIV/0!</v>
      </c>
      <c r="Q115" s="111" t="e">
        <f>COUNTIFS(Table9131518[Prodi],$P$76,Table9131518[I2.1],Q$79)/$P$78</f>
        <v>#DIV/0!</v>
      </c>
      <c r="R115" s="111" t="e">
        <f>COUNTIFS(Table9131518[Prodi],$P$76,Table9131518[I2.1],R$79)/$P$78</f>
        <v>#DIV/0!</v>
      </c>
      <c r="S115" s="111" t="e">
        <f>COUNTIFS(Table9131518[Prodi],$P$76,Table9131518[I2.1],S$79)/$P$78</f>
        <v>#DIV/0!</v>
      </c>
      <c r="T115" s="48" t="e">
        <f t="shared" si="12"/>
        <v>#DIV/0!</v>
      </c>
      <c r="U115" s="122"/>
      <c r="V115" s="110" t="s">
        <v>211</v>
      </c>
      <c r="W115" s="111" t="e">
        <f>COUNTIFS(Table9131518[Prodi],$W$76,Table9131518[I2.1],W$79)/$W$78</f>
        <v>#DIV/0!</v>
      </c>
      <c r="X115" s="111" t="e">
        <f>COUNTIFS(Table9131518[Prodi],$W$76,Table9131518[I2.1],X$79)/$W$78</f>
        <v>#DIV/0!</v>
      </c>
      <c r="Y115" s="111" t="e">
        <f>COUNTIFS(Table9131518[Prodi],$W$76,Table9131518[I2.1],Y$79)/$W$78</f>
        <v>#DIV/0!</v>
      </c>
      <c r="Z115" s="111" t="e">
        <f>COUNTIFS(Table9131518[Prodi],$W$76,Table9131518[I2.1],Z$79)/$W$78</f>
        <v>#DIV/0!</v>
      </c>
      <c r="AA115" s="48" t="e">
        <f t="shared" si="13"/>
        <v>#DIV/0!</v>
      </c>
      <c r="AB115" s="122"/>
      <c r="AC115" s="122"/>
      <c r="AD115" s="122"/>
      <c r="AE115" s="122"/>
      <c r="AF115" s="122"/>
      <c r="AG115" s="122"/>
      <c r="AH115" s="122"/>
      <c r="AI115" s="122"/>
      <c r="AJ115" s="122"/>
      <c r="AK115" s="122"/>
      <c r="AL115" s="122"/>
      <c r="AM115" s="122"/>
      <c r="AN115" s="122"/>
      <c r="AO115" s="122"/>
      <c r="AP115" s="122"/>
      <c r="AQ115" s="122"/>
      <c r="AR115" s="122"/>
    </row>
    <row r="116" spans="1:44" s="83" customFormat="1" ht="16.5" x14ac:dyDescent="0.3">
      <c r="A116" s="114" t="s">
        <v>212</v>
      </c>
      <c r="B116" s="111">
        <f>COUNTIF(Table9131518[I2.2],B$79)/$B$78</f>
        <v>0</v>
      </c>
      <c r="C116" s="111">
        <f>COUNTIF(Table9131518[I2.2],C$79)/$B$78</f>
        <v>0.5</v>
      </c>
      <c r="D116" s="111">
        <f>COUNTIF(Table9131518[I2.2],D$79)/$B$78</f>
        <v>0</v>
      </c>
      <c r="E116" s="111">
        <f>COUNTIF(Table9131518[I2.2],E$79)/$B$78</f>
        <v>0.5</v>
      </c>
      <c r="F116" s="48">
        <f t="shared" si="7"/>
        <v>1</v>
      </c>
      <c r="H116" s="114" t="s">
        <v>212</v>
      </c>
      <c r="I116" s="111">
        <f>COUNTIFS(Table9131518[Prodi],"S1 Desain Komunikasi Visual",Table9131518[I2.2],I$79)/$I$78</f>
        <v>0</v>
      </c>
      <c r="J116" s="111">
        <f>COUNTIFS(Table9131518[Prodi],"S1 Desain Komunikasi Visual",Table9131518[I2.2],J$79)/$I$78</f>
        <v>0.5</v>
      </c>
      <c r="K116" s="111">
        <f>COUNTIFS(Table9131518[Prodi],"S1 Desain Komunikasi Visual",Table9131518[I2.2],K$79)/$I$78</f>
        <v>0</v>
      </c>
      <c r="L116" s="111">
        <f>COUNTIFS(Table9131518[Prodi],"S1 Desain Komunikasi Visual",Table9131518[I2.2],L$79)/$I$78</f>
        <v>0.5</v>
      </c>
      <c r="M116" s="48">
        <f t="shared" si="11"/>
        <v>1</v>
      </c>
      <c r="O116" s="114" t="s">
        <v>212</v>
      </c>
      <c r="P116" s="111" t="e">
        <f>COUNTIFS(Table9131518[Prodi],$P$76,Table9131518[I2.2],P$79)/$P$78</f>
        <v>#DIV/0!</v>
      </c>
      <c r="Q116" s="111" t="e">
        <f>COUNTIFS(Table9131518[Prodi],$P$76,Table9131518[I2.2],Q$79)/$P$78</f>
        <v>#DIV/0!</v>
      </c>
      <c r="R116" s="111" t="e">
        <f>COUNTIFS(Table9131518[Prodi],$P$76,Table9131518[I2.2],R$79)/$P$78</f>
        <v>#DIV/0!</v>
      </c>
      <c r="S116" s="111" t="e">
        <f>COUNTIFS(Table9131518[Prodi],$P$76,Table9131518[I2.2],S$79)/$P$78</f>
        <v>#DIV/0!</v>
      </c>
      <c r="T116" s="48" t="e">
        <f t="shared" si="12"/>
        <v>#DIV/0!</v>
      </c>
      <c r="U116" s="122"/>
      <c r="V116" s="114" t="s">
        <v>212</v>
      </c>
      <c r="W116" s="111" t="e">
        <f>COUNTIFS(Table9131518[Prodi],$W$76,Table9131518[I2.2],W$79)/$W$78</f>
        <v>#DIV/0!</v>
      </c>
      <c r="X116" s="111" t="e">
        <f>COUNTIFS(Table9131518[Prodi],$W$76,Table9131518[I2.2],X$79)/$W$78</f>
        <v>#DIV/0!</v>
      </c>
      <c r="Y116" s="111" t="e">
        <f>COUNTIFS(Table9131518[Prodi],$W$76,Table9131518[I2.2],Y$79)/$W$78</f>
        <v>#DIV/0!</v>
      </c>
      <c r="Z116" s="111" t="e">
        <f>COUNTIFS(Table9131518[Prodi],$W$76,Table9131518[I2.2],Z$79)/$W$78</f>
        <v>#DIV/0!</v>
      </c>
      <c r="AA116" s="48" t="e">
        <f t="shared" si="13"/>
        <v>#DIV/0!</v>
      </c>
      <c r="AB116" s="122"/>
      <c r="AC116" s="122"/>
      <c r="AD116" s="122"/>
      <c r="AE116" s="122"/>
      <c r="AF116" s="122"/>
      <c r="AG116" s="122"/>
      <c r="AH116" s="122"/>
      <c r="AI116" s="122"/>
      <c r="AJ116" s="122"/>
      <c r="AK116" s="122"/>
      <c r="AL116" s="122"/>
      <c r="AM116" s="122"/>
      <c r="AN116" s="122"/>
      <c r="AO116" s="122"/>
      <c r="AP116" s="122"/>
      <c r="AQ116" s="122"/>
      <c r="AR116" s="122"/>
    </row>
    <row r="117" spans="1:44" s="83" customFormat="1" ht="16.5" x14ac:dyDescent="0.3">
      <c r="A117" s="110" t="s">
        <v>213</v>
      </c>
      <c r="B117" s="111">
        <f>COUNTIF(Table9131518[I2.3],B$79)/$B$78</f>
        <v>0</v>
      </c>
      <c r="C117" s="111">
        <f>COUNTIF(Table9131518[I2.3],C$79)/$B$78</f>
        <v>0.5</v>
      </c>
      <c r="D117" s="111">
        <f>COUNTIF(Table9131518[I2.3],D$79)/$B$78</f>
        <v>0</v>
      </c>
      <c r="E117" s="111">
        <f>COUNTIF(Table9131518[I2.3],E$79)/$B$78</f>
        <v>0.5</v>
      </c>
      <c r="F117" s="48">
        <f t="shared" si="7"/>
        <v>1</v>
      </c>
      <c r="H117" s="110" t="s">
        <v>213</v>
      </c>
      <c r="I117" s="111">
        <f>COUNTIFS(Table9131518[Prodi],"S1 Desain Komunikasi Visual",Table9131518[I2.3],I$79)/$I$78</f>
        <v>0</v>
      </c>
      <c r="J117" s="111">
        <f>COUNTIFS(Table9131518[Prodi],"S1 Desain Komunikasi Visual",Table9131518[I2.3],J$79)/$I$78</f>
        <v>0.5</v>
      </c>
      <c r="K117" s="111">
        <f>COUNTIFS(Table9131518[Prodi],"S1 Desain Komunikasi Visual",Table9131518[I2.3],K$79)/$I$78</f>
        <v>0</v>
      </c>
      <c r="L117" s="111">
        <f>COUNTIFS(Table9131518[Prodi],"S1 Desain Komunikasi Visual",Table9131518[I2.3],L$79)/$I$78</f>
        <v>0.5</v>
      </c>
      <c r="M117" s="48">
        <f t="shared" si="11"/>
        <v>1</v>
      </c>
      <c r="O117" s="110" t="s">
        <v>213</v>
      </c>
      <c r="P117" s="111" t="e">
        <f>COUNTIFS(Table9131518[Prodi],$P$76,Table9131518[I2.3],P$79)/$P$78</f>
        <v>#DIV/0!</v>
      </c>
      <c r="Q117" s="111" t="e">
        <f>COUNTIFS(Table9131518[Prodi],$P$76,Table9131518[I2.3],Q$79)/$P$78</f>
        <v>#DIV/0!</v>
      </c>
      <c r="R117" s="111" t="e">
        <f>COUNTIFS(Table9131518[Prodi],$P$76,Table9131518[I2.3],R$79)/$P$78</f>
        <v>#DIV/0!</v>
      </c>
      <c r="S117" s="111" t="e">
        <f>COUNTIFS(Table9131518[Prodi],$P$76,Table9131518[I2.3],S$79)/$P$78</f>
        <v>#DIV/0!</v>
      </c>
      <c r="T117" s="48" t="e">
        <f t="shared" si="12"/>
        <v>#DIV/0!</v>
      </c>
      <c r="U117" s="122"/>
      <c r="V117" s="110" t="s">
        <v>213</v>
      </c>
      <c r="W117" s="111" t="e">
        <f>COUNTIFS(Table9131518[Prodi],$W$76,Table9131518[I2.3],W$79)/$W$78</f>
        <v>#DIV/0!</v>
      </c>
      <c r="X117" s="111" t="e">
        <f>COUNTIFS(Table9131518[Prodi],$W$76,Table9131518[I2.3],X$79)/$W$78</f>
        <v>#DIV/0!</v>
      </c>
      <c r="Y117" s="111" t="e">
        <f>COUNTIFS(Table9131518[Prodi],$W$76,Table9131518[I2.3],Y$79)/$W$78</f>
        <v>#DIV/0!</v>
      </c>
      <c r="Z117" s="111" t="e">
        <f>COUNTIFS(Table9131518[Prodi],$W$76,Table9131518[I2.3],Z$79)/$W$78</f>
        <v>#DIV/0!</v>
      </c>
      <c r="AA117" s="48" t="e">
        <f t="shared" si="13"/>
        <v>#DIV/0!</v>
      </c>
      <c r="AB117" s="122"/>
      <c r="AC117" s="122"/>
      <c r="AD117" s="122"/>
      <c r="AE117" s="122"/>
      <c r="AF117" s="122"/>
      <c r="AG117" s="122"/>
      <c r="AH117" s="122"/>
      <c r="AI117" s="122"/>
      <c r="AJ117" s="122"/>
      <c r="AK117" s="122"/>
      <c r="AL117" s="122"/>
      <c r="AM117" s="122"/>
      <c r="AN117" s="122"/>
      <c r="AO117" s="122"/>
      <c r="AP117" s="122"/>
      <c r="AQ117" s="122"/>
      <c r="AR117" s="122"/>
    </row>
    <row r="118" spans="1:44" s="83" customFormat="1" ht="16.5" x14ac:dyDescent="0.3">
      <c r="A118" s="110" t="s">
        <v>214</v>
      </c>
      <c r="B118" s="111">
        <f>COUNTIF(Table9131518[I2.4],B$79)/$B$78</f>
        <v>0</v>
      </c>
      <c r="C118" s="111">
        <f>COUNTIF(Table9131518[I2.4],C$79)/$B$78</f>
        <v>0.5</v>
      </c>
      <c r="D118" s="111">
        <f>COUNTIF(Table9131518[I2.4],D$79)/$B$78</f>
        <v>0</v>
      </c>
      <c r="E118" s="111">
        <f>COUNTIF(Table9131518[I2.4],E$79)/$B$78</f>
        <v>0.5</v>
      </c>
      <c r="F118" s="48">
        <f t="shared" si="7"/>
        <v>1</v>
      </c>
      <c r="H118" s="110" t="s">
        <v>214</v>
      </c>
      <c r="I118" s="111">
        <f>COUNTIFS(Table9131518[Prodi],"S1 Desain Komunikasi Visual",Table9131518[I2.4],I$79)/$I$78</f>
        <v>0</v>
      </c>
      <c r="J118" s="111">
        <f>COUNTIFS(Table9131518[Prodi],"S1 Desain Komunikasi Visual",Table9131518[I2.4],J$79)/$I$78</f>
        <v>0.5</v>
      </c>
      <c r="K118" s="111">
        <f>COUNTIFS(Table9131518[Prodi],"S1 Desain Komunikasi Visual",Table9131518[I2.4],K$79)/$I$78</f>
        <v>0</v>
      </c>
      <c r="L118" s="111">
        <f>COUNTIFS(Table9131518[Prodi],"S1 Desain Komunikasi Visual",Table9131518[I2.4],L$79)/$I$78</f>
        <v>0.5</v>
      </c>
      <c r="M118" s="48">
        <f t="shared" si="11"/>
        <v>1</v>
      </c>
      <c r="O118" s="110" t="s">
        <v>214</v>
      </c>
      <c r="P118" s="111" t="e">
        <f>COUNTIFS(Table9131518[Prodi],$P$76,Table9131518[I2.4],P$79)/$P$78</f>
        <v>#DIV/0!</v>
      </c>
      <c r="Q118" s="111" t="e">
        <f>COUNTIFS(Table9131518[Prodi],$P$76,Table9131518[I2.4],Q$79)/$P$78</f>
        <v>#DIV/0!</v>
      </c>
      <c r="R118" s="111" t="e">
        <f>COUNTIFS(Table9131518[Prodi],$P$76,Table9131518[I2.4],R$79)/$P$78</f>
        <v>#DIV/0!</v>
      </c>
      <c r="S118" s="111" t="e">
        <f>COUNTIFS(Table9131518[Prodi],$P$76,Table9131518[I2.4],S$79)/$P$78</f>
        <v>#DIV/0!</v>
      </c>
      <c r="T118" s="48" t="e">
        <f t="shared" si="12"/>
        <v>#DIV/0!</v>
      </c>
      <c r="U118" s="122"/>
      <c r="V118" s="110" t="s">
        <v>214</v>
      </c>
      <c r="W118" s="111" t="e">
        <f>COUNTIFS(Table9131518[Prodi],$W$76,Table9131518[I2.4],W$79)/$W$78</f>
        <v>#DIV/0!</v>
      </c>
      <c r="X118" s="111" t="e">
        <f>COUNTIFS(Table9131518[Prodi],$W$76,Table9131518[I2.4],X$79)/$W$78</f>
        <v>#DIV/0!</v>
      </c>
      <c r="Y118" s="111" t="e">
        <f>COUNTIFS(Table9131518[Prodi],$W$76,Table9131518[I2.4],Y$79)/$W$78</f>
        <v>#DIV/0!</v>
      </c>
      <c r="Z118" s="111" t="e">
        <f>COUNTIFS(Table9131518[Prodi],$W$76,Table9131518[I2.4],Z$79)/$W$78</f>
        <v>#DIV/0!</v>
      </c>
      <c r="AA118" s="48" t="e">
        <f t="shared" si="13"/>
        <v>#DIV/0!</v>
      </c>
      <c r="AB118" s="122"/>
      <c r="AC118" s="122"/>
      <c r="AD118" s="122"/>
      <c r="AE118" s="122"/>
      <c r="AF118" s="122"/>
      <c r="AG118" s="122"/>
      <c r="AH118" s="122"/>
      <c r="AI118" s="122"/>
      <c r="AJ118" s="122"/>
      <c r="AK118" s="122"/>
      <c r="AL118" s="122"/>
      <c r="AM118" s="122"/>
      <c r="AN118" s="122"/>
      <c r="AO118" s="122"/>
      <c r="AP118" s="122"/>
      <c r="AQ118" s="122"/>
      <c r="AR118" s="122"/>
    </row>
    <row r="119" spans="1:44" s="83" customFormat="1" ht="17.25" thickBot="1" x14ac:dyDescent="0.35">
      <c r="A119" s="115"/>
      <c r="B119" s="54">
        <f>AVERAGE(B115:B118)</f>
        <v>0</v>
      </c>
      <c r="C119" s="54">
        <f>AVERAGE(C115:C118)</f>
        <v>0.5</v>
      </c>
      <c r="D119" s="54">
        <f>AVERAGE(D115:D118)</f>
        <v>0</v>
      </c>
      <c r="E119" s="54">
        <f>AVERAGE(E115:E118)</f>
        <v>0.5</v>
      </c>
      <c r="F119" s="116">
        <f t="shared" si="7"/>
        <v>1</v>
      </c>
      <c r="H119" s="115"/>
      <c r="I119" s="54">
        <f>AVERAGE(I115:I118)</f>
        <v>0</v>
      </c>
      <c r="J119" s="54">
        <f>AVERAGE(J115:J118)</f>
        <v>0.5</v>
      </c>
      <c r="K119" s="54">
        <f>AVERAGE(K115:K118)</f>
        <v>0</v>
      </c>
      <c r="L119" s="54">
        <f>AVERAGE(L115:L118)</f>
        <v>0.5</v>
      </c>
      <c r="M119" s="116">
        <f t="shared" si="11"/>
        <v>1</v>
      </c>
      <c r="O119" s="115"/>
      <c r="P119" s="54" t="e">
        <f>AVERAGE(P115:P118)</f>
        <v>#DIV/0!</v>
      </c>
      <c r="Q119" s="54" t="e">
        <f>AVERAGE(Q115:Q118)</f>
        <v>#DIV/0!</v>
      </c>
      <c r="R119" s="54" t="e">
        <f>AVERAGE(R115:R118)</f>
        <v>#DIV/0!</v>
      </c>
      <c r="S119" s="54" t="e">
        <f>AVERAGE(S115:S118)</f>
        <v>#DIV/0!</v>
      </c>
      <c r="T119" s="116" t="e">
        <f t="shared" si="12"/>
        <v>#DIV/0!</v>
      </c>
      <c r="U119" s="122"/>
      <c r="V119" s="115"/>
      <c r="W119" s="54" t="e">
        <f>AVERAGE(W115:W118)</f>
        <v>#DIV/0!</v>
      </c>
      <c r="X119" s="54" t="e">
        <f>AVERAGE(X115:X118)</f>
        <v>#DIV/0!</v>
      </c>
      <c r="Y119" s="54" t="e">
        <f>AVERAGE(Y115:Y118)</f>
        <v>#DIV/0!</v>
      </c>
      <c r="Z119" s="54" t="e">
        <f>AVERAGE(Z115:Z118)</f>
        <v>#DIV/0!</v>
      </c>
      <c r="AA119" s="116" t="e">
        <f t="shared" si="13"/>
        <v>#DIV/0!</v>
      </c>
      <c r="AB119" s="122"/>
      <c r="AC119" s="122"/>
      <c r="AD119" s="122"/>
      <c r="AE119" s="122"/>
      <c r="AF119" s="122"/>
      <c r="AG119" s="122"/>
      <c r="AH119" s="122"/>
      <c r="AI119" s="122"/>
      <c r="AJ119" s="122"/>
      <c r="AK119" s="122"/>
      <c r="AL119" s="122"/>
      <c r="AM119" s="122"/>
      <c r="AN119" s="122"/>
      <c r="AO119" s="122"/>
      <c r="AP119" s="122"/>
      <c r="AQ119" s="122"/>
      <c r="AR119" s="122"/>
    </row>
    <row r="120" spans="1:44" s="83" customFormat="1" ht="15.75" thickBot="1" x14ac:dyDescent="0.3">
      <c r="A120" s="84"/>
      <c r="B120" s="84"/>
      <c r="C120" s="122"/>
      <c r="O120" s="122"/>
      <c r="P120" s="122"/>
      <c r="Q120" s="122"/>
      <c r="R120" s="122"/>
      <c r="S120" s="122"/>
      <c r="T120" s="122"/>
      <c r="U120" s="122"/>
      <c r="V120" s="122"/>
      <c r="W120" s="122"/>
      <c r="X120" s="122"/>
      <c r="Y120" s="122"/>
      <c r="Z120" s="122"/>
      <c r="AA120" s="122"/>
      <c r="AB120" s="122"/>
      <c r="AC120" s="122"/>
      <c r="AD120" s="122"/>
      <c r="AE120" s="122"/>
      <c r="AF120" s="122"/>
      <c r="AG120" s="122"/>
      <c r="AH120" s="122"/>
      <c r="AI120" s="122"/>
      <c r="AJ120" s="122"/>
      <c r="AK120" s="122"/>
      <c r="AL120" s="122"/>
      <c r="AM120" s="122"/>
      <c r="AN120" s="122"/>
      <c r="AO120" s="122"/>
      <c r="AP120" s="122"/>
      <c r="AQ120" s="122"/>
      <c r="AR120" s="122"/>
    </row>
    <row r="121" spans="1:44" s="83" customFormat="1" ht="17.25" thickBot="1" x14ac:dyDescent="0.3">
      <c r="A121" s="50" t="s">
        <v>14</v>
      </c>
      <c r="B121" s="51" t="s">
        <v>215</v>
      </c>
      <c r="C121" s="122"/>
      <c r="D121" s="122"/>
      <c r="E121" s="122"/>
      <c r="F121" s="122"/>
      <c r="H121" s="50" t="s">
        <v>14</v>
      </c>
      <c r="I121" s="51" t="s">
        <v>272</v>
      </c>
      <c r="J121" s="122"/>
      <c r="K121" s="122"/>
      <c r="L121" s="122"/>
      <c r="M121" s="122"/>
      <c r="N121" s="122"/>
      <c r="O121" s="50" t="s">
        <v>14</v>
      </c>
      <c r="P121" s="51" t="s">
        <v>298</v>
      </c>
      <c r="Q121" s="122"/>
      <c r="R121" s="122"/>
      <c r="S121" s="122"/>
      <c r="T121" s="122"/>
      <c r="U121" s="122"/>
      <c r="V121" s="50" t="s">
        <v>14</v>
      </c>
      <c r="W121" s="51" t="s">
        <v>67</v>
      </c>
      <c r="X121" s="122"/>
      <c r="Y121" s="122"/>
      <c r="Z121" s="122"/>
      <c r="AA121" s="122"/>
      <c r="AB121" s="122"/>
      <c r="AC121" s="122"/>
      <c r="AD121" s="122"/>
      <c r="AE121" s="122"/>
      <c r="AF121" s="122"/>
      <c r="AG121" s="122"/>
      <c r="AH121" s="122"/>
      <c r="AI121" s="122"/>
      <c r="AJ121" s="122"/>
      <c r="AK121" s="122"/>
      <c r="AL121" s="122"/>
      <c r="AM121" s="122"/>
      <c r="AN121" s="122"/>
      <c r="AO121" s="122"/>
      <c r="AP121" s="122"/>
      <c r="AQ121" s="122"/>
      <c r="AR121" s="122"/>
    </row>
    <row r="122" spans="1:44" s="83" customFormat="1" ht="17.25" thickBot="1" x14ac:dyDescent="0.3">
      <c r="A122" s="50" t="s">
        <v>129</v>
      </c>
      <c r="B122" s="51">
        <v>2023</v>
      </c>
      <c r="C122" s="122"/>
      <c r="D122" s="122"/>
      <c r="E122" s="122"/>
      <c r="F122" s="122"/>
      <c r="H122" s="50" t="s">
        <v>129</v>
      </c>
      <c r="I122" s="51">
        <v>2023</v>
      </c>
      <c r="J122" s="122"/>
      <c r="K122" s="122"/>
      <c r="L122" s="122"/>
      <c r="M122" s="122"/>
      <c r="N122" s="122"/>
      <c r="O122" s="50" t="s">
        <v>129</v>
      </c>
      <c r="P122" s="51">
        <v>2023</v>
      </c>
      <c r="Q122" s="122"/>
      <c r="R122" s="122"/>
      <c r="S122" s="122"/>
      <c r="T122" s="122"/>
      <c r="U122" s="122"/>
      <c r="V122" s="50" t="s">
        <v>129</v>
      </c>
      <c r="W122" s="51">
        <v>2023</v>
      </c>
      <c r="X122" s="122"/>
      <c r="Y122" s="122"/>
      <c r="Z122" s="122"/>
      <c r="AA122" s="122"/>
      <c r="AB122" s="122"/>
      <c r="AC122" s="122"/>
      <c r="AD122" s="122"/>
      <c r="AE122" s="122"/>
      <c r="AF122" s="122"/>
      <c r="AG122" s="122"/>
      <c r="AH122" s="122"/>
      <c r="AI122" s="122"/>
      <c r="AJ122" s="122"/>
      <c r="AK122" s="122"/>
      <c r="AL122" s="122"/>
      <c r="AM122" s="122"/>
      <c r="AN122" s="122"/>
      <c r="AO122" s="122"/>
      <c r="AP122" s="122"/>
      <c r="AQ122" s="122"/>
      <c r="AR122" s="122"/>
    </row>
    <row r="123" spans="1:44" s="83" customFormat="1" ht="17.25" thickBot="1" x14ac:dyDescent="0.3">
      <c r="A123" s="50" t="s">
        <v>128</v>
      </c>
      <c r="B123" s="51">
        <f>I123+P123+W123</f>
        <v>1</v>
      </c>
      <c r="C123" s="122"/>
      <c r="D123" s="122"/>
      <c r="E123" s="122"/>
      <c r="F123" s="122"/>
      <c r="H123" s="50" t="s">
        <v>128</v>
      </c>
      <c r="I123" s="51">
        <f>COUNTIF(Table10141619[Prodi],I121)</f>
        <v>0</v>
      </c>
      <c r="J123" s="122"/>
      <c r="K123" s="122"/>
      <c r="L123" s="122"/>
      <c r="M123" s="122"/>
      <c r="N123" s="122"/>
      <c r="O123" s="50" t="s">
        <v>128</v>
      </c>
      <c r="P123" s="51">
        <f>COUNTIF(Table10141619[Prodi],P121)</f>
        <v>1</v>
      </c>
      <c r="Q123" s="122"/>
      <c r="R123" s="122"/>
      <c r="S123" s="122"/>
      <c r="T123" s="122"/>
      <c r="U123" s="122"/>
      <c r="V123" s="50" t="s">
        <v>128</v>
      </c>
      <c r="W123" s="51">
        <f>COUNTIF(Table10141619[Prodi],W121)</f>
        <v>0</v>
      </c>
      <c r="X123" s="122"/>
      <c r="Y123" s="122"/>
      <c r="Z123" s="122"/>
      <c r="AA123" s="122"/>
      <c r="AB123" s="122"/>
      <c r="AC123" s="122"/>
      <c r="AD123" s="122"/>
      <c r="AE123" s="122"/>
      <c r="AF123" s="122"/>
      <c r="AG123" s="122"/>
      <c r="AH123" s="122"/>
      <c r="AI123" s="122"/>
      <c r="AJ123" s="122"/>
      <c r="AK123" s="122"/>
      <c r="AL123" s="122"/>
      <c r="AM123" s="122"/>
      <c r="AN123" s="122"/>
      <c r="AO123" s="122"/>
      <c r="AP123" s="122"/>
      <c r="AQ123" s="122"/>
      <c r="AR123" s="122"/>
    </row>
    <row r="124" spans="1:44" s="83" customFormat="1" ht="16.5" x14ac:dyDescent="0.3">
      <c r="A124" s="41"/>
      <c r="B124" s="42" t="s">
        <v>220</v>
      </c>
      <c r="C124" s="42" t="s">
        <v>221</v>
      </c>
      <c r="D124" s="42" t="s">
        <v>229</v>
      </c>
      <c r="E124" s="42" t="s">
        <v>285</v>
      </c>
      <c r="F124" s="42"/>
      <c r="H124" s="41"/>
      <c r="I124" s="42" t="s">
        <v>220</v>
      </c>
      <c r="J124" s="42" t="s">
        <v>221</v>
      </c>
      <c r="K124" s="42" t="s">
        <v>229</v>
      </c>
      <c r="L124" s="42" t="s">
        <v>285</v>
      </c>
      <c r="M124" s="42"/>
      <c r="N124" s="122"/>
      <c r="O124" s="41"/>
      <c r="P124" s="42" t="s">
        <v>220</v>
      </c>
      <c r="Q124" s="42" t="s">
        <v>221</v>
      </c>
      <c r="R124" s="42" t="s">
        <v>229</v>
      </c>
      <c r="S124" s="42" t="s">
        <v>285</v>
      </c>
      <c r="T124" s="42"/>
      <c r="U124" s="122"/>
      <c r="V124" s="41"/>
      <c r="W124" s="42" t="s">
        <v>220</v>
      </c>
      <c r="X124" s="42" t="s">
        <v>221</v>
      </c>
      <c r="Y124" s="42" t="s">
        <v>229</v>
      </c>
      <c r="Z124" s="42" t="s">
        <v>285</v>
      </c>
      <c r="AA124" s="42"/>
      <c r="AB124" s="122"/>
      <c r="AC124" s="122"/>
      <c r="AD124" s="122"/>
      <c r="AE124" s="122"/>
      <c r="AF124" s="122"/>
      <c r="AG124" s="122"/>
      <c r="AH124" s="122"/>
      <c r="AI124" s="122"/>
      <c r="AJ124" s="122"/>
      <c r="AK124" s="122"/>
      <c r="AL124" s="122"/>
      <c r="AM124" s="122"/>
      <c r="AN124" s="122"/>
      <c r="AO124" s="122"/>
      <c r="AP124" s="122"/>
      <c r="AQ124" s="122"/>
      <c r="AR124" s="122"/>
    </row>
    <row r="125" spans="1:44" s="83" customFormat="1" ht="16.5" x14ac:dyDescent="0.3">
      <c r="A125" s="43" t="s">
        <v>26</v>
      </c>
      <c r="B125" s="52">
        <f>COUNTIF(Table10141619[B1],B$124)/$B$123</f>
        <v>1</v>
      </c>
      <c r="C125" s="52">
        <f>COUNTIF(Table10141619[B1],C$124)/$B$123</f>
        <v>0</v>
      </c>
      <c r="D125" s="52">
        <f>COUNTIF(Table10141619[B1],D$124)/$B$123</f>
        <v>0</v>
      </c>
      <c r="E125" s="52">
        <f>COUNTIF(Table10141619[B1],E$124)/$B$123</f>
        <v>0</v>
      </c>
      <c r="F125" s="48">
        <f t="shared" ref="F125:F131" si="14">SUM(B125:E125)</f>
        <v>1</v>
      </c>
      <c r="H125" s="43" t="s">
        <v>26</v>
      </c>
      <c r="I125" s="52" t="e">
        <f>COUNTIFS(Table10141619[Prodi],$I$121,Table10141619[B1],I$124)/$I$123</f>
        <v>#DIV/0!</v>
      </c>
      <c r="J125" s="52" t="e">
        <f>COUNTIFS(Table10141619[Prodi],$I$121,Table10141619[B1],J$124)/$I$123</f>
        <v>#DIV/0!</v>
      </c>
      <c r="K125" s="52" t="e">
        <f>COUNTIFS(Table10141619[Prodi],$I$121,Table10141619[B1],K$124)/$I$123</f>
        <v>#DIV/0!</v>
      </c>
      <c r="L125" s="52" t="e">
        <f>COUNTIFS(Table10141619[Prodi],$I$121,Table10141619[B1],L$124)/$I$123</f>
        <v>#DIV/0!</v>
      </c>
      <c r="M125" s="48" t="e">
        <f t="shared" ref="M125:M131" si="15">SUM(I125:L125)</f>
        <v>#DIV/0!</v>
      </c>
      <c r="N125" s="122"/>
      <c r="O125" s="43" t="s">
        <v>26</v>
      </c>
      <c r="P125" s="52">
        <f>COUNTIFS(Table10141619[Prodi],$P$121,Table10141619[B1],P$124)/$P$123</f>
        <v>1</v>
      </c>
      <c r="Q125" s="52">
        <f>COUNTIFS(Table10141619[Prodi],$P$121,Table10141619[B1],Q$124)/$P$123</f>
        <v>0</v>
      </c>
      <c r="R125" s="52">
        <f>COUNTIFS(Table10141619[Prodi],$P$121,Table10141619[B1],R$124)/$P$123</f>
        <v>0</v>
      </c>
      <c r="S125" s="52">
        <f>COUNTIFS(Table10141619[Prodi],$P$121,Table10141619[B1],S$124)/$P$123</f>
        <v>0</v>
      </c>
      <c r="T125" s="48">
        <f t="shared" ref="T125:T131" si="16">SUM(P125:S125)</f>
        <v>1</v>
      </c>
      <c r="U125" s="122"/>
      <c r="V125" s="43" t="s">
        <v>26</v>
      </c>
      <c r="W125" s="52" t="e">
        <f>COUNTIFS(Table10141619[Prodi],$W$121,Table10141619[B1],W$124)/$W$123</f>
        <v>#DIV/0!</v>
      </c>
      <c r="X125" s="52" t="e">
        <f>COUNTIFS(Table10141619[Prodi],$W$121,Table10141619[B1],X$124)/$W$123</f>
        <v>#DIV/0!</v>
      </c>
      <c r="Y125" s="52" t="e">
        <f>COUNTIFS(Table10141619[Prodi],$W$121,Table10141619[B1],Y$124)/$W$123</f>
        <v>#DIV/0!</v>
      </c>
      <c r="Z125" s="52" t="e">
        <f>COUNTIFS(Table10141619[Prodi],$W$121,Table10141619[B1],Z$124)/$W$123</f>
        <v>#DIV/0!</v>
      </c>
      <c r="AA125" s="48" t="e">
        <f t="shared" ref="AA125:AA131" si="17">SUM(W125:Z125)</f>
        <v>#DIV/0!</v>
      </c>
      <c r="AB125" s="122"/>
      <c r="AC125" s="122"/>
      <c r="AD125" s="122"/>
      <c r="AE125" s="122"/>
      <c r="AF125" s="122"/>
      <c r="AG125" s="122"/>
      <c r="AH125" s="122"/>
      <c r="AI125" s="122"/>
      <c r="AJ125" s="122"/>
      <c r="AK125" s="122"/>
      <c r="AL125" s="122"/>
      <c r="AM125" s="122"/>
      <c r="AN125" s="122"/>
      <c r="AO125" s="122"/>
      <c r="AP125" s="122"/>
      <c r="AQ125" s="122"/>
      <c r="AR125" s="122"/>
    </row>
    <row r="126" spans="1:44" s="83" customFormat="1" ht="16.5" x14ac:dyDescent="0.3">
      <c r="A126" s="43" t="s">
        <v>27</v>
      </c>
      <c r="B126" s="52">
        <f>COUNTIF(Table10141619[B2],B$124)/$B$123</f>
        <v>1</v>
      </c>
      <c r="C126" s="52">
        <f>COUNTIF(Table10141619[B2],C$124)/$B$123</f>
        <v>0</v>
      </c>
      <c r="D126" s="52">
        <f>COUNTIF(Table10141619[B2],D$124)/$B$123</f>
        <v>0</v>
      </c>
      <c r="E126" s="52">
        <f>COUNTIF(Table10141619[B2],E$124)/$B$123</f>
        <v>0</v>
      </c>
      <c r="F126" s="48">
        <f t="shared" si="14"/>
        <v>1</v>
      </c>
      <c r="H126" s="43" t="s">
        <v>27</v>
      </c>
      <c r="I126" s="52" t="e">
        <f>COUNTIFS(Table10141619[Prodi],$I$121,Table10141619[B2],I$124)/$I$123</f>
        <v>#DIV/0!</v>
      </c>
      <c r="J126" s="52" t="e">
        <f>COUNTIFS(Table10141619[Prodi],$I$121,Table10141619[B2],J$124)/$I$123</f>
        <v>#DIV/0!</v>
      </c>
      <c r="K126" s="52" t="e">
        <f>COUNTIFS(Table10141619[Prodi],$I$121,Table10141619[B2],K$124)/$I$123</f>
        <v>#DIV/0!</v>
      </c>
      <c r="L126" s="52" t="e">
        <f>COUNTIFS(Table10141619[Prodi],$I$121,Table10141619[B2],L$124)/$I$123</f>
        <v>#DIV/0!</v>
      </c>
      <c r="M126" s="48" t="e">
        <f t="shared" si="15"/>
        <v>#DIV/0!</v>
      </c>
      <c r="N126" s="122"/>
      <c r="O126" s="43" t="s">
        <v>27</v>
      </c>
      <c r="P126" s="52">
        <f>COUNTIFS(Table10141619[Prodi],$P$121,Table10141619[B2],P$124)/$P$123</f>
        <v>1</v>
      </c>
      <c r="Q126" s="52">
        <f>COUNTIFS(Table10141619[Prodi],$P$121,Table10141619[B2],Q$124)/$P$123</f>
        <v>0</v>
      </c>
      <c r="R126" s="52">
        <f>COUNTIFS(Table10141619[Prodi],$P$121,Table10141619[B2],R$124)/$P$123</f>
        <v>0</v>
      </c>
      <c r="S126" s="52">
        <f>COUNTIFS(Table10141619[Prodi],$P$121,Table10141619[B2],S$124)/$P$123</f>
        <v>0</v>
      </c>
      <c r="T126" s="48">
        <f t="shared" si="16"/>
        <v>1</v>
      </c>
      <c r="U126" s="122"/>
      <c r="V126" s="43" t="s">
        <v>27</v>
      </c>
      <c r="W126" s="52" t="e">
        <f>COUNTIFS(Table10141619[Prodi],$W$121,Table10141619[B2],W$124)/$W$123</f>
        <v>#DIV/0!</v>
      </c>
      <c r="X126" s="52" t="e">
        <f>COUNTIFS(Table10141619[Prodi],$W$121,Table10141619[B2],X$124)/$W$123</f>
        <v>#DIV/0!</v>
      </c>
      <c r="Y126" s="52" t="e">
        <f>COUNTIFS(Table10141619[Prodi],$W$121,Table10141619[B2],Y$124)/$W$123</f>
        <v>#DIV/0!</v>
      </c>
      <c r="Z126" s="52" t="e">
        <f>COUNTIFS(Table10141619[Prodi],$W$121,Table10141619[B2],Z$124)/$W$123</f>
        <v>#DIV/0!</v>
      </c>
      <c r="AA126" s="48" t="e">
        <f t="shared" si="17"/>
        <v>#DIV/0!</v>
      </c>
      <c r="AB126" s="122"/>
      <c r="AC126" s="122"/>
      <c r="AD126" s="122"/>
      <c r="AE126" s="122"/>
      <c r="AF126" s="122"/>
      <c r="AG126" s="122"/>
      <c r="AH126" s="122"/>
      <c r="AI126" s="122"/>
      <c r="AJ126" s="122"/>
      <c r="AK126" s="122"/>
      <c r="AL126" s="122"/>
      <c r="AM126" s="122"/>
      <c r="AN126" s="122"/>
      <c r="AO126" s="122"/>
      <c r="AP126" s="122"/>
      <c r="AQ126" s="122"/>
      <c r="AR126" s="122"/>
    </row>
    <row r="127" spans="1:44" s="83" customFormat="1" ht="16.5" x14ac:dyDescent="0.3">
      <c r="A127" s="43" t="s">
        <v>28</v>
      </c>
      <c r="B127" s="52">
        <f>COUNTIF(Table10141619[B3],B$124)/$B$123</f>
        <v>1</v>
      </c>
      <c r="C127" s="52">
        <f>COUNTIF(Table10141619[B3],C$124)/$B$123</f>
        <v>0</v>
      </c>
      <c r="D127" s="52">
        <f>COUNTIF(Table10141619[B3],D$124)/$B$123</f>
        <v>0</v>
      </c>
      <c r="E127" s="52">
        <f>COUNTIF(Table10141619[B3],E$124)/$B$123</f>
        <v>0</v>
      </c>
      <c r="F127" s="48">
        <f t="shared" si="14"/>
        <v>1</v>
      </c>
      <c r="H127" s="43" t="s">
        <v>28</v>
      </c>
      <c r="I127" s="52" t="e">
        <f>COUNTIFS(Table10141619[Prodi],$I$121,Table10141619[B3],I$124)/$I$123</f>
        <v>#DIV/0!</v>
      </c>
      <c r="J127" s="52" t="e">
        <f>COUNTIFS(Table10141619[Prodi],$I$121,Table10141619[B3],J$124)/$I$123</f>
        <v>#DIV/0!</v>
      </c>
      <c r="K127" s="52" t="e">
        <f>COUNTIFS(Table10141619[Prodi],$I$121,Table10141619[B3],K$124)/$I$123</f>
        <v>#DIV/0!</v>
      </c>
      <c r="L127" s="52" t="e">
        <f>COUNTIFS(Table10141619[Prodi],$I$121,Table10141619[B3],L$124)/$I$123</f>
        <v>#DIV/0!</v>
      </c>
      <c r="M127" s="48" t="e">
        <f t="shared" si="15"/>
        <v>#DIV/0!</v>
      </c>
      <c r="N127" s="122"/>
      <c r="O127" s="43" t="s">
        <v>28</v>
      </c>
      <c r="P127" s="52">
        <f>COUNTIFS(Table10141619[Prodi],$P$121,Table10141619[B3],P$124)/$P$123</f>
        <v>1</v>
      </c>
      <c r="Q127" s="52">
        <f>COUNTIFS(Table10141619[Prodi],$P$121,Table10141619[B3],Q$124)/$P$123</f>
        <v>0</v>
      </c>
      <c r="R127" s="52">
        <f>COUNTIFS(Table10141619[Prodi],$P$121,Table10141619[B3],R$124)/$P$123</f>
        <v>0</v>
      </c>
      <c r="S127" s="52">
        <f>COUNTIFS(Table10141619[Prodi],$P$121,Table10141619[B3],S$124)/$P$123</f>
        <v>0</v>
      </c>
      <c r="T127" s="48">
        <f t="shared" si="16"/>
        <v>1</v>
      </c>
      <c r="U127" s="122"/>
      <c r="V127" s="43" t="s">
        <v>28</v>
      </c>
      <c r="W127" s="52" t="e">
        <f>COUNTIFS(Table10141619[Prodi],$W$121,Table10141619[B3],W$124)/$W$123</f>
        <v>#DIV/0!</v>
      </c>
      <c r="X127" s="52" t="e">
        <f>COUNTIFS(Table10141619[Prodi],$W$121,Table10141619[B3],X$124)/$W$123</f>
        <v>#DIV/0!</v>
      </c>
      <c r="Y127" s="52" t="e">
        <f>COUNTIFS(Table10141619[Prodi],$W$121,Table10141619[B3],Y$124)/$W$123</f>
        <v>#DIV/0!</v>
      </c>
      <c r="Z127" s="52" t="e">
        <f>COUNTIFS(Table10141619[Prodi],$W$121,Table10141619[B3],Z$124)/$W$123</f>
        <v>#DIV/0!</v>
      </c>
      <c r="AA127" s="48" t="e">
        <f t="shared" si="17"/>
        <v>#DIV/0!</v>
      </c>
      <c r="AB127" s="122"/>
      <c r="AC127" s="122"/>
      <c r="AD127" s="122"/>
      <c r="AE127" s="122"/>
      <c r="AF127" s="122"/>
      <c r="AG127" s="122"/>
      <c r="AH127" s="122"/>
      <c r="AI127" s="122"/>
      <c r="AJ127" s="122"/>
      <c r="AK127" s="122"/>
      <c r="AL127" s="122"/>
      <c r="AM127" s="122"/>
      <c r="AN127" s="122"/>
      <c r="AO127" s="122"/>
      <c r="AP127" s="122"/>
      <c r="AQ127" s="122"/>
      <c r="AR127" s="122"/>
    </row>
    <row r="128" spans="1:44" s="83" customFormat="1" ht="16.5" x14ac:dyDescent="0.3">
      <c r="A128" s="43" t="s">
        <v>29</v>
      </c>
      <c r="B128" s="52">
        <f>COUNTIF(Table10141619[B4],B$124)/$B$123</f>
        <v>1</v>
      </c>
      <c r="C128" s="52">
        <f>COUNTIF(Table10141619[B4],C$124)/$B$123</f>
        <v>0</v>
      </c>
      <c r="D128" s="52">
        <f>COUNTIF(Table10141619[B4],D$124)/$B$123</f>
        <v>0</v>
      </c>
      <c r="E128" s="52">
        <f>COUNTIF(Table10141619[B4],E$124)/$B$123</f>
        <v>0</v>
      </c>
      <c r="F128" s="48">
        <f t="shared" si="14"/>
        <v>1</v>
      </c>
      <c r="H128" s="43" t="s">
        <v>29</v>
      </c>
      <c r="I128" s="52" t="e">
        <f>COUNTIFS(Table10141619[Prodi],$I$121,Table10141619[B4],I$124)/$I$123</f>
        <v>#DIV/0!</v>
      </c>
      <c r="J128" s="52" t="e">
        <f>COUNTIFS(Table10141619[Prodi],$I$121,Table10141619[B4],J$124)/$I$123</f>
        <v>#DIV/0!</v>
      </c>
      <c r="K128" s="52" t="e">
        <f>COUNTIFS(Table10141619[Prodi],$I$121,Table10141619[B4],K$124)/$I$123</f>
        <v>#DIV/0!</v>
      </c>
      <c r="L128" s="52" t="e">
        <f>COUNTIFS(Table10141619[Prodi],$I$121,Table10141619[B4],L$124)/$I$123</f>
        <v>#DIV/0!</v>
      </c>
      <c r="M128" s="48" t="e">
        <f t="shared" si="15"/>
        <v>#DIV/0!</v>
      </c>
      <c r="N128" s="122"/>
      <c r="O128" s="43" t="s">
        <v>29</v>
      </c>
      <c r="P128" s="52">
        <f>COUNTIFS(Table10141619[Prodi],$P$121,Table10141619[B4],P$124)/$P$123</f>
        <v>1</v>
      </c>
      <c r="Q128" s="52">
        <f>COUNTIFS(Table10141619[Prodi],$P$121,Table10141619[B4],Q$124)/$P$123</f>
        <v>0</v>
      </c>
      <c r="R128" s="52">
        <f>COUNTIFS(Table10141619[Prodi],$P$121,Table10141619[B4],R$124)/$P$123</f>
        <v>0</v>
      </c>
      <c r="S128" s="52">
        <f>COUNTIFS(Table10141619[Prodi],$P$121,Table10141619[B4],S$124)/$P$123</f>
        <v>0</v>
      </c>
      <c r="T128" s="48">
        <f t="shared" si="16"/>
        <v>1</v>
      </c>
      <c r="U128" s="122"/>
      <c r="V128" s="43" t="s">
        <v>29</v>
      </c>
      <c r="W128" s="52" t="e">
        <f>COUNTIFS(Table10141619[Prodi],$W$121,Table10141619[B4],W$124)/$W$123</f>
        <v>#DIV/0!</v>
      </c>
      <c r="X128" s="52" t="e">
        <f>COUNTIFS(Table10141619[Prodi],$W$121,Table10141619[B4],X$124)/$W$123</f>
        <v>#DIV/0!</v>
      </c>
      <c r="Y128" s="52" t="e">
        <f>COUNTIFS(Table10141619[Prodi],$W$121,Table10141619[B4],Y$124)/$W$123</f>
        <v>#DIV/0!</v>
      </c>
      <c r="Z128" s="52" t="e">
        <f>COUNTIFS(Table10141619[Prodi],$W$121,Table10141619[B4],Z$124)/$W$123</f>
        <v>#DIV/0!</v>
      </c>
      <c r="AA128" s="48" t="e">
        <f t="shared" si="17"/>
        <v>#DIV/0!</v>
      </c>
      <c r="AB128" s="122"/>
      <c r="AC128" s="122"/>
      <c r="AD128" s="122"/>
      <c r="AE128" s="122"/>
      <c r="AF128" s="122"/>
      <c r="AG128" s="122"/>
      <c r="AH128" s="122"/>
      <c r="AI128" s="122"/>
      <c r="AJ128" s="122"/>
      <c r="AK128" s="122"/>
      <c r="AL128" s="122"/>
      <c r="AM128" s="122"/>
      <c r="AN128" s="122"/>
      <c r="AO128" s="122"/>
      <c r="AP128" s="122"/>
      <c r="AQ128" s="122"/>
      <c r="AR128" s="122"/>
    </row>
    <row r="129" spans="1:44" s="83" customFormat="1" ht="16.5" x14ac:dyDescent="0.3">
      <c r="A129" s="46"/>
      <c r="B129" s="47">
        <f>AVERAGE(B125:B128)</f>
        <v>1</v>
      </c>
      <c r="C129" s="47">
        <f>AVERAGE(C125:C128)</f>
        <v>0</v>
      </c>
      <c r="D129" s="47">
        <f>AVERAGE(D125:D128)</f>
        <v>0</v>
      </c>
      <c r="E129" s="47">
        <f>AVERAGE(E125:E128)</f>
        <v>0</v>
      </c>
      <c r="F129" s="48">
        <f t="shared" si="14"/>
        <v>1</v>
      </c>
      <c r="H129" s="46"/>
      <c r="I129" s="47" t="e">
        <f>AVERAGE(I125:I128)</f>
        <v>#DIV/0!</v>
      </c>
      <c r="J129" s="47" t="e">
        <f>AVERAGE(J125:J128)</f>
        <v>#DIV/0!</v>
      </c>
      <c r="K129" s="47" t="e">
        <f>AVERAGE(K125:K128)</f>
        <v>#DIV/0!</v>
      </c>
      <c r="L129" s="47" t="e">
        <f>AVERAGE(L125:L128)</f>
        <v>#DIV/0!</v>
      </c>
      <c r="M129" s="48" t="e">
        <f t="shared" si="15"/>
        <v>#DIV/0!</v>
      </c>
      <c r="N129" s="122"/>
      <c r="O129" s="46"/>
      <c r="P129" s="47">
        <f>AVERAGE(P125:P128)</f>
        <v>1</v>
      </c>
      <c r="Q129" s="47">
        <f>AVERAGE(Q125:Q128)</f>
        <v>0</v>
      </c>
      <c r="R129" s="47">
        <f>AVERAGE(R125:R128)</f>
        <v>0</v>
      </c>
      <c r="S129" s="47">
        <f>AVERAGE(S125:S128)</f>
        <v>0</v>
      </c>
      <c r="T129" s="48">
        <f t="shared" si="16"/>
        <v>1</v>
      </c>
      <c r="U129" s="122"/>
      <c r="V129" s="46"/>
      <c r="W129" s="47" t="e">
        <f>AVERAGE(W125:W128)</f>
        <v>#DIV/0!</v>
      </c>
      <c r="X129" s="47" t="e">
        <f>AVERAGE(X125:X128)</f>
        <v>#DIV/0!</v>
      </c>
      <c r="Y129" s="47" t="e">
        <f>AVERAGE(Y125:Y128)</f>
        <v>#DIV/0!</v>
      </c>
      <c r="Z129" s="47" t="e">
        <f>AVERAGE(Z125:Z128)</f>
        <v>#DIV/0!</v>
      </c>
      <c r="AA129" s="48" t="e">
        <f t="shared" si="17"/>
        <v>#DIV/0!</v>
      </c>
      <c r="AB129" s="122"/>
      <c r="AC129" s="122"/>
      <c r="AD129" s="122"/>
      <c r="AE129" s="122"/>
      <c r="AF129" s="122"/>
      <c r="AG129" s="122"/>
      <c r="AH129" s="122"/>
      <c r="AI129" s="122"/>
      <c r="AJ129" s="122"/>
      <c r="AK129" s="122"/>
      <c r="AL129" s="122"/>
      <c r="AM129" s="122"/>
      <c r="AN129" s="122"/>
      <c r="AO129" s="122"/>
      <c r="AP129" s="122"/>
      <c r="AQ129" s="122"/>
      <c r="AR129" s="122"/>
    </row>
    <row r="130" spans="1:44" s="83" customFormat="1" ht="16.5" x14ac:dyDescent="0.3">
      <c r="A130" s="43" t="s">
        <v>31</v>
      </c>
      <c r="B130" s="52">
        <f>COUNTIF(Table10141619[C1],B$124)/$B$123</f>
        <v>0</v>
      </c>
      <c r="C130" s="52">
        <f>COUNTIF(Table10141619[C1],C$124)/$B$123</f>
        <v>1</v>
      </c>
      <c r="D130" s="52">
        <f>COUNTIF(Table10141619[C1],D$124)/$B$123</f>
        <v>0</v>
      </c>
      <c r="E130" s="52">
        <f>COUNTIF(Table10141619[C1],E$124)/$B$123</f>
        <v>0</v>
      </c>
      <c r="F130" s="48">
        <f t="shared" si="14"/>
        <v>1</v>
      </c>
      <c r="H130" s="43" t="s">
        <v>31</v>
      </c>
      <c r="I130" s="52" t="e">
        <f>COUNTIFS(Table10141619[Prodi],$I$121,Table10141619[C1],I$124)/$I$123</f>
        <v>#DIV/0!</v>
      </c>
      <c r="J130" s="52" t="e">
        <f>COUNTIFS(Table10141619[Prodi],$I$121,Table10141619[C1],J$124)/$I$123</f>
        <v>#DIV/0!</v>
      </c>
      <c r="K130" s="52" t="e">
        <f>COUNTIFS(Table10141619[Prodi],$I$121,Table10141619[C1],K$124)/$I$123</f>
        <v>#DIV/0!</v>
      </c>
      <c r="L130" s="52" t="e">
        <f>COUNTIFS(Table10141619[Prodi],$I$121,Table10141619[C1],L$124)/$I$123</f>
        <v>#DIV/0!</v>
      </c>
      <c r="M130" s="48" t="e">
        <f t="shared" si="15"/>
        <v>#DIV/0!</v>
      </c>
      <c r="N130" s="122"/>
      <c r="O130" s="43" t="s">
        <v>31</v>
      </c>
      <c r="P130" s="52">
        <f>COUNTIFS(Table10141619[Prodi],$P$121,Table10141619[C1],P$124)/$P$123</f>
        <v>0</v>
      </c>
      <c r="Q130" s="52">
        <f>COUNTIFS(Table10141619[Prodi],$P$121,Table10141619[C1],Q$124)/$P$123</f>
        <v>1</v>
      </c>
      <c r="R130" s="52">
        <f>COUNTIFS(Table10141619[Prodi],$P$121,Table10141619[C1],R$124)/$P$123</f>
        <v>0</v>
      </c>
      <c r="S130" s="52">
        <f>COUNTIFS(Table10141619[Prodi],$P$121,Table10141619[C1],S$124)/$P$123</f>
        <v>0</v>
      </c>
      <c r="T130" s="48">
        <f t="shared" si="16"/>
        <v>1</v>
      </c>
      <c r="U130" s="122"/>
      <c r="V130" s="43" t="s">
        <v>31</v>
      </c>
      <c r="W130" s="52" t="e">
        <f>COUNTIFS(Table10141619[Prodi],$W$121,Table10141619[C1],W$124)/$W$123</f>
        <v>#DIV/0!</v>
      </c>
      <c r="X130" s="52" t="e">
        <f>COUNTIFS(Table10141619[Prodi],$W$121,Table10141619[C1],X$124)/$W$123</f>
        <v>#DIV/0!</v>
      </c>
      <c r="Y130" s="52" t="e">
        <f>COUNTIFS(Table10141619[Prodi],$W$121,Table10141619[C1],Y$124)/$W$123</f>
        <v>#DIV/0!</v>
      </c>
      <c r="Z130" s="52" t="e">
        <f>COUNTIFS(Table10141619[Prodi],$W$121,Table10141619[C1],Z$124)/$W$123</f>
        <v>#DIV/0!</v>
      </c>
      <c r="AA130" s="48" t="e">
        <f t="shared" si="17"/>
        <v>#DIV/0!</v>
      </c>
      <c r="AB130" s="122"/>
      <c r="AC130" s="122"/>
      <c r="AD130" s="122"/>
      <c r="AE130" s="122"/>
      <c r="AF130" s="122"/>
      <c r="AG130" s="122"/>
      <c r="AH130" s="122"/>
      <c r="AI130" s="122"/>
      <c r="AJ130" s="122"/>
      <c r="AK130" s="122"/>
      <c r="AL130" s="122"/>
      <c r="AM130" s="122"/>
      <c r="AN130" s="122"/>
      <c r="AO130" s="122"/>
      <c r="AP130" s="122"/>
      <c r="AQ130" s="122"/>
      <c r="AR130" s="122"/>
    </row>
    <row r="131" spans="1:44" s="83" customFormat="1" ht="16.5" x14ac:dyDescent="0.3">
      <c r="A131" s="43" t="s">
        <v>32</v>
      </c>
      <c r="B131" s="52">
        <f>COUNTIF(Table10141619[C2],B$124)/$B$123</f>
        <v>1</v>
      </c>
      <c r="C131" s="52">
        <f>COUNTIF(Table10141619[C2],C$124)/$B$123</f>
        <v>0</v>
      </c>
      <c r="D131" s="52">
        <f>COUNTIF(Table10141619[C2],D$124)/$B$123</f>
        <v>0</v>
      </c>
      <c r="E131" s="52">
        <f>COUNTIF(Table10141619[C2],E$124)/$B$123</f>
        <v>0</v>
      </c>
      <c r="F131" s="48">
        <f t="shared" si="14"/>
        <v>1</v>
      </c>
      <c r="H131" s="43" t="s">
        <v>32</v>
      </c>
      <c r="I131" s="52" t="e">
        <f>COUNTIFS(Table10141619[Prodi],$I$121,Table10141619[C2],I$124)/$I$123</f>
        <v>#DIV/0!</v>
      </c>
      <c r="J131" s="52" t="e">
        <f>COUNTIFS(Table10141619[Prodi],$I$121,Table10141619[C2],J$124)/$I$123</f>
        <v>#DIV/0!</v>
      </c>
      <c r="K131" s="52" t="e">
        <f>COUNTIFS(Table10141619[Prodi],$I$121,Table10141619[C2],K$124)/$I$123</f>
        <v>#DIV/0!</v>
      </c>
      <c r="L131" s="52" t="e">
        <f>COUNTIFS(Table10141619[Prodi],$I$121,Table10141619[C2],L$124)/$I$123</f>
        <v>#DIV/0!</v>
      </c>
      <c r="M131" s="48" t="e">
        <f t="shared" si="15"/>
        <v>#DIV/0!</v>
      </c>
      <c r="N131" s="122"/>
      <c r="O131" s="43" t="s">
        <v>32</v>
      </c>
      <c r="P131" s="52">
        <f>COUNTIFS(Table10141619[Prodi],$P$121,Table10141619[C2],P$124)/$P$123</f>
        <v>1</v>
      </c>
      <c r="Q131" s="52">
        <f>COUNTIFS(Table10141619[Prodi],$P$121,Table10141619[C2],Q$124)/$P$123</f>
        <v>0</v>
      </c>
      <c r="R131" s="52">
        <f>COUNTIFS(Table10141619[Prodi],$P$121,Table10141619[C2],R$124)/$P$123</f>
        <v>0</v>
      </c>
      <c r="S131" s="52">
        <f>COUNTIFS(Table10141619[Prodi],$P$121,Table10141619[C2],S$124)/$P$123</f>
        <v>0</v>
      </c>
      <c r="T131" s="48">
        <f t="shared" si="16"/>
        <v>1</v>
      </c>
      <c r="U131" s="122"/>
      <c r="V131" s="43" t="s">
        <v>32</v>
      </c>
      <c r="W131" s="52" t="e">
        <f>COUNTIFS(Table10141619[Prodi],$W$121,Table10141619[C2],W$124)/$W$123</f>
        <v>#DIV/0!</v>
      </c>
      <c r="X131" s="52" t="e">
        <f>COUNTIFS(Table10141619[Prodi],$W$121,Table10141619[C2],X$124)/$W$123</f>
        <v>#DIV/0!</v>
      </c>
      <c r="Y131" s="52" t="e">
        <f>COUNTIFS(Table10141619[Prodi],$W$121,Table10141619[C2],Y$124)/$W$123</f>
        <v>#DIV/0!</v>
      </c>
      <c r="Z131" s="52" t="e">
        <f>COUNTIFS(Table10141619[Prodi],$W$121,Table10141619[C2],Z$124)/$W$123</f>
        <v>#DIV/0!</v>
      </c>
      <c r="AA131" s="48" t="e">
        <f t="shared" si="17"/>
        <v>#DIV/0!</v>
      </c>
      <c r="AB131" s="122"/>
      <c r="AC131" s="122"/>
      <c r="AD131" s="122"/>
      <c r="AE131" s="122"/>
      <c r="AF131" s="122"/>
      <c r="AG131" s="122"/>
      <c r="AH131" s="122"/>
      <c r="AI131" s="122"/>
      <c r="AJ131" s="122"/>
      <c r="AK131" s="122"/>
      <c r="AL131" s="122"/>
      <c r="AM131" s="122"/>
      <c r="AN131" s="122"/>
      <c r="AO131" s="122"/>
      <c r="AP131" s="122"/>
      <c r="AQ131" s="122"/>
      <c r="AR131" s="122"/>
    </row>
    <row r="132" spans="1:44" s="83" customFormat="1" ht="16.5" x14ac:dyDescent="0.3">
      <c r="A132" s="46"/>
      <c r="B132" s="47">
        <f>AVERAGE(B130:B131)</f>
        <v>0.5</v>
      </c>
      <c r="C132" s="47">
        <f>AVERAGE(C130:C131)</f>
        <v>0.5</v>
      </c>
      <c r="D132" s="47">
        <f>AVERAGE(D130:D131)</f>
        <v>0</v>
      </c>
      <c r="E132" s="47">
        <f>AVERAGE(E130:E131)</f>
        <v>0</v>
      </c>
      <c r="F132" s="48">
        <f>SUM(B132:E132)</f>
        <v>1</v>
      </c>
      <c r="H132" s="46"/>
      <c r="I132" s="47" t="e">
        <f>AVERAGE(I130:I131)</f>
        <v>#DIV/0!</v>
      </c>
      <c r="J132" s="47" t="e">
        <f>AVERAGE(J130:J131)</f>
        <v>#DIV/0!</v>
      </c>
      <c r="K132" s="47" t="e">
        <f>AVERAGE(K130:K131)</f>
        <v>#DIV/0!</v>
      </c>
      <c r="L132" s="47" t="e">
        <f>AVERAGE(L130:L131)</f>
        <v>#DIV/0!</v>
      </c>
      <c r="M132" s="48" t="e">
        <f>SUM(I132:L132)</f>
        <v>#DIV/0!</v>
      </c>
      <c r="N132" s="122"/>
      <c r="O132" s="46"/>
      <c r="P132" s="47">
        <f>AVERAGE(P130:P131)</f>
        <v>0.5</v>
      </c>
      <c r="Q132" s="47">
        <f>AVERAGE(Q130:Q131)</f>
        <v>0.5</v>
      </c>
      <c r="R132" s="47">
        <f>AVERAGE(R130:R131)</f>
        <v>0</v>
      </c>
      <c r="S132" s="47">
        <f>AVERAGE(S130:S131)</f>
        <v>0</v>
      </c>
      <c r="T132" s="48">
        <f>SUM(P132:S132)</f>
        <v>1</v>
      </c>
      <c r="U132" s="122"/>
      <c r="V132" s="46"/>
      <c r="W132" s="47" t="e">
        <f>AVERAGE(W130:W131)</f>
        <v>#DIV/0!</v>
      </c>
      <c r="X132" s="47" t="e">
        <f>AVERAGE(X130:X131)</f>
        <v>#DIV/0!</v>
      </c>
      <c r="Y132" s="47" t="e">
        <f>AVERAGE(Y130:Y131)</f>
        <v>#DIV/0!</v>
      </c>
      <c r="Z132" s="47" t="e">
        <f>AVERAGE(Z130:Z131)</f>
        <v>#DIV/0!</v>
      </c>
      <c r="AA132" s="48" t="e">
        <f>SUM(W132:Z132)</f>
        <v>#DIV/0!</v>
      </c>
      <c r="AB132" s="122"/>
      <c r="AC132" s="122"/>
      <c r="AD132" s="122"/>
      <c r="AE132" s="122"/>
      <c r="AF132" s="122"/>
      <c r="AG132" s="122"/>
      <c r="AH132" s="122"/>
      <c r="AI132" s="122"/>
      <c r="AJ132" s="122"/>
      <c r="AK132" s="122"/>
      <c r="AL132" s="122"/>
      <c r="AM132" s="122"/>
      <c r="AN132" s="122"/>
      <c r="AO132" s="122"/>
      <c r="AP132" s="122"/>
      <c r="AQ132" s="122"/>
      <c r="AR132" s="122"/>
    </row>
    <row r="133" spans="1:44" s="83" customFormat="1" ht="16.5" x14ac:dyDescent="0.3">
      <c r="A133" s="43" t="s">
        <v>33</v>
      </c>
      <c r="B133" s="52">
        <f>COUNTIF(Table10141619[D1],B$124)/$B$123</f>
        <v>1</v>
      </c>
      <c r="C133" s="52">
        <f>COUNTIF(Table10141619[D1],C$124)/$B$123</f>
        <v>0</v>
      </c>
      <c r="D133" s="52">
        <f>COUNTIF(Table10141619[D1],D$124)/$B$123</f>
        <v>0</v>
      </c>
      <c r="E133" s="52">
        <f>COUNTIF(Table10141619[D1],E$124)/$B$123</f>
        <v>0</v>
      </c>
      <c r="F133" s="48">
        <f t="shared" ref="F133:F163" si="18">SUM(B133:E133)</f>
        <v>1</v>
      </c>
      <c r="H133" s="43" t="s">
        <v>33</v>
      </c>
      <c r="I133" s="52" t="e">
        <f>COUNTIFS(Table10141619[Prodi],$I$121,Table10141619[D1],I$124)/$I$123</f>
        <v>#DIV/0!</v>
      </c>
      <c r="J133" s="52" t="e">
        <f>COUNTIFS(Table10141619[Prodi],$I$121,Table10141619[D1],J$124)/$I$123</f>
        <v>#DIV/0!</v>
      </c>
      <c r="K133" s="52" t="e">
        <f>COUNTIFS(Table10141619[Prodi],$I$121,Table10141619[D1],K$124)/$I$123</f>
        <v>#DIV/0!</v>
      </c>
      <c r="L133" s="52" t="e">
        <f>COUNTIFS(Table10141619[Prodi],$I$121,Table10141619[D1],L$124)/$I$123</f>
        <v>#DIV/0!</v>
      </c>
      <c r="M133" s="48" t="e">
        <f t="shared" ref="M133:M163" si="19">SUM(I133:L133)</f>
        <v>#DIV/0!</v>
      </c>
      <c r="N133" s="122"/>
      <c r="O133" s="43" t="s">
        <v>33</v>
      </c>
      <c r="P133" s="52">
        <f>COUNTIFS(Table10141619[Prodi],$P$121,Table10141619[D1],P$124)/$P$123</f>
        <v>1</v>
      </c>
      <c r="Q133" s="52">
        <f>COUNTIFS(Table10141619[Prodi],$P$121,Table10141619[D1],Q$124)/$P$123</f>
        <v>0</v>
      </c>
      <c r="R133" s="52">
        <f>COUNTIFS(Table10141619[Prodi],$P$121,Table10141619[D1],R$124)/$P$123</f>
        <v>0</v>
      </c>
      <c r="S133" s="52">
        <f>COUNTIFS(Table10141619[Prodi],$P$121,Table10141619[D1],S$124)/$P$123</f>
        <v>0</v>
      </c>
      <c r="T133" s="48">
        <f t="shared" ref="T133:T163" si="20">SUM(P133:S133)</f>
        <v>1</v>
      </c>
      <c r="U133" s="122"/>
      <c r="V133" s="43" t="s">
        <v>33</v>
      </c>
      <c r="W133" s="52" t="e">
        <f>COUNTIFS(Table10141619[Prodi],$W$121,Table10141619[D1],W$124)/$W$123</f>
        <v>#DIV/0!</v>
      </c>
      <c r="X133" s="52" t="e">
        <f>COUNTIFS(Table10141619[Prodi],$W$121,Table10141619[D1],X$124)/$W$123</f>
        <v>#DIV/0!</v>
      </c>
      <c r="Y133" s="52" t="e">
        <f>COUNTIFS(Table10141619[Prodi],$W$121,Table10141619[D1],Y$124)/$W$123</f>
        <v>#DIV/0!</v>
      </c>
      <c r="Z133" s="52" t="e">
        <f>COUNTIFS(Table10141619[Prodi],$W$121,Table10141619[D1],Z$124)/$W$123</f>
        <v>#DIV/0!</v>
      </c>
      <c r="AA133" s="48" t="e">
        <f t="shared" ref="AA133:AA163" si="21">SUM(W133:Z133)</f>
        <v>#DIV/0!</v>
      </c>
      <c r="AB133" s="122"/>
      <c r="AC133" s="122"/>
      <c r="AD133" s="122"/>
      <c r="AE133" s="122"/>
      <c r="AF133" s="122"/>
      <c r="AG133" s="122"/>
      <c r="AH133" s="122"/>
      <c r="AI133" s="122"/>
      <c r="AJ133" s="122"/>
      <c r="AK133" s="122"/>
      <c r="AL133" s="122"/>
      <c r="AM133" s="122"/>
      <c r="AN133" s="122"/>
      <c r="AO133" s="122"/>
      <c r="AP133" s="122"/>
      <c r="AQ133" s="122"/>
      <c r="AR133" s="122"/>
    </row>
    <row r="134" spans="1:44" s="83" customFormat="1" ht="16.5" x14ac:dyDescent="0.3">
      <c r="A134" s="43" t="s">
        <v>34</v>
      </c>
      <c r="B134" s="52">
        <f>COUNTIF(Table10141619[D2],B$124)/$B$123</f>
        <v>1</v>
      </c>
      <c r="C134" s="52">
        <f>COUNTIF(Table10141619[D2],C$124)/$B$123</f>
        <v>0</v>
      </c>
      <c r="D134" s="52">
        <f>COUNTIF(Table10141619[D2],D$124)/$B$123</f>
        <v>0</v>
      </c>
      <c r="E134" s="52">
        <f>COUNTIF(Table10141619[D2],E$124)/$B$123</f>
        <v>0</v>
      </c>
      <c r="F134" s="48">
        <f t="shared" si="18"/>
        <v>1</v>
      </c>
      <c r="H134" s="43" t="s">
        <v>34</v>
      </c>
      <c r="I134" s="52" t="e">
        <f>COUNTIFS(Table10141619[Prodi],$I$121,Table10141619[D2],I$124)/$I$123</f>
        <v>#DIV/0!</v>
      </c>
      <c r="J134" s="52" t="e">
        <f>COUNTIFS(Table10141619[Prodi],$I$121,Table10141619[D2],J$124)/$I$123</f>
        <v>#DIV/0!</v>
      </c>
      <c r="K134" s="52" t="e">
        <f>COUNTIFS(Table10141619[Prodi],$I$121,Table10141619[D2],K$124)/$I$123</f>
        <v>#DIV/0!</v>
      </c>
      <c r="L134" s="52" t="e">
        <f>COUNTIFS(Table10141619[Prodi],$I$121,Table10141619[D2],L$124)/$I$123</f>
        <v>#DIV/0!</v>
      </c>
      <c r="M134" s="48" t="e">
        <f t="shared" si="19"/>
        <v>#DIV/0!</v>
      </c>
      <c r="N134" s="122"/>
      <c r="O134" s="43" t="s">
        <v>34</v>
      </c>
      <c r="P134" s="52">
        <f>COUNTIFS(Table10141619[Prodi],$P$121,Table10141619[D2],P$124)/$P$123</f>
        <v>1</v>
      </c>
      <c r="Q134" s="52">
        <f>COUNTIFS(Table10141619[Prodi],$P$121,Table10141619[D2],Q$124)/$P$123</f>
        <v>0</v>
      </c>
      <c r="R134" s="52">
        <f>COUNTIFS(Table10141619[Prodi],$P$121,Table10141619[D2],R$124)/$P$123</f>
        <v>0</v>
      </c>
      <c r="S134" s="52">
        <f>COUNTIFS(Table10141619[Prodi],$P$121,Table10141619[D2],S$124)/$P$123</f>
        <v>0</v>
      </c>
      <c r="T134" s="48">
        <f t="shared" si="20"/>
        <v>1</v>
      </c>
      <c r="U134" s="122"/>
      <c r="V134" s="43" t="s">
        <v>34</v>
      </c>
      <c r="W134" s="52" t="e">
        <f>COUNTIFS(Table10141619[Prodi],$W$121,Table10141619[D2],W$124)/$W$123</f>
        <v>#DIV/0!</v>
      </c>
      <c r="X134" s="52" t="e">
        <f>COUNTIFS(Table10141619[Prodi],$W$121,Table10141619[D2],X$124)/$W$123</f>
        <v>#DIV/0!</v>
      </c>
      <c r="Y134" s="52" t="e">
        <f>COUNTIFS(Table10141619[Prodi],$W$121,Table10141619[D2],Y$124)/$W$123</f>
        <v>#DIV/0!</v>
      </c>
      <c r="Z134" s="52" t="e">
        <f>COUNTIFS(Table10141619[Prodi],$W$121,Table10141619[D2],Z$124)/$W$123</f>
        <v>#DIV/0!</v>
      </c>
      <c r="AA134" s="48" t="e">
        <f t="shared" si="21"/>
        <v>#DIV/0!</v>
      </c>
      <c r="AB134" s="122"/>
      <c r="AC134" s="122"/>
      <c r="AD134" s="122"/>
      <c r="AE134" s="122"/>
      <c r="AF134" s="122"/>
      <c r="AG134" s="122"/>
      <c r="AH134" s="122"/>
      <c r="AI134" s="122"/>
      <c r="AJ134" s="122"/>
      <c r="AK134" s="122"/>
      <c r="AL134" s="122"/>
      <c r="AM134" s="122"/>
      <c r="AN134" s="122"/>
      <c r="AO134" s="122"/>
      <c r="AP134" s="122"/>
      <c r="AQ134" s="122"/>
      <c r="AR134" s="122"/>
    </row>
    <row r="135" spans="1:44" s="83" customFormat="1" ht="16.5" x14ac:dyDescent="0.3">
      <c r="A135" s="46"/>
      <c r="B135" s="47">
        <f>AVERAGE(B133:B134)</f>
        <v>1</v>
      </c>
      <c r="C135" s="47">
        <f>AVERAGE(C133:C134)</f>
        <v>0</v>
      </c>
      <c r="D135" s="47">
        <f>AVERAGE(D133:D134)</f>
        <v>0</v>
      </c>
      <c r="E135" s="47">
        <f>AVERAGE(E133:E134)</f>
        <v>0</v>
      </c>
      <c r="F135" s="48">
        <f t="shared" si="18"/>
        <v>1</v>
      </c>
      <c r="H135" s="46"/>
      <c r="I135" s="47" t="e">
        <f>AVERAGE(I133:I134)</f>
        <v>#DIV/0!</v>
      </c>
      <c r="J135" s="47" t="e">
        <f>AVERAGE(J133:J134)</f>
        <v>#DIV/0!</v>
      </c>
      <c r="K135" s="47" t="e">
        <f>AVERAGE(K133:K134)</f>
        <v>#DIV/0!</v>
      </c>
      <c r="L135" s="47" t="e">
        <f>AVERAGE(L133:L134)</f>
        <v>#DIV/0!</v>
      </c>
      <c r="M135" s="48" t="e">
        <f t="shared" si="19"/>
        <v>#DIV/0!</v>
      </c>
      <c r="N135" s="122"/>
      <c r="O135" s="46"/>
      <c r="P135" s="47">
        <f>AVERAGE(P133:P134)</f>
        <v>1</v>
      </c>
      <c r="Q135" s="47">
        <f>AVERAGE(Q133:Q134)</f>
        <v>0</v>
      </c>
      <c r="R135" s="47">
        <f>AVERAGE(R133:R134)</f>
        <v>0</v>
      </c>
      <c r="S135" s="47">
        <f>AVERAGE(S133:S134)</f>
        <v>0</v>
      </c>
      <c r="T135" s="48">
        <f t="shared" si="20"/>
        <v>1</v>
      </c>
      <c r="U135" s="122"/>
      <c r="V135" s="46"/>
      <c r="W135" s="47" t="e">
        <f>AVERAGE(W133:W134)</f>
        <v>#DIV/0!</v>
      </c>
      <c r="X135" s="47" t="e">
        <f>AVERAGE(X133:X134)</f>
        <v>#DIV/0!</v>
      </c>
      <c r="Y135" s="47" t="e">
        <f>AVERAGE(Y133:Y134)</f>
        <v>#DIV/0!</v>
      </c>
      <c r="Z135" s="47" t="e">
        <f>AVERAGE(Z133:Z134)</f>
        <v>#DIV/0!</v>
      </c>
      <c r="AA135" s="48" t="e">
        <f t="shared" si="21"/>
        <v>#DIV/0!</v>
      </c>
      <c r="AB135" s="122"/>
      <c r="AC135" s="122"/>
      <c r="AD135" s="122"/>
      <c r="AE135" s="122"/>
      <c r="AF135" s="122"/>
      <c r="AG135" s="122"/>
      <c r="AH135" s="122"/>
      <c r="AI135" s="122"/>
      <c r="AJ135" s="122"/>
      <c r="AK135" s="122"/>
      <c r="AL135" s="122"/>
      <c r="AM135" s="122"/>
      <c r="AN135" s="122"/>
      <c r="AO135" s="122"/>
      <c r="AP135" s="122"/>
      <c r="AQ135" s="122"/>
      <c r="AR135" s="122"/>
    </row>
    <row r="136" spans="1:44" s="83" customFormat="1" ht="16.5" x14ac:dyDescent="0.3">
      <c r="A136" s="43" t="s">
        <v>35</v>
      </c>
      <c r="B136" s="52">
        <f>COUNTIF(Table10141619[E1],B$124)/$B$123</f>
        <v>1</v>
      </c>
      <c r="C136" s="52">
        <f>COUNTIF(Table10141619[E1],C$124)/$B$123</f>
        <v>0</v>
      </c>
      <c r="D136" s="52">
        <f>COUNTIF(Table10141619[E1],D$124)/$B$123</f>
        <v>0</v>
      </c>
      <c r="E136" s="52">
        <f>COUNTIF(Table10141619[E1],E$124)/$B$123</f>
        <v>0</v>
      </c>
      <c r="F136" s="48">
        <f t="shared" si="18"/>
        <v>1</v>
      </c>
      <c r="H136" s="43" t="s">
        <v>35</v>
      </c>
      <c r="I136" s="52" t="e">
        <f>COUNTIFS(Table10141619[Prodi],$I$121,Table10141619[E1],I$124)/$I$123</f>
        <v>#DIV/0!</v>
      </c>
      <c r="J136" s="52" t="e">
        <f>COUNTIFS(Table10141619[Prodi],$I$121,Table10141619[E1],J$124)/$I$123</f>
        <v>#DIV/0!</v>
      </c>
      <c r="K136" s="52" t="e">
        <f>COUNTIFS(Table10141619[Prodi],$I$121,Table10141619[E1],K$124)/$I$123</f>
        <v>#DIV/0!</v>
      </c>
      <c r="L136" s="52" t="e">
        <f>COUNTIFS(Table10141619[Prodi],$I$121,Table10141619[E1],L$124)/$I$123</f>
        <v>#DIV/0!</v>
      </c>
      <c r="M136" s="48" t="e">
        <f t="shared" si="19"/>
        <v>#DIV/0!</v>
      </c>
      <c r="N136" s="122"/>
      <c r="O136" s="43" t="s">
        <v>35</v>
      </c>
      <c r="P136" s="52">
        <f>COUNTIFS(Table10141619[Prodi],$P$121,Table10141619[E1],P$124)/$P$123</f>
        <v>1</v>
      </c>
      <c r="Q136" s="52">
        <f>COUNTIFS(Table10141619[Prodi],$P$121,Table10141619[E1],Q$124)/$P$123</f>
        <v>0</v>
      </c>
      <c r="R136" s="52">
        <f>COUNTIFS(Table10141619[Prodi],$P$121,Table10141619[E1],R$124)/$P$123</f>
        <v>0</v>
      </c>
      <c r="S136" s="52">
        <f>COUNTIFS(Table10141619[Prodi],$P$121,Table10141619[E1],S$124)/$P$123</f>
        <v>0</v>
      </c>
      <c r="T136" s="48">
        <f t="shared" si="20"/>
        <v>1</v>
      </c>
      <c r="U136" s="122"/>
      <c r="V136" s="43" t="s">
        <v>35</v>
      </c>
      <c r="W136" s="52" t="e">
        <f>COUNTIFS(Table10141619[Prodi],$W$121,Table10141619[E1],W$124)/$W$123</f>
        <v>#DIV/0!</v>
      </c>
      <c r="X136" s="52" t="e">
        <f>COUNTIFS(Table10141619[Prodi],$W$121,Table10141619[E1],X$124)/$W$123</f>
        <v>#DIV/0!</v>
      </c>
      <c r="Y136" s="52" t="e">
        <f>COUNTIFS(Table10141619[Prodi],$W$121,Table10141619[E1],Y$124)/$W$123</f>
        <v>#DIV/0!</v>
      </c>
      <c r="Z136" s="52" t="e">
        <f>COUNTIFS(Table10141619[Prodi],$W$121,Table10141619[E1],Z$124)/$W$123</f>
        <v>#DIV/0!</v>
      </c>
      <c r="AA136" s="48" t="e">
        <f t="shared" si="21"/>
        <v>#DIV/0!</v>
      </c>
      <c r="AB136" s="122"/>
      <c r="AC136" s="122"/>
      <c r="AD136" s="122"/>
      <c r="AE136" s="122"/>
      <c r="AF136" s="122"/>
      <c r="AG136" s="122"/>
      <c r="AH136" s="122"/>
      <c r="AI136" s="122"/>
      <c r="AJ136" s="122"/>
      <c r="AK136" s="122"/>
      <c r="AL136" s="122"/>
      <c r="AM136" s="122"/>
      <c r="AN136" s="122"/>
      <c r="AO136" s="122"/>
      <c r="AP136" s="122"/>
      <c r="AQ136" s="122"/>
      <c r="AR136" s="122"/>
    </row>
    <row r="137" spans="1:44" s="83" customFormat="1" ht="16.5" x14ac:dyDescent="0.3">
      <c r="A137" s="43" t="s">
        <v>36</v>
      </c>
      <c r="B137" s="52">
        <f>COUNTIF(Table10141619[E2],B$124)/$B$123</f>
        <v>1</v>
      </c>
      <c r="C137" s="52">
        <f>COUNTIF(Table10141619[E2],C$124)/$B$123</f>
        <v>0</v>
      </c>
      <c r="D137" s="52">
        <f>COUNTIF(Table10141619[E2],D$124)/$B$123</f>
        <v>0</v>
      </c>
      <c r="E137" s="52">
        <f>COUNTIF(Table10141619[E2],E$124)/$B$123</f>
        <v>0</v>
      </c>
      <c r="F137" s="48">
        <f t="shared" si="18"/>
        <v>1</v>
      </c>
      <c r="H137" s="43" t="s">
        <v>36</v>
      </c>
      <c r="I137" s="52" t="e">
        <f>COUNTIFS(Table10141619[Prodi],$I$121,Table10141619[E2],I$124)/$I$123</f>
        <v>#DIV/0!</v>
      </c>
      <c r="J137" s="52" t="e">
        <f>COUNTIFS(Table10141619[Prodi],$I$121,Table10141619[E2],J$124)/$I$123</f>
        <v>#DIV/0!</v>
      </c>
      <c r="K137" s="52" t="e">
        <f>COUNTIFS(Table10141619[Prodi],$I$121,Table10141619[E2],K$124)/$I$123</f>
        <v>#DIV/0!</v>
      </c>
      <c r="L137" s="52" t="e">
        <f>COUNTIFS(Table10141619[Prodi],$I$121,Table10141619[E2],L$124)/$I$123</f>
        <v>#DIV/0!</v>
      </c>
      <c r="M137" s="48" t="e">
        <f t="shared" si="19"/>
        <v>#DIV/0!</v>
      </c>
      <c r="N137" s="122"/>
      <c r="O137" s="43" t="s">
        <v>36</v>
      </c>
      <c r="P137" s="52">
        <f>COUNTIFS(Table10141619[Prodi],$P$121,Table10141619[E2],P$124)/$P$123</f>
        <v>1</v>
      </c>
      <c r="Q137" s="52">
        <f>COUNTIFS(Table10141619[Prodi],$P$121,Table10141619[E2],Q$124)/$P$123</f>
        <v>0</v>
      </c>
      <c r="R137" s="52">
        <f>COUNTIFS(Table10141619[Prodi],$P$121,Table10141619[E2],R$124)/$P$123</f>
        <v>0</v>
      </c>
      <c r="S137" s="52">
        <f>COUNTIFS(Table10141619[Prodi],$P$121,Table10141619[E2],S$124)/$P$123</f>
        <v>0</v>
      </c>
      <c r="T137" s="48">
        <f t="shared" si="20"/>
        <v>1</v>
      </c>
      <c r="U137" s="122"/>
      <c r="V137" s="43" t="s">
        <v>36</v>
      </c>
      <c r="W137" s="52" t="e">
        <f>COUNTIFS(Table10141619[Prodi],$W$121,Table10141619[E2],W$124)/$W$123</f>
        <v>#DIV/0!</v>
      </c>
      <c r="X137" s="52" t="e">
        <f>COUNTIFS(Table10141619[Prodi],$W$121,Table10141619[E2],X$124)/$W$123</f>
        <v>#DIV/0!</v>
      </c>
      <c r="Y137" s="52" t="e">
        <f>COUNTIFS(Table10141619[Prodi],$W$121,Table10141619[E2],Y$124)/$W$123</f>
        <v>#DIV/0!</v>
      </c>
      <c r="Z137" s="52" t="e">
        <f>COUNTIFS(Table10141619[Prodi],$W$121,Table10141619[E2],Z$124)/$W$123</f>
        <v>#DIV/0!</v>
      </c>
      <c r="AA137" s="48" t="e">
        <f t="shared" si="21"/>
        <v>#DIV/0!</v>
      </c>
      <c r="AB137" s="122"/>
      <c r="AC137" s="122"/>
      <c r="AD137" s="122"/>
      <c r="AE137" s="122"/>
      <c r="AF137" s="122"/>
      <c r="AG137" s="122"/>
      <c r="AH137" s="122"/>
      <c r="AI137" s="122"/>
      <c r="AJ137" s="122"/>
      <c r="AK137" s="122"/>
      <c r="AL137" s="122"/>
      <c r="AM137" s="122"/>
      <c r="AN137" s="122"/>
      <c r="AO137" s="122"/>
      <c r="AP137" s="122"/>
      <c r="AQ137" s="122"/>
      <c r="AR137" s="122"/>
    </row>
    <row r="138" spans="1:44" s="83" customFormat="1" ht="16.5" x14ac:dyDescent="0.3">
      <c r="A138" s="46"/>
      <c r="B138" s="47">
        <f>AVERAGE(B136:B137)</f>
        <v>1</v>
      </c>
      <c r="C138" s="47">
        <f>AVERAGE(C136:C137)</f>
        <v>0</v>
      </c>
      <c r="D138" s="47">
        <f>AVERAGE(D136:D137)</f>
        <v>0</v>
      </c>
      <c r="E138" s="47">
        <f>AVERAGE(E136:E137)</f>
        <v>0</v>
      </c>
      <c r="F138" s="48">
        <f t="shared" si="18"/>
        <v>1</v>
      </c>
      <c r="H138" s="46"/>
      <c r="I138" s="47" t="e">
        <f>AVERAGE(I136:I137)</f>
        <v>#DIV/0!</v>
      </c>
      <c r="J138" s="47" t="e">
        <f>AVERAGE(J136:J137)</f>
        <v>#DIV/0!</v>
      </c>
      <c r="K138" s="47" t="e">
        <f>AVERAGE(K136:K137)</f>
        <v>#DIV/0!</v>
      </c>
      <c r="L138" s="47" t="e">
        <f>AVERAGE(L136:L137)</f>
        <v>#DIV/0!</v>
      </c>
      <c r="M138" s="48" t="e">
        <f t="shared" si="19"/>
        <v>#DIV/0!</v>
      </c>
      <c r="N138" s="122"/>
      <c r="O138" s="46"/>
      <c r="P138" s="47">
        <f>AVERAGE(P136:P137)</f>
        <v>1</v>
      </c>
      <c r="Q138" s="47">
        <f>AVERAGE(Q136:Q137)</f>
        <v>0</v>
      </c>
      <c r="R138" s="47">
        <f>AVERAGE(R136:R137)</f>
        <v>0</v>
      </c>
      <c r="S138" s="47">
        <f>AVERAGE(S136:S137)</f>
        <v>0</v>
      </c>
      <c r="T138" s="48">
        <f t="shared" si="20"/>
        <v>1</v>
      </c>
      <c r="U138" s="122"/>
      <c r="V138" s="46"/>
      <c r="W138" s="47" t="e">
        <f>AVERAGE(W136:W137)</f>
        <v>#DIV/0!</v>
      </c>
      <c r="X138" s="47" t="e">
        <f>AVERAGE(X136:X137)</f>
        <v>#DIV/0!</v>
      </c>
      <c r="Y138" s="47" t="e">
        <f>AVERAGE(Y136:Y137)</f>
        <v>#DIV/0!</v>
      </c>
      <c r="Z138" s="47" t="e">
        <f>AVERAGE(Z136:Z137)</f>
        <v>#DIV/0!</v>
      </c>
      <c r="AA138" s="48" t="e">
        <f t="shared" si="21"/>
        <v>#DIV/0!</v>
      </c>
      <c r="AB138" s="122"/>
      <c r="AC138" s="122"/>
      <c r="AD138" s="122"/>
      <c r="AE138" s="122"/>
      <c r="AF138" s="122"/>
      <c r="AG138" s="122"/>
      <c r="AH138" s="122"/>
      <c r="AI138" s="122"/>
      <c r="AJ138" s="122"/>
      <c r="AK138" s="122"/>
      <c r="AL138" s="122"/>
      <c r="AM138" s="122"/>
      <c r="AN138" s="122"/>
      <c r="AO138" s="122"/>
      <c r="AP138" s="122"/>
      <c r="AQ138" s="122"/>
      <c r="AR138" s="122"/>
    </row>
    <row r="139" spans="1:44" s="83" customFormat="1" ht="16.5" x14ac:dyDescent="0.3">
      <c r="A139" s="43" t="s">
        <v>37</v>
      </c>
      <c r="B139" s="52">
        <f>COUNTIF(Table10141619[F1],B$124)/$B$123</f>
        <v>0</v>
      </c>
      <c r="C139" s="52">
        <f>COUNTIF(Table10141619[F1],C$124)/$B$123</f>
        <v>1</v>
      </c>
      <c r="D139" s="52">
        <f>COUNTIF(Table10141619[F1],D$124)/$B$123</f>
        <v>0</v>
      </c>
      <c r="E139" s="52">
        <f>COUNTIF(Table10141619[F1],E$124)/$B$123</f>
        <v>0</v>
      </c>
      <c r="F139" s="48">
        <f t="shared" si="18"/>
        <v>1</v>
      </c>
      <c r="H139" s="43" t="s">
        <v>37</v>
      </c>
      <c r="I139" s="52" t="e">
        <f>COUNTIFS(Table10141619[Prodi],$I$121,Table10141619[F1],I$124)/$I$123</f>
        <v>#DIV/0!</v>
      </c>
      <c r="J139" s="52" t="e">
        <f>COUNTIFS(Table10141619[Prodi],$I$121,Table10141619[F1],J$124)/$I$123</f>
        <v>#DIV/0!</v>
      </c>
      <c r="K139" s="52" t="e">
        <f>COUNTIFS(Table10141619[Prodi],$I$121,Table10141619[F1],K$124)/$I$123</f>
        <v>#DIV/0!</v>
      </c>
      <c r="L139" s="52" t="e">
        <f>COUNTIFS(Table10141619[Prodi],$I$121,Table10141619[F1],L$124)/$I$123</f>
        <v>#DIV/0!</v>
      </c>
      <c r="M139" s="48" t="e">
        <f t="shared" si="19"/>
        <v>#DIV/0!</v>
      </c>
      <c r="N139" s="122"/>
      <c r="O139" s="43" t="s">
        <v>37</v>
      </c>
      <c r="P139" s="52">
        <f>COUNTIFS(Table10141619[Prodi],$P$121,Table10141619[F1],P$124)/$P$123</f>
        <v>0</v>
      </c>
      <c r="Q139" s="52">
        <f>COUNTIFS(Table10141619[Prodi],$P$121,Table10141619[F1],Q$124)/$P$123</f>
        <v>1</v>
      </c>
      <c r="R139" s="52">
        <f>COUNTIFS(Table10141619[Prodi],$P$121,Table10141619[F1],R$124)/$P$123</f>
        <v>0</v>
      </c>
      <c r="S139" s="52">
        <f>COUNTIFS(Table10141619[Prodi],$P$121,Table10141619[F1],S$124)/$P$123</f>
        <v>0</v>
      </c>
      <c r="T139" s="48">
        <f t="shared" si="20"/>
        <v>1</v>
      </c>
      <c r="U139" s="122"/>
      <c r="V139" s="43" t="s">
        <v>37</v>
      </c>
      <c r="W139" s="52" t="e">
        <f>COUNTIFS(Table10141619[Prodi],$W$121,Table10141619[F1],W$124)/$W$123</f>
        <v>#DIV/0!</v>
      </c>
      <c r="X139" s="52" t="e">
        <f>COUNTIFS(Table10141619[Prodi],$W$121,Table10141619[F1],X$124)/$W$123</f>
        <v>#DIV/0!</v>
      </c>
      <c r="Y139" s="52" t="e">
        <f>COUNTIFS(Table10141619[Prodi],$W$121,Table10141619[F1],Y$124)/$W$123</f>
        <v>#DIV/0!</v>
      </c>
      <c r="Z139" s="52" t="e">
        <f>COUNTIFS(Table10141619[Prodi],$W$121,Table10141619[F1],Z$124)/$W$123</f>
        <v>#DIV/0!</v>
      </c>
      <c r="AA139" s="48" t="e">
        <f t="shared" si="21"/>
        <v>#DIV/0!</v>
      </c>
      <c r="AB139" s="122"/>
      <c r="AC139" s="122"/>
      <c r="AD139" s="122"/>
      <c r="AE139" s="122"/>
      <c r="AF139" s="122"/>
      <c r="AG139" s="122"/>
      <c r="AH139" s="122"/>
      <c r="AI139" s="122"/>
      <c r="AJ139" s="122"/>
      <c r="AK139" s="122"/>
      <c r="AL139" s="122"/>
      <c r="AM139" s="122"/>
      <c r="AN139" s="122"/>
      <c r="AO139" s="122"/>
      <c r="AP139" s="122"/>
      <c r="AQ139" s="122"/>
      <c r="AR139" s="122"/>
    </row>
    <row r="140" spans="1:44" s="83" customFormat="1" ht="16.5" x14ac:dyDescent="0.3">
      <c r="A140" s="43" t="s">
        <v>38</v>
      </c>
      <c r="B140" s="52">
        <f>COUNTIF(Table10141619[F2],B$124)/$B$123</f>
        <v>0</v>
      </c>
      <c r="C140" s="52">
        <f>COUNTIF(Table10141619[F2],C$124)/$B$123</f>
        <v>1</v>
      </c>
      <c r="D140" s="52">
        <f>COUNTIF(Table10141619[F2],D$124)/$B$123</f>
        <v>0</v>
      </c>
      <c r="E140" s="52">
        <f>COUNTIF(Table10141619[F2],E$124)/$B$123</f>
        <v>0</v>
      </c>
      <c r="F140" s="48">
        <f t="shared" si="18"/>
        <v>1</v>
      </c>
      <c r="H140" s="43" t="s">
        <v>38</v>
      </c>
      <c r="I140" s="52" t="e">
        <f>COUNTIFS(Table10141619[Prodi],$I$121,Table10141619[F2],I$124)/$I$123</f>
        <v>#DIV/0!</v>
      </c>
      <c r="J140" s="52" t="e">
        <f>COUNTIFS(Table10141619[Prodi],$I$121,Table10141619[F2],J$124)/$I$123</f>
        <v>#DIV/0!</v>
      </c>
      <c r="K140" s="52" t="e">
        <f>COUNTIFS(Table10141619[Prodi],$I$121,Table10141619[F2],K$124)/$I$123</f>
        <v>#DIV/0!</v>
      </c>
      <c r="L140" s="52" t="e">
        <f>COUNTIFS(Table10141619[Prodi],$I$121,Table10141619[F2],L$124)/$I$123</f>
        <v>#DIV/0!</v>
      </c>
      <c r="M140" s="48" t="e">
        <f t="shared" si="19"/>
        <v>#DIV/0!</v>
      </c>
      <c r="N140" s="122"/>
      <c r="O140" s="43" t="s">
        <v>38</v>
      </c>
      <c r="P140" s="52">
        <f>COUNTIFS(Table10141619[Prodi],$P$121,Table10141619[F2],P$124)/$P$123</f>
        <v>0</v>
      </c>
      <c r="Q140" s="52">
        <f>COUNTIFS(Table10141619[Prodi],$P$121,Table10141619[F2],Q$124)/$P$123</f>
        <v>1</v>
      </c>
      <c r="R140" s="52">
        <f>COUNTIFS(Table10141619[Prodi],$P$121,Table10141619[F2],R$124)/$P$123</f>
        <v>0</v>
      </c>
      <c r="S140" s="52">
        <f>COUNTIFS(Table10141619[Prodi],$P$121,Table10141619[F2],S$124)/$P$123</f>
        <v>0</v>
      </c>
      <c r="T140" s="48">
        <f t="shared" si="20"/>
        <v>1</v>
      </c>
      <c r="U140" s="122"/>
      <c r="V140" s="43" t="s">
        <v>38</v>
      </c>
      <c r="W140" s="52" t="e">
        <f>COUNTIFS(Table10141619[Prodi],$W$121,Table10141619[F2],W$124)/$W$123</f>
        <v>#DIV/0!</v>
      </c>
      <c r="X140" s="52" t="e">
        <f>COUNTIFS(Table10141619[Prodi],$W$121,Table10141619[F2],X$124)/$W$123</f>
        <v>#DIV/0!</v>
      </c>
      <c r="Y140" s="52" t="e">
        <f>COUNTIFS(Table10141619[Prodi],$W$121,Table10141619[F2],Y$124)/$W$123</f>
        <v>#DIV/0!</v>
      </c>
      <c r="Z140" s="52" t="e">
        <f>COUNTIFS(Table10141619[Prodi],$W$121,Table10141619[F2],Z$124)/$W$123</f>
        <v>#DIV/0!</v>
      </c>
      <c r="AA140" s="48" t="e">
        <f t="shared" si="21"/>
        <v>#DIV/0!</v>
      </c>
      <c r="AB140" s="122"/>
      <c r="AC140" s="122"/>
      <c r="AD140" s="122"/>
      <c r="AE140" s="122"/>
      <c r="AF140" s="122"/>
      <c r="AG140" s="122"/>
      <c r="AH140" s="122"/>
      <c r="AI140" s="122"/>
      <c r="AJ140" s="122"/>
      <c r="AK140" s="122"/>
      <c r="AL140" s="122"/>
      <c r="AM140" s="122"/>
      <c r="AN140" s="122"/>
      <c r="AO140" s="122"/>
      <c r="AP140" s="122"/>
      <c r="AQ140" s="122"/>
      <c r="AR140" s="122"/>
    </row>
    <row r="141" spans="1:44" s="83" customFormat="1" ht="16.5" x14ac:dyDescent="0.3">
      <c r="A141" s="43" t="s">
        <v>39</v>
      </c>
      <c r="B141" s="52">
        <f>COUNTIF(Table10141619[F3],B$124)/$B$123</f>
        <v>1</v>
      </c>
      <c r="C141" s="52">
        <f>COUNTIF(Table10141619[F3],C$124)/$B$123</f>
        <v>0</v>
      </c>
      <c r="D141" s="52">
        <f>COUNTIF(Table10141619[F3],D$124)/$B$123</f>
        <v>0</v>
      </c>
      <c r="E141" s="52">
        <f>COUNTIF(Table10141619[F3],E$124)/$B$123</f>
        <v>0</v>
      </c>
      <c r="F141" s="48">
        <f t="shared" si="18"/>
        <v>1</v>
      </c>
      <c r="H141" s="43" t="s">
        <v>39</v>
      </c>
      <c r="I141" s="52" t="e">
        <f>COUNTIFS(Table10141619[Prodi],$I$121,Table10141619[F3],I$124)/$I$123</f>
        <v>#DIV/0!</v>
      </c>
      <c r="J141" s="52" t="e">
        <f>COUNTIFS(Table10141619[Prodi],$I$121,Table10141619[F3],J$124)/$I$123</f>
        <v>#DIV/0!</v>
      </c>
      <c r="K141" s="52" t="e">
        <f>COUNTIFS(Table10141619[Prodi],$I$121,Table10141619[F3],K$124)/$I$123</f>
        <v>#DIV/0!</v>
      </c>
      <c r="L141" s="52" t="e">
        <f>COUNTIFS(Table10141619[Prodi],$I$121,Table10141619[F3],L$124)/$I$123</f>
        <v>#DIV/0!</v>
      </c>
      <c r="M141" s="48" t="e">
        <f t="shared" si="19"/>
        <v>#DIV/0!</v>
      </c>
      <c r="N141" s="122"/>
      <c r="O141" s="43" t="s">
        <v>39</v>
      </c>
      <c r="P141" s="52">
        <f>COUNTIFS(Table10141619[Prodi],$P$121,Table10141619[F3],P$124)/$P$123</f>
        <v>1</v>
      </c>
      <c r="Q141" s="52">
        <f>COUNTIFS(Table10141619[Prodi],$P$121,Table10141619[F3],Q$124)/$P$123</f>
        <v>0</v>
      </c>
      <c r="R141" s="52">
        <f>COUNTIFS(Table10141619[Prodi],$P$121,Table10141619[F3],R$124)/$P$123</f>
        <v>0</v>
      </c>
      <c r="S141" s="52">
        <f>COUNTIFS(Table10141619[Prodi],$P$121,Table10141619[F3],S$124)/$P$123</f>
        <v>0</v>
      </c>
      <c r="T141" s="48">
        <f t="shared" si="20"/>
        <v>1</v>
      </c>
      <c r="U141" s="122"/>
      <c r="V141" s="43" t="s">
        <v>39</v>
      </c>
      <c r="W141" s="52" t="e">
        <f>COUNTIFS(Table10141619[Prodi],$W$121,Table10141619[F3],W$124)/$W$123</f>
        <v>#DIV/0!</v>
      </c>
      <c r="X141" s="52" t="e">
        <f>COUNTIFS(Table10141619[Prodi],$W$121,Table10141619[F3],X$124)/$W$123</f>
        <v>#DIV/0!</v>
      </c>
      <c r="Y141" s="52" t="e">
        <f>COUNTIFS(Table10141619[Prodi],$W$121,Table10141619[F3],Y$124)/$W$123</f>
        <v>#DIV/0!</v>
      </c>
      <c r="Z141" s="52" t="e">
        <f>COUNTIFS(Table10141619[Prodi],$W$121,Table10141619[F3],Z$124)/$W$123</f>
        <v>#DIV/0!</v>
      </c>
      <c r="AA141" s="48" t="e">
        <f t="shared" si="21"/>
        <v>#DIV/0!</v>
      </c>
      <c r="AB141" s="122"/>
      <c r="AC141" s="122"/>
      <c r="AD141" s="122"/>
      <c r="AE141" s="122"/>
      <c r="AF141" s="122"/>
      <c r="AG141" s="122"/>
      <c r="AH141" s="122"/>
      <c r="AI141" s="122"/>
      <c r="AJ141" s="122"/>
      <c r="AK141" s="122"/>
      <c r="AL141" s="122"/>
      <c r="AM141" s="122"/>
      <c r="AN141" s="122"/>
      <c r="AO141" s="122"/>
      <c r="AP141" s="122"/>
      <c r="AQ141" s="122"/>
      <c r="AR141" s="122"/>
    </row>
    <row r="142" spans="1:44" s="83" customFormat="1" ht="16.5" x14ac:dyDescent="0.3">
      <c r="A142" s="43" t="s">
        <v>200</v>
      </c>
      <c r="B142" s="52">
        <f>COUNTIF(Table10141619[F4],B$124)/$B$123</f>
        <v>0</v>
      </c>
      <c r="C142" s="52">
        <f>COUNTIF(Table10141619[F4],C$124)/$B$123</f>
        <v>1</v>
      </c>
      <c r="D142" s="52">
        <f>COUNTIF(Table10141619[F4],D$124)/$B$123</f>
        <v>0</v>
      </c>
      <c r="E142" s="52">
        <f>COUNTIF(Table10141619[F4],E$124)/$B$123</f>
        <v>0</v>
      </c>
      <c r="F142" s="48">
        <f t="shared" si="18"/>
        <v>1</v>
      </c>
      <c r="H142" s="43" t="s">
        <v>200</v>
      </c>
      <c r="I142" s="52" t="e">
        <f>COUNTIFS(Table10141619[Prodi],$I$121,Table10141619[F4],I$124)/$I$123</f>
        <v>#DIV/0!</v>
      </c>
      <c r="J142" s="52" t="e">
        <f>COUNTIFS(Table10141619[Prodi],$I$121,Table10141619[F4],J$124)/$I$123</f>
        <v>#DIV/0!</v>
      </c>
      <c r="K142" s="52" t="e">
        <f>COUNTIFS(Table10141619[Prodi],$I$121,Table10141619[F4],K$124)/$I$123</f>
        <v>#DIV/0!</v>
      </c>
      <c r="L142" s="52" t="e">
        <f>COUNTIFS(Table10141619[Prodi],$I$121,Table10141619[F4],L$124)/$I$123</f>
        <v>#DIV/0!</v>
      </c>
      <c r="M142" s="48" t="e">
        <f t="shared" si="19"/>
        <v>#DIV/0!</v>
      </c>
      <c r="N142" s="122"/>
      <c r="O142" s="43" t="s">
        <v>200</v>
      </c>
      <c r="P142" s="52">
        <f>COUNTIFS(Table10141619[Prodi],$P$121,Table10141619[F4],P$124)/$P$123</f>
        <v>0</v>
      </c>
      <c r="Q142" s="52">
        <f>COUNTIFS(Table10141619[Prodi],$P$121,Table10141619[F4],Q$124)/$P$123</f>
        <v>1</v>
      </c>
      <c r="R142" s="52">
        <f>COUNTIFS(Table10141619[Prodi],$P$121,Table10141619[F4],R$124)/$P$123</f>
        <v>0</v>
      </c>
      <c r="S142" s="52">
        <f>COUNTIFS(Table10141619[Prodi],$P$121,Table10141619[F4],S$124)/$P$123</f>
        <v>0</v>
      </c>
      <c r="T142" s="48">
        <f t="shared" si="20"/>
        <v>1</v>
      </c>
      <c r="U142" s="122"/>
      <c r="V142" s="43" t="s">
        <v>200</v>
      </c>
      <c r="W142" s="52" t="e">
        <f>COUNTIFS(Table10141619[Prodi],$W$121,Table10141619[F4],W$124)/$W$123</f>
        <v>#DIV/0!</v>
      </c>
      <c r="X142" s="52" t="e">
        <f>COUNTIFS(Table10141619[Prodi],$W$121,Table10141619[F4],X$124)/$W$123</f>
        <v>#DIV/0!</v>
      </c>
      <c r="Y142" s="52" t="e">
        <f>COUNTIFS(Table10141619[Prodi],$W$121,Table10141619[F4],Y$124)/$W$123</f>
        <v>#DIV/0!</v>
      </c>
      <c r="Z142" s="52" t="e">
        <f>COUNTIFS(Table10141619[Prodi],$W$121,Table10141619[F4],Z$124)/$W$123</f>
        <v>#DIV/0!</v>
      </c>
      <c r="AA142" s="48" t="e">
        <f t="shared" si="21"/>
        <v>#DIV/0!</v>
      </c>
      <c r="AB142" s="122"/>
      <c r="AC142" s="122"/>
      <c r="AD142" s="122"/>
      <c r="AE142" s="122"/>
      <c r="AF142" s="122"/>
      <c r="AG142" s="122"/>
      <c r="AH142" s="122"/>
      <c r="AI142" s="122"/>
      <c r="AJ142" s="122"/>
      <c r="AK142" s="122"/>
      <c r="AL142" s="122"/>
      <c r="AM142" s="122"/>
      <c r="AN142" s="122"/>
      <c r="AO142" s="122"/>
      <c r="AP142" s="122"/>
      <c r="AQ142" s="122"/>
      <c r="AR142" s="122"/>
    </row>
    <row r="143" spans="1:44" s="83" customFormat="1" ht="16.5" x14ac:dyDescent="0.3">
      <c r="A143" s="46"/>
      <c r="B143" s="47">
        <f>AVERAGE(B139:B142)</f>
        <v>0.25</v>
      </c>
      <c r="C143" s="47">
        <f>AVERAGE(C139:C142)</f>
        <v>0.75</v>
      </c>
      <c r="D143" s="47">
        <f>AVERAGE(D139:D142)</f>
        <v>0</v>
      </c>
      <c r="E143" s="47">
        <f>AVERAGE(E139:E142)</f>
        <v>0</v>
      </c>
      <c r="F143" s="48">
        <f t="shared" si="18"/>
        <v>1</v>
      </c>
      <c r="H143" s="46"/>
      <c r="I143" s="47" t="e">
        <f>AVERAGE(I139:I142)</f>
        <v>#DIV/0!</v>
      </c>
      <c r="J143" s="47" t="e">
        <f>AVERAGE(J139:J142)</f>
        <v>#DIV/0!</v>
      </c>
      <c r="K143" s="47" t="e">
        <f>AVERAGE(K139:K142)</f>
        <v>#DIV/0!</v>
      </c>
      <c r="L143" s="47" t="e">
        <f>AVERAGE(L139:L142)</f>
        <v>#DIV/0!</v>
      </c>
      <c r="M143" s="48" t="e">
        <f t="shared" si="19"/>
        <v>#DIV/0!</v>
      </c>
      <c r="N143" s="122"/>
      <c r="O143" s="46"/>
      <c r="P143" s="47">
        <f>AVERAGE(P139:P142)</f>
        <v>0.25</v>
      </c>
      <c r="Q143" s="47">
        <f>AVERAGE(Q139:Q142)</f>
        <v>0.75</v>
      </c>
      <c r="R143" s="47">
        <f>AVERAGE(R139:R142)</f>
        <v>0</v>
      </c>
      <c r="S143" s="47">
        <f>AVERAGE(S139:S142)</f>
        <v>0</v>
      </c>
      <c r="T143" s="48">
        <f t="shared" si="20"/>
        <v>1</v>
      </c>
      <c r="U143" s="122"/>
      <c r="V143" s="46"/>
      <c r="W143" s="47" t="e">
        <f>AVERAGE(W139:W142)</f>
        <v>#DIV/0!</v>
      </c>
      <c r="X143" s="47" t="e">
        <f>AVERAGE(X139:X142)</f>
        <v>#DIV/0!</v>
      </c>
      <c r="Y143" s="47" t="e">
        <f>AVERAGE(Y139:Y142)</f>
        <v>#DIV/0!</v>
      </c>
      <c r="Z143" s="47" t="e">
        <f>AVERAGE(Z139:Z142)</f>
        <v>#DIV/0!</v>
      </c>
      <c r="AA143" s="48" t="e">
        <f t="shared" si="21"/>
        <v>#DIV/0!</v>
      </c>
      <c r="AB143" s="122"/>
      <c r="AC143" s="122"/>
      <c r="AD143" s="122"/>
      <c r="AE143" s="122"/>
      <c r="AF143" s="122"/>
      <c r="AG143" s="122"/>
      <c r="AH143" s="122"/>
      <c r="AI143" s="122"/>
      <c r="AJ143" s="122"/>
      <c r="AK143" s="122"/>
      <c r="AL143" s="122"/>
      <c r="AM143" s="122"/>
      <c r="AN143" s="122"/>
      <c r="AO143" s="122"/>
      <c r="AP143" s="122"/>
      <c r="AQ143" s="122"/>
      <c r="AR143" s="122"/>
    </row>
    <row r="144" spans="1:44" s="83" customFormat="1" ht="16.5" x14ac:dyDescent="0.3">
      <c r="A144" s="43" t="s">
        <v>40</v>
      </c>
      <c r="B144" s="52">
        <f>COUNTIF(Table10141619[G1],B$124)/$B$123</f>
        <v>1</v>
      </c>
      <c r="C144" s="52">
        <f>COUNTIF(Table10141619[G1],C$124)/$B$123</f>
        <v>0</v>
      </c>
      <c r="D144" s="52">
        <f>COUNTIF(Table10141619[G1],D$124)/$B$123</f>
        <v>0</v>
      </c>
      <c r="E144" s="52">
        <f>COUNTIF(Table10141619[G1],E$124)/$B$123</f>
        <v>0</v>
      </c>
      <c r="F144" s="48">
        <f t="shared" si="18"/>
        <v>1</v>
      </c>
      <c r="H144" s="43" t="s">
        <v>40</v>
      </c>
      <c r="I144" s="52" t="e">
        <f>COUNTIFS(Table10141619[Prodi],$I$121,Table10141619[G1],I$124)/$I$123</f>
        <v>#DIV/0!</v>
      </c>
      <c r="J144" s="52" t="e">
        <f>COUNTIFS(Table10141619[Prodi],$I$121,Table10141619[G1],J$124)/$I$123</f>
        <v>#DIV/0!</v>
      </c>
      <c r="K144" s="52" t="e">
        <f>COUNTIFS(Table10141619[Prodi],$I$121,Table10141619[G1],K$124)/$I$123</f>
        <v>#DIV/0!</v>
      </c>
      <c r="L144" s="52" t="e">
        <f>COUNTIFS(Table10141619[Prodi],$I$121,Table10141619[G1],L$124)/$I$123</f>
        <v>#DIV/0!</v>
      </c>
      <c r="M144" s="48" t="e">
        <f t="shared" si="19"/>
        <v>#DIV/0!</v>
      </c>
      <c r="N144" s="122"/>
      <c r="O144" s="43" t="s">
        <v>40</v>
      </c>
      <c r="P144" s="52">
        <f>COUNTIFS(Table10141619[Prodi],$P$121,Table10141619[G1],P$124)/$P$123</f>
        <v>1</v>
      </c>
      <c r="Q144" s="52">
        <f>COUNTIFS(Table10141619[Prodi],$P$121,Table10141619[G1],Q$124)/$P$123</f>
        <v>0</v>
      </c>
      <c r="R144" s="52">
        <f>COUNTIFS(Table10141619[Prodi],$P$121,Table10141619[G1],R$124)/$P$123</f>
        <v>0</v>
      </c>
      <c r="S144" s="52">
        <f>COUNTIFS(Table10141619[Prodi],$P$121,Table10141619[G1],S$124)/$P$123</f>
        <v>0</v>
      </c>
      <c r="T144" s="48">
        <f t="shared" si="20"/>
        <v>1</v>
      </c>
      <c r="U144" s="122"/>
      <c r="V144" s="43" t="s">
        <v>40</v>
      </c>
      <c r="W144" s="52" t="e">
        <f>COUNTIFS(Table10141619[Prodi],$W$121,Table10141619[G1],W$124)/$W$123</f>
        <v>#DIV/0!</v>
      </c>
      <c r="X144" s="52" t="e">
        <f>COUNTIFS(Table10141619[Prodi],$W$121,Table10141619[G1],X$124)/$W$123</f>
        <v>#DIV/0!</v>
      </c>
      <c r="Y144" s="52" t="e">
        <f>COUNTIFS(Table10141619[Prodi],$W$121,Table10141619[G1],Y$124)/$W$123</f>
        <v>#DIV/0!</v>
      </c>
      <c r="Z144" s="52" t="e">
        <f>COUNTIFS(Table10141619[Prodi],$W$121,Table10141619[G1],Z$124)/$W$123</f>
        <v>#DIV/0!</v>
      </c>
      <c r="AA144" s="48" t="e">
        <f t="shared" si="21"/>
        <v>#DIV/0!</v>
      </c>
      <c r="AB144" s="122"/>
      <c r="AC144" s="122"/>
      <c r="AD144" s="122"/>
      <c r="AE144" s="122"/>
      <c r="AF144" s="122"/>
      <c r="AG144" s="122"/>
      <c r="AH144" s="122"/>
      <c r="AI144" s="122"/>
      <c r="AJ144" s="122"/>
      <c r="AK144" s="122"/>
      <c r="AL144" s="122"/>
      <c r="AM144" s="122"/>
      <c r="AN144" s="122"/>
      <c r="AO144" s="122"/>
      <c r="AP144" s="122"/>
      <c r="AQ144" s="122"/>
      <c r="AR144" s="122"/>
    </row>
    <row r="145" spans="1:44" s="83" customFormat="1" ht="16.5" x14ac:dyDescent="0.3">
      <c r="A145" s="43" t="s">
        <v>41</v>
      </c>
      <c r="B145" s="52">
        <f>COUNTIF(Table10141619[G2],B$124)/$B$123</f>
        <v>1</v>
      </c>
      <c r="C145" s="52">
        <f>COUNTIF(Table10141619[G2],C$124)/$B$123</f>
        <v>0</v>
      </c>
      <c r="D145" s="52">
        <f>COUNTIF(Table10141619[G2],D$124)/$B$123</f>
        <v>0</v>
      </c>
      <c r="E145" s="52">
        <f>COUNTIF(Table10141619[G2],E$124)/$B$123</f>
        <v>0</v>
      </c>
      <c r="F145" s="48">
        <f t="shared" si="18"/>
        <v>1</v>
      </c>
      <c r="H145" s="43" t="s">
        <v>41</v>
      </c>
      <c r="I145" s="52" t="e">
        <f>COUNTIFS(Table10141619[Prodi],$I$121,Table10141619[G2],I$124)/$I$123</f>
        <v>#DIV/0!</v>
      </c>
      <c r="J145" s="52" t="e">
        <f>COUNTIFS(Table10141619[Prodi],$I$121,Table10141619[G2],J$124)/$I$123</f>
        <v>#DIV/0!</v>
      </c>
      <c r="K145" s="52" t="e">
        <f>COUNTIFS(Table10141619[Prodi],$I$121,Table10141619[G2],K$124)/$I$123</f>
        <v>#DIV/0!</v>
      </c>
      <c r="L145" s="52" t="e">
        <f>COUNTIFS(Table10141619[Prodi],$I$121,Table10141619[G2],L$124)/$I$123</f>
        <v>#DIV/0!</v>
      </c>
      <c r="M145" s="48" t="e">
        <f t="shared" si="19"/>
        <v>#DIV/0!</v>
      </c>
      <c r="N145" s="122"/>
      <c r="O145" s="43" t="s">
        <v>41</v>
      </c>
      <c r="P145" s="52">
        <f>COUNTIFS(Table10141619[Prodi],$P$121,Table10141619[G2],P$124)/$P$123</f>
        <v>1</v>
      </c>
      <c r="Q145" s="52">
        <f>COUNTIFS(Table10141619[Prodi],$P$121,Table10141619[G2],Q$124)/$P$123</f>
        <v>0</v>
      </c>
      <c r="R145" s="52">
        <f>COUNTIFS(Table10141619[Prodi],$P$121,Table10141619[G2],R$124)/$P$123</f>
        <v>0</v>
      </c>
      <c r="S145" s="52">
        <f>COUNTIFS(Table10141619[Prodi],$P$121,Table10141619[G2],S$124)/$P$123</f>
        <v>0</v>
      </c>
      <c r="T145" s="48">
        <f t="shared" si="20"/>
        <v>1</v>
      </c>
      <c r="U145" s="122"/>
      <c r="V145" s="43" t="s">
        <v>41</v>
      </c>
      <c r="W145" s="52" t="e">
        <f>COUNTIFS(Table10141619[Prodi],$W$121,Table10141619[G2],W$124)/$W$123</f>
        <v>#DIV/0!</v>
      </c>
      <c r="X145" s="52" t="e">
        <f>COUNTIFS(Table10141619[Prodi],$W$121,Table10141619[G2],X$124)/$W$123</f>
        <v>#DIV/0!</v>
      </c>
      <c r="Y145" s="52" t="e">
        <f>COUNTIFS(Table10141619[Prodi],$W$121,Table10141619[G2],Y$124)/$W$123</f>
        <v>#DIV/0!</v>
      </c>
      <c r="Z145" s="52" t="e">
        <f>COUNTIFS(Table10141619[Prodi],$W$121,Table10141619[G2],Z$124)/$W$123</f>
        <v>#DIV/0!</v>
      </c>
      <c r="AA145" s="48" t="e">
        <f t="shared" si="21"/>
        <v>#DIV/0!</v>
      </c>
      <c r="AB145" s="122"/>
      <c r="AC145" s="122"/>
      <c r="AD145" s="122"/>
      <c r="AE145" s="122"/>
      <c r="AF145" s="122"/>
      <c r="AG145" s="122"/>
      <c r="AH145" s="122"/>
      <c r="AI145" s="122"/>
      <c r="AJ145" s="122"/>
      <c r="AK145" s="122"/>
      <c r="AL145" s="122"/>
      <c r="AM145" s="122"/>
      <c r="AN145" s="122"/>
      <c r="AO145" s="122"/>
      <c r="AP145" s="122"/>
      <c r="AQ145" s="122"/>
      <c r="AR145" s="122"/>
    </row>
    <row r="146" spans="1:44" s="83" customFormat="1" ht="16.5" x14ac:dyDescent="0.3">
      <c r="A146" s="43" t="s">
        <v>202</v>
      </c>
      <c r="B146" s="52">
        <f>COUNTIF(Table10141619[G3],B$124)/$B$123</f>
        <v>1</v>
      </c>
      <c r="C146" s="52">
        <f>COUNTIF(Table10141619[G3],C$124)/$B$123</f>
        <v>0</v>
      </c>
      <c r="D146" s="52">
        <f>COUNTIF(Table10141619[G3],D$124)/$B$123</f>
        <v>0</v>
      </c>
      <c r="E146" s="52">
        <f>COUNTIF(Table10141619[G3],E$124)/$B$123</f>
        <v>0</v>
      </c>
      <c r="F146" s="48">
        <f t="shared" si="18"/>
        <v>1</v>
      </c>
      <c r="H146" s="43" t="s">
        <v>202</v>
      </c>
      <c r="I146" s="52" t="e">
        <f>COUNTIFS(Table10141619[Prodi],$I$121,Table10141619[G3],I$124)/$I$123</f>
        <v>#DIV/0!</v>
      </c>
      <c r="J146" s="52" t="e">
        <f>COUNTIFS(Table10141619[Prodi],$I$121,Table10141619[G3],J$124)/$I$123</f>
        <v>#DIV/0!</v>
      </c>
      <c r="K146" s="52" t="e">
        <f>COUNTIFS(Table10141619[Prodi],$I$121,Table10141619[G3],K$124)/$I$123</f>
        <v>#DIV/0!</v>
      </c>
      <c r="L146" s="52" t="e">
        <f>COUNTIFS(Table10141619[Prodi],$I$121,Table10141619[G3],L$124)/$I$123</f>
        <v>#DIV/0!</v>
      </c>
      <c r="M146" s="48" t="e">
        <f t="shared" si="19"/>
        <v>#DIV/0!</v>
      </c>
      <c r="N146" s="122"/>
      <c r="O146" s="43" t="s">
        <v>202</v>
      </c>
      <c r="P146" s="52">
        <f>COUNTIFS(Table10141619[Prodi],$P$121,Table10141619[G3],P$124)/$P$123</f>
        <v>1</v>
      </c>
      <c r="Q146" s="52">
        <f>COUNTIFS(Table10141619[Prodi],$P$121,Table10141619[G3],Q$124)/$P$123</f>
        <v>0</v>
      </c>
      <c r="R146" s="52">
        <f>COUNTIFS(Table10141619[Prodi],$P$121,Table10141619[G3],R$124)/$P$123</f>
        <v>0</v>
      </c>
      <c r="S146" s="52">
        <f>COUNTIFS(Table10141619[Prodi],$P$121,Table10141619[G3],S$124)/$P$123</f>
        <v>0</v>
      </c>
      <c r="T146" s="48">
        <f t="shared" si="20"/>
        <v>1</v>
      </c>
      <c r="U146" s="122"/>
      <c r="V146" s="43" t="s">
        <v>202</v>
      </c>
      <c r="W146" s="52" t="e">
        <f>COUNTIFS(Table10141619[Prodi],$W$121,Table10141619[G3],W$124)/$W$123</f>
        <v>#DIV/0!</v>
      </c>
      <c r="X146" s="52" t="e">
        <f>COUNTIFS(Table10141619[Prodi],$W$121,Table10141619[G3],X$124)/$W$123</f>
        <v>#DIV/0!</v>
      </c>
      <c r="Y146" s="52" t="e">
        <f>COUNTIFS(Table10141619[Prodi],$W$121,Table10141619[G3],Y$124)/$W$123</f>
        <v>#DIV/0!</v>
      </c>
      <c r="Z146" s="52" t="e">
        <f>COUNTIFS(Table10141619[Prodi],$W$121,Table10141619[G3],Z$124)/$W$123</f>
        <v>#DIV/0!</v>
      </c>
      <c r="AA146" s="48" t="e">
        <f t="shared" si="21"/>
        <v>#DIV/0!</v>
      </c>
      <c r="AB146" s="122"/>
      <c r="AC146" s="122"/>
      <c r="AD146" s="122"/>
      <c r="AE146" s="122"/>
      <c r="AF146" s="122"/>
      <c r="AG146" s="122"/>
      <c r="AH146" s="122"/>
      <c r="AI146" s="122"/>
      <c r="AJ146" s="122"/>
      <c r="AK146" s="122"/>
      <c r="AL146" s="122"/>
      <c r="AM146" s="122"/>
      <c r="AN146" s="122"/>
      <c r="AO146" s="122"/>
      <c r="AP146" s="122"/>
      <c r="AQ146" s="122"/>
      <c r="AR146" s="122"/>
    </row>
    <row r="147" spans="1:44" s="83" customFormat="1" ht="16.5" x14ac:dyDescent="0.3">
      <c r="A147" s="46"/>
      <c r="B147" s="47">
        <f>AVERAGE(B144:B146)</f>
        <v>1</v>
      </c>
      <c r="C147" s="47">
        <f>AVERAGE(C144:C146)</f>
        <v>0</v>
      </c>
      <c r="D147" s="47">
        <f>AVERAGE(D144:D146)</f>
        <v>0</v>
      </c>
      <c r="E147" s="47">
        <f>AVERAGE(E144:E146)</f>
        <v>0</v>
      </c>
      <c r="F147" s="48">
        <f t="shared" si="18"/>
        <v>1</v>
      </c>
      <c r="H147" s="46"/>
      <c r="I147" s="47" t="e">
        <f>AVERAGE(I144:I146)</f>
        <v>#DIV/0!</v>
      </c>
      <c r="J147" s="47" t="e">
        <f>AVERAGE(J144:J146)</f>
        <v>#DIV/0!</v>
      </c>
      <c r="K147" s="47" t="e">
        <f>AVERAGE(K144:K146)</f>
        <v>#DIV/0!</v>
      </c>
      <c r="L147" s="47" t="e">
        <f>AVERAGE(L144:L146)</f>
        <v>#DIV/0!</v>
      </c>
      <c r="M147" s="48" t="e">
        <f t="shared" si="19"/>
        <v>#DIV/0!</v>
      </c>
      <c r="N147" s="122"/>
      <c r="O147" s="46"/>
      <c r="P147" s="47">
        <f>AVERAGE(P144:P146)</f>
        <v>1</v>
      </c>
      <c r="Q147" s="47">
        <f>AVERAGE(Q144:Q146)</f>
        <v>0</v>
      </c>
      <c r="R147" s="47">
        <f>AVERAGE(R144:R146)</f>
        <v>0</v>
      </c>
      <c r="S147" s="47">
        <f>AVERAGE(S144:S146)</f>
        <v>0</v>
      </c>
      <c r="T147" s="48">
        <f t="shared" si="20"/>
        <v>1</v>
      </c>
      <c r="U147" s="122"/>
      <c r="V147" s="46"/>
      <c r="W147" s="47" t="e">
        <f>AVERAGE(W144:W146)</f>
        <v>#DIV/0!</v>
      </c>
      <c r="X147" s="47" t="e">
        <f>AVERAGE(X144:X146)</f>
        <v>#DIV/0!</v>
      </c>
      <c r="Y147" s="47" t="e">
        <f>AVERAGE(Y144:Y146)</f>
        <v>#DIV/0!</v>
      </c>
      <c r="Z147" s="47" t="e">
        <f>AVERAGE(Z144:Z146)</f>
        <v>#DIV/0!</v>
      </c>
      <c r="AA147" s="48" t="e">
        <f t="shared" si="21"/>
        <v>#DIV/0!</v>
      </c>
      <c r="AB147" s="122"/>
      <c r="AC147" s="122"/>
      <c r="AD147" s="122"/>
      <c r="AE147" s="122"/>
      <c r="AF147" s="122"/>
      <c r="AG147" s="122"/>
      <c r="AH147" s="122"/>
      <c r="AI147" s="122"/>
      <c r="AJ147" s="122"/>
      <c r="AK147" s="122"/>
      <c r="AL147" s="122"/>
      <c r="AM147" s="122"/>
      <c r="AN147" s="122"/>
      <c r="AO147" s="122"/>
      <c r="AP147" s="122"/>
      <c r="AQ147" s="122"/>
      <c r="AR147" s="122"/>
    </row>
    <row r="148" spans="1:44" s="83" customFormat="1" ht="16.5" x14ac:dyDescent="0.3">
      <c r="A148" s="43" t="s">
        <v>42</v>
      </c>
      <c r="B148" s="52">
        <f>COUNTIF(Table10141619[H1],B$124)/$B$123</f>
        <v>1</v>
      </c>
      <c r="C148" s="52">
        <f>COUNTIF(Table10141619[H1],C$124)/$B$123</f>
        <v>0</v>
      </c>
      <c r="D148" s="52">
        <f>COUNTIF(Table10141619[H1],D$124)/$B$123</f>
        <v>0</v>
      </c>
      <c r="E148" s="52">
        <f>COUNTIF(Table10141619[H1],E$124)/$B$123</f>
        <v>0</v>
      </c>
      <c r="F148" s="48">
        <f t="shared" si="18"/>
        <v>1</v>
      </c>
      <c r="H148" s="43" t="s">
        <v>42</v>
      </c>
      <c r="I148" s="52" t="e">
        <f>COUNTIFS(Table10141619[Prodi],$I$121,Table10141619[H1],I$124)/$I$123</f>
        <v>#DIV/0!</v>
      </c>
      <c r="J148" s="52" t="e">
        <f>COUNTIFS(Table10141619[Prodi],$I$121,Table10141619[H1],J$124)/$I$123</f>
        <v>#DIV/0!</v>
      </c>
      <c r="K148" s="52" t="e">
        <f>COUNTIFS(Table10141619[Prodi],$I$121,Table10141619[H1],K$124)/$I$123</f>
        <v>#DIV/0!</v>
      </c>
      <c r="L148" s="52" t="e">
        <f>COUNTIFS(Table10141619[Prodi],$I$121,Table10141619[H1],L$124)/$I$123</f>
        <v>#DIV/0!</v>
      </c>
      <c r="M148" s="48" t="e">
        <f t="shared" si="19"/>
        <v>#DIV/0!</v>
      </c>
      <c r="N148" s="122"/>
      <c r="O148" s="43" t="s">
        <v>42</v>
      </c>
      <c r="P148" s="52">
        <f>COUNTIFS(Table10141619[Prodi],$P$121,Table10141619[H1],P$124)/$P$123</f>
        <v>1</v>
      </c>
      <c r="Q148" s="52">
        <f>COUNTIFS(Table10141619[Prodi],$P$121,Table10141619[H1],Q$124)/$P$123</f>
        <v>0</v>
      </c>
      <c r="R148" s="52">
        <f>COUNTIFS(Table10141619[Prodi],$P$121,Table10141619[H1],R$124)/$P$123</f>
        <v>0</v>
      </c>
      <c r="S148" s="52">
        <f>COUNTIFS(Table10141619[Prodi],$P$121,Table10141619[H1],S$124)/$P$123</f>
        <v>0</v>
      </c>
      <c r="T148" s="48">
        <f t="shared" si="20"/>
        <v>1</v>
      </c>
      <c r="U148" s="122"/>
      <c r="V148" s="43" t="s">
        <v>42</v>
      </c>
      <c r="W148" s="52" t="e">
        <f>COUNTIFS(Table10141619[Prodi],$W$121,Table10141619[H1],W$124)/$W$123</f>
        <v>#DIV/0!</v>
      </c>
      <c r="X148" s="52" t="e">
        <f>COUNTIFS(Table10141619[Prodi],$W$121,Table10141619[H1],X$124)/$W$123</f>
        <v>#DIV/0!</v>
      </c>
      <c r="Y148" s="52" t="e">
        <f>COUNTIFS(Table10141619[Prodi],$W$121,Table10141619[H1],Y$124)/$W$123</f>
        <v>#DIV/0!</v>
      </c>
      <c r="Z148" s="52" t="e">
        <f>COUNTIFS(Table10141619[Prodi],$W$121,Table10141619[H1],Z$124)/$W$123</f>
        <v>#DIV/0!</v>
      </c>
      <c r="AA148" s="48" t="e">
        <f t="shared" si="21"/>
        <v>#DIV/0!</v>
      </c>
      <c r="AB148" s="122"/>
      <c r="AC148" s="122"/>
      <c r="AD148" s="122"/>
      <c r="AE148" s="122"/>
      <c r="AF148" s="122"/>
      <c r="AG148" s="122"/>
      <c r="AH148" s="122"/>
      <c r="AI148" s="122"/>
      <c r="AJ148" s="122"/>
      <c r="AK148" s="122"/>
      <c r="AL148" s="122"/>
      <c r="AM148" s="122"/>
      <c r="AN148" s="122"/>
      <c r="AO148" s="122"/>
      <c r="AP148" s="122"/>
      <c r="AQ148" s="122"/>
      <c r="AR148" s="122"/>
    </row>
    <row r="149" spans="1:44" s="83" customFormat="1" ht="16.5" x14ac:dyDescent="0.3">
      <c r="A149" s="43" t="s">
        <v>43</v>
      </c>
      <c r="B149" s="52">
        <f>COUNTIF(Table10141619[H2],B$124)/$B$123</f>
        <v>1</v>
      </c>
      <c r="C149" s="52">
        <f>COUNTIF(Table10141619[H2],C$124)/$B$123</f>
        <v>0</v>
      </c>
      <c r="D149" s="52">
        <f>COUNTIF(Table10141619[H2],D$124)/$B$123</f>
        <v>0</v>
      </c>
      <c r="E149" s="52">
        <f>COUNTIF(Table10141619[H2],E$124)/$B$123</f>
        <v>0</v>
      </c>
      <c r="F149" s="48">
        <f t="shared" si="18"/>
        <v>1</v>
      </c>
      <c r="H149" s="43" t="s">
        <v>43</v>
      </c>
      <c r="I149" s="52" t="e">
        <f>COUNTIFS(Table10141619[Prodi],$I$121,Table10141619[H2],I$124)/$I$123</f>
        <v>#DIV/0!</v>
      </c>
      <c r="J149" s="52" t="e">
        <f>COUNTIFS(Table10141619[Prodi],$I$121,Table10141619[H2],J$124)/$I$123</f>
        <v>#DIV/0!</v>
      </c>
      <c r="K149" s="52" t="e">
        <f>COUNTIFS(Table10141619[Prodi],$I$121,Table10141619[H2],K$124)/$I$123</f>
        <v>#DIV/0!</v>
      </c>
      <c r="L149" s="52" t="e">
        <f>COUNTIFS(Table10141619[Prodi],$I$121,Table10141619[H2],L$124)/$I$123</f>
        <v>#DIV/0!</v>
      </c>
      <c r="M149" s="48" t="e">
        <f t="shared" si="19"/>
        <v>#DIV/0!</v>
      </c>
      <c r="N149" s="122"/>
      <c r="O149" s="43" t="s">
        <v>43</v>
      </c>
      <c r="P149" s="52">
        <f>COUNTIFS(Table10141619[Prodi],$P$121,Table10141619[H2],P$124)/$P$123</f>
        <v>1</v>
      </c>
      <c r="Q149" s="52">
        <f>COUNTIFS(Table10141619[Prodi],$P$121,Table10141619[H2],Q$124)/$P$123</f>
        <v>0</v>
      </c>
      <c r="R149" s="52">
        <f>COUNTIFS(Table10141619[Prodi],$P$121,Table10141619[H2],R$124)/$P$123</f>
        <v>0</v>
      </c>
      <c r="S149" s="52">
        <f>COUNTIFS(Table10141619[Prodi],$P$121,Table10141619[H2],S$124)/$P$123</f>
        <v>0</v>
      </c>
      <c r="T149" s="48">
        <f t="shared" si="20"/>
        <v>1</v>
      </c>
      <c r="U149" s="122"/>
      <c r="V149" s="43" t="s">
        <v>43</v>
      </c>
      <c r="W149" s="52" t="e">
        <f>COUNTIFS(Table10141619[Prodi],$W$121,Table10141619[H2],W$124)/$W$123</f>
        <v>#DIV/0!</v>
      </c>
      <c r="X149" s="52" t="e">
        <f>COUNTIFS(Table10141619[Prodi],$W$121,Table10141619[H2],X$124)/$W$123</f>
        <v>#DIV/0!</v>
      </c>
      <c r="Y149" s="52" t="e">
        <f>COUNTIFS(Table10141619[Prodi],$W$121,Table10141619[H2],Y$124)/$W$123</f>
        <v>#DIV/0!</v>
      </c>
      <c r="Z149" s="52" t="e">
        <f>COUNTIFS(Table10141619[Prodi],$W$121,Table10141619[H2],Z$124)/$W$123</f>
        <v>#DIV/0!</v>
      </c>
      <c r="AA149" s="48" t="e">
        <f t="shared" si="21"/>
        <v>#DIV/0!</v>
      </c>
      <c r="AB149" s="122"/>
      <c r="AC149" s="122"/>
      <c r="AD149" s="122"/>
      <c r="AE149" s="122"/>
      <c r="AF149" s="122"/>
      <c r="AG149" s="122"/>
      <c r="AH149" s="122"/>
      <c r="AI149" s="122"/>
      <c r="AJ149" s="122"/>
      <c r="AK149" s="122"/>
      <c r="AL149" s="122"/>
      <c r="AM149" s="122"/>
      <c r="AN149" s="122"/>
      <c r="AO149" s="122"/>
      <c r="AP149" s="122"/>
      <c r="AQ149" s="122"/>
      <c r="AR149" s="122"/>
    </row>
    <row r="150" spans="1:44" s="83" customFormat="1" ht="16.5" x14ac:dyDescent="0.3">
      <c r="A150" s="43" t="s">
        <v>44</v>
      </c>
      <c r="B150" s="52">
        <f>COUNTIF(Table10141619[H3],B$124)/$B$123</f>
        <v>1</v>
      </c>
      <c r="C150" s="52">
        <f>COUNTIF(Table10141619[H3],C$124)/$B$123</f>
        <v>0</v>
      </c>
      <c r="D150" s="52">
        <f>COUNTIF(Table10141619[H3],D$124)/$B$123</f>
        <v>0</v>
      </c>
      <c r="E150" s="52">
        <f>COUNTIF(Table10141619[H3],E$124)/$B$123</f>
        <v>0</v>
      </c>
      <c r="F150" s="48">
        <f t="shared" si="18"/>
        <v>1</v>
      </c>
      <c r="H150" s="43" t="s">
        <v>44</v>
      </c>
      <c r="I150" s="52" t="e">
        <f>COUNTIFS(Table10141619[Prodi],$I$121,Table10141619[H3],I$124)/$I$123</f>
        <v>#DIV/0!</v>
      </c>
      <c r="J150" s="52" t="e">
        <f>COUNTIFS(Table10141619[Prodi],$I$121,Table10141619[H3],J$124)/$I$123</f>
        <v>#DIV/0!</v>
      </c>
      <c r="K150" s="52" t="e">
        <f>COUNTIFS(Table10141619[Prodi],$I$121,Table10141619[H3],K$124)/$I$123</f>
        <v>#DIV/0!</v>
      </c>
      <c r="L150" s="52" t="e">
        <f>COUNTIFS(Table10141619[Prodi],$I$121,Table10141619[H3],L$124)/$I$123</f>
        <v>#DIV/0!</v>
      </c>
      <c r="M150" s="48" t="e">
        <f t="shared" si="19"/>
        <v>#DIV/0!</v>
      </c>
      <c r="N150" s="122"/>
      <c r="O150" s="43" t="s">
        <v>44</v>
      </c>
      <c r="P150" s="52">
        <f>COUNTIFS(Table10141619[Prodi],$P$121,Table10141619[H3],P$124)/$P$123</f>
        <v>1</v>
      </c>
      <c r="Q150" s="52">
        <f>COUNTIFS(Table10141619[Prodi],$P$121,Table10141619[H3],Q$124)/$P$123</f>
        <v>0</v>
      </c>
      <c r="R150" s="52">
        <f>COUNTIFS(Table10141619[Prodi],$P$121,Table10141619[H3],R$124)/$P$123</f>
        <v>0</v>
      </c>
      <c r="S150" s="52">
        <f>COUNTIFS(Table10141619[Prodi],$P$121,Table10141619[H3],S$124)/$P$123</f>
        <v>0</v>
      </c>
      <c r="T150" s="48">
        <f t="shared" si="20"/>
        <v>1</v>
      </c>
      <c r="U150" s="122"/>
      <c r="V150" s="43" t="s">
        <v>44</v>
      </c>
      <c r="W150" s="52" t="e">
        <f>COUNTIFS(Table10141619[Prodi],$W$121,Table10141619[H3],W$124)/$W$123</f>
        <v>#DIV/0!</v>
      </c>
      <c r="X150" s="52" t="e">
        <f>COUNTIFS(Table10141619[Prodi],$W$121,Table10141619[H3],X$124)/$W$123</f>
        <v>#DIV/0!</v>
      </c>
      <c r="Y150" s="52" t="e">
        <f>COUNTIFS(Table10141619[Prodi],$W$121,Table10141619[H3],Y$124)/$W$123</f>
        <v>#DIV/0!</v>
      </c>
      <c r="Z150" s="52" t="e">
        <f>COUNTIFS(Table10141619[Prodi],$W$121,Table10141619[H3],Z$124)/$W$123</f>
        <v>#DIV/0!</v>
      </c>
      <c r="AA150" s="48" t="e">
        <f t="shared" si="21"/>
        <v>#DIV/0!</v>
      </c>
      <c r="AB150" s="122"/>
      <c r="AC150" s="122"/>
      <c r="AD150" s="122"/>
      <c r="AE150" s="122"/>
      <c r="AF150" s="122"/>
      <c r="AG150" s="122"/>
      <c r="AH150" s="122"/>
      <c r="AI150" s="122"/>
      <c r="AJ150" s="122"/>
      <c r="AK150" s="122"/>
      <c r="AL150" s="122"/>
      <c r="AM150" s="122"/>
      <c r="AN150" s="122"/>
      <c r="AO150" s="122"/>
      <c r="AP150" s="122"/>
      <c r="AQ150" s="122"/>
      <c r="AR150" s="122"/>
    </row>
    <row r="151" spans="1:44" s="83" customFormat="1" ht="16.5" x14ac:dyDescent="0.3">
      <c r="A151" s="43" t="s">
        <v>45</v>
      </c>
      <c r="B151" s="52">
        <f>COUNTIF(Table10141619[H4],B$124)/$B$123</f>
        <v>1</v>
      </c>
      <c r="C151" s="52">
        <f>COUNTIF(Table10141619[H4],C$124)/$B$123</f>
        <v>0</v>
      </c>
      <c r="D151" s="52">
        <f>COUNTIF(Table10141619[H4],D$124)/$B$123</f>
        <v>0</v>
      </c>
      <c r="E151" s="52">
        <f>COUNTIF(Table10141619[H4],E$124)/$B$123</f>
        <v>0</v>
      </c>
      <c r="F151" s="48">
        <f t="shared" si="18"/>
        <v>1</v>
      </c>
      <c r="H151" s="43" t="s">
        <v>45</v>
      </c>
      <c r="I151" s="52" t="e">
        <f>COUNTIFS(Table10141619[Prodi],$I$121,Table10141619[H4],I$124)/$I$123</f>
        <v>#DIV/0!</v>
      </c>
      <c r="J151" s="52" t="e">
        <f>COUNTIFS(Table10141619[Prodi],$I$121,Table10141619[H4],J$124)/$I$123</f>
        <v>#DIV/0!</v>
      </c>
      <c r="K151" s="52" t="e">
        <f>COUNTIFS(Table10141619[Prodi],$I$121,Table10141619[H4],K$124)/$I$123</f>
        <v>#DIV/0!</v>
      </c>
      <c r="L151" s="52" t="e">
        <f>COUNTIFS(Table10141619[Prodi],$I$121,Table10141619[H4],L$124)/$I$123</f>
        <v>#DIV/0!</v>
      </c>
      <c r="M151" s="48" t="e">
        <f t="shared" si="19"/>
        <v>#DIV/0!</v>
      </c>
      <c r="N151" s="122"/>
      <c r="O151" s="43" t="s">
        <v>45</v>
      </c>
      <c r="P151" s="52">
        <f>COUNTIFS(Table10141619[Prodi],$P$121,Table10141619[H4],P$124)/$P$123</f>
        <v>1</v>
      </c>
      <c r="Q151" s="52">
        <f>COUNTIFS(Table10141619[Prodi],$P$121,Table10141619[H4],Q$124)/$P$123</f>
        <v>0</v>
      </c>
      <c r="R151" s="52">
        <f>COUNTIFS(Table10141619[Prodi],$P$121,Table10141619[H4],R$124)/$P$123</f>
        <v>0</v>
      </c>
      <c r="S151" s="52">
        <f>COUNTIFS(Table10141619[Prodi],$P$121,Table10141619[H4],S$124)/$P$123</f>
        <v>0</v>
      </c>
      <c r="T151" s="48">
        <f t="shared" si="20"/>
        <v>1</v>
      </c>
      <c r="U151" s="122"/>
      <c r="V151" s="43" t="s">
        <v>45</v>
      </c>
      <c r="W151" s="52" t="e">
        <f>COUNTIFS(Table10141619[Prodi],$W$121,Table10141619[H4],W$124)/$W$123</f>
        <v>#DIV/0!</v>
      </c>
      <c r="X151" s="52" t="e">
        <f>COUNTIFS(Table10141619[Prodi],$W$121,Table10141619[H4],X$124)/$W$123</f>
        <v>#DIV/0!</v>
      </c>
      <c r="Y151" s="52" t="e">
        <f>COUNTIFS(Table10141619[Prodi],$W$121,Table10141619[H4],Y$124)/$W$123</f>
        <v>#DIV/0!</v>
      </c>
      <c r="Z151" s="52" t="e">
        <f>COUNTIFS(Table10141619[Prodi],$W$121,Table10141619[H4],Z$124)/$W$123</f>
        <v>#DIV/0!</v>
      </c>
      <c r="AA151" s="48" t="e">
        <f t="shared" si="21"/>
        <v>#DIV/0!</v>
      </c>
      <c r="AB151" s="122"/>
      <c r="AC151" s="122"/>
      <c r="AD151" s="122"/>
      <c r="AE151" s="122"/>
      <c r="AF151" s="122"/>
      <c r="AG151" s="122"/>
      <c r="AH151" s="122"/>
      <c r="AI151" s="122"/>
      <c r="AJ151" s="122"/>
      <c r="AK151" s="122"/>
      <c r="AL151" s="122"/>
      <c r="AM151" s="122"/>
      <c r="AN151" s="122"/>
      <c r="AO151" s="122"/>
      <c r="AP151" s="122"/>
      <c r="AQ151" s="122"/>
      <c r="AR151" s="122"/>
    </row>
    <row r="152" spans="1:44" s="83" customFormat="1" ht="16.5" x14ac:dyDescent="0.3">
      <c r="A152" s="46"/>
      <c r="B152" s="47">
        <f>AVERAGE(B148:B151)</f>
        <v>1</v>
      </c>
      <c r="C152" s="47">
        <f>AVERAGE(C148:C151)</f>
        <v>0</v>
      </c>
      <c r="D152" s="47">
        <f>AVERAGE(D148:D151)</f>
        <v>0</v>
      </c>
      <c r="E152" s="47">
        <f>AVERAGE(E148:E151)</f>
        <v>0</v>
      </c>
      <c r="F152" s="48">
        <f t="shared" si="18"/>
        <v>1</v>
      </c>
      <c r="H152" s="46"/>
      <c r="I152" s="47" t="e">
        <f>AVERAGE(I148:I151)</f>
        <v>#DIV/0!</v>
      </c>
      <c r="J152" s="47" t="e">
        <f>AVERAGE(J148:J151)</f>
        <v>#DIV/0!</v>
      </c>
      <c r="K152" s="47" t="e">
        <f>AVERAGE(K148:K151)</f>
        <v>#DIV/0!</v>
      </c>
      <c r="L152" s="47" t="e">
        <f>AVERAGE(L148:L151)</f>
        <v>#DIV/0!</v>
      </c>
      <c r="M152" s="48" t="e">
        <f t="shared" si="19"/>
        <v>#DIV/0!</v>
      </c>
      <c r="N152" s="122"/>
      <c r="O152" s="46"/>
      <c r="P152" s="47">
        <f>AVERAGE(P148:P151)</f>
        <v>1</v>
      </c>
      <c r="Q152" s="47">
        <f>AVERAGE(Q148:Q151)</f>
        <v>0</v>
      </c>
      <c r="R152" s="47">
        <f>AVERAGE(R148:R151)</f>
        <v>0</v>
      </c>
      <c r="S152" s="47">
        <f>AVERAGE(S148:S151)</f>
        <v>0</v>
      </c>
      <c r="T152" s="48">
        <f t="shared" si="20"/>
        <v>1</v>
      </c>
      <c r="U152" s="122"/>
      <c r="V152" s="46"/>
      <c r="W152" s="47" t="e">
        <f>AVERAGE(W148:W151)</f>
        <v>#DIV/0!</v>
      </c>
      <c r="X152" s="47" t="e">
        <f>AVERAGE(X148:X151)</f>
        <v>#DIV/0!</v>
      </c>
      <c r="Y152" s="47" t="e">
        <f>AVERAGE(Y148:Y151)</f>
        <v>#DIV/0!</v>
      </c>
      <c r="Z152" s="47" t="e">
        <f>AVERAGE(Z148:Z151)</f>
        <v>#DIV/0!</v>
      </c>
      <c r="AA152" s="48" t="e">
        <f t="shared" si="21"/>
        <v>#DIV/0!</v>
      </c>
      <c r="AB152" s="122"/>
      <c r="AC152" s="122"/>
      <c r="AD152" s="122"/>
      <c r="AE152" s="122"/>
      <c r="AF152" s="122"/>
      <c r="AG152" s="122"/>
      <c r="AH152" s="122"/>
      <c r="AI152" s="122"/>
      <c r="AJ152" s="122"/>
      <c r="AK152" s="122"/>
      <c r="AL152" s="122"/>
      <c r="AM152" s="122"/>
      <c r="AN152" s="122"/>
      <c r="AO152" s="122"/>
      <c r="AP152" s="122"/>
      <c r="AQ152" s="122"/>
      <c r="AR152" s="122"/>
    </row>
    <row r="153" spans="1:44" s="83" customFormat="1" ht="16.5" x14ac:dyDescent="0.3">
      <c r="A153" s="43" t="s">
        <v>130</v>
      </c>
      <c r="B153" s="52">
        <f>COUNTIF(Table10141619[I1.1],B$124)/$B$123</f>
        <v>0</v>
      </c>
      <c r="C153" s="52">
        <f>COUNTIF(Table10141619[I1.1],C$124)/$B$123</f>
        <v>1</v>
      </c>
      <c r="D153" s="52">
        <f>COUNTIF(Table10141619[I1.1],D$124)/$B$123</f>
        <v>0</v>
      </c>
      <c r="E153" s="52">
        <f>COUNTIF(Table10141619[I1.1],E$124)/$B$123</f>
        <v>0</v>
      </c>
      <c r="F153" s="48">
        <f t="shared" si="18"/>
        <v>1</v>
      </c>
      <c r="H153" s="43" t="s">
        <v>130</v>
      </c>
      <c r="I153" s="52" t="e">
        <f>COUNTIFS(Table10141619[Prodi],$I$121,Table10141619[I1.1],I$124)/$I$123</f>
        <v>#DIV/0!</v>
      </c>
      <c r="J153" s="52" t="e">
        <f>COUNTIFS(Table10141619[Prodi],$I$121,Table10141619[I1.1],J$124)/$I$123</f>
        <v>#DIV/0!</v>
      </c>
      <c r="K153" s="52" t="e">
        <f>COUNTIFS(Table10141619[Prodi],$I$121,Table10141619[I1.1],K$124)/$I$123</f>
        <v>#DIV/0!</v>
      </c>
      <c r="L153" s="52" t="e">
        <f>COUNTIFS(Table10141619[Prodi],$I$121,Table10141619[I1.1],L$124)/$I$123</f>
        <v>#DIV/0!</v>
      </c>
      <c r="M153" s="48" t="e">
        <f t="shared" si="19"/>
        <v>#DIV/0!</v>
      </c>
      <c r="N153" s="122"/>
      <c r="O153" s="43" t="s">
        <v>130</v>
      </c>
      <c r="P153" s="52">
        <f>COUNTIFS(Table10141619[Prodi],$P$121,Table10141619[I1.1],P$124)/$P$123</f>
        <v>0</v>
      </c>
      <c r="Q153" s="52">
        <f>COUNTIFS(Table10141619[Prodi],$P$121,Table10141619[I1.1],Q$124)/$P$123</f>
        <v>1</v>
      </c>
      <c r="R153" s="52">
        <f>COUNTIFS(Table10141619[Prodi],$P$121,Table10141619[I1.1],R$124)/$P$123</f>
        <v>0</v>
      </c>
      <c r="S153" s="52">
        <f>COUNTIFS(Table10141619[Prodi],$P$121,Table10141619[I1.1],S$124)/$P$123</f>
        <v>0</v>
      </c>
      <c r="T153" s="48">
        <f t="shared" si="20"/>
        <v>1</v>
      </c>
      <c r="U153" s="122"/>
      <c r="V153" s="43" t="s">
        <v>130</v>
      </c>
      <c r="W153" s="52" t="e">
        <f>COUNTIFS(Table10141619[Prodi],$W$121,Table10141619[I1.1],W$124)/$W$123</f>
        <v>#DIV/0!</v>
      </c>
      <c r="X153" s="52" t="e">
        <f>COUNTIFS(Table10141619[Prodi],$W$121,Table10141619[I1.1],X$124)/$W$123</f>
        <v>#DIV/0!</v>
      </c>
      <c r="Y153" s="52" t="e">
        <f>COUNTIFS(Table10141619[Prodi],$W$121,Table10141619[I1.1],Y$124)/$W$123</f>
        <v>#DIV/0!</v>
      </c>
      <c r="Z153" s="52" t="e">
        <f>COUNTIFS(Table10141619[Prodi],$W$121,Table10141619[I1.1],Z$124)/$W$123</f>
        <v>#DIV/0!</v>
      </c>
      <c r="AA153" s="48" t="e">
        <f t="shared" si="21"/>
        <v>#DIV/0!</v>
      </c>
      <c r="AB153" s="122"/>
      <c r="AC153" s="122"/>
      <c r="AD153" s="122"/>
      <c r="AE153" s="122"/>
      <c r="AF153" s="122"/>
      <c r="AG153" s="122"/>
      <c r="AH153" s="122"/>
      <c r="AI153" s="122"/>
      <c r="AJ153" s="122"/>
      <c r="AK153" s="122"/>
      <c r="AL153" s="122"/>
      <c r="AM153" s="122"/>
      <c r="AN153" s="122"/>
      <c r="AO153" s="122"/>
      <c r="AP153" s="122"/>
      <c r="AQ153" s="122"/>
      <c r="AR153" s="122"/>
    </row>
    <row r="154" spans="1:44" s="83" customFormat="1" ht="16.5" x14ac:dyDescent="0.3">
      <c r="A154" s="43" t="s">
        <v>131</v>
      </c>
      <c r="B154" s="52">
        <f>COUNTIF(Table10141619[I1.2],B$124)/$B$123</f>
        <v>1</v>
      </c>
      <c r="C154" s="52">
        <f>COUNTIF(Table10141619[I1.2],C$124)/$B$123</f>
        <v>0</v>
      </c>
      <c r="D154" s="52">
        <f>COUNTIF(Table10141619[I1.2],D$124)/$B$123</f>
        <v>0</v>
      </c>
      <c r="E154" s="52">
        <f>COUNTIF(Table10141619[I1.2],E$124)/$B$123</f>
        <v>0</v>
      </c>
      <c r="F154" s="48">
        <f t="shared" si="18"/>
        <v>1</v>
      </c>
      <c r="H154" s="43" t="s">
        <v>131</v>
      </c>
      <c r="I154" s="52" t="e">
        <f>COUNTIFS(Table10141619[Prodi],$I$121,Table10141619[I1.2],I$124)/$I$123</f>
        <v>#DIV/0!</v>
      </c>
      <c r="J154" s="52" t="e">
        <f>COUNTIFS(Table10141619[Prodi],$I$121,Table10141619[I1.2],J$124)/$I$123</f>
        <v>#DIV/0!</v>
      </c>
      <c r="K154" s="52" t="e">
        <f>COUNTIFS(Table10141619[Prodi],$I$121,Table10141619[I1.2],K$124)/$I$123</f>
        <v>#DIV/0!</v>
      </c>
      <c r="L154" s="52" t="e">
        <f>COUNTIFS(Table10141619[Prodi],$I$121,Table10141619[I1.2],L$124)/$I$123</f>
        <v>#DIV/0!</v>
      </c>
      <c r="M154" s="48" t="e">
        <f t="shared" si="19"/>
        <v>#DIV/0!</v>
      </c>
      <c r="N154" s="122"/>
      <c r="O154" s="43" t="s">
        <v>131</v>
      </c>
      <c r="P154" s="52">
        <f>COUNTIFS(Table10141619[Prodi],$P$121,Table10141619[I1.2],P$124)/$P$123</f>
        <v>1</v>
      </c>
      <c r="Q154" s="52">
        <f>COUNTIFS(Table10141619[Prodi],$P$121,Table10141619[I1.2],Q$124)/$P$123</f>
        <v>0</v>
      </c>
      <c r="R154" s="52">
        <f>COUNTIFS(Table10141619[Prodi],$P$121,Table10141619[I1.2],R$124)/$P$123</f>
        <v>0</v>
      </c>
      <c r="S154" s="52">
        <f>COUNTIFS(Table10141619[Prodi],$P$121,Table10141619[I1.2],S$124)/$P$123</f>
        <v>0</v>
      </c>
      <c r="T154" s="48">
        <f t="shared" si="20"/>
        <v>1</v>
      </c>
      <c r="U154" s="122"/>
      <c r="V154" s="43" t="s">
        <v>131</v>
      </c>
      <c r="W154" s="52" t="e">
        <f>COUNTIFS(Table10141619[Prodi],$W$121,Table10141619[I1.2],W$124)/$W$123</f>
        <v>#DIV/0!</v>
      </c>
      <c r="X154" s="52" t="e">
        <f>COUNTIFS(Table10141619[Prodi],$W$121,Table10141619[I1.2],X$124)/$W$123</f>
        <v>#DIV/0!</v>
      </c>
      <c r="Y154" s="52" t="e">
        <f>COUNTIFS(Table10141619[Prodi],$W$121,Table10141619[I1.2],Y$124)/$W$123</f>
        <v>#DIV/0!</v>
      </c>
      <c r="Z154" s="52" t="e">
        <f>COUNTIFS(Table10141619[Prodi],$W$121,Table10141619[I1.2],Z$124)/$W$123</f>
        <v>#DIV/0!</v>
      </c>
      <c r="AA154" s="48" t="e">
        <f t="shared" si="21"/>
        <v>#DIV/0!</v>
      </c>
      <c r="AB154" s="122"/>
      <c r="AC154" s="122"/>
      <c r="AD154" s="122"/>
      <c r="AE154" s="122"/>
      <c r="AF154" s="122"/>
      <c r="AG154" s="122"/>
      <c r="AH154" s="122"/>
      <c r="AI154" s="122"/>
      <c r="AJ154" s="122"/>
      <c r="AK154" s="122"/>
      <c r="AL154" s="122"/>
      <c r="AM154" s="122"/>
      <c r="AN154" s="122"/>
      <c r="AO154" s="122"/>
      <c r="AP154" s="122"/>
      <c r="AQ154" s="122"/>
      <c r="AR154" s="122"/>
    </row>
    <row r="155" spans="1:44" s="83" customFormat="1" ht="16.5" x14ac:dyDescent="0.3">
      <c r="A155" s="43" t="s">
        <v>132</v>
      </c>
      <c r="B155" s="52">
        <f>COUNTIF(Table10141619[I1.3],B$124)/$B$123</f>
        <v>1</v>
      </c>
      <c r="C155" s="52">
        <f>COUNTIF(Table10141619[I1.3],C$124)/$B$123</f>
        <v>0</v>
      </c>
      <c r="D155" s="52">
        <f>COUNTIF(Table10141619[I1.3],D$124)/$B$123</f>
        <v>0</v>
      </c>
      <c r="E155" s="52">
        <f>COUNTIF(Table10141619[I1.3],E$124)/$B$123</f>
        <v>0</v>
      </c>
      <c r="F155" s="48">
        <f t="shared" si="18"/>
        <v>1</v>
      </c>
      <c r="H155" s="43" t="s">
        <v>132</v>
      </c>
      <c r="I155" s="52" t="e">
        <f>COUNTIFS(Table10141619[Prodi],$I$121,Table10141619[I1.3],I$124)/$I$123</f>
        <v>#DIV/0!</v>
      </c>
      <c r="J155" s="52" t="e">
        <f>COUNTIFS(Table10141619[Prodi],$I$121,Table10141619[I1.3],J$124)/$I$123</f>
        <v>#DIV/0!</v>
      </c>
      <c r="K155" s="52" t="e">
        <f>COUNTIFS(Table10141619[Prodi],$I$121,Table10141619[I1.3],K$124)/$I$123</f>
        <v>#DIV/0!</v>
      </c>
      <c r="L155" s="52" t="e">
        <f>COUNTIFS(Table10141619[Prodi],$I$121,Table10141619[I1.3],L$124)/$I$123</f>
        <v>#DIV/0!</v>
      </c>
      <c r="M155" s="48" t="e">
        <f t="shared" si="19"/>
        <v>#DIV/0!</v>
      </c>
      <c r="N155" s="122"/>
      <c r="O155" s="43" t="s">
        <v>132</v>
      </c>
      <c r="P155" s="52">
        <f>COUNTIFS(Table10141619[Prodi],$P$121,Table10141619[I1.3],P$124)/$P$123</f>
        <v>1</v>
      </c>
      <c r="Q155" s="52">
        <f>COUNTIFS(Table10141619[Prodi],$P$121,Table10141619[I1.3],Q$124)/$P$123</f>
        <v>0</v>
      </c>
      <c r="R155" s="52">
        <f>COUNTIFS(Table10141619[Prodi],$P$121,Table10141619[I1.3],R$124)/$P$123</f>
        <v>0</v>
      </c>
      <c r="S155" s="52">
        <f>COUNTIFS(Table10141619[Prodi],$P$121,Table10141619[I1.3],S$124)/$P$123</f>
        <v>0</v>
      </c>
      <c r="T155" s="48">
        <f t="shared" si="20"/>
        <v>1</v>
      </c>
      <c r="U155" s="122"/>
      <c r="V155" s="43" t="s">
        <v>132</v>
      </c>
      <c r="W155" s="52" t="e">
        <f>COUNTIFS(Table10141619[Prodi],$W$121,Table10141619[I1.3],W$124)/$W$123</f>
        <v>#DIV/0!</v>
      </c>
      <c r="X155" s="52" t="e">
        <f>COUNTIFS(Table10141619[Prodi],$W$121,Table10141619[I1.3],X$124)/$W$123</f>
        <v>#DIV/0!</v>
      </c>
      <c r="Y155" s="52" t="e">
        <f>COUNTIFS(Table10141619[Prodi],$W$121,Table10141619[I1.3],Y$124)/$W$123</f>
        <v>#DIV/0!</v>
      </c>
      <c r="Z155" s="52" t="e">
        <f>COUNTIFS(Table10141619[Prodi],$W$121,Table10141619[I1.3],Z$124)/$W$123</f>
        <v>#DIV/0!</v>
      </c>
      <c r="AA155" s="48" t="e">
        <f t="shared" si="21"/>
        <v>#DIV/0!</v>
      </c>
      <c r="AB155" s="122"/>
      <c r="AC155" s="122"/>
      <c r="AD155" s="122"/>
      <c r="AE155" s="122"/>
      <c r="AF155" s="122"/>
      <c r="AG155" s="122"/>
      <c r="AH155" s="122"/>
      <c r="AI155" s="122"/>
      <c r="AJ155" s="122"/>
      <c r="AK155" s="122"/>
      <c r="AL155" s="122"/>
      <c r="AM155" s="122"/>
      <c r="AN155" s="122"/>
      <c r="AO155" s="122"/>
      <c r="AP155" s="122"/>
      <c r="AQ155" s="122"/>
      <c r="AR155" s="122"/>
    </row>
    <row r="156" spans="1:44" s="83" customFormat="1" ht="16.5" x14ac:dyDescent="0.3">
      <c r="A156" s="43" t="s">
        <v>133</v>
      </c>
      <c r="B156" s="52">
        <f>COUNTIF(Table10141619[I1.4],B$124)/$B$123</f>
        <v>1</v>
      </c>
      <c r="C156" s="52">
        <f>COUNTIF(Table10141619[I1.4],C$124)/$B$123</f>
        <v>0</v>
      </c>
      <c r="D156" s="52">
        <f>COUNTIF(Table10141619[I1.4],D$124)/$B$123</f>
        <v>0</v>
      </c>
      <c r="E156" s="52">
        <f>COUNTIF(Table10141619[I1.4],E$124)/$B$123</f>
        <v>0</v>
      </c>
      <c r="F156" s="48">
        <f t="shared" si="18"/>
        <v>1</v>
      </c>
      <c r="H156" s="43" t="s">
        <v>133</v>
      </c>
      <c r="I156" s="52" t="e">
        <f>COUNTIFS(Table10141619[Prodi],$I$121,Table10141619[I1.4],I$124)/$I$123</f>
        <v>#DIV/0!</v>
      </c>
      <c r="J156" s="52" t="e">
        <f>COUNTIFS(Table10141619[Prodi],$I$121,Table10141619[I1.4],J$124)/$I$123</f>
        <v>#DIV/0!</v>
      </c>
      <c r="K156" s="52" t="e">
        <f>COUNTIFS(Table10141619[Prodi],$I$121,Table10141619[I1.4],K$124)/$I$123</f>
        <v>#DIV/0!</v>
      </c>
      <c r="L156" s="52" t="e">
        <f>COUNTIFS(Table10141619[Prodi],$I$121,Table10141619[I1.4],L$124)/$I$123</f>
        <v>#DIV/0!</v>
      </c>
      <c r="M156" s="48" t="e">
        <f t="shared" si="19"/>
        <v>#DIV/0!</v>
      </c>
      <c r="N156" s="122"/>
      <c r="O156" s="43" t="s">
        <v>133</v>
      </c>
      <c r="P156" s="52">
        <f>COUNTIFS(Table10141619[Prodi],$P$121,Table10141619[I1.4],P$124)/$P$123</f>
        <v>1</v>
      </c>
      <c r="Q156" s="52">
        <f>COUNTIFS(Table10141619[Prodi],$P$121,Table10141619[I1.4],Q$124)/$P$123</f>
        <v>0</v>
      </c>
      <c r="R156" s="52">
        <f>COUNTIFS(Table10141619[Prodi],$P$121,Table10141619[I1.4],R$124)/$P$123</f>
        <v>0</v>
      </c>
      <c r="S156" s="52">
        <f>COUNTIFS(Table10141619[Prodi],$P$121,Table10141619[I1.4],S$124)/$P$123</f>
        <v>0</v>
      </c>
      <c r="T156" s="48">
        <f t="shared" si="20"/>
        <v>1</v>
      </c>
      <c r="U156" s="122"/>
      <c r="V156" s="43" t="s">
        <v>133</v>
      </c>
      <c r="W156" s="52" t="e">
        <f>COUNTIFS(Table10141619[Prodi],$W$121,Table10141619[I1.4],W$124)/$W$123</f>
        <v>#DIV/0!</v>
      </c>
      <c r="X156" s="52" t="e">
        <f>COUNTIFS(Table10141619[Prodi],$W$121,Table10141619[I1.4],X$124)/$W$123</f>
        <v>#DIV/0!</v>
      </c>
      <c r="Y156" s="52" t="e">
        <f>COUNTIFS(Table10141619[Prodi],$W$121,Table10141619[I1.4],Y$124)/$W$123</f>
        <v>#DIV/0!</v>
      </c>
      <c r="Z156" s="52" t="e">
        <f>COUNTIFS(Table10141619[Prodi],$W$121,Table10141619[I1.4],Z$124)/$W$123</f>
        <v>#DIV/0!</v>
      </c>
      <c r="AA156" s="48" t="e">
        <f t="shared" si="21"/>
        <v>#DIV/0!</v>
      </c>
      <c r="AB156" s="122"/>
      <c r="AC156" s="122"/>
      <c r="AD156" s="122"/>
      <c r="AE156" s="122"/>
      <c r="AF156" s="122"/>
      <c r="AG156" s="122"/>
      <c r="AH156" s="122"/>
      <c r="AI156" s="122"/>
      <c r="AJ156" s="122"/>
      <c r="AK156" s="122"/>
      <c r="AL156" s="122"/>
      <c r="AM156" s="122"/>
      <c r="AN156" s="122"/>
      <c r="AO156" s="122"/>
      <c r="AP156" s="122"/>
      <c r="AQ156" s="122"/>
      <c r="AR156" s="122"/>
    </row>
    <row r="157" spans="1:44" s="83" customFormat="1" ht="16.5" x14ac:dyDescent="0.3">
      <c r="A157" s="43" t="s">
        <v>134</v>
      </c>
      <c r="B157" s="52">
        <f>COUNTIF(Table10141619[I1.5],B$124)/$B$123</f>
        <v>1</v>
      </c>
      <c r="C157" s="52">
        <f>COUNTIF(Table10141619[I1.5],C$124)/$B$123</f>
        <v>0</v>
      </c>
      <c r="D157" s="52">
        <f>COUNTIF(Table10141619[I1.5],D$124)/$B$123</f>
        <v>0</v>
      </c>
      <c r="E157" s="52">
        <f>COUNTIF(Table10141619[I1.5],E$124)/$B$123</f>
        <v>0</v>
      </c>
      <c r="F157" s="48">
        <f t="shared" si="18"/>
        <v>1</v>
      </c>
      <c r="H157" s="43" t="s">
        <v>134</v>
      </c>
      <c r="I157" s="52" t="e">
        <f>COUNTIFS(Table10141619[Prodi],$I$121,Table10141619[I1.5],I$124)/$I$123</f>
        <v>#DIV/0!</v>
      </c>
      <c r="J157" s="52" t="e">
        <f>COUNTIFS(Table10141619[Prodi],$I$121,Table10141619[I1.5],J$124)/$I$123</f>
        <v>#DIV/0!</v>
      </c>
      <c r="K157" s="52" t="e">
        <f>COUNTIFS(Table10141619[Prodi],$I$121,Table10141619[I1.5],K$124)/$I$123</f>
        <v>#DIV/0!</v>
      </c>
      <c r="L157" s="52" t="e">
        <f>COUNTIFS(Table10141619[Prodi],$I$121,Table10141619[I1.5],L$124)/$I$123</f>
        <v>#DIV/0!</v>
      </c>
      <c r="M157" s="48" t="e">
        <f t="shared" si="19"/>
        <v>#DIV/0!</v>
      </c>
      <c r="N157" s="122"/>
      <c r="O157" s="43" t="s">
        <v>134</v>
      </c>
      <c r="P157" s="52">
        <f>COUNTIFS(Table10141619[Prodi],$P$121,Table10141619[I1.5],P$124)/$P$123</f>
        <v>1</v>
      </c>
      <c r="Q157" s="52">
        <f>COUNTIFS(Table10141619[Prodi],$P$121,Table10141619[I1.5],Q$124)/$P$123</f>
        <v>0</v>
      </c>
      <c r="R157" s="52">
        <f>COUNTIFS(Table10141619[Prodi],$P$121,Table10141619[I1.5],R$124)/$P$123</f>
        <v>0</v>
      </c>
      <c r="S157" s="52">
        <f>COUNTIFS(Table10141619[Prodi],$P$121,Table10141619[I1.5],S$124)/$P$123</f>
        <v>0</v>
      </c>
      <c r="T157" s="48">
        <f t="shared" si="20"/>
        <v>1</v>
      </c>
      <c r="U157" s="122"/>
      <c r="V157" s="43" t="s">
        <v>134</v>
      </c>
      <c r="W157" s="52" t="e">
        <f>COUNTIFS(Table10141619[Prodi],$W$121,Table10141619[I1.5],W$124)/$W$123</f>
        <v>#DIV/0!</v>
      </c>
      <c r="X157" s="52" t="e">
        <f>COUNTIFS(Table10141619[Prodi],$W$121,Table10141619[I1.5],X$124)/$W$123</f>
        <v>#DIV/0!</v>
      </c>
      <c r="Y157" s="52" t="e">
        <f>COUNTIFS(Table10141619[Prodi],$W$121,Table10141619[I1.5],Y$124)/$W$123</f>
        <v>#DIV/0!</v>
      </c>
      <c r="Z157" s="52" t="e">
        <f>COUNTIFS(Table10141619[Prodi],$W$121,Table10141619[I1.5],Z$124)/$W$123</f>
        <v>#DIV/0!</v>
      </c>
      <c r="AA157" s="48" t="e">
        <f t="shared" si="21"/>
        <v>#DIV/0!</v>
      </c>
      <c r="AB157" s="122"/>
      <c r="AC157" s="122"/>
      <c r="AD157" s="122"/>
      <c r="AE157" s="122"/>
      <c r="AF157" s="122"/>
      <c r="AG157" s="122"/>
      <c r="AH157" s="122"/>
      <c r="AI157" s="122"/>
      <c r="AJ157" s="122"/>
      <c r="AK157" s="122"/>
      <c r="AL157" s="122"/>
      <c r="AM157" s="122"/>
      <c r="AN157" s="122"/>
      <c r="AO157" s="122"/>
      <c r="AP157" s="122"/>
      <c r="AQ157" s="122"/>
      <c r="AR157" s="122"/>
    </row>
    <row r="158" spans="1:44" s="83" customFormat="1" ht="16.5" x14ac:dyDescent="0.3">
      <c r="A158" s="46"/>
      <c r="B158" s="47">
        <f>AVERAGE(B154:B157)</f>
        <v>1</v>
      </c>
      <c r="C158" s="47">
        <f>AVERAGE(C154:C157)</f>
        <v>0</v>
      </c>
      <c r="D158" s="47">
        <f>AVERAGE(D154:D157)</f>
        <v>0</v>
      </c>
      <c r="E158" s="47">
        <f>AVERAGE(E154:E157)</f>
        <v>0</v>
      </c>
      <c r="F158" s="48">
        <f t="shared" si="18"/>
        <v>1</v>
      </c>
      <c r="H158" s="46"/>
      <c r="I158" s="47" t="e">
        <f>AVERAGE(I154:I157)</f>
        <v>#DIV/0!</v>
      </c>
      <c r="J158" s="47" t="e">
        <f>AVERAGE(J154:J157)</f>
        <v>#DIV/0!</v>
      </c>
      <c r="K158" s="47" t="e">
        <f>AVERAGE(K154:K157)</f>
        <v>#DIV/0!</v>
      </c>
      <c r="L158" s="47" t="e">
        <f>AVERAGE(L154:L157)</f>
        <v>#DIV/0!</v>
      </c>
      <c r="M158" s="48" t="e">
        <f t="shared" si="19"/>
        <v>#DIV/0!</v>
      </c>
      <c r="N158" s="122"/>
      <c r="O158" s="46"/>
      <c r="P158" s="47">
        <f>AVERAGE(P154:P157)</f>
        <v>1</v>
      </c>
      <c r="Q158" s="47">
        <f>AVERAGE(Q154:Q157)</f>
        <v>0</v>
      </c>
      <c r="R158" s="47">
        <f>AVERAGE(R154:R157)</f>
        <v>0</v>
      </c>
      <c r="S158" s="47">
        <f>AVERAGE(S154:S157)</f>
        <v>0</v>
      </c>
      <c r="T158" s="48">
        <f t="shared" si="20"/>
        <v>1</v>
      </c>
      <c r="U158" s="122"/>
      <c r="V158" s="46"/>
      <c r="W158" s="47" t="e">
        <f>AVERAGE(W154:W157)</f>
        <v>#DIV/0!</v>
      </c>
      <c r="X158" s="47" t="e">
        <f>AVERAGE(X154:X157)</f>
        <v>#DIV/0!</v>
      </c>
      <c r="Y158" s="47" t="e">
        <f>AVERAGE(Y154:Y157)</f>
        <v>#DIV/0!</v>
      </c>
      <c r="Z158" s="47" t="e">
        <f>AVERAGE(Z154:Z157)</f>
        <v>#DIV/0!</v>
      </c>
      <c r="AA158" s="48" t="e">
        <f t="shared" si="21"/>
        <v>#DIV/0!</v>
      </c>
      <c r="AB158" s="122"/>
      <c r="AC158" s="122"/>
      <c r="AD158" s="122"/>
      <c r="AE158" s="122"/>
      <c r="AF158" s="122"/>
      <c r="AG158" s="122"/>
      <c r="AH158" s="122"/>
      <c r="AI158" s="122"/>
      <c r="AJ158" s="122"/>
      <c r="AK158" s="122"/>
      <c r="AL158" s="122"/>
      <c r="AM158" s="122"/>
      <c r="AN158" s="122"/>
      <c r="AO158" s="122"/>
      <c r="AP158" s="122"/>
      <c r="AQ158" s="122"/>
      <c r="AR158" s="122"/>
    </row>
    <row r="159" spans="1:44" ht="16.5" x14ac:dyDescent="0.3">
      <c r="A159" s="43" t="s">
        <v>135</v>
      </c>
      <c r="B159" s="52">
        <f>COUNTIF(Table10141619[I2.1],B$124)/$B$123</f>
        <v>0</v>
      </c>
      <c r="C159" s="52">
        <f>COUNTIF(Table10141619[I2.1],C$124)/$B$123</f>
        <v>1</v>
      </c>
      <c r="D159" s="52">
        <f>COUNTIF(Table10141619[I2.1],D$124)/$B$123</f>
        <v>0</v>
      </c>
      <c r="E159" s="52">
        <f>COUNTIF(Table10141619[I2.1],E$124)/$B$123</f>
        <v>0</v>
      </c>
      <c r="F159" s="48">
        <f t="shared" si="18"/>
        <v>1</v>
      </c>
      <c r="H159" s="43" t="s">
        <v>135</v>
      </c>
      <c r="I159" s="52" t="e">
        <f>COUNTIFS(Table10141619[Prodi],$I$121,Table10141619[I2.1],I$124)/$I$123</f>
        <v>#DIV/0!</v>
      </c>
      <c r="J159" s="52" t="e">
        <f>COUNTIFS(Table10141619[Prodi],$I$121,Table10141619[I2.1],J$124)/$I$123</f>
        <v>#DIV/0!</v>
      </c>
      <c r="K159" s="52" t="e">
        <f>COUNTIFS(Table10141619[Prodi],$I$121,Table10141619[I2.1],K$124)/$I$123</f>
        <v>#DIV/0!</v>
      </c>
      <c r="L159" s="52" t="e">
        <f>COUNTIFS(Table10141619[Prodi],$I$121,Table10141619[I2.1],L$124)/$I$123</f>
        <v>#DIV/0!</v>
      </c>
      <c r="M159" s="48" t="e">
        <f t="shared" si="19"/>
        <v>#DIV/0!</v>
      </c>
      <c r="O159" s="43" t="s">
        <v>135</v>
      </c>
      <c r="P159" s="52">
        <f>COUNTIFS(Table10141619[Prodi],$P$121,Table10141619[I2.1],P$124)/$P$123</f>
        <v>0</v>
      </c>
      <c r="Q159" s="52">
        <f>COUNTIFS(Table10141619[Prodi],$P$121,Table10141619[I2.1],Q$124)/$P$123</f>
        <v>1</v>
      </c>
      <c r="R159" s="52">
        <f>COUNTIFS(Table10141619[Prodi],$P$121,Table10141619[I2.1],R$124)/$P$123</f>
        <v>0</v>
      </c>
      <c r="S159" s="52">
        <f>COUNTIFS(Table10141619[Prodi],$P$121,Table10141619[I2.1],S$124)/$P$123</f>
        <v>0</v>
      </c>
      <c r="T159" s="48">
        <f t="shared" si="20"/>
        <v>1</v>
      </c>
      <c r="V159" s="43" t="s">
        <v>135</v>
      </c>
      <c r="W159" s="52" t="e">
        <f>COUNTIFS(Table10141619[Prodi],$W$121,Table10141619[I2.1],W$124)/$W$123</f>
        <v>#DIV/0!</v>
      </c>
      <c r="X159" s="52" t="e">
        <f>COUNTIFS(Table10141619[Prodi],$W$121,Table10141619[I2.1],X$124)/$W$123</f>
        <v>#DIV/0!</v>
      </c>
      <c r="Y159" s="52" t="e">
        <f>COUNTIFS(Table10141619[Prodi],$W$121,Table10141619[I2.1],Y$124)/$W$123</f>
        <v>#DIV/0!</v>
      </c>
      <c r="Z159" s="52" t="e">
        <f>COUNTIFS(Table10141619[Prodi],$W$121,Table10141619[I2.1],Z$124)/$W$123</f>
        <v>#DIV/0!</v>
      </c>
      <c r="AA159" s="48" t="e">
        <f t="shared" si="21"/>
        <v>#DIV/0!</v>
      </c>
    </row>
    <row r="160" spans="1:44" ht="16.5" x14ac:dyDescent="0.3">
      <c r="A160" s="43" t="s">
        <v>136</v>
      </c>
      <c r="B160" s="52">
        <f>COUNTIF(Table10141619[I2.2],B$124)/$B$123</f>
        <v>0</v>
      </c>
      <c r="C160" s="52">
        <f>COUNTIF(Table10141619[I2.2],C$124)/$B$123</f>
        <v>1</v>
      </c>
      <c r="D160" s="52">
        <f>COUNTIF(Table10141619[I2.2],D$124)/$B$123</f>
        <v>0</v>
      </c>
      <c r="E160" s="52">
        <f>COUNTIF(Table10141619[I2.2],E$124)/$B$123</f>
        <v>0</v>
      </c>
      <c r="F160" s="48">
        <f t="shared" si="18"/>
        <v>1</v>
      </c>
      <c r="H160" s="43" t="s">
        <v>136</v>
      </c>
      <c r="I160" s="52" t="e">
        <f>COUNTIFS(Table10141619[Prodi],$I$121,Table10141619[I2.2],I$124)/$I$123</f>
        <v>#DIV/0!</v>
      </c>
      <c r="J160" s="52" t="e">
        <f>COUNTIFS(Table10141619[Prodi],$I$121,Table10141619[I2.2],J$124)/$I$123</f>
        <v>#DIV/0!</v>
      </c>
      <c r="K160" s="52" t="e">
        <f>COUNTIFS(Table10141619[Prodi],$I$121,Table10141619[I2.2],K$124)/$I$123</f>
        <v>#DIV/0!</v>
      </c>
      <c r="L160" s="52" t="e">
        <f>COUNTIFS(Table10141619[Prodi],$I$121,Table10141619[I2.2],L$124)/$I$123</f>
        <v>#DIV/0!</v>
      </c>
      <c r="M160" s="48" t="e">
        <f t="shared" si="19"/>
        <v>#DIV/0!</v>
      </c>
      <c r="O160" s="43" t="s">
        <v>136</v>
      </c>
      <c r="P160" s="52">
        <f>COUNTIFS(Table10141619[Prodi],$P$121,Table10141619[I2.2],P$124)/$P$123</f>
        <v>0</v>
      </c>
      <c r="Q160" s="52">
        <f>COUNTIFS(Table10141619[Prodi],$P$121,Table10141619[I2.2],Q$124)/$P$123</f>
        <v>1</v>
      </c>
      <c r="R160" s="52">
        <f>COUNTIFS(Table10141619[Prodi],$P$121,Table10141619[I2.2],R$124)/$P$123</f>
        <v>0</v>
      </c>
      <c r="S160" s="52">
        <f>COUNTIFS(Table10141619[Prodi],$P$121,Table10141619[I2.2],S$124)/$P$123</f>
        <v>0</v>
      </c>
      <c r="T160" s="48">
        <f t="shared" si="20"/>
        <v>1</v>
      </c>
      <c r="V160" s="43" t="s">
        <v>136</v>
      </c>
      <c r="W160" s="52" t="e">
        <f>COUNTIFS(Table10141619[Prodi],$W$121,Table10141619[I2.2],W$124)/$W$123</f>
        <v>#DIV/0!</v>
      </c>
      <c r="X160" s="52" t="e">
        <f>COUNTIFS(Table10141619[Prodi],$W$121,Table10141619[I2.2],X$124)/$W$123</f>
        <v>#DIV/0!</v>
      </c>
      <c r="Y160" s="52" t="e">
        <f>COUNTIFS(Table10141619[Prodi],$W$121,Table10141619[I2.2],Y$124)/$W$123</f>
        <v>#DIV/0!</v>
      </c>
      <c r="Z160" s="52" t="e">
        <f>COUNTIFS(Table10141619[Prodi],$W$121,Table10141619[I2.2],Z$124)/$W$123</f>
        <v>#DIV/0!</v>
      </c>
      <c r="AA160" s="48" t="e">
        <f t="shared" si="21"/>
        <v>#DIV/0!</v>
      </c>
    </row>
    <row r="161" spans="1:44" ht="16.5" x14ac:dyDescent="0.3">
      <c r="A161" s="43" t="s">
        <v>137</v>
      </c>
      <c r="B161" s="52">
        <f>COUNTIF(Table10141619[I2.3],B$124)/$B$123</f>
        <v>0</v>
      </c>
      <c r="C161" s="52">
        <f>COUNTIF(Table10141619[I2.3],C$124)/$B$123</f>
        <v>1</v>
      </c>
      <c r="D161" s="52">
        <f>COUNTIF(Table10141619[I2.3],D$124)/$B$123</f>
        <v>0</v>
      </c>
      <c r="E161" s="52">
        <f>COUNTIF(Table10141619[I2.3],E$124)/$B$123</f>
        <v>0</v>
      </c>
      <c r="F161" s="48">
        <f t="shared" si="18"/>
        <v>1</v>
      </c>
      <c r="H161" s="43" t="s">
        <v>137</v>
      </c>
      <c r="I161" s="52" t="e">
        <f>COUNTIFS(Table10141619[Prodi],$I$121,Table10141619[I2.3],I$124)/$I$123</f>
        <v>#DIV/0!</v>
      </c>
      <c r="J161" s="52" t="e">
        <f>COUNTIFS(Table10141619[Prodi],$I$121,Table10141619[I2.3],J$124)/$I$123</f>
        <v>#DIV/0!</v>
      </c>
      <c r="K161" s="52" t="e">
        <f>COUNTIFS(Table10141619[Prodi],$I$121,Table10141619[I2.3],K$124)/$I$123</f>
        <v>#DIV/0!</v>
      </c>
      <c r="L161" s="52" t="e">
        <f>COUNTIFS(Table10141619[Prodi],$I$121,Table10141619[I2.3],L$124)/$I$123</f>
        <v>#DIV/0!</v>
      </c>
      <c r="M161" s="48" t="e">
        <f t="shared" si="19"/>
        <v>#DIV/0!</v>
      </c>
      <c r="O161" s="43" t="s">
        <v>137</v>
      </c>
      <c r="P161" s="52">
        <f>COUNTIFS(Table10141619[Prodi],$P$121,Table10141619[I2.3],P$124)/$P$123</f>
        <v>0</v>
      </c>
      <c r="Q161" s="52">
        <f>COUNTIFS(Table10141619[Prodi],$P$121,Table10141619[I2.3],Q$124)/$P$123</f>
        <v>1</v>
      </c>
      <c r="R161" s="52">
        <f>COUNTIFS(Table10141619[Prodi],$P$121,Table10141619[I2.3],R$124)/$P$123</f>
        <v>0</v>
      </c>
      <c r="S161" s="52">
        <f>COUNTIFS(Table10141619[Prodi],$P$121,Table10141619[I2.3],S$124)/$P$123</f>
        <v>0</v>
      </c>
      <c r="T161" s="48">
        <f t="shared" si="20"/>
        <v>1</v>
      </c>
      <c r="V161" s="43" t="s">
        <v>137</v>
      </c>
      <c r="W161" s="52" t="e">
        <f>COUNTIFS(Table10141619[Prodi],$W$121,Table10141619[I2.3],W$124)/$W$123</f>
        <v>#DIV/0!</v>
      </c>
      <c r="X161" s="52" t="e">
        <f>COUNTIFS(Table10141619[Prodi],$W$121,Table10141619[I2.3],X$124)/$W$123</f>
        <v>#DIV/0!</v>
      </c>
      <c r="Y161" s="52" t="e">
        <f>COUNTIFS(Table10141619[Prodi],$W$121,Table10141619[I2.3],Y$124)/$W$123</f>
        <v>#DIV/0!</v>
      </c>
      <c r="Z161" s="52" t="e">
        <f>COUNTIFS(Table10141619[Prodi],$W$121,Table10141619[I2.3],Z$124)/$W$123</f>
        <v>#DIV/0!</v>
      </c>
      <c r="AA161" s="48" t="e">
        <f t="shared" si="21"/>
        <v>#DIV/0!</v>
      </c>
    </row>
    <row r="162" spans="1:44" ht="16.5" x14ac:dyDescent="0.3">
      <c r="A162" s="43" t="s">
        <v>138</v>
      </c>
      <c r="B162" s="52">
        <f>COUNTIF(Table10141619[I2.4],B$124)/$B$123</f>
        <v>1</v>
      </c>
      <c r="C162" s="52">
        <f>COUNTIF(Table10141619[I2.4],C$124)/$B$123</f>
        <v>0</v>
      </c>
      <c r="D162" s="52">
        <f>COUNTIF(Table10141619[I2.4],D$124)/$B$123</f>
        <v>0</v>
      </c>
      <c r="E162" s="52">
        <f>COUNTIF(Table10141619[I2.4],E$124)/$B$123</f>
        <v>0</v>
      </c>
      <c r="F162" s="48">
        <f t="shared" si="18"/>
        <v>1</v>
      </c>
      <c r="H162" s="43" t="s">
        <v>138</v>
      </c>
      <c r="I162" s="52" t="e">
        <f>COUNTIFS(Table10141619[Prodi],$I$121,Table10141619[I2.4],I$124)/$I$123</f>
        <v>#DIV/0!</v>
      </c>
      <c r="J162" s="52" t="e">
        <f>COUNTIFS(Table10141619[Prodi],$I$121,Table10141619[I2.4],J$124)/$I$123</f>
        <v>#DIV/0!</v>
      </c>
      <c r="K162" s="52" t="e">
        <f>COUNTIFS(Table10141619[Prodi],$I$121,Table10141619[I2.4],K$124)/$I$123</f>
        <v>#DIV/0!</v>
      </c>
      <c r="L162" s="52" t="e">
        <f>COUNTIFS(Table10141619[Prodi],$I$121,Table10141619[I2.4],L$124)/$I$123</f>
        <v>#DIV/0!</v>
      </c>
      <c r="M162" s="48" t="e">
        <f t="shared" si="19"/>
        <v>#DIV/0!</v>
      </c>
      <c r="O162" s="43" t="s">
        <v>138</v>
      </c>
      <c r="P162" s="52">
        <f>COUNTIFS(Table10141619[Prodi],$P$121,Table10141619[I2.4],P$124)/$P$123</f>
        <v>1</v>
      </c>
      <c r="Q162" s="52">
        <f>COUNTIFS(Table10141619[Prodi],$P$121,Table10141619[I2.4],Q$124)/$P$123</f>
        <v>0</v>
      </c>
      <c r="R162" s="52">
        <f>COUNTIFS(Table10141619[Prodi],$P$121,Table10141619[I2.4],R$124)/$P$123</f>
        <v>0</v>
      </c>
      <c r="S162" s="52">
        <f>COUNTIFS(Table10141619[Prodi],$P$121,Table10141619[I2.4],S$124)/$P$123</f>
        <v>0</v>
      </c>
      <c r="T162" s="48">
        <f t="shared" si="20"/>
        <v>1</v>
      </c>
      <c r="V162" s="43" t="s">
        <v>138</v>
      </c>
      <c r="W162" s="52" t="e">
        <f>COUNTIFS(Table10141619[Prodi],$W$121,Table10141619[I2.4],W$124)/$W$123</f>
        <v>#DIV/0!</v>
      </c>
      <c r="X162" s="52" t="e">
        <f>COUNTIFS(Table10141619[Prodi],$W$121,Table10141619[I2.4],X$124)/$W$123</f>
        <v>#DIV/0!</v>
      </c>
      <c r="Y162" s="52" t="e">
        <f>COUNTIFS(Table10141619[Prodi],$W$121,Table10141619[I2.4],Y$124)/$W$123</f>
        <v>#DIV/0!</v>
      </c>
      <c r="Z162" s="52" t="e">
        <f>COUNTIFS(Table10141619[Prodi],$W$121,Table10141619[I2.4],Z$124)/$W$123</f>
        <v>#DIV/0!</v>
      </c>
      <c r="AA162" s="48" t="e">
        <f t="shared" si="21"/>
        <v>#DIV/0!</v>
      </c>
    </row>
    <row r="163" spans="1:44" ht="17.25" thickBot="1" x14ac:dyDescent="0.35">
      <c r="A163" s="53"/>
      <c r="B163" s="47">
        <f>AVERAGE(B159:B162)</f>
        <v>0.25</v>
      </c>
      <c r="C163" s="47">
        <f>AVERAGE(C159:C162)</f>
        <v>0.75</v>
      </c>
      <c r="D163" s="47">
        <f>AVERAGE(D159:D162)</f>
        <v>0</v>
      </c>
      <c r="E163" s="47">
        <f>AVERAGE(E159:E162)</f>
        <v>0</v>
      </c>
      <c r="F163" s="48">
        <f t="shared" si="18"/>
        <v>1</v>
      </c>
      <c r="H163" s="53"/>
      <c r="I163" s="47" t="e">
        <f>AVERAGE(I159:I162)</f>
        <v>#DIV/0!</v>
      </c>
      <c r="J163" s="47" t="e">
        <f>AVERAGE(J159:J162)</f>
        <v>#DIV/0!</v>
      </c>
      <c r="K163" s="47" t="e">
        <f>AVERAGE(K159:K162)</f>
        <v>#DIV/0!</v>
      </c>
      <c r="L163" s="47" t="e">
        <f>AVERAGE(L159:L162)</f>
        <v>#DIV/0!</v>
      </c>
      <c r="M163" s="48" t="e">
        <f t="shared" si="19"/>
        <v>#DIV/0!</v>
      </c>
      <c r="O163" s="53"/>
      <c r="P163" s="47">
        <f>AVERAGE(P159:P162)</f>
        <v>0.25</v>
      </c>
      <c r="Q163" s="47">
        <f>AVERAGE(Q159:Q162)</f>
        <v>0.75</v>
      </c>
      <c r="R163" s="47">
        <f>AVERAGE(R159:R162)</f>
        <v>0</v>
      </c>
      <c r="S163" s="47">
        <f>AVERAGE(S159:S162)</f>
        <v>0</v>
      </c>
      <c r="T163" s="48">
        <f t="shared" si="20"/>
        <v>1</v>
      </c>
      <c r="V163" s="53"/>
      <c r="W163" s="47" t="e">
        <f>AVERAGE(W159:W162)</f>
        <v>#DIV/0!</v>
      </c>
      <c r="X163" s="47" t="e">
        <f>AVERAGE(X159:X162)</f>
        <v>#DIV/0!</v>
      </c>
      <c r="Y163" s="47" t="e">
        <f>AVERAGE(Y159:Y162)</f>
        <v>#DIV/0!</v>
      </c>
      <c r="Z163" s="47" t="e">
        <f>AVERAGE(Z159:Z162)</f>
        <v>#DIV/0!</v>
      </c>
      <c r="AA163" s="48" t="e">
        <f t="shared" si="21"/>
        <v>#DIV/0!</v>
      </c>
    </row>
    <row r="165" spans="1:44" s="118" customFormat="1" x14ac:dyDescent="0.25">
      <c r="A165" s="117"/>
      <c r="B165" s="117"/>
      <c r="D165" s="119"/>
      <c r="E165" s="119"/>
      <c r="F165" s="119"/>
      <c r="G165" s="119"/>
      <c r="H165" s="119"/>
      <c r="I165" s="119"/>
    </row>
    <row r="166" spans="1:44" ht="15.75" thickBot="1" x14ac:dyDescent="0.3"/>
    <row r="167" spans="1:44" ht="17.25" customHeight="1" thickBot="1" x14ac:dyDescent="0.3">
      <c r="A167" s="50" t="s">
        <v>129</v>
      </c>
      <c r="B167" s="51">
        <v>2024</v>
      </c>
      <c r="C167" s="140" t="str">
        <f>B30</f>
        <v>FTI</v>
      </c>
      <c r="D167" s="141"/>
      <c r="E167" s="142"/>
      <c r="H167" s="50" t="s">
        <v>129</v>
      </c>
      <c r="I167" s="51">
        <f>I31</f>
        <v>2024</v>
      </c>
      <c r="J167" s="140" t="str">
        <f>I30</f>
        <v>S1 Sistem Informasi</v>
      </c>
      <c r="K167" s="141"/>
      <c r="L167" s="142"/>
      <c r="O167" s="50" t="s">
        <v>129</v>
      </c>
      <c r="P167" s="51">
        <v>2024</v>
      </c>
      <c r="Q167" s="140" t="str">
        <f>P30</f>
        <v>S1 Teknik Komputer</v>
      </c>
      <c r="R167" s="141"/>
      <c r="S167" s="142"/>
      <c r="V167" s="50" t="s">
        <v>129</v>
      </c>
      <c r="W167" s="51">
        <f>W31</f>
        <v>2024</v>
      </c>
      <c r="X167" s="140" t="str">
        <f>W30</f>
        <v>D3 Sistem Informasi</v>
      </c>
      <c r="Y167" s="141"/>
      <c r="Z167" s="142"/>
    </row>
    <row r="168" spans="1:44" ht="17.25" customHeight="1" thickBot="1" x14ac:dyDescent="0.3">
      <c r="A168" s="55" t="s">
        <v>128</v>
      </c>
      <c r="B168" s="56">
        <f>B32</f>
        <v>4</v>
      </c>
      <c r="C168" s="143"/>
      <c r="D168" s="144"/>
      <c r="E168" s="145"/>
      <c r="H168" s="55" t="s">
        <v>128</v>
      </c>
      <c r="I168" s="56">
        <f>I32</f>
        <v>2</v>
      </c>
      <c r="J168" s="143"/>
      <c r="K168" s="144"/>
      <c r="L168" s="145"/>
      <c r="O168" s="55" t="s">
        <v>128</v>
      </c>
      <c r="P168" s="56">
        <f>P32</f>
        <v>2</v>
      </c>
      <c r="Q168" s="143"/>
      <c r="R168" s="144"/>
      <c r="S168" s="145"/>
      <c r="V168" s="55" t="s">
        <v>128</v>
      </c>
      <c r="W168" s="56">
        <f>W32</f>
        <v>0</v>
      </c>
      <c r="X168" s="143"/>
      <c r="Y168" s="144"/>
      <c r="Z168" s="145"/>
    </row>
    <row r="169" spans="1:44" ht="33" customHeight="1" thickBot="1" x14ac:dyDescent="0.3">
      <c r="A169" s="126" t="s">
        <v>139</v>
      </c>
      <c r="B169" s="127" t="s">
        <v>145</v>
      </c>
      <c r="C169" s="127"/>
      <c r="D169" s="127"/>
      <c r="E169" s="127"/>
      <c r="H169" s="126" t="s">
        <v>139</v>
      </c>
      <c r="I169" s="127" t="s">
        <v>145</v>
      </c>
      <c r="J169" s="127"/>
      <c r="K169" s="127"/>
      <c r="L169" s="127"/>
      <c r="O169" s="126" t="s">
        <v>139</v>
      </c>
      <c r="P169" s="127" t="s">
        <v>145</v>
      </c>
      <c r="Q169" s="127"/>
      <c r="R169" s="127"/>
      <c r="S169" s="127"/>
      <c r="V169" s="126" t="s">
        <v>139</v>
      </c>
      <c r="W169" s="127" t="s">
        <v>145</v>
      </c>
      <c r="X169" s="127"/>
      <c r="Y169" s="127"/>
      <c r="Z169" s="127"/>
    </row>
    <row r="170" spans="1:44" ht="15.75" thickBot="1" x14ac:dyDescent="0.3">
      <c r="A170" s="126"/>
      <c r="B170" s="123" t="s">
        <v>127</v>
      </c>
      <c r="C170" s="123" t="s">
        <v>146</v>
      </c>
      <c r="D170" s="123" t="s">
        <v>147</v>
      </c>
      <c r="E170" s="123" t="s">
        <v>148</v>
      </c>
      <c r="H170" s="126"/>
      <c r="I170" s="123" t="s">
        <v>127</v>
      </c>
      <c r="J170" s="123" t="s">
        <v>146</v>
      </c>
      <c r="K170" s="123" t="s">
        <v>147</v>
      </c>
      <c r="L170" s="123" t="s">
        <v>148</v>
      </c>
      <c r="O170" s="126"/>
      <c r="P170" s="123" t="s">
        <v>127</v>
      </c>
      <c r="Q170" s="123" t="s">
        <v>146</v>
      </c>
      <c r="R170" s="123" t="s">
        <v>147</v>
      </c>
      <c r="S170" s="123" t="s">
        <v>148</v>
      </c>
      <c r="V170" s="126"/>
      <c r="W170" s="123" t="s">
        <v>127</v>
      </c>
      <c r="X170" s="123" t="s">
        <v>146</v>
      </c>
      <c r="Y170" s="123" t="s">
        <v>147</v>
      </c>
      <c r="Z170" s="123" t="s">
        <v>148</v>
      </c>
    </row>
    <row r="171" spans="1:44" x14ac:dyDescent="0.25">
      <c r="A171" s="59">
        <v>2</v>
      </c>
      <c r="B171" s="57">
        <v>3</v>
      </c>
      <c r="C171" s="57">
        <v>4</v>
      </c>
      <c r="D171" s="57">
        <v>5</v>
      </c>
      <c r="E171" s="60"/>
      <c r="H171" s="59">
        <v>2</v>
      </c>
      <c r="I171" s="57">
        <v>3</v>
      </c>
      <c r="J171" s="57">
        <v>4</v>
      </c>
      <c r="K171" s="57">
        <v>5</v>
      </c>
      <c r="L171" s="60"/>
      <c r="O171" s="59">
        <v>2</v>
      </c>
      <c r="P171" s="57">
        <v>3</v>
      </c>
      <c r="Q171" s="57">
        <v>4</v>
      </c>
      <c r="R171" s="57">
        <v>5</v>
      </c>
      <c r="S171" s="60"/>
      <c r="V171" s="59">
        <v>2</v>
      </c>
      <c r="W171" s="57">
        <v>3</v>
      </c>
      <c r="X171" s="57">
        <v>4</v>
      </c>
      <c r="Y171" s="57">
        <v>5</v>
      </c>
      <c r="Z171" s="60"/>
    </row>
    <row r="172" spans="1:44" x14ac:dyDescent="0.25">
      <c r="A172" s="61" t="s">
        <v>287</v>
      </c>
      <c r="B172" s="44">
        <f>B38</f>
        <v>0.75</v>
      </c>
      <c r="C172" s="44">
        <f>C38</f>
        <v>0.25</v>
      </c>
      <c r="D172" s="44">
        <f>D38</f>
        <v>0</v>
      </c>
      <c r="E172" s="44">
        <f>E38</f>
        <v>0</v>
      </c>
      <c r="H172" s="61" t="s">
        <v>287</v>
      </c>
      <c r="I172" s="52">
        <f>I38</f>
        <v>0.5</v>
      </c>
      <c r="J172" s="52">
        <f>J38</f>
        <v>0.5</v>
      </c>
      <c r="K172" s="52">
        <f>K38</f>
        <v>0</v>
      </c>
      <c r="L172" s="52">
        <f>L38</f>
        <v>0</v>
      </c>
      <c r="O172" s="61" t="s">
        <v>287</v>
      </c>
      <c r="P172" s="52">
        <f>P38</f>
        <v>0.25</v>
      </c>
      <c r="Q172" s="52">
        <f>Q38</f>
        <v>0.75</v>
      </c>
      <c r="R172" s="52">
        <f>R38</f>
        <v>0</v>
      </c>
      <c r="S172" s="52">
        <f>S38</f>
        <v>0</v>
      </c>
      <c r="V172" s="61" t="s">
        <v>287</v>
      </c>
      <c r="W172" s="52" t="e">
        <f>W38</f>
        <v>#DIV/0!</v>
      </c>
      <c r="X172" s="52" t="e">
        <f>X38</f>
        <v>#DIV/0!</v>
      </c>
      <c r="Y172" s="52" t="e">
        <f>Y38</f>
        <v>#DIV/0!</v>
      </c>
      <c r="Z172" s="52" t="e">
        <f>Z38</f>
        <v>#DIV/0!</v>
      </c>
    </row>
    <row r="173" spans="1:44" x14ac:dyDescent="0.25">
      <c r="A173" s="61" t="s">
        <v>303</v>
      </c>
      <c r="B173" s="44">
        <f>B42</f>
        <v>0.5</v>
      </c>
      <c r="C173" s="44">
        <f>C42</f>
        <v>0.5</v>
      </c>
      <c r="D173" s="44">
        <f>D42</f>
        <v>0</v>
      </c>
      <c r="E173" s="44">
        <f>E42</f>
        <v>0</v>
      </c>
      <c r="H173" s="61" t="s">
        <v>303</v>
      </c>
      <c r="I173" s="52">
        <f>I42</f>
        <v>0.66666666666666663</v>
      </c>
      <c r="J173" s="52">
        <f>J42</f>
        <v>0.33333333333333331</v>
      </c>
      <c r="K173" s="52">
        <f>K42</f>
        <v>0</v>
      </c>
      <c r="L173" s="52">
        <f>L42</f>
        <v>0</v>
      </c>
      <c r="O173" s="61" t="s">
        <v>303</v>
      </c>
      <c r="P173" s="52">
        <f>P42</f>
        <v>0.33333333333333331</v>
      </c>
      <c r="Q173" s="52">
        <f>Q42</f>
        <v>0.66666666666666663</v>
      </c>
      <c r="R173" s="52">
        <f>R42</f>
        <v>0</v>
      </c>
      <c r="S173" s="52">
        <f>S42</f>
        <v>0</v>
      </c>
      <c r="V173" s="61" t="s">
        <v>303</v>
      </c>
      <c r="W173" s="52" t="e">
        <f>W42</f>
        <v>#DIV/0!</v>
      </c>
      <c r="X173" s="52" t="e">
        <f>X42</f>
        <v>#DIV/0!</v>
      </c>
      <c r="Y173" s="52" t="e">
        <f>Y42</f>
        <v>#DIV/0!</v>
      </c>
      <c r="Z173" s="52" t="e">
        <f>Z42</f>
        <v>#DIV/0!</v>
      </c>
    </row>
    <row r="174" spans="1:44" x14ac:dyDescent="0.25">
      <c r="A174" s="61" t="s">
        <v>304</v>
      </c>
      <c r="B174" s="44">
        <f>B45</f>
        <v>0.125</v>
      </c>
      <c r="C174" s="44">
        <f>C45</f>
        <v>0.875</v>
      </c>
      <c r="D174" s="44">
        <f>D45</f>
        <v>0</v>
      </c>
      <c r="E174" s="44">
        <f>E45</f>
        <v>0</v>
      </c>
      <c r="H174" s="61" t="s">
        <v>304</v>
      </c>
      <c r="I174" s="52">
        <f>I45</f>
        <v>0.25</v>
      </c>
      <c r="J174" s="52">
        <f>J45</f>
        <v>0.75</v>
      </c>
      <c r="K174" s="52">
        <f>K45</f>
        <v>0</v>
      </c>
      <c r="L174" s="52">
        <f>L45</f>
        <v>0</v>
      </c>
      <c r="O174" s="61" t="s">
        <v>304</v>
      </c>
      <c r="P174" s="52">
        <f>P45</f>
        <v>0</v>
      </c>
      <c r="Q174" s="52">
        <f>Q45</f>
        <v>1</v>
      </c>
      <c r="R174" s="52">
        <f>R45</f>
        <v>0</v>
      </c>
      <c r="S174" s="52">
        <f>S45</f>
        <v>0</v>
      </c>
      <c r="V174" s="61" t="s">
        <v>304</v>
      </c>
      <c r="W174" s="52" t="e">
        <f>W45</f>
        <v>#DIV/0!</v>
      </c>
      <c r="X174" s="52" t="e">
        <f>X45</f>
        <v>#DIV/0!</v>
      </c>
      <c r="Y174" s="52" t="e">
        <f>Y45</f>
        <v>#DIV/0!</v>
      </c>
      <c r="Z174" s="52" t="e">
        <f>Z45</f>
        <v>#DIV/0!</v>
      </c>
    </row>
    <row r="175" spans="1:44" s="83" customFormat="1" x14ac:dyDescent="0.25">
      <c r="A175" s="61" t="s">
        <v>144</v>
      </c>
      <c r="B175" s="44">
        <f>B49</f>
        <v>0.66666666666666663</v>
      </c>
      <c r="C175" s="44">
        <f>C49</f>
        <v>0.33333333333333331</v>
      </c>
      <c r="D175" s="44">
        <f>D49</f>
        <v>0</v>
      </c>
      <c r="E175" s="44">
        <f>E49</f>
        <v>0</v>
      </c>
      <c r="H175" s="61" t="s">
        <v>144</v>
      </c>
      <c r="I175" s="52">
        <f>I49</f>
        <v>0.83333333333333337</v>
      </c>
      <c r="J175" s="52">
        <f>J49</f>
        <v>0.16666666666666666</v>
      </c>
      <c r="K175" s="52">
        <f>K49</f>
        <v>0</v>
      </c>
      <c r="L175" s="52">
        <f>L49</f>
        <v>0</v>
      </c>
      <c r="M175" s="122"/>
      <c r="N175" s="122"/>
      <c r="O175" s="61" t="s">
        <v>144</v>
      </c>
      <c r="P175" s="52">
        <f>P49</f>
        <v>0.5</v>
      </c>
      <c r="Q175" s="52">
        <f>Q49</f>
        <v>0.5</v>
      </c>
      <c r="R175" s="52">
        <f>R49</f>
        <v>0</v>
      </c>
      <c r="S175" s="52">
        <f>S49</f>
        <v>0</v>
      </c>
      <c r="T175" s="122"/>
      <c r="U175" s="122"/>
      <c r="V175" s="61" t="s">
        <v>144</v>
      </c>
      <c r="W175" s="52" t="e">
        <f>W49</f>
        <v>#DIV/0!</v>
      </c>
      <c r="X175" s="52" t="e">
        <f>X49</f>
        <v>#DIV/0!</v>
      </c>
      <c r="Y175" s="52" t="e">
        <f>Y49</f>
        <v>#DIV/0!</v>
      </c>
      <c r="Z175" s="52" t="e">
        <f>Z49</f>
        <v>#DIV/0!</v>
      </c>
      <c r="AA175" s="122"/>
      <c r="AB175" s="122"/>
      <c r="AC175" s="122"/>
      <c r="AD175" s="122"/>
      <c r="AE175" s="122"/>
      <c r="AF175" s="122"/>
      <c r="AG175" s="122"/>
      <c r="AH175" s="122"/>
      <c r="AI175" s="122"/>
      <c r="AJ175" s="122"/>
      <c r="AK175" s="122"/>
      <c r="AL175" s="122"/>
      <c r="AM175" s="122"/>
      <c r="AN175" s="122"/>
      <c r="AO175" s="122"/>
      <c r="AP175" s="122"/>
      <c r="AQ175" s="122"/>
      <c r="AR175" s="122"/>
    </row>
    <row r="176" spans="1:44" s="83" customFormat="1" x14ac:dyDescent="0.25">
      <c r="A176" s="61" t="s">
        <v>119</v>
      </c>
      <c r="B176" s="44">
        <f>B54</f>
        <v>0.25</v>
      </c>
      <c r="C176" s="44">
        <f>C54</f>
        <v>0.75</v>
      </c>
      <c r="D176" s="44">
        <f>D54</f>
        <v>0</v>
      </c>
      <c r="E176" s="44">
        <f>E54</f>
        <v>0</v>
      </c>
      <c r="H176" s="61" t="s">
        <v>119</v>
      </c>
      <c r="I176" s="52">
        <f>I54</f>
        <v>0.25</v>
      </c>
      <c r="J176" s="52">
        <f>J54</f>
        <v>0.75</v>
      </c>
      <c r="K176" s="52">
        <f>K54</f>
        <v>0</v>
      </c>
      <c r="L176" s="52">
        <f>L54</f>
        <v>0</v>
      </c>
      <c r="M176" s="122"/>
      <c r="N176" s="122"/>
      <c r="O176" s="61" t="s">
        <v>119</v>
      </c>
      <c r="P176" s="52">
        <f>P54</f>
        <v>0.25</v>
      </c>
      <c r="Q176" s="52">
        <f>Q54</f>
        <v>0.75</v>
      </c>
      <c r="R176" s="52">
        <f>R54</f>
        <v>0</v>
      </c>
      <c r="S176" s="52">
        <f>S54</f>
        <v>0</v>
      </c>
      <c r="T176" s="122"/>
      <c r="U176" s="122"/>
      <c r="V176" s="61" t="s">
        <v>119</v>
      </c>
      <c r="W176" s="52" t="e">
        <f>W54</f>
        <v>#DIV/0!</v>
      </c>
      <c r="X176" s="52" t="e">
        <f>X54</f>
        <v>#DIV/0!</v>
      </c>
      <c r="Y176" s="52" t="e">
        <f>Y54</f>
        <v>#DIV/0!</v>
      </c>
      <c r="Z176" s="52" t="e">
        <f>Z54</f>
        <v>#DIV/0!</v>
      </c>
      <c r="AA176" s="122"/>
      <c r="AB176" s="122"/>
      <c r="AC176" s="122"/>
      <c r="AD176" s="122"/>
      <c r="AE176" s="122"/>
      <c r="AF176" s="122"/>
      <c r="AG176" s="122"/>
      <c r="AH176" s="122"/>
      <c r="AI176" s="122"/>
      <c r="AJ176" s="122"/>
      <c r="AK176" s="122"/>
      <c r="AL176" s="122"/>
      <c r="AM176" s="122"/>
      <c r="AN176" s="122"/>
      <c r="AO176" s="122"/>
      <c r="AP176" s="122"/>
      <c r="AQ176" s="122"/>
      <c r="AR176" s="122"/>
    </row>
    <row r="177" spans="1:44" s="83" customFormat="1" x14ac:dyDescent="0.25">
      <c r="A177" s="61" t="s">
        <v>228</v>
      </c>
      <c r="B177" s="44">
        <f>B58</f>
        <v>0.33333333333333331</v>
      </c>
      <c r="C177" s="44">
        <f>C58</f>
        <v>0.66666666666666663</v>
      </c>
      <c r="D177" s="44">
        <f>D58</f>
        <v>0</v>
      </c>
      <c r="E177" s="44">
        <f>E58</f>
        <v>0</v>
      </c>
      <c r="H177" s="61" t="s">
        <v>228</v>
      </c>
      <c r="I177" s="52">
        <f>I58</f>
        <v>0.33333333333333331</v>
      </c>
      <c r="J177" s="52">
        <f>J58</f>
        <v>0.66666666666666663</v>
      </c>
      <c r="K177" s="52">
        <f>K58</f>
        <v>0</v>
      </c>
      <c r="L177" s="52">
        <f>L58</f>
        <v>0</v>
      </c>
      <c r="M177" s="122"/>
      <c r="N177" s="122"/>
      <c r="O177" s="61" t="s">
        <v>228</v>
      </c>
      <c r="P177" s="52">
        <f>P58</f>
        <v>0.33333333333333331</v>
      </c>
      <c r="Q177" s="52">
        <f>Q58</f>
        <v>0.66666666666666663</v>
      </c>
      <c r="R177" s="52">
        <f>R58</f>
        <v>0</v>
      </c>
      <c r="S177" s="52">
        <f>S58</f>
        <v>0</v>
      </c>
      <c r="T177" s="122"/>
      <c r="U177" s="122"/>
      <c r="V177" s="61" t="s">
        <v>228</v>
      </c>
      <c r="W177" s="52" t="e">
        <f>W58</f>
        <v>#DIV/0!</v>
      </c>
      <c r="X177" s="52" t="e">
        <f>X58</f>
        <v>#DIV/0!</v>
      </c>
      <c r="Y177" s="52" t="e">
        <f>Y58</f>
        <v>#DIV/0!</v>
      </c>
      <c r="Z177" s="52" t="e">
        <f>Z58</f>
        <v>#DIV/0!</v>
      </c>
      <c r="AA177" s="122"/>
      <c r="AB177" s="122"/>
      <c r="AC177" s="122"/>
      <c r="AD177" s="122"/>
      <c r="AE177" s="122"/>
      <c r="AF177" s="122"/>
      <c r="AG177" s="122"/>
      <c r="AH177" s="122"/>
      <c r="AI177" s="122"/>
      <c r="AJ177" s="122"/>
      <c r="AK177" s="122"/>
      <c r="AL177" s="122"/>
      <c r="AM177" s="122"/>
      <c r="AN177" s="122"/>
      <c r="AO177" s="122"/>
      <c r="AP177" s="122"/>
      <c r="AQ177" s="122"/>
      <c r="AR177" s="122"/>
    </row>
    <row r="178" spans="1:44" s="83" customFormat="1" x14ac:dyDescent="0.25">
      <c r="A178" s="61" t="s">
        <v>286</v>
      </c>
      <c r="B178" s="44">
        <f>B63</f>
        <v>0.5</v>
      </c>
      <c r="C178" s="44">
        <f>C63</f>
        <v>0.5</v>
      </c>
      <c r="D178" s="44">
        <f>D63</f>
        <v>0</v>
      </c>
      <c r="E178" s="44">
        <f>E63</f>
        <v>0</v>
      </c>
      <c r="H178" s="61" t="s">
        <v>286</v>
      </c>
      <c r="I178" s="52">
        <f>I63</f>
        <v>0.75</v>
      </c>
      <c r="J178" s="52">
        <f>J63</f>
        <v>0.25</v>
      </c>
      <c r="K178" s="52">
        <f>K63</f>
        <v>0</v>
      </c>
      <c r="L178" s="52">
        <f>L63</f>
        <v>0</v>
      </c>
      <c r="M178" s="122"/>
      <c r="N178" s="122"/>
      <c r="O178" s="61" t="s">
        <v>286</v>
      </c>
      <c r="P178" s="52">
        <f>P63</f>
        <v>0.25</v>
      </c>
      <c r="Q178" s="52">
        <f>Q63</f>
        <v>0.75</v>
      </c>
      <c r="R178" s="52">
        <f>R63</f>
        <v>0</v>
      </c>
      <c r="S178" s="52">
        <f>S63</f>
        <v>0</v>
      </c>
      <c r="T178" s="122"/>
      <c r="U178" s="122"/>
      <c r="V178" s="61" t="s">
        <v>286</v>
      </c>
      <c r="W178" s="52" t="e">
        <f>W63</f>
        <v>#DIV/0!</v>
      </c>
      <c r="X178" s="52" t="e">
        <f>X63</f>
        <v>#DIV/0!</v>
      </c>
      <c r="Y178" s="52" t="e">
        <f>Y63</f>
        <v>#DIV/0!</v>
      </c>
      <c r="Z178" s="52" t="e">
        <f>Z63</f>
        <v>#DIV/0!</v>
      </c>
      <c r="AA178" s="122"/>
      <c r="AB178" s="122"/>
      <c r="AC178" s="122"/>
      <c r="AD178" s="122"/>
      <c r="AE178" s="122"/>
      <c r="AF178" s="122"/>
      <c r="AG178" s="122"/>
      <c r="AH178" s="122"/>
      <c r="AI178" s="122"/>
      <c r="AJ178" s="122"/>
      <c r="AK178" s="122"/>
      <c r="AL178" s="122"/>
      <c r="AM178" s="122"/>
      <c r="AN178" s="122"/>
      <c r="AO178" s="122"/>
      <c r="AP178" s="122"/>
      <c r="AQ178" s="122"/>
      <c r="AR178" s="122"/>
    </row>
    <row r="179" spans="1:44" s="83" customFormat="1" x14ac:dyDescent="0.25">
      <c r="A179" s="61" t="s">
        <v>283</v>
      </c>
      <c r="B179" s="44">
        <f>B69</f>
        <v>0.625</v>
      </c>
      <c r="C179" s="44">
        <f>C69</f>
        <v>0.375</v>
      </c>
      <c r="D179" s="44">
        <f>D69</f>
        <v>0</v>
      </c>
      <c r="E179" s="44">
        <f>E69</f>
        <v>0</v>
      </c>
      <c r="H179" s="61" t="s">
        <v>283</v>
      </c>
      <c r="I179" s="52">
        <f>I69</f>
        <v>0.75</v>
      </c>
      <c r="J179" s="52">
        <f>J69</f>
        <v>0.25</v>
      </c>
      <c r="K179" s="52">
        <f>K69</f>
        <v>0</v>
      </c>
      <c r="L179" s="52">
        <f>L69</f>
        <v>0</v>
      </c>
      <c r="M179" s="122"/>
      <c r="N179" s="122"/>
      <c r="O179" s="61" t="s">
        <v>283</v>
      </c>
      <c r="P179" s="52">
        <f>P69</f>
        <v>0.5</v>
      </c>
      <c r="Q179" s="52">
        <f>Q69</f>
        <v>0.5</v>
      </c>
      <c r="R179" s="52">
        <f>R69</f>
        <v>0</v>
      </c>
      <c r="S179" s="52">
        <f>S69</f>
        <v>0</v>
      </c>
      <c r="T179" s="122"/>
      <c r="U179" s="122"/>
      <c r="V179" s="61" t="s">
        <v>283</v>
      </c>
      <c r="W179" s="52" t="e">
        <f>W69</f>
        <v>#DIV/0!</v>
      </c>
      <c r="X179" s="52" t="e">
        <f>X69</f>
        <v>#DIV/0!</v>
      </c>
      <c r="Y179" s="52" t="e">
        <f>Y69</f>
        <v>#DIV/0!</v>
      </c>
      <c r="Z179" s="52" t="e">
        <f>Z69</f>
        <v>#DIV/0!</v>
      </c>
      <c r="AA179" s="122"/>
      <c r="AB179" s="122"/>
      <c r="AC179" s="122"/>
      <c r="AD179" s="122"/>
      <c r="AE179" s="122"/>
      <c r="AF179" s="122"/>
      <c r="AG179" s="122"/>
      <c r="AH179" s="122"/>
      <c r="AI179" s="122"/>
      <c r="AJ179" s="122"/>
      <c r="AK179" s="122"/>
      <c r="AL179" s="122"/>
      <c r="AM179" s="122"/>
      <c r="AN179" s="122"/>
      <c r="AO179" s="122"/>
      <c r="AP179" s="122"/>
      <c r="AQ179" s="122"/>
      <c r="AR179" s="122"/>
    </row>
    <row r="180" spans="1:44" s="83" customFormat="1" ht="15.75" thickBot="1" x14ac:dyDescent="0.3">
      <c r="A180" s="62" t="s">
        <v>284</v>
      </c>
      <c r="B180" s="63">
        <f>B74</f>
        <v>0.3125</v>
      </c>
      <c r="C180" s="63">
        <f>C74</f>
        <v>0.6875</v>
      </c>
      <c r="D180" s="63">
        <f>D74</f>
        <v>0</v>
      </c>
      <c r="E180" s="63">
        <f>E74</f>
        <v>0</v>
      </c>
      <c r="H180" s="62" t="s">
        <v>284</v>
      </c>
      <c r="I180" s="121">
        <f>I74</f>
        <v>0.25</v>
      </c>
      <c r="J180" s="121">
        <f>J74</f>
        <v>0.75</v>
      </c>
      <c r="K180" s="121">
        <f>K74</f>
        <v>0</v>
      </c>
      <c r="L180" s="121">
        <f>L74</f>
        <v>0</v>
      </c>
      <c r="M180" s="122"/>
      <c r="N180" s="122"/>
      <c r="O180" s="62" t="s">
        <v>284</v>
      </c>
      <c r="P180" s="121">
        <f>P74</f>
        <v>0.375</v>
      </c>
      <c r="Q180" s="121">
        <f>Q74</f>
        <v>0.625</v>
      </c>
      <c r="R180" s="121">
        <f>R74</f>
        <v>0</v>
      </c>
      <c r="S180" s="121">
        <f>S74</f>
        <v>0</v>
      </c>
      <c r="T180" s="122"/>
      <c r="U180" s="122"/>
      <c r="V180" s="62" t="s">
        <v>284</v>
      </c>
      <c r="W180" s="121" t="e">
        <f>W74</f>
        <v>#DIV/0!</v>
      </c>
      <c r="X180" s="121" t="e">
        <f>X74</f>
        <v>#DIV/0!</v>
      </c>
      <c r="Y180" s="121" t="e">
        <f>Y74</f>
        <v>#DIV/0!</v>
      </c>
      <c r="Z180" s="121" t="e">
        <f>Z74</f>
        <v>#DIV/0!</v>
      </c>
      <c r="AA180" s="122"/>
      <c r="AB180" s="122"/>
      <c r="AC180" s="122"/>
      <c r="AD180" s="122"/>
      <c r="AE180" s="122"/>
      <c r="AF180" s="122"/>
      <c r="AG180" s="122"/>
      <c r="AH180" s="122"/>
      <c r="AI180" s="122"/>
      <c r="AJ180" s="122"/>
      <c r="AK180" s="122"/>
      <c r="AL180" s="122"/>
      <c r="AM180" s="122"/>
      <c r="AN180" s="122"/>
      <c r="AO180" s="122"/>
      <c r="AP180" s="122"/>
      <c r="AQ180" s="122"/>
      <c r="AR180" s="122"/>
    </row>
    <row r="181" spans="1:44" s="83" customFormat="1" x14ac:dyDescent="0.25">
      <c r="A181" s="65" t="s">
        <v>149</v>
      </c>
      <c r="B181" s="67">
        <f>SUM(B172:B180)</f>
        <v>4.0625</v>
      </c>
      <c r="C181" s="67">
        <f>SUM(C172:C180)</f>
        <v>4.9375</v>
      </c>
      <c r="D181" s="67">
        <f>SUM(D172:D180)</f>
        <v>0</v>
      </c>
      <c r="E181" s="69">
        <f>SUM(E172:E180)</f>
        <v>0</v>
      </c>
      <c r="H181" s="65" t="s">
        <v>149</v>
      </c>
      <c r="I181" s="67">
        <f>SUM(I172:I180)</f>
        <v>4.5833333333333339</v>
      </c>
      <c r="J181" s="67">
        <f>SUM(J172:J180)</f>
        <v>4.4166666666666661</v>
      </c>
      <c r="K181" s="67">
        <f>SUM(K172:K180)</f>
        <v>0</v>
      </c>
      <c r="L181" s="69">
        <f>SUM(L172:L180)</f>
        <v>0</v>
      </c>
      <c r="M181" s="122"/>
      <c r="N181" s="122"/>
      <c r="O181" s="65" t="s">
        <v>149</v>
      </c>
      <c r="P181" s="67">
        <f>SUM(P172:P180)</f>
        <v>2.7916666666666665</v>
      </c>
      <c r="Q181" s="67">
        <f>SUM(Q172:Q180)</f>
        <v>6.208333333333333</v>
      </c>
      <c r="R181" s="67">
        <f>SUM(R172:R180)</f>
        <v>0</v>
      </c>
      <c r="S181" s="69">
        <f>SUM(S172:S180)</f>
        <v>0</v>
      </c>
      <c r="T181" s="122"/>
      <c r="U181" s="122"/>
      <c r="V181" s="65" t="s">
        <v>149</v>
      </c>
      <c r="W181" s="67" t="e">
        <f>SUM(W172:W180)</f>
        <v>#DIV/0!</v>
      </c>
      <c r="X181" s="67" t="e">
        <f>SUM(X172:X180)</f>
        <v>#DIV/0!</v>
      </c>
      <c r="Y181" s="67" t="e">
        <f>SUM(Y172:Y180)</f>
        <v>#DIV/0!</v>
      </c>
      <c r="Z181" s="69" t="e">
        <f>SUM(Z172:Z180)</f>
        <v>#DIV/0!</v>
      </c>
      <c r="AA181" s="122"/>
      <c r="AB181" s="122"/>
      <c r="AC181" s="122"/>
      <c r="AD181" s="122"/>
      <c r="AE181" s="122"/>
      <c r="AF181" s="122"/>
      <c r="AG181" s="122"/>
      <c r="AH181" s="122"/>
      <c r="AI181" s="122"/>
      <c r="AJ181" s="122"/>
      <c r="AK181" s="122"/>
      <c r="AL181" s="122"/>
      <c r="AM181" s="122"/>
      <c r="AN181" s="122"/>
      <c r="AO181" s="122"/>
      <c r="AP181" s="122"/>
      <c r="AQ181" s="122"/>
      <c r="AR181" s="122"/>
    </row>
    <row r="182" spans="1:44" s="83" customFormat="1" ht="15.75" thickBot="1" x14ac:dyDescent="0.3">
      <c r="A182" s="66" t="s">
        <v>150</v>
      </c>
      <c r="B182" s="68">
        <f>AVERAGE(B172:B180)</f>
        <v>0.4513888888888889</v>
      </c>
      <c r="C182" s="68">
        <f>AVERAGE(C172:C180)</f>
        <v>0.54861111111111116</v>
      </c>
      <c r="D182" s="68">
        <f>AVERAGE(D172:D180)</f>
        <v>0</v>
      </c>
      <c r="E182" s="70">
        <f>AVERAGE(E172:E180)</f>
        <v>0</v>
      </c>
      <c r="H182" s="66" t="s">
        <v>150</v>
      </c>
      <c r="I182" s="68">
        <f>AVERAGE(I172:I180)</f>
        <v>0.5092592592592593</v>
      </c>
      <c r="J182" s="68">
        <f>AVERAGE(J172:J180)</f>
        <v>0.4907407407407407</v>
      </c>
      <c r="K182" s="68">
        <f>AVERAGE(K172:K180)</f>
        <v>0</v>
      </c>
      <c r="L182" s="68">
        <f>AVERAGE(L172:L180)</f>
        <v>0</v>
      </c>
      <c r="M182" s="122"/>
      <c r="N182" s="122"/>
      <c r="O182" s="66" t="s">
        <v>150</v>
      </c>
      <c r="P182" s="68">
        <f>AVERAGE(P172:P180)</f>
        <v>0.31018518518518517</v>
      </c>
      <c r="Q182" s="68">
        <f>AVERAGE(Q172:Q180)</f>
        <v>0.68981481481481477</v>
      </c>
      <c r="R182" s="68">
        <f>AVERAGE(R172:R180)</f>
        <v>0</v>
      </c>
      <c r="S182" s="70">
        <f>AVERAGE(S172:S180)</f>
        <v>0</v>
      </c>
      <c r="T182" s="122"/>
      <c r="U182" s="122"/>
      <c r="V182" s="66" t="s">
        <v>150</v>
      </c>
      <c r="W182" s="68" t="e">
        <f>AVERAGE(W172:W180)</f>
        <v>#DIV/0!</v>
      </c>
      <c r="X182" s="68" t="e">
        <f>AVERAGE(X172:X180)</f>
        <v>#DIV/0!</v>
      </c>
      <c r="Y182" s="68" t="e">
        <f>AVERAGE(Y172:Y180)</f>
        <v>#DIV/0!</v>
      </c>
      <c r="Z182" s="70" t="e">
        <f>AVERAGE(Z172:Z180)</f>
        <v>#DIV/0!</v>
      </c>
      <c r="AA182" s="122"/>
      <c r="AB182" s="122"/>
      <c r="AC182" s="122"/>
      <c r="AD182" s="122"/>
      <c r="AE182" s="122"/>
      <c r="AF182" s="122"/>
      <c r="AG182" s="122"/>
      <c r="AH182" s="122"/>
      <c r="AI182" s="122"/>
      <c r="AJ182" s="122"/>
      <c r="AK182" s="122"/>
      <c r="AL182" s="122"/>
      <c r="AM182" s="122"/>
      <c r="AN182" s="122"/>
      <c r="AO182" s="122"/>
      <c r="AP182" s="122"/>
      <c r="AQ182" s="122"/>
      <c r="AR182" s="122"/>
    </row>
    <row r="183" spans="1:44" s="83" customFormat="1" ht="15.75" thickBot="1" x14ac:dyDescent="0.3">
      <c r="A183" s="84"/>
      <c r="B183" s="84"/>
      <c r="C183" s="122"/>
      <c r="J183" s="122"/>
      <c r="K183" s="122"/>
      <c r="L183" s="122"/>
      <c r="M183" s="122"/>
      <c r="N183" s="122"/>
      <c r="O183" s="122"/>
      <c r="P183" s="122"/>
      <c r="Q183" s="122"/>
      <c r="R183" s="122"/>
      <c r="S183" s="122"/>
      <c r="T183" s="122"/>
      <c r="U183" s="122"/>
      <c r="V183" s="122"/>
      <c r="W183" s="122"/>
      <c r="X183" s="122"/>
      <c r="Y183" s="122"/>
      <c r="Z183" s="122"/>
      <c r="AA183" s="122"/>
      <c r="AB183" s="122"/>
      <c r="AC183" s="122"/>
      <c r="AD183" s="122"/>
      <c r="AE183" s="122"/>
      <c r="AF183" s="122"/>
      <c r="AG183" s="122"/>
      <c r="AH183" s="122"/>
      <c r="AI183" s="122"/>
      <c r="AJ183" s="122"/>
      <c r="AK183" s="122"/>
      <c r="AL183" s="122"/>
      <c r="AM183" s="122"/>
      <c r="AN183" s="122"/>
      <c r="AO183" s="122"/>
      <c r="AP183" s="122"/>
      <c r="AQ183" s="122"/>
      <c r="AR183" s="122"/>
    </row>
    <row r="184" spans="1:44" s="83" customFormat="1" ht="17.25" thickBot="1" x14ac:dyDescent="0.3">
      <c r="A184" s="50" t="s">
        <v>129</v>
      </c>
      <c r="B184" s="51">
        <v>2024</v>
      </c>
      <c r="C184" s="140" t="s">
        <v>191</v>
      </c>
      <c r="D184" s="141"/>
      <c r="E184" s="142"/>
      <c r="H184" s="50" t="s">
        <v>129</v>
      </c>
      <c r="I184" s="51">
        <v>2024</v>
      </c>
      <c r="J184" s="140" t="s">
        <v>297</v>
      </c>
      <c r="K184" s="141"/>
      <c r="L184" s="142"/>
      <c r="M184" s="122"/>
      <c r="N184" s="122"/>
      <c r="O184" s="50" t="s">
        <v>129</v>
      </c>
      <c r="P184" s="51">
        <v>2024</v>
      </c>
      <c r="Q184" s="140" t="s">
        <v>299</v>
      </c>
      <c r="R184" s="141"/>
      <c r="S184" s="142"/>
      <c r="T184" s="122"/>
      <c r="U184" s="122"/>
      <c r="V184" s="50" t="s">
        <v>129</v>
      </c>
      <c r="W184" s="51">
        <v>2024</v>
      </c>
      <c r="X184" s="140" t="s">
        <v>300</v>
      </c>
      <c r="Y184" s="141"/>
      <c r="Z184" s="142"/>
      <c r="AA184" s="122"/>
      <c r="AB184" s="122"/>
      <c r="AC184" s="122"/>
      <c r="AD184" s="122"/>
      <c r="AE184" s="122"/>
      <c r="AF184" s="122"/>
      <c r="AG184" s="122"/>
      <c r="AH184" s="122"/>
      <c r="AI184" s="122"/>
      <c r="AJ184" s="122"/>
      <c r="AK184" s="122"/>
      <c r="AL184" s="122"/>
      <c r="AM184" s="122"/>
      <c r="AN184" s="122"/>
      <c r="AO184" s="122"/>
      <c r="AP184" s="122"/>
      <c r="AQ184" s="122"/>
      <c r="AR184" s="122"/>
    </row>
    <row r="185" spans="1:44" s="83" customFormat="1" ht="17.25" thickBot="1" x14ac:dyDescent="0.3">
      <c r="A185" s="55" t="s">
        <v>128</v>
      </c>
      <c r="B185" s="56">
        <f>B78</f>
        <v>2</v>
      </c>
      <c r="C185" s="143"/>
      <c r="D185" s="144"/>
      <c r="E185" s="145"/>
      <c r="H185" s="55" t="s">
        <v>128</v>
      </c>
      <c r="I185" s="56">
        <f>I78</f>
        <v>2</v>
      </c>
      <c r="J185" s="143"/>
      <c r="K185" s="144"/>
      <c r="L185" s="145"/>
      <c r="M185" s="122"/>
      <c r="N185" s="122"/>
      <c r="O185" s="55" t="s">
        <v>128</v>
      </c>
      <c r="P185" s="56">
        <f>P78</f>
        <v>0</v>
      </c>
      <c r="Q185" s="143"/>
      <c r="R185" s="144"/>
      <c r="S185" s="145"/>
      <c r="T185" s="122"/>
      <c r="U185" s="122"/>
      <c r="V185" s="55" t="s">
        <v>128</v>
      </c>
      <c r="W185" s="56">
        <f>W78</f>
        <v>0</v>
      </c>
      <c r="X185" s="143"/>
      <c r="Y185" s="144"/>
      <c r="Z185" s="145"/>
      <c r="AA185" s="122"/>
      <c r="AB185" s="122"/>
      <c r="AC185" s="122"/>
      <c r="AD185" s="122"/>
      <c r="AE185" s="122"/>
      <c r="AF185" s="122"/>
      <c r="AG185" s="122"/>
      <c r="AH185" s="122"/>
      <c r="AI185" s="122"/>
      <c r="AJ185" s="122"/>
      <c r="AK185" s="122"/>
      <c r="AL185" s="122"/>
      <c r="AM185" s="122"/>
      <c r="AN185" s="122"/>
      <c r="AO185" s="122"/>
      <c r="AP185" s="122"/>
      <c r="AQ185" s="122"/>
      <c r="AR185" s="122"/>
    </row>
    <row r="186" spans="1:44" s="83" customFormat="1" ht="27.75" customHeight="1" thickBot="1" x14ac:dyDescent="0.3">
      <c r="A186" s="126" t="s">
        <v>139</v>
      </c>
      <c r="B186" s="146" t="s">
        <v>145</v>
      </c>
      <c r="C186" s="146"/>
      <c r="D186" s="146"/>
      <c r="E186" s="146"/>
      <c r="H186" s="126" t="s">
        <v>139</v>
      </c>
      <c r="I186" s="146" t="s">
        <v>145</v>
      </c>
      <c r="J186" s="146"/>
      <c r="K186" s="146"/>
      <c r="L186" s="146"/>
      <c r="M186" s="122"/>
      <c r="N186" s="122"/>
      <c r="O186" s="126" t="s">
        <v>139</v>
      </c>
      <c r="P186" s="146" t="s">
        <v>145</v>
      </c>
      <c r="Q186" s="146"/>
      <c r="R186" s="146"/>
      <c r="S186" s="146"/>
      <c r="T186" s="122"/>
      <c r="U186" s="122"/>
      <c r="V186" s="126" t="s">
        <v>139</v>
      </c>
      <c r="W186" s="146" t="s">
        <v>145</v>
      </c>
      <c r="X186" s="146"/>
      <c r="Y186" s="146"/>
      <c r="Z186" s="146"/>
      <c r="AA186" s="122"/>
      <c r="AB186" s="122"/>
      <c r="AC186" s="122"/>
      <c r="AD186" s="122"/>
      <c r="AE186" s="122"/>
      <c r="AF186" s="122"/>
      <c r="AG186" s="122"/>
      <c r="AH186" s="122"/>
      <c r="AI186" s="122"/>
      <c r="AJ186" s="122"/>
      <c r="AK186" s="122"/>
      <c r="AL186" s="122"/>
      <c r="AM186" s="122"/>
      <c r="AN186" s="122"/>
      <c r="AO186" s="122"/>
      <c r="AP186" s="122"/>
      <c r="AQ186" s="122"/>
      <c r="AR186" s="122"/>
    </row>
    <row r="187" spans="1:44" s="83" customFormat="1" ht="15.75" thickBot="1" x14ac:dyDescent="0.3">
      <c r="A187" s="126"/>
      <c r="B187" s="123" t="s">
        <v>127</v>
      </c>
      <c r="C187" s="123" t="s">
        <v>146</v>
      </c>
      <c r="D187" s="123" t="s">
        <v>147</v>
      </c>
      <c r="E187" s="123" t="s">
        <v>148</v>
      </c>
      <c r="H187" s="126"/>
      <c r="I187" s="123" t="s">
        <v>127</v>
      </c>
      <c r="J187" s="123" t="s">
        <v>146</v>
      </c>
      <c r="K187" s="123" t="s">
        <v>147</v>
      </c>
      <c r="L187" s="123" t="s">
        <v>148</v>
      </c>
      <c r="M187" s="122"/>
      <c r="N187" s="122"/>
      <c r="O187" s="126"/>
      <c r="P187" s="123" t="s">
        <v>127</v>
      </c>
      <c r="Q187" s="123" t="s">
        <v>146</v>
      </c>
      <c r="R187" s="123" t="s">
        <v>147</v>
      </c>
      <c r="S187" s="123" t="s">
        <v>148</v>
      </c>
      <c r="T187" s="122"/>
      <c r="U187" s="122"/>
      <c r="V187" s="126"/>
      <c r="W187" s="123" t="s">
        <v>127</v>
      </c>
      <c r="X187" s="123" t="s">
        <v>146</v>
      </c>
      <c r="Y187" s="123" t="s">
        <v>147</v>
      </c>
      <c r="Z187" s="123" t="s">
        <v>148</v>
      </c>
      <c r="AA187" s="122"/>
      <c r="AB187" s="122"/>
      <c r="AC187" s="122"/>
      <c r="AD187" s="122"/>
      <c r="AE187" s="122"/>
      <c r="AF187" s="122"/>
      <c r="AG187" s="122"/>
      <c r="AH187" s="122"/>
      <c r="AI187" s="122"/>
      <c r="AJ187" s="122"/>
      <c r="AK187" s="122"/>
      <c r="AL187" s="122"/>
      <c r="AM187" s="122"/>
      <c r="AN187" s="122"/>
      <c r="AO187" s="122"/>
      <c r="AP187" s="122"/>
      <c r="AQ187" s="122"/>
      <c r="AR187" s="122"/>
    </row>
    <row r="188" spans="1:44" s="83" customFormat="1" x14ac:dyDescent="0.25">
      <c r="A188" s="59">
        <v>2</v>
      </c>
      <c r="B188" s="57">
        <v>3</v>
      </c>
      <c r="C188" s="57">
        <v>4</v>
      </c>
      <c r="D188" s="57">
        <v>5</v>
      </c>
      <c r="E188" s="60">
        <v>6</v>
      </c>
      <c r="H188" s="59">
        <v>2</v>
      </c>
      <c r="I188" s="57">
        <v>3</v>
      </c>
      <c r="J188" s="57">
        <v>4</v>
      </c>
      <c r="K188" s="57">
        <v>5</v>
      </c>
      <c r="L188" s="60">
        <v>6</v>
      </c>
      <c r="M188" s="122"/>
      <c r="N188" s="122"/>
      <c r="O188" s="59">
        <v>2</v>
      </c>
      <c r="P188" s="57">
        <v>3</v>
      </c>
      <c r="Q188" s="57">
        <v>4</v>
      </c>
      <c r="R188" s="57">
        <v>5</v>
      </c>
      <c r="S188" s="60">
        <v>6</v>
      </c>
      <c r="T188" s="122"/>
      <c r="U188" s="122"/>
      <c r="V188" s="59">
        <v>2</v>
      </c>
      <c r="W188" s="57">
        <v>3</v>
      </c>
      <c r="X188" s="57">
        <v>4</v>
      </c>
      <c r="Y188" s="57">
        <v>5</v>
      </c>
      <c r="Z188" s="60">
        <v>6</v>
      </c>
      <c r="AA188" s="122"/>
      <c r="AB188" s="122"/>
      <c r="AC188" s="122"/>
      <c r="AD188" s="122"/>
      <c r="AE188" s="122"/>
      <c r="AF188" s="122"/>
      <c r="AG188" s="122"/>
      <c r="AH188" s="122"/>
      <c r="AI188" s="122"/>
      <c r="AJ188" s="122"/>
      <c r="AK188" s="122"/>
      <c r="AL188" s="122"/>
      <c r="AM188" s="122"/>
      <c r="AN188" s="122"/>
      <c r="AO188" s="122"/>
      <c r="AP188" s="122"/>
      <c r="AQ188" s="122"/>
      <c r="AR188" s="122"/>
    </row>
    <row r="189" spans="1:44" s="83" customFormat="1" x14ac:dyDescent="0.25">
      <c r="A189" s="61" t="s">
        <v>288</v>
      </c>
      <c r="B189" s="44">
        <f>B85</f>
        <v>0.8</v>
      </c>
      <c r="C189" s="44">
        <f>C85</f>
        <v>0.2</v>
      </c>
      <c r="D189" s="44">
        <f>D85</f>
        <v>0</v>
      </c>
      <c r="E189" s="44">
        <f>E85</f>
        <v>0</v>
      </c>
      <c r="H189" s="61" t="s">
        <v>288</v>
      </c>
      <c r="I189" s="52">
        <f>I85</f>
        <v>0.8</v>
      </c>
      <c r="J189" s="52">
        <f>J85</f>
        <v>0.2</v>
      </c>
      <c r="K189" s="52">
        <f>K85</f>
        <v>0</v>
      </c>
      <c r="L189" s="52">
        <f>L85</f>
        <v>0</v>
      </c>
      <c r="M189" s="122"/>
      <c r="N189" s="122"/>
      <c r="O189" s="61" t="s">
        <v>288</v>
      </c>
      <c r="P189" s="52" t="e">
        <f>P85</f>
        <v>#DIV/0!</v>
      </c>
      <c r="Q189" s="52" t="e">
        <f>Q85</f>
        <v>#DIV/0!</v>
      </c>
      <c r="R189" s="52" t="e">
        <f>R85</f>
        <v>#DIV/0!</v>
      </c>
      <c r="S189" s="52" t="e">
        <f>S85</f>
        <v>#DIV/0!</v>
      </c>
      <c r="T189" s="122"/>
      <c r="U189" s="122"/>
      <c r="V189" s="61" t="s">
        <v>288</v>
      </c>
      <c r="W189" s="52" t="e">
        <f>W85</f>
        <v>#DIV/0!</v>
      </c>
      <c r="X189" s="52" t="e">
        <f>X85</f>
        <v>#DIV/0!</v>
      </c>
      <c r="Y189" s="52" t="e">
        <f>Y85</f>
        <v>#DIV/0!</v>
      </c>
      <c r="Z189" s="52" t="e">
        <f>Z85</f>
        <v>#DIV/0!</v>
      </c>
      <c r="AA189" s="122"/>
      <c r="AB189" s="122"/>
      <c r="AC189" s="122"/>
      <c r="AD189" s="122"/>
      <c r="AE189" s="122"/>
      <c r="AF189" s="122"/>
      <c r="AG189" s="122"/>
      <c r="AH189" s="122"/>
      <c r="AI189" s="122"/>
      <c r="AJ189" s="122"/>
      <c r="AK189" s="122"/>
      <c r="AL189" s="122"/>
      <c r="AM189" s="122"/>
      <c r="AN189" s="122"/>
      <c r="AO189" s="122"/>
      <c r="AP189" s="122"/>
      <c r="AQ189" s="122"/>
      <c r="AR189" s="122"/>
    </row>
    <row r="190" spans="1:44" s="83" customFormat="1" x14ac:dyDescent="0.25">
      <c r="A190" s="61" t="s">
        <v>289</v>
      </c>
      <c r="B190" s="44">
        <f>B88</f>
        <v>0.25</v>
      </c>
      <c r="C190" s="44">
        <f>C88</f>
        <v>0.75</v>
      </c>
      <c r="D190" s="44">
        <f>D88</f>
        <v>0</v>
      </c>
      <c r="E190" s="44">
        <f>E88</f>
        <v>0</v>
      </c>
      <c r="H190" s="61" t="s">
        <v>289</v>
      </c>
      <c r="I190" s="52">
        <f>I88</f>
        <v>0.25</v>
      </c>
      <c r="J190" s="52">
        <f>J88</f>
        <v>0.75</v>
      </c>
      <c r="K190" s="52">
        <f>K88</f>
        <v>0</v>
      </c>
      <c r="L190" s="52">
        <f>L88</f>
        <v>0</v>
      </c>
      <c r="M190" s="122"/>
      <c r="N190" s="122"/>
      <c r="O190" s="61" t="s">
        <v>289</v>
      </c>
      <c r="P190" s="52" t="e">
        <f>P88</f>
        <v>#DIV/0!</v>
      </c>
      <c r="Q190" s="52" t="e">
        <f>Q88</f>
        <v>#DIV/0!</v>
      </c>
      <c r="R190" s="52" t="e">
        <f>R88</f>
        <v>#DIV/0!</v>
      </c>
      <c r="S190" s="52" t="e">
        <f>S88</f>
        <v>#DIV/0!</v>
      </c>
      <c r="T190" s="122"/>
      <c r="U190" s="122"/>
      <c r="V190" s="61" t="s">
        <v>289</v>
      </c>
      <c r="W190" s="52" t="e">
        <f>W88</f>
        <v>#DIV/0!</v>
      </c>
      <c r="X190" s="52" t="e">
        <f>X88</f>
        <v>#DIV/0!</v>
      </c>
      <c r="Y190" s="52" t="e">
        <f>Y88</f>
        <v>#DIV/0!</v>
      </c>
      <c r="Z190" s="52" t="e">
        <f>Z88</f>
        <v>#DIV/0!</v>
      </c>
      <c r="AA190" s="122"/>
      <c r="AB190" s="122"/>
      <c r="AC190" s="122"/>
      <c r="AD190" s="122"/>
      <c r="AE190" s="122"/>
      <c r="AF190" s="122"/>
      <c r="AG190" s="122"/>
      <c r="AH190" s="122"/>
      <c r="AI190" s="122"/>
      <c r="AJ190" s="122"/>
      <c r="AK190" s="122"/>
      <c r="AL190" s="122"/>
      <c r="AM190" s="122"/>
      <c r="AN190" s="122"/>
      <c r="AO190" s="122"/>
      <c r="AP190" s="122"/>
      <c r="AQ190" s="122"/>
      <c r="AR190" s="122"/>
    </row>
    <row r="191" spans="1:44" s="83" customFormat="1" x14ac:dyDescent="0.25">
      <c r="A191" s="61" t="s">
        <v>142</v>
      </c>
      <c r="B191" s="44">
        <f>B91</f>
        <v>0</v>
      </c>
      <c r="C191" s="44">
        <f>C91</f>
        <v>1</v>
      </c>
      <c r="D191" s="44">
        <f>D91</f>
        <v>0</v>
      </c>
      <c r="E191" s="44">
        <f>E91</f>
        <v>0</v>
      </c>
      <c r="H191" s="61" t="s">
        <v>142</v>
      </c>
      <c r="I191" s="52">
        <f>I91</f>
        <v>0</v>
      </c>
      <c r="J191" s="52">
        <f>J91</f>
        <v>1</v>
      </c>
      <c r="K191" s="52">
        <f>K91</f>
        <v>0</v>
      </c>
      <c r="L191" s="52">
        <f>L91</f>
        <v>0</v>
      </c>
      <c r="M191" s="122"/>
      <c r="N191" s="122"/>
      <c r="O191" s="61" t="s">
        <v>142</v>
      </c>
      <c r="P191" s="52" t="e">
        <f>P91</f>
        <v>#DIV/0!</v>
      </c>
      <c r="Q191" s="52" t="e">
        <f>Q91</f>
        <v>#DIV/0!</v>
      </c>
      <c r="R191" s="52" t="e">
        <f>R91</f>
        <v>#DIV/0!</v>
      </c>
      <c r="S191" s="52" t="e">
        <f>S91</f>
        <v>#DIV/0!</v>
      </c>
      <c r="T191" s="122"/>
      <c r="U191" s="122"/>
      <c r="V191" s="61" t="s">
        <v>142</v>
      </c>
      <c r="W191" s="52" t="e">
        <f>W91</f>
        <v>#DIV/0!</v>
      </c>
      <c r="X191" s="52" t="e">
        <f>X91</f>
        <v>#DIV/0!</v>
      </c>
      <c r="Y191" s="52" t="e">
        <f>Y91</f>
        <v>#DIV/0!</v>
      </c>
      <c r="Z191" s="52" t="e">
        <f>Z91</f>
        <v>#DIV/0!</v>
      </c>
      <c r="AA191" s="122"/>
      <c r="AB191" s="122"/>
      <c r="AC191" s="122"/>
      <c r="AD191" s="122"/>
      <c r="AE191" s="122"/>
      <c r="AF191" s="122"/>
      <c r="AG191" s="122"/>
      <c r="AH191" s="122"/>
      <c r="AI191" s="122"/>
      <c r="AJ191" s="122"/>
      <c r="AK191" s="122"/>
      <c r="AL191" s="122"/>
      <c r="AM191" s="122"/>
      <c r="AN191" s="122"/>
      <c r="AO191" s="122"/>
      <c r="AP191" s="122"/>
      <c r="AQ191" s="122"/>
      <c r="AR191" s="122"/>
    </row>
    <row r="192" spans="1:44" s="83" customFormat="1" x14ac:dyDescent="0.25">
      <c r="A192" s="61" t="s">
        <v>290</v>
      </c>
      <c r="B192" s="44">
        <f>B95</f>
        <v>0.5</v>
      </c>
      <c r="C192" s="44">
        <f>C95</f>
        <v>0.5</v>
      </c>
      <c r="D192" s="44">
        <f>D95</f>
        <v>0</v>
      </c>
      <c r="E192" s="44">
        <f>E95</f>
        <v>0</v>
      </c>
      <c r="H192" s="61" t="s">
        <v>290</v>
      </c>
      <c r="I192" s="52">
        <f>I95</f>
        <v>0.5</v>
      </c>
      <c r="J192" s="52">
        <f>J95</f>
        <v>0.5</v>
      </c>
      <c r="K192" s="52">
        <f>K95</f>
        <v>0</v>
      </c>
      <c r="L192" s="52">
        <f>L95</f>
        <v>0</v>
      </c>
      <c r="M192" s="122"/>
      <c r="N192" s="122"/>
      <c r="O192" s="61" t="s">
        <v>290</v>
      </c>
      <c r="P192" s="52" t="e">
        <f>P95</f>
        <v>#DIV/0!</v>
      </c>
      <c r="Q192" s="52" t="e">
        <f>Q95</f>
        <v>#DIV/0!</v>
      </c>
      <c r="R192" s="52" t="e">
        <f>R95</f>
        <v>#DIV/0!</v>
      </c>
      <c r="S192" s="52" t="e">
        <f>S95</f>
        <v>#DIV/0!</v>
      </c>
      <c r="T192" s="122"/>
      <c r="U192" s="122"/>
      <c r="V192" s="61" t="s">
        <v>290</v>
      </c>
      <c r="W192" s="52" t="e">
        <f>W95</f>
        <v>#DIV/0!</v>
      </c>
      <c r="X192" s="52" t="e">
        <f>X95</f>
        <v>#DIV/0!</v>
      </c>
      <c r="Y192" s="52" t="e">
        <f>Y95</f>
        <v>#DIV/0!</v>
      </c>
      <c r="Z192" s="52" t="e">
        <f>Z95</f>
        <v>#DIV/0!</v>
      </c>
      <c r="AA192" s="122"/>
      <c r="AB192" s="122"/>
      <c r="AC192" s="122"/>
      <c r="AD192" s="122"/>
      <c r="AE192" s="122"/>
      <c r="AF192" s="122"/>
      <c r="AG192" s="122"/>
      <c r="AH192" s="122"/>
      <c r="AI192" s="122"/>
      <c r="AJ192" s="122"/>
      <c r="AK192" s="122"/>
      <c r="AL192" s="122"/>
      <c r="AM192" s="122"/>
      <c r="AN192" s="122"/>
      <c r="AO192" s="122"/>
      <c r="AP192" s="122"/>
      <c r="AQ192" s="122"/>
      <c r="AR192" s="122"/>
    </row>
    <row r="193" spans="1:44" s="83" customFormat="1" x14ac:dyDescent="0.25">
      <c r="A193" s="61" t="s">
        <v>144</v>
      </c>
      <c r="B193" s="44">
        <f>B99</f>
        <v>0.33333333333333331</v>
      </c>
      <c r="C193" s="44">
        <f>C99</f>
        <v>0.66666666666666663</v>
      </c>
      <c r="D193" s="44">
        <f>D99</f>
        <v>0</v>
      </c>
      <c r="E193" s="44">
        <f>E99</f>
        <v>0</v>
      </c>
      <c r="H193" s="61" t="s">
        <v>144</v>
      </c>
      <c r="I193" s="52">
        <f>I99</f>
        <v>0.33333333333333331</v>
      </c>
      <c r="J193" s="52">
        <f>J99</f>
        <v>0.66666666666666663</v>
      </c>
      <c r="K193" s="52">
        <f>K99</f>
        <v>0</v>
      </c>
      <c r="L193" s="52">
        <f>L99</f>
        <v>0</v>
      </c>
      <c r="M193" s="122"/>
      <c r="N193" s="122"/>
      <c r="O193" s="61" t="s">
        <v>144</v>
      </c>
      <c r="P193" s="52" t="e">
        <f>P99</f>
        <v>#DIV/0!</v>
      </c>
      <c r="Q193" s="52" t="e">
        <f>Q99</f>
        <v>#DIV/0!</v>
      </c>
      <c r="R193" s="52" t="e">
        <f>R99</f>
        <v>#DIV/0!</v>
      </c>
      <c r="S193" s="52" t="e">
        <f>S99</f>
        <v>#DIV/0!</v>
      </c>
      <c r="T193" s="122"/>
      <c r="U193" s="122"/>
      <c r="V193" s="61" t="s">
        <v>144</v>
      </c>
      <c r="W193" s="52" t="e">
        <f>W99</f>
        <v>#DIV/0!</v>
      </c>
      <c r="X193" s="52" t="e">
        <f>X99</f>
        <v>#DIV/0!</v>
      </c>
      <c r="Y193" s="52" t="e">
        <f>Y99</f>
        <v>#DIV/0!</v>
      </c>
      <c r="Z193" s="52" t="e">
        <f>Z99</f>
        <v>#DIV/0!</v>
      </c>
      <c r="AA193" s="122"/>
      <c r="AB193" s="122"/>
      <c r="AC193" s="122"/>
      <c r="AD193" s="122"/>
      <c r="AE193" s="122"/>
      <c r="AF193" s="122"/>
      <c r="AG193" s="122"/>
      <c r="AH193" s="122"/>
      <c r="AI193" s="122"/>
      <c r="AJ193" s="122"/>
      <c r="AK193" s="122"/>
      <c r="AL193" s="122"/>
      <c r="AM193" s="122"/>
      <c r="AN193" s="122"/>
      <c r="AO193" s="122"/>
      <c r="AP193" s="122"/>
      <c r="AQ193" s="122"/>
      <c r="AR193" s="122"/>
    </row>
    <row r="194" spans="1:44" s="83" customFormat="1" x14ac:dyDescent="0.25">
      <c r="A194" s="61" t="s">
        <v>287</v>
      </c>
      <c r="B194" s="44">
        <f>B103</f>
        <v>0.66666666666666663</v>
      </c>
      <c r="C194" s="44">
        <f>C103</f>
        <v>0.33333333333333331</v>
      </c>
      <c r="D194" s="44">
        <f>D103</f>
        <v>0</v>
      </c>
      <c r="E194" s="44">
        <f>E103</f>
        <v>0</v>
      </c>
      <c r="H194" s="61" t="s">
        <v>287</v>
      </c>
      <c r="I194" s="52">
        <f>I103</f>
        <v>0.66666666666666663</v>
      </c>
      <c r="J194" s="52">
        <f>J103</f>
        <v>0.33333333333333331</v>
      </c>
      <c r="K194" s="52">
        <f>K103</f>
        <v>0</v>
      </c>
      <c r="L194" s="52">
        <f>L103</f>
        <v>0</v>
      </c>
      <c r="M194" s="122"/>
      <c r="N194" s="122"/>
      <c r="O194" s="61" t="s">
        <v>287</v>
      </c>
      <c r="P194" s="52" t="e">
        <f>P103</f>
        <v>#DIV/0!</v>
      </c>
      <c r="Q194" s="52" t="e">
        <f>Q103</f>
        <v>#DIV/0!</v>
      </c>
      <c r="R194" s="52" t="e">
        <f>R103</f>
        <v>#DIV/0!</v>
      </c>
      <c r="S194" s="52" t="e">
        <f>S103</f>
        <v>#DIV/0!</v>
      </c>
      <c r="T194" s="122"/>
      <c r="U194" s="122"/>
      <c r="V194" s="61" t="s">
        <v>287</v>
      </c>
      <c r="W194" s="52" t="e">
        <f>W103</f>
        <v>#DIV/0!</v>
      </c>
      <c r="X194" s="52" t="e">
        <f>X103</f>
        <v>#DIV/0!</v>
      </c>
      <c r="Y194" s="52" t="e">
        <f>Y103</f>
        <v>#DIV/0!</v>
      </c>
      <c r="Z194" s="52" t="e">
        <f>Z103</f>
        <v>#DIV/0!</v>
      </c>
      <c r="AA194" s="122"/>
      <c r="AB194" s="122"/>
      <c r="AC194" s="122"/>
      <c r="AD194" s="122"/>
      <c r="AE194" s="122"/>
      <c r="AF194" s="122"/>
      <c r="AG194" s="122"/>
      <c r="AH194" s="122"/>
      <c r="AI194" s="122"/>
      <c r="AJ194" s="122"/>
      <c r="AK194" s="122"/>
      <c r="AL194" s="122"/>
      <c r="AM194" s="122"/>
      <c r="AN194" s="122"/>
      <c r="AO194" s="122"/>
      <c r="AP194" s="122"/>
      <c r="AQ194" s="122"/>
      <c r="AR194" s="122"/>
    </row>
    <row r="195" spans="1:44" s="83" customFormat="1" x14ac:dyDescent="0.25">
      <c r="A195" s="61" t="s">
        <v>79</v>
      </c>
      <c r="B195" s="44">
        <f>B108</f>
        <v>0.5</v>
      </c>
      <c r="C195" s="44">
        <f>C108</f>
        <v>0.5</v>
      </c>
      <c r="D195" s="44">
        <f>D108</f>
        <v>0</v>
      </c>
      <c r="E195" s="44">
        <f>E108</f>
        <v>0</v>
      </c>
      <c r="H195" s="61" t="s">
        <v>79</v>
      </c>
      <c r="I195" s="52">
        <f>I108</f>
        <v>0.5</v>
      </c>
      <c r="J195" s="52">
        <f>J108</f>
        <v>0.5</v>
      </c>
      <c r="K195" s="52">
        <f>K108</f>
        <v>0</v>
      </c>
      <c r="L195" s="52">
        <f>L108</f>
        <v>0</v>
      </c>
      <c r="M195" s="122"/>
      <c r="N195" s="122"/>
      <c r="O195" s="61" t="s">
        <v>79</v>
      </c>
      <c r="P195" s="52" t="e">
        <f>P108</f>
        <v>#DIV/0!</v>
      </c>
      <c r="Q195" s="52" t="e">
        <f>Q108</f>
        <v>#DIV/0!</v>
      </c>
      <c r="R195" s="52" t="e">
        <f>R108</f>
        <v>#DIV/0!</v>
      </c>
      <c r="S195" s="52" t="e">
        <f>S108</f>
        <v>#DIV/0!</v>
      </c>
      <c r="T195" s="122"/>
      <c r="U195" s="122"/>
      <c r="V195" s="61" t="s">
        <v>79</v>
      </c>
      <c r="W195" s="52" t="e">
        <f>W108</f>
        <v>#DIV/0!</v>
      </c>
      <c r="X195" s="52" t="e">
        <f>X108</f>
        <v>#DIV/0!</v>
      </c>
      <c r="Y195" s="52" t="e">
        <f>Y108</f>
        <v>#DIV/0!</v>
      </c>
      <c r="Z195" s="52" t="e">
        <f>Z108</f>
        <v>#DIV/0!</v>
      </c>
      <c r="AA195" s="122"/>
      <c r="AB195" s="122"/>
      <c r="AC195" s="122"/>
      <c r="AD195" s="122"/>
      <c r="AE195" s="122"/>
      <c r="AF195" s="122"/>
      <c r="AG195" s="122"/>
      <c r="AH195" s="122"/>
      <c r="AI195" s="122"/>
      <c r="AJ195" s="122"/>
      <c r="AK195" s="122"/>
      <c r="AL195" s="122"/>
      <c r="AM195" s="122"/>
      <c r="AN195" s="122"/>
      <c r="AO195" s="122"/>
      <c r="AP195" s="122"/>
      <c r="AQ195" s="122"/>
      <c r="AR195" s="122"/>
    </row>
    <row r="196" spans="1:44" s="83" customFormat="1" x14ac:dyDescent="0.25">
      <c r="A196" s="61" t="s">
        <v>283</v>
      </c>
      <c r="B196" s="44">
        <f>B114</f>
        <v>0</v>
      </c>
      <c r="C196" s="44">
        <f>C114</f>
        <v>0.5</v>
      </c>
      <c r="D196" s="44">
        <f>D114</f>
        <v>0.1</v>
      </c>
      <c r="E196" s="44">
        <f>E114</f>
        <v>0.4</v>
      </c>
      <c r="H196" s="61" t="s">
        <v>283</v>
      </c>
      <c r="I196" s="52">
        <f>I114</f>
        <v>0</v>
      </c>
      <c r="J196" s="52">
        <f>J114</f>
        <v>0.5</v>
      </c>
      <c r="K196" s="52">
        <f>K114</f>
        <v>0.1</v>
      </c>
      <c r="L196" s="52">
        <f>L114</f>
        <v>0.4</v>
      </c>
      <c r="M196" s="122"/>
      <c r="N196" s="122"/>
      <c r="O196" s="61" t="s">
        <v>283</v>
      </c>
      <c r="P196" s="52" t="e">
        <f>P114</f>
        <v>#DIV/0!</v>
      </c>
      <c r="Q196" s="52" t="e">
        <f>Q114</f>
        <v>#DIV/0!</v>
      </c>
      <c r="R196" s="52" t="e">
        <f>R114</f>
        <v>#DIV/0!</v>
      </c>
      <c r="S196" s="52" t="e">
        <f>S114</f>
        <v>#DIV/0!</v>
      </c>
      <c r="T196" s="122"/>
      <c r="U196" s="122"/>
      <c r="V196" s="61" t="s">
        <v>283</v>
      </c>
      <c r="W196" s="52" t="e">
        <f>W114</f>
        <v>#DIV/0!</v>
      </c>
      <c r="X196" s="52" t="e">
        <f>X114</f>
        <v>#DIV/0!</v>
      </c>
      <c r="Y196" s="52" t="e">
        <f>Y114</f>
        <v>#DIV/0!</v>
      </c>
      <c r="Z196" s="52" t="e">
        <f>Z114</f>
        <v>#DIV/0!</v>
      </c>
      <c r="AA196" s="122"/>
      <c r="AB196" s="122"/>
      <c r="AC196" s="122"/>
      <c r="AD196" s="122"/>
      <c r="AE196" s="122"/>
      <c r="AF196" s="122"/>
      <c r="AG196" s="122"/>
      <c r="AH196" s="122"/>
      <c r="AI196" s="122"/>
      <c r="AJ196" s="122"/>
      <c r="AK196" s="122"/>
      <c r="AL196" s="122"/>
      <c r="AM196" s="122"/>
      <c r="AN196" s="122"/>
      <c r="AO196" s="122"/>
      <c r="AP196" s="122"/>
      <c r="AQ196" s="122"/>
      <c r="AR196" s="122"/>
    </row>
    <row r="197" spans="1:44" s="83" customFormat="1" ht="15.75" thickBot="1" x14ac:dyDescent="0.3">
      <c r="A197" s="62" t="s">
        <v>284</v>
      </c>
      <c r="B197" s="63">
        <f>B119</f>
        <v>0</v>
      </c>
      <c r="C197" s="63">
        <f>C119</f>
        <v>0.5</v>
      </c>
      <c r="D197" s="63">
        <f>D119</f>
        <v>0</v>
      </c>
      <c r="E197" s="63">
        <f>E119</f>
        <v>0.5</v>
      </c>
      <c r="H197" s="62" t="s">
        <v>284</v>
      </c>
      <c r="I197" s="121">
        <f>I119</f>
        <v>0</v>
      </c>
      <c r="J197" s="121">
        <f>J119</f>
        <v>0.5</v>
      </c>
      <c r="K197" s="121">
        <f>K119</f>
        <v>0</v>
      </c>
      <c r="L197" s="121">
        <f>L119</f>
        <v>0.5</v>
      </c>
      <c r="M197" s="122"/>
      <c r="N197" s="122"/>
      <c r="O197" s="62" t="s">
        <v>284</v>
      </c>
      <c r="P197" s="121" t="e">
        <f>P119</f>
        <v>#DIV/0!</v>
      </c>
      <c r="Q197" s="121" t="e">
        <f>Q119</f>
        <v>#DIV/0!</v>
      </c>
      <c r="R197" s="121" t="e">
        <f>R119</f>
        <v>#DIV/0!</v>
      </c>
      <c r="S197" s="121" t="e">
        <f>S119</f>
        <v>#DIV/0!</v>
      </c>
      <c r="T197" s="122"/>
      <c r="U197" s="122"/>
      <c r="V197" s="62" t="s">
        <v>284</v>
      </c>
      <c r="W197" s="121" t="e">
        <f>W119</f>
        <v>#DIV/0!</v>
      </c>
      <c r="X197" s="121" t="e">
        <f>X119</f>
        <v>#DIV/0!</v>
      </c>
      <c r="Y197" s="121" t="e">
        <f>Y119</f>
        <v>#DIV/0!</v>
      </c>
      <c r="Z197" s="121" t="e">
        <f>Z119</f>
        <v>#DIV/0!</v>
      </c>
      <c r="AA197" s="122"/>
      <c r="AB197" s="122"/>
      <c r="AC197" s="122"/>
      <c r="AD197" s="122"/>
      <c r="AE197" s="122"/>
      <c r="AF197" s="122"/>
      <c r="AG197" s="122"/>
      <c r="AH197" s="122"/>
      <c r="AI197" s="122"/>
      <c r="AJ197" s="122"/>
      <c r="AK197" s="122"/>
      <c r="AL197" s="122"/>
      <c r="AM197" s="122"/>
      <c r="AN197" s="122"/>
      <c r="AO197" s="122"/>
      <c r="AP197" s="122"/>
      <c r="AQ197" s="122"/>
      <c r="AR197" s="122"/>
    </row>
    <row r="198" spans="1:44" s="83" customFormat="1" x14ac:dyDescent="0.25">
      <c r="A198" s="65" t="s">
        <v>149</v>
      </c>
      <c r="B198" s="67">
        <f>SUM(B189:B197)</f>
        <v>3.05</v>
      </c>
      <c r="C198" s="67">
        <f>SUM(C189:C197)</f>
        <v>4.95</v>
      </c>
      <c r="D198" s="67">
        <f>SUM(D189:D197)</f>
        <v>0.1</v>
      </c>
      <c r="E198" s="69">
        <f>SUM(E189:E197)</f>
        <v>0.9</v>
      </c>
      <c r="H198" s="65" t="s">
        <v>149</v>
      </c>
      <c r="I198" s="67">
        <f>SUM(I189:I197)</f>
        <v>3.05</v>
      </c>
      <c r="J198" s="67">
        <f>SUM(J189:J197)</f>
        <v>4.95</v>
      </c>
      <c r="K198" s="67">
        <f>SUM(K189:K197)</f>
        <v>0.1</v>
      </c>
      <c r="L198" s="69">
        <f>SUM(L189:L197)</f>
        <v>0.9</v>
      </c>
      <c r="M198" s="122"/>
      <c r="N198" s="122"/>
      <c r="O198" s="65" t="s">
        <v>149</v>
      </c>
      <c r="P198" s="67" t="e">
        <f>SUM(P189:P197)</f>
        <v>#DIV/0!</v>
      </c>
      <c r="Q198" s="67" t="e">
        <f>SUM(Q189:Q197)</f>
        <v>#DIV/0!</v>
      </c>
      <c r="R198" s="67" t="e">
        <f>SUM(R189:R197)</f>
        <v>#DIV/0!</v>
      </c>
      <c r="S198" s="69" t="e">
        <f>SUM(S189:S197)</f>
        <v>#DIV/0!</v>
      </c>
      <c r="T198" s="122"/>
      <c r="U198" s="122"/>
      <c r="V198" s="65" t="s">
        <v>149</v>
      </c>
      <c r="W198" s="67" t="e">
        <f>SUM(W189:W197)</f>
        <v>#DIV/0!</v>
      </c>
      <c r="X198" s="67" t="e">
        <f>SUM(X189:X197)</f>
        <v>#DIV/0!</v>
      </c>
      <c r="Y198" s="67" t="e">
        <f>SUM(Y189:Y197)</f>
        <v>#DIV/0!</v>
      </c>
      <c r="Z198" s="69" t="e">
        <f>SUM(Z189:Z197)</f>
        <v>#DIV/0!</v>
      </c>
      <c r="AA198" s="122"/>
      <c r="AB198" s="122"/>
      <c r="AC198" s="122"/>
      <c r="AD198" s="122"/>
      <c r="AE198" s="122"/>
      <c r="AF198" s="122"/>
      <c r="AG198" s="122"/>
      <c r="AH198" s="122"/>
      <c r="AI198" s="122"/>
      <c r="AJ198" s="122"/>
      <c r="AK198" s="122"/>
      <c r="AL198" s="122"/>
      <c r="AM198" s="122"/>
      <c r="AN198" s="122"/>
      <c r="AO198" s="122"/>
      <c r="AP198" s="122"/>
      <c r="AQ198" s="122"/>
      <c r="AR198" s="122"/>
    </row>
    <row r="199" spans="1:44" s="83" customFormat="1" ht="15.75" thickBot="1" x14ac:dyDescent="0.3">
      <c r="A199" s="66" t="s">
        <v>150</v>
      </c>
      <c r="B199" s="68">
        <f>AVERAGE(B189:B197)</f>
        <v>0.33888888888888885</v>
      </c>
      <c r="C199" s="68">
        <f>AVERAGE(C189:C197)</f>
        <v>0.55000000000000004</v>
      </c>
      <c r="D199" s="68">
        <f>AVERAGE(D189:D197)</f>
        <v>1.1111111111111112E-2</v>
      </c>
      <c r="E199" s="70">
        <f>AVERAGE(E189:E197)</f>
        <v>0.1</v>
      </c>
      <c r="H199" s="66" t="s">
        <v>150</v>
      </c>
      <c r="I199" s="68">
        <f>AVERAGE(I189:I197)</f>
        <v>0.33888888888888885</v>
      </c>
      <c r="J199" s="68">
        <f>AVERAGE(J189:J197)</f>
        <v>0.55000000000000004</v>
      </c>
      <c r="K199" s="68">
        <f>AVERAGE(K189:K197)</f>
        <v>1.1111111111111112E-2</v>
      </c>
      <c r="L199" s="68">
        <f>AVERAGE(L189:L197)</f>
        <v>0.1</v>
      </c>
      <c r="M199" s="122"/>
      <c r="N199" s="122"/>
      <c r="O199" s="66" t="s">
        <v>150</v>
      </c>
      <c r="P199" s="68" t="e">
        <f>AVERAGE(P189:P197)</f>
        <v>#DIV/0!</v>
      </c>
      <c r="Q199" s="68" t="e">
        <f>AVERAGE(Q189:Q197)</f>
        <v>#DIV/0!</v>
      </c>
      <c r="R199" s="68" t="e">
        <f>AVERAGE(R189:R197)</f>
        <v>#DIV/0!</v>
      </c>
      <c r="S199" s="70" t="e">
        <f>AVERAGE(S189:S197)</f>
        <v>#DIV/0!</v>
      </c>
      <c r="T199" s="122"/>
      <c r="U199" s="122"/>
      <c r="V199" s="66" t="s">
        <v>150</v>
      </c>
      <c r="W199" s="68" t="e">
        <f>AVERAGE(W189:W197)</f>
        <v>#DIV/0!</v>
      </c>
      <c r="X199" s="68" t="e">
        <f>AVERAGE(X189:X197)</f>
        <v>#DIV/0!</v>
      </c>
      <c r="Y199" s="68" t="e">
        <f>AVERAGE(Y189:Y197)</f>
        <v>#DIV/0!</v>
      </c>
      <c r="Z199" s="70" t="e">
        <f>AVERAGE(Z189:Z197)</f>
        <v>#DIV/0!</v>
      </c>
      <c r="AA199" s="122"/>
      <c r="AB199" s="122"/>
      <c r="AC199" s="122"/>
      <c r="AD199" s="122"/>
      <c r="AE199" s="122"/>
      <c r="AF199" s="122"/>
      <c r="AG199" s="122"/>
      <c r="AH199" s="122"/>
      <c r="AI199" s="122"/>
      <c r="AJ199" s="122"/>
      <c r="AK199" s="122"/>
      <c r="AL199" s="122"/>
      <c r="AM199" s="122"/>
      <c r="AN199" s="122"/>
      <c r="AO199" s="122"/>
      <c r="AP199" s="122"/>
      <c r="AQ199" s="122"/>
      <c r="AR199" s="122"/>
    </row>
    <row r="200" spans="1:44" s="83" customFormat="1" ht="15.75" thickBot="1" x14ac:dyDescent="0.3">
      <c r="A200" s="84"/>
      <c r="B200" s="84"/>
      <c r="C200" s="122"/>
      <c r="J200" s="122"/>
      <c r="K200" s="122"/>
      <c r="L200" s="122"/>
      <c r="M200" s="122"/>
      <c r="N200" s="122"/>
      <c r="O200" s="122"/>
      <c r="P200" s="122"/>
      <c r="Q200" s="122"/>
      <c r="R200" s="122"/>
      <c r="S200" s="122"/>
      <c r="T200" s="122"/>
      <c r="U200" s="122"/>
      <c r="V200" s="122"/>
      <c r="W200" s="122"/>
      <c r="X200" s="122"/>
      <c r="Y200" s="122"/>
      <c r="Z200" s="122"/>
      <c r="AA200" s="122"/>
      <c r="AB200" s="122"/>
      <c r="AC200" s="122"/>
      <c r="AD200" s="122"/>
      <c r="AE200" s="122"/>
      <c r="AF200" s="122"/>
      <c r="AG200" s="122"/>
      <c r="AH200" s="122"/>
      <c r="AI200" s="122"/>
      <c r="AJ200" s="122"/>
      <c r="AK200" s="122"/>
      <c r="AL200" s="122"/>
      <c r="AM200" s="122"/>
      <c r="AN200" s="122"/>
      <c r="AO200" s="122"/>
      <c r="AP200" s="122"/>
      <c r="AQ200" s="122"/>
      <c r="AR200" s="122"/>
    </row>
    <row r="201" spans="1:44" s="83" customFormat="1" ht="17.25" thickBot="1" x14ac:dyDescent="0.3">
      <c r="A201" s="50" t="s">
        <v>129</v>
      </c>
      <c r="B201" s="51">
        <v>2024</v>
      </c>
      <c r="C201" s="140" t="s">
        <v>215</v>
      </c>
      <c r="D201" s="141"/>
      <c r="E201" s="142"/>
      <c r="H201" s="50" t="s">
        <v>129</v>
      </c>
      <c r="I201" s="51">
        <v>2024</v>
      </c>
      <c r="J201" s="140" t="s">
        <v>272</v>
      </c>
      <c r="K201" s="141"/>
      <c r="L201" s="142"/>
      <c r="M201" s="122"/>
      <c r="N201" s="122"/>
      <c r="O201" s="50" t="s">
        <v>129</v>
      </c>
      <c r="P201" s="51">
        <v>2024</v>
      </c>
      <c r="Q201" s="140" t="s">
        <v>298</v>
      </c>
      <c r="R201" s="141"/>
      <c r="S201" s="142"/>
      <c r="T201" s="122"/>
      <c r="U201" s="122"/>
      <c r="V201" s="50" t="s">
        <v>129</v>
      </c>
      <c r="W201" s="51">
        <v>2024</v>
      </c>
      <c r="X201" s="140" t="s">
        <v>67</v>
      </c>
      <c r="Y201" s="141"/>
      <c r="Z201" s="142"/>
      <c r="AA201" s="122"/>
      <c r="AB201" s="122"/>
      <c r="AC201" s="122"/>
      <c r="AD201" s="122"/>
      <c r="AE201" s="122"/>
      <c r="AF201" s="122"/>
      <c r="AG201" s="122"/>
      <c r="AH201" s="122"/>
      <c r="AI201" s="122"/>
      <c r="AJ201" s="122"/>
      <c r="AK201" s="122"/>
      <c r="AL201" s="122"/>
      <c r="AM201" s="122"/>
      <c r="AN201" s="122"/>
      <c r="AO201" s="122"/>
      <c r="AP201" s="122"/>
      <c r="AQ201" s="122"/>
      <c r="AR201" s="122"/>
    </row>
    <row r="202" spans="1:44" s="83" customFormat="1" ht="17.25" thickBot="1" x14ac:dyDescent="0.3">
      <c r="A202" s="55" t="s">
        <v>128</v>
      </c>
      <c r="B202" s="56">
        <f>B123</f>
        <v>1</v>
      </c>
      <c r="C202" s="143"/>
      <c r="D202" s="144"/>
      <c r="E202" s="145"/>
      <c r="H202" s="55" t="s">
        <v>128</v>
      </c>
      <c r="I202" s="56">
        <f>I123</f>
        <v>0</v>
      </c>
      <c r="J202" s="143"/>
      <c r="K202" s="144"/>
      <c r="L202" s="145"/>
      <c r="M202" s="122"/>
      <c r="N202" s="122"/>
      <c r="O202" s="55" t="s">
        <v>128</v>
      </c>
      <c r="P202" s="56">
        <f>P123</f>
        <v>1</v>
      </c>
      <c r="Q202" s="143"/>
      <c r="R202" s="144"/>
      <c r="S202" s="145"/>
      <c r="T202" s="122"/>
      <c r="U202" s="122"/>
      <c r="V202" s="55" t="s">
        <v>128</v>
      </c>
      <c r="W202" s="56">
        <f>W123</f>
        <v>0</v>
      </c>
      <c r="X202" s="143"/>
      <c r="Y202" s="144"/>
      <c r="Z202" s="145"/>
      <c r="AA202" s="122"/>
      <c r="AB202" s="122"/>
      <c r="AC202" s="122"/>
      <c r="AD202" s="122"/>
      <c r="AE202" s="122"/>
      <c r="AF202" s="122"/>
      <c r="AG202" s="122"/>
      <c r="AH202" s="122"/>
      <c r="AI202" s="122"/>
      <c r="AJ202" s="122"/>
      <c r="AK202" s="122"/>
      <c r="AL202" s="122"/>
      <c r="AM202" s="122"/>
      <c r="AN202" s="122"/>
      <c r="AO202" s="122"/>
      <c r="AP202" s="122"/>
      <c r="AQ202" s="122"/>
      <c r="AR202" s="122"/>
    </row>
    <row r="203" spans="1:44" s="83" customFormat="1" ht="15.75" thickBot="1" x14ac:dyDescent="0.3">
      <c r="A203" s="126" t="s">
        <v>139</v>
      </c>
      <c r="B203" s="146" t="s">
        <v>145</v>
      </c>
      <c r="C203" s="146"/>
      <c r="D203" s="146"/>
      <c r="E203" s="146"/>
      <c r="H203" s="126" t="s">
        <v>139</v>
      </c>
      <c r="I203" s="146" t="s">
        <v>145</v>
      </c>
      <c r="J203" s="146"/>
      <c r="K203" s="146"/>
      <c r="L203" s="146"/>
      <c r="M203" s="122"/>
      <c r="N203" s="122"/>
      <c r="O203" s="126" t="s">
        <v>139</v>
      </c>
      <c r="P203" s="146" t="s">
        <v>145</v>
      </c>
      <c r="Q203" s="146"/>
      <c r="R203" s="146"/>
      <c r="S203" s="146"/>
      <c r="T203" s="122"/>
      <c r="U203" s="122"/>
      <c r="V203" s="126" t="s">
        <v>139</v>
      </c>
      <c r="W203" s="146" t="s">
        <v>145</v>
      </c>
      <c r="X203" s="146"/>
      <c r="Y203" s="146"/>
      <c r="Z203" s="146"/>
      <c r="AA203" s="122"/>
      <c r="AB203" s="122"/>
      <c r="AC203" s="122"/>
      <c r="AD203" s="122"/>
      <c r="AE203" s="122"/>
      <c r="AF203" s="122"/>
      <c r="AG203" s="122"/>
      <c r="AH203" s="122"/>
      <c r="AI203" s="122"/>
      <c r="AJ203" s="122"/>
      <c r="AK203" s="122"/>
      <c r="AL203" s="122"/>
      <c r="AM203" s="122"/>
      <c r="AN203" s="122"/>
      <c r="AO203" s="122"/>
      <c r="AP203" s="122"/>
      <c r="AQ203" s="122"/>
      <c r="AR203" s="122"/>
    </row>
    <row r="204" spans="1:44" s="83" customFormat="1" ht="15.75" thickBot="1" x14ac:dyDescent="0.3">
      <c r="A204" s="126"/>
      <c r="B204" s="123" t="s">
        <v>127</v>
      </c>
      <c r="C204" s="123" t="s">
        <v>146</v>
      </c>
      <c r="D204" s="123" t="s">
        <v>147</v>
      </c>
      <c r="E204" s="123" t="s">
        <v>148</v>
      </c>
      <c r="H204" s="126"/>
      <c r="I204" s="123" t="s">
        <v>127</v>
      </c>
      <c r="J204" s="123" t="s">
        <v>146</v>
      </c>
      <c r="K204" s="123" t="s">
        <v>147</v>
      </c>
      <c r="L204" s="123" t="s">
        <v>148</v>
      </c>
      <c r="M204" s="122"/>
      <c r="N204" s="122"/>
      <c r="O204" s="126"/>
      <c r="P204" s="123" t="s">
        <v>127</v>
      </c>
      <c r="Q204" s="123" t="s">
        <v>146</v>
      </c>
      <c r="R204" s="123" t="s">
        <v>147</v>
      </c>
      <c r="S204" s="123" t="s">
        <v>148</v>
      </c>
      <c r="T204" s="122"/>
      <c r="U204" s="122"/>
      <c r="V204" s="126"/>
      <c r="W204" s="123" t="s">
        <v>127</v>
      </c>
      <c r="X204" s="123" t="s">
        <v>146</v>
      </c>
      <c r="Y204" s="123" t="s">
        <v>147</v>
      </c>
      <c r="Z204" s="123" t="s">
        <v>148</v>
      </c>
      <c r="AA204" s="122"/>
      <c r="AB204" s="122"/>
      <c r="AC204" s="122"/>
      <c r="AD204" s="122"/>
      <c r="AE204" s="122"/>
      <c r="AF204" s="122"/>
      <c r="AG204" s="122"/>
      <c r="AH204" s="122"/>
      <c r="AI204" s="122"/>
      <c r="AJ204" s="122"/>
      <c r="AK204" s="122"/>
      <c r="AL204" s="122"/>
      <c r="AM204" s="122"/>
      <c r="AN204" s="122"/>
      <c r="AO204" s="122"/>
      <c r="AP204" s="122"/>
      <c r="AQ204" s="122"/>
      <c r="AR204" s="122"/>
    </row>
    <row r="205" spans="1:44" s="83" customFormat="1" x14ac:dyDescent="0.25">
      <c r="A205" s="59">
        <v>2</v>
      </c>
      <c r="B205" s="57">
        <v>3</v>
      </c>
      <c r="C205" s="57">
        <v>4</v>
      </c>
      <c r="D205" s="57">
        <v>5</v>
      </c>
      <c r="E205" s="60">
        <v>6</v>
      </c>
      <c r="H205" s="59">
        <v>2</v>
      </c>
      <c r="I205" s="57">
        <v>3</v>
      </c>
      <c r="J205" s="57">
        <v>4</v>
      </c>
      <c r="K205" s="57">
        <v>5</v>
      </c>
      <c r="L205" s="60">
        <v>6</v>
      </c>
      <c r="M205" s="122"/>
      <c r="N205" s="122"/>
      <c r="O205" s="59">
        <v>2</v>
      </c>
      <c r="P205" s="57">
        <v>3</v>
      </c>
      <c r="Q205" s="57">
        <v>4</v>
      </c>
      <c r="R205" s="57">
        <v>5</v>
      </c>
      <c r="S205" s="60">
        <v>6</v>
      </c>
      <c r="T205" s="122"/>
      <c r="U205" s="122"/>
      <c r="V205" s="59">
        <v>2</v>
      </c>
      <c r="W205" s="57">
        <v>3</v>
      </c>
      <c r="X205" s="57">
        <v>4</v>
      </c>
      <c r="Y205" s="57">
        <v>5</v>
      </c>
      <c r="Z205" s="60">
        <v>6</v>
      </c>
      <c r="AA205" s="122"/>
      <c r="AB205" s="122"/>
      <c r="AC205" s="122"/>
      <c r="AD205" s="122"/>
      <c r="AE205" s="122"/>
      <c r="AF205" s="122"/>
      <c r="AG205" s="122"/>
      <c r="AH205" s="122"/>
      <c r="AI205" s="122"/>
      <c r="AJ205" s="122"/>
      <c r="AK205" s="122"/>
      <c r="AL205" s="122"/>
      <c r="AM205" s="122"/>
      <c r="AN205" s="122"/>
      <c r="AO205" s="122"/>
      <c r="AP205" s="122"/>
      <c r="AQ205" s="122"/>
      <c r="AR205" s="122"/>
    </row>
    <row r="206" spans="1:44" s="83" customFormat="1" x14ac:dyDescent="0.25">
      <c r="A206" s="61" t="s">
        <v>291</v>
      </c>
      <c r="B206" s="44">
        <f>B129</f>
        <v>1</v>
      </c>
      <c r="C206" s="44">
        <f>C129</f>
        <v>0</v>
      </c>
      <c r="D206" s="44">
        <f>D129</f>
        <v>0</v>
      </c>
      <c r="E206" s="44">
        <f>E129</f>
        <v>0</v>
      </c>
      <c r="H206" s="61" t="s">
        <v>291</v>
      </c>
      <c r="I206" s="52" t="e">
        <f>I129</f>
        <v>#DIV/0!</v>
      </c>
      <c r="J206" s="52" t="e">
        <f>J129</f>
        <v>#DIV/0!</v>
      </c>
      <c r="K206" s="52" t="e">
        <f>K129</f>
        <v>#DIV/0!</v>
      </c>
      <c r="L206" s="52" t="e">
        <f>L129</f>
        <v>#DIV/0!</v>
      </c>
      <c r="M206" s="122"/>
      <c r="N206" s="122"/>
      <c r="O206" s="61" t="s">
        <v>291</v>
      </c>
      <c r="P206" s="52">
        <f>P129</f>
        <v>1</v>
      </c>
      <c r="Q206" s="52">
        <f>Q129</f>
        <v>0</v>
      </c>
      <c r="R206" s="52">
        <f>R129</f>
        <v>0</v>
      </c>
      <c r="S206" s="52">
        <f>S129</f>
        <v>0</v>
      </c>
      <c r="T206" s="122"/>
      <c r="U206" s="122"/>
      <c r="V206" s="61" t="s">
        <v>291</v>
      </c>
      <c r="W206" s="44" t="e">
        <f>W129</f>
        <v>#DIV/0!</v>
      </c>
      <c r="X206" s="44" t="e">
        <f>X129</f>
        <v>#DIV/0!</v>
      </c>
      <c r="Y206" s="44" t="e">
        <f>Y129</f>
        <v>#DIV/0!</v>
      </c>
      <c r="Z206" s="44" t="e">
        <f>Z129</f>
        <v>#DIV/0!</v>
      </c>
      <c r="AA206" s="122"/>
      <c r="AB206" s="122"/>
      <c r="AC206" s="122"/>
      <c r="AD206" s="122"/>
      <c r="AE206" s="122"/>
      <c r="AF206" s="122"/>
      <c r="AG206" s="122"/>
      <c r="AH206" s="122"/>
      <c r="AI206" s="122"/>
      <c r="AJ206" s="122"/>
      <c r="AK206" s="122"/>
      <c r="AL206" s="122"/>
      <c r="AM206" s="122"/>
      <c r="AN206" s="122"/>
      <c r="AO206" s="122"/>
      <c r="AP206" s="122"/>
      <c r="AQ206" s="122"/>
      <c r="AR206" s="122"/>
    </row>
    <row r="207" spans="1:44" s="83" customFormat="1" x14ac:dyDescent="0.25">
      <c r="A207" s="61" t="s">
        <v>289</v>
      </c>
      <c r="B207" s="44">
        <f>B132</f>
        <v>0.5</v>
      </c>
      <c r="C207" s="44">
        <f>C132</f>
        <v>0.5</v>
      </c>
      <c r="D207" s="44">
        <f>D132</f>
        <v>0</v>
      </c>
      <c r="E207" s="44">
        <f>E132</f>
        <v>0</v>
      </c>
      <c r="H207" s="61" t="s">
        <v>289</v>
      </c>
      <c r="I207" s="52" t="e">
        <f>I132</f>
        <v>#DIV/0!</v>
      </c>
      <c r="J207" s="52" t="e">
        <f>J132</f>
        <v>#DIV/0!</v>
      </c>
      <c r="K207" s="52" t="e">
        <f>K132</f>
        <v>#DIV/0!</v>
      </c>
      <c r="L207" s="52" t="e">
        <f>L132</f>
        <v>#DIV/0!</v>
      </c>
      <c r="M207" s="122"/>
      <c r="N207" s="122"/>
      <c r="O207" s="61" t="s">
        <v>289</v>
      </c>
      <c r="P207" s="52">
        <f>P132</f>
        <v>0.5</v>
      </c>
      <c r="Q207" s="52">
        <f>Q132</f>
        <v>0.5</v>
      </c>
      <c r="R207" s="52">
        <f>R132</f>
        <v>0</v>
      </c>
      <c r="S207" s="52">
        <f>S132</f>
        <v>0</v>
      </c>
      <c r="T207" s="122"/>
      <c r="U207" s="122"/>
      <c r="V207" s="61" t="s">
        <v>289</v>
      </c>
      <c r="W207" s="44" t="e">
        <f>W132</f>
        <v>#DIV/0!</v>
      </c>
      <c r="X207" s="44" t="e">
        <f>X132</f>
        <v>#DIV/0!</v>
      </c>
      <c r="Y207" s="44" t="e">
        <f>Y132</f>
        <v>#DIV/0!</v>
      </c>
      <c r="Z207" s="44" t="e">
        <f>Z132</f>
        <v>#DIV/0!</v>
      </c>
      <c r="AA207" s="122"/>
      <c r="AB207" s="122"/>
      <c r="AC207" s="122"/>
      <c r="AD207" s="122"/>
      <c r="AE207" s="122"/>
      <c r="AF207" s="122"/>
      <c r="AG207" s="122"/>
      <c r="AH207" s="122"/>
      <c r="AI207" s="122"/>
      <c r="AJ207" s="122"/>
      <c r="AK207" s="122"/>
      <c r="AL207" s="122"/>
      <c r="AM207" s="122"/>
      <c r="AN207" s="122"/>
      <c r="AO207" s="122"/>
      <c r="AP207" s="122"/>
      <c r="AQ207" s="122"/>
      <c r="AR207" s="122"/>
    </row>
    <row r="208" spans="1:44" s="83" customFormat="1" x14ac:dyDescent="0.25">
      <c r="A208" s="61" t="s">
        <v>142</v>
      </c>
      <c r="B208" s="44">
        <f>B135</f>
        <v>1</v>
      </c>
      <c r="C208" s="44">
        <f>C135</f>
        <v>0</v>
      </c>
      <c r="D208" s="44">
        <f>D135</f>
        <v>0</v>
      </c>
      <c r="E208" s="44">
        <f>E135</f>
        <v>0</v>
      </c>
      <c r="H208" s="61" t="s">
        <v>142</v>
      </c>
      <c r="I208" s="52" t="e">
        <f>I135</f>
        <v>#DIV/0!</v>
      </c>
      <c r="J208" s="52" t="e">
        <f>J135</f>
        <v>#DIV/0!</v>
      </c>
      <c r="K208" s="52" t="e">
        <f>K135</f>
        <v>#DIV/0!</v>
      </c>
      <c r="L208" s="52" t="e">
        <f>L135</f>
        <v>#DIV/0!</v>
      </c>
      <c r="M208" s="122"/>
      <c r="N208" s="122"/>
      <c r="O208" s="61" t="s">
        <v>142</v>
      </c>
      <c r="P208" s="52">
        <f>P135</f>
        <v>1</v>
      </c>
      <c r="Q208" s="52">
        <f>Q135</f>
        <v>0</v>
      </c>
      <c r="R208" s="52">
        <f>R135</f>
        <v>0</v>
      </c>
      <c r="S208" s="52">
        <f>S135</f>
        <v>0</v>
      </c>
      <c r="T208" s="122"/>
      <c r="U208" s="122"/>
      <c r="V208" s="61" t="s">
        <v>142</v>
      </c>
      <c r="W208" s="44" t="e">
        <f>W135</f>
        <v>#DIV/0!</v>
      </c>
      <c r="X208" s="44" t="e">
        <f>X135</f>
        <v>#DIV/0!</v>
      </c>
      <c r="Y208" s="44" t="e">
        <f>Y135</f>
        <v>#DIV/0!</v>
      </c>
      <c r="Z208" s="44" t="e">
        <f>Z135</f>
        <v>#DIV/0!</v>
      </c>
      <c r="AA208" s="122"/>
      <c r="AB208" s="122"/>
      <c r="AC208" s="122"/>
      <c r="AD208" s="122"/>
      <c r="AE208" s="122"/>
      <c r="AF208" s="122"/>
      <c r="AG208" s="122"/>
      <c r="AH208" s="122"/>
      <c r="AI208" s="122"/>
      <c r="AJ208" s="122"/>
      <c r="AK208" s="122"/>
      <c r="AL208" s="122"/>
      <c r="AM208" s="122"/>
      <c r="AN208" s="122"/>
      <c r="AO208" s="122"/>
      <c r="AP208" s="122"/>
      <c r="AQ208" s="122"/>
      <c r="AR208" s="122"/>
    </row>
    <row r="209" spans="1:44" s="83" customFormat="1" x14ac:dyDescent="0.25">
      <c r="A209" s="61" t="s">
        <v>290</v>
      </c>
      <c r="B209" s="44">
        <f>B138</f>
        <v>1</v>
      </c>
      <c r="C209" s="44">
        <f>C138</f>
        <v>0</v>
      </c>
      <c r="D209" s="44">
        <f>D138</f>
        <v>0</v>
      </c>
      <c r="E209" s="44">
        <f>E138</f>
        <v>0</v>
      </c>
      <c r="H209" s="61" t="s">
        <v>290</v>
      </c>
      <c r="I209" s="52" t="e">
        <f>I138</f>
        <v>#DIV/0!</v>
      </c>
      <c r="J209" s="52" t="e">
        <f>J138</f>
        <v>#DIV/0!</v>
      </c>
      <c r="K209" s="52" t="e">
        <f>K138</f>
        <v>#DIV/0!</v>
      </c>
      <c r="L209" s="52" t="e">
        <f>L138</f>
        <v>#DIV/0!</v>
      </c>
      <c r="M209" s="122"/>
      <c r="N209" s="122"/>
      <c r="O209" s="61" t="s">
        <v>290</v>
      </c>
      <c r="P209" s="52">
        <f>P138</f>
        <v>1</v>
      </c>
      <c r="Q209" s="52">
        <f>Q138</f>
        <v>0</v>
      </c>
      <c r="R209" s="52">
        <f>R138</f>
        <v>0</v>
      </c>
      <c r="S209" s="52">
        <f>S138</f>
        <v>0</v>
      </c>
      <c r="T209" s="122"/>
      <c r="U209" s="122"/>
      <c r="V209" s="61" t="s">
        <v>290</v>
      </c>
      <c r="W209" s="44" t="e">
        <f>W138</f>
        <v>#DIV/0!</v>
      </c>
      <c r="X209" s="44" t="e">
        <f>X138</f>
        <v>#DIV/0!</v>
      </c>
      <c r="Y209" s="44" t="e">
        <f>Y138</f>
        <v>#DIV/0!</v>
      </c>
      <c r="Z209" s="44" t="e">
        <f>Z138</f>
        <v>#DIV/0!</v>
      </c>
      <c r="AA209" s="122"/>
      <c r="AB209" s="122"/>
      <c r="AC209" s="122"/>
      <c r="AD209" s="122"/>
      <c r="AE209" s="122"/>
      <c r="AF209" s="122"/>
      <c r="AG209" s="122"/>
      <c r="AH209" s="122"/>
      <c r="AI209" s="122"/>
      <c r="AJ209" s="122"/>
      <c r="AK209" s="122"/>
      <c r="AL209" s="122"/>
      <c r="AM209" s="122"/>
      <c r="AN209" s="122"/>
      <c r="AO209" s="122"/>
      <c r="AP209" s="122"/>
      <c r="AQ209" s="122"/>
      <c r="AR209" s="122"/>
    </row>
    <row r="210" spans="1:44" s="83" customFormat="1" x14ac:dyDescent="0.25">
      <c r="A210" s="61" t="s">
        <v>144</v>
      </c>
      <c r="B210" s="44">
        <f>B143</f>
        <v>0.25</v>
      </c>
      <c r="C210" s="44">
        <f>C143</f>
        <v>0.75</v>
      </c>
      <c r="D210" s="44">
        <f>D143</f>
        <v>0</v>
      </c>
      <c r="E210" s="44">
        <f>E143</f>
        <v>0</v>
      </c>
      <c r="H210" s="61" t="s">
        <v>144</v>
      </c>
      <c r="I210" s="52" t="e">
        <f>I143</f>
        <v>#DIV/0!</v>
      </c>
      <c r="J210" s="52" t="e">
        <f>J143</f>
        <v>#DIV/0!</v>
      </c>
      <c r="K210" s="52" t="e">
        <f>K143</f>
        <v>#DIV/0!</v>
      </c>
      <c r="L210" s="52" t="e">
        <f>L143</f>
        <v>#DIV/0!</v>
      </c>
      <c r="M210" s="122"/>
      <c r="N210" s="122"/>
      <c r="O210" s="61" t="s">
        <v>144</v>
      </c>
      <c r="P210" s="52">
        <f>P143</f>
        <v>0.25</v>
      </c>
      <c r="Q210" s="52">
        <f>Q143</f>
        <v>0.75</v>
      </c>
      <c r="R210" s="52">
        <f>R143</f>
        <v>0</v>
      </c>
      <c r="S210" s="52">
        <f>S143</f>
        <v>0</v>
      </c>
      <c r="T210" s="122"/>
      <c r="U210" s="122"/>
      <c r="V210" s="61" t="s">
        <v>144</v>
      </c>
      <c r="W210" s="44" t="e">
        <f>W143</f>
        <v>#DIV/0!</v>
      </c>
      <c r="X210" s="44" t="e">
        <f>X143</f>
        <v>#DIV/0!</v>
      </c>
      <c r="Y210" s="44" t="e">
        <f>Y143</f>
        <v>#DIV/0!</v>
      </c>
      <c r="Z210" s="44" t="e">
        <f>Z143</f>
        <v>#DIV/0!</v>
      </c>
      <c r="AA210" s="122"/>
      <c r="AB210" s="122"/>
      <c r="AC210" s="122"/>
      <c r="AD210" s="122"/>
      <c r="AE210" s="122"/>
      <c r="AF210" s="122"/>
      <c r="AG210" s="122"/>
      <c r="AH210" s="122"/>
      <c r="AI210" s="122"/>
      <c r="AJ210" s="122"/>
      <c r="AK210" s="122"/>
      <c r="AL210" s="122"/>
      <c r="AM210" s="122"/>
      <c r="AN210" s="122"/>
      <c r="AO210" s="122"/>
      <c r="AP210" s="122"/>
      <c r="AQ210" s="122"/>
      <c r="AR210" s="122"/>
    </row>
    <row r="211" spans="1:44" s="83" customFormat="1" x14ac:dyDescent="0.25">
      <c r="A211" s="61" t="s">
        <v>287</v>
      </c>
      <c r="B211" s="44">
        <f>B147</f>
        <v>1</v>
      </c>
      <c r="C211" s="44">
        <f>C147</f>
        <v>0</v>
      </c>
      <c r="D211" s="44">
        <f>D147</f>
        <v>0</v>
      </c>
      <c r="E211" s="44">
        <f>E147</f>
        <v>0</v>
      </c>
      <c r="H211" s="61" t="s">
        <v>287</v>
      </c>
      <c r="I211" s="52" t="e">
        <f>I147</f>
        <v>#DIV/0!</v>
      </c>
      <c r="J211" s="52" t="e">
        <f>J147</f>
        <v>#DIV/0!</v>
      </c>
      <c r="K211" s="52" t="e">
        <f>K147</f>
        <v>#DIV/0!</v>
      </c>
      <c r="L211" s="52" t="e">
        <f>L147</f>
        <v>#DIV/0!</v>
      </c>
      <c r="M211" s="122"/>
      <c r="N211" s="122"/>
      <c r="O211" s="61" t="s">
        <v>287</v>
      </c>
      <c r="P211" s="52">
        <f>P147</f>
        <v>1</v>
      </c>
      <c r="Q211" s="52">
        <f>Q147</f>
        <v>0</v>
      </c>
      <c r="R211" s="52">
        <f>R147</f>
        <v>0</v>
      </c>
      <c r="S211" s="52">
        <f>S147</f>
        <v>0</v>
      </c>
      <c r="T211" s="122"/>
      <c r="U211" s="122"/>
      <c r="V211" s="61" t="s">
        <v>287</v>
      </c>
      <c r="W211" s="44" t="e">
        <f>W147</f>
        <v>#DIV/0!</v>
      </c>
      <c r="X211" s="44" t="e">
        <f>X147</f>
        <v>#DIV/0!</v>
      </c>
      <c r="Y211" s="44" t="e">
        <f>Y147</f>
        <v>#DIV/0!</v>
      </c>
      <c r="Z211" s="44" t="e">
        <f>Z147</f>
        <v>#DIV/0!</v>
      </c>
      <c r="AA211" s="122"/>
      <c r="AB211" s="122"/>
      <c r="AC211" s="122"/>
      <c r="AD211" s="122"/>
      <c r="AE211" s="122"/>
      <c r="AF211" s="122"/>
      <c r="AG211" s="122"/>
      <c r="AH211" s="122"/>
      <c r="AI211" s="122"/>
      <c r="AJ211" s="122"/>
      <c r="AK211" s="122"/>
      <c r="AL211" s="122"/>
      <c r="AM211" s="122"/>
      <c r="AN211" s="122"/>
      <c r="AO211" s="122"/>
      <c r="AP211" s="122"/>
      <c r="AQ211" s="122"/>
      <c r="AR211" s="122"/>
    </row>
    <row r="212" spans="1:44" s="83" customFormat="1" x14ac:dyDescent="0.25">
      <c r="A212" s="61" t="s">
        <v>79</v>
      </c>
      <c r="B212" s="44">
        <f>B152</f>
        <v>1</v>
      </c>
      <c r="C212" s="44">
        <f>C152</f>
        <v>0</v>
      </c>
      <c r="D212" s="44">
        <f>D152</f>
        <v>0</v>
      </c>
      <c r="E212" s="44">
        <f>E152</f>
        <v>0</v>
      </c>
      <c r="H212" s="61" t="s">
        <v>79</v>
      </c>
      <c r="I212" s="52" t="e">
        <f>I152</f>
        <v>#DIV/0!</v>
      </c>
      <c r="J212" s="52" t="e">
        <f>J152</f>
        <v>#DIV/0!</v>
      </c>
      <c r="K212" s="52" t="e">
        <f>K152</f>
        <v>#DIV/0!</v>
      </c>
      <c r="L212" s="52" t="e">
        <f>L152</f>
        <v>#DIV/0!</v>
      </c>
      <c r="M212" s="122"/>
      <c r="N212" s="122"/>
      <c r="O212" s="61" t="s">
        <v>79</v>
      </c>
      <c r="P212" s="52">
        <f>P152</f>
        <v>1</v>
      </c>
      <c r="Q212" s="52">
        <f>Q152</f>
        <v>0</v>
      </c>
      <c r="R212" s="52">
        <f>R152</f>
        <v>0</v>
      </c>
      <c r="S212" s="52">
        <f>S152</f>
        <v>0</v>
      </c>
      <c r="T212" s="122"/>
      <c r="U212" s="122"/>
      <c r="V212" s="61" t="s">
        <v>79</v>
      </c>
      <c r="W212" s="44" t="e">
        <f>W152</f>
        <v>#DIV/0!</v>
      </c>
      <c r="X212" s="44" t="e">
        <f>X152</f>
        <v>#DIV/0!</v>
      </c>
      <c r="Y212" s="44" t="e">
        <f>Y152</f>
        <v>#DIV/0!</v>
      </c>
      <c r="Z212" s="44" t="e">
        <f>Z152</f>
        <v>#DIV/0!</v>
      </c>
      <c r="AA212" s="122"/>
      <c r="AB212" s="122"/>
      <c r="AC212" s="122"/>
      <c r="AD212" s="122"/>
      <c r="AE212" s="122"/>
      <c r="AF212" s="122"/>
      <c r="AG212" s="122"/>
      <c r="AH212" s="122"/>
      <c r="AI212" s="122"/>
      <c r="AJ212" s="122"/>
      <c r="AK212" s="122"/>
      <c r="AL212" s="122"/>
      <c r="AM212" s="122"/>
      <c r="AN212" s="122"/>
      <c r="AO212" s="122"/>
      <c r="AP212" s="122"/>
      <c r="AQ212" s="122"/>
      <c r="AR212" s="122"/>
    </row>
    <row r="213" spans="1:44" s="83" customFormat="1" x14ac:dyDescent="0.25">
      <c r="A213" s="61" t="s">
        <v>283</v>
      </c>
      <c r="B213" s="44">
        <f>B158</f>
        <v>1</v>
      </c>
      <c r="C213" s="44">
        <f>C158</f>
        <v>0</v>
      </c>
      <c r="D213" s="44">
        <f>D158</f>
        <v>0</v>
      </c>
      <c r="E213" s="44">
        <f>E158</f>
        <v>0</v>
      </c>
      <c r="H213" s="61" t="s">
        <v>283</v>
      </c>
      <c r="I213" s="52" t="e">
        <f>I158</f>
        <v>#DIV/0!</v>
      </c>
      <c r="J213" s="52" t="e">
        <f>J158</f>
        <v>#DIV/0!</v>
      </c>
      <c r="K213" s="52" t="e">
        <f>K158</f>
        <v>#DIV/0!</v>
      </c>
      <c r="L213" s="52" t="e">
        <f>L158</f>
        <v>#DIV/0!</v>
      </c>
      <c r="M213" s="122"/>
      <c r="N213" s="122"/>
      <c r="O213" s="61" t="s">
        <v>283</v>
      </c>
      <c r="P213" s="52">
        <f>P158</f>
        <v>1</v>
      </c>
      <c r="Q213" s="52">
        <f>Q158</f>
        <v>0</v>
      </c>
      <c r="R213" s="52">
        <f>R158</f>
        <v>0</v>
      </c>
      <c r="S213" s="52">
        <f>S158</f>
        <v>0</v>
      </c>
      <c r="T213" s="122"/>
      <c r="U213" s="122"/>
      <c r="V213" s="61" t="s">
        <v>283</v>
      </c>
      <c r="W213" s="44" t="e">
        <f>W158</f>
        <v>#DIV/0!</v>
      </c>
      <c r="X213" s="44" t="e">
        <f>X158</f>
        <v>#DIV/0!</v>
      </c>
      <c r="Y213" s="44" t="e">
        <f>Y158</f>
        <v>#DIV/0!</v>
      </c>
      <c r="Z213" s="44" t="e">
        <f>Z158</f>
        <v>#DIV/0!</v>
      </c>
      <c r="AA213" s="122"/>
      <c r="AB213" s="122"/>
      <c r="AC213" s="122"/>
      <c r="AD213" s="122"/>
      <c r="AE213" s="122"/>
      <c r="AF213" s="122"/>
      <c r="AG213" s="122"/>
      <c r="AH213" s="122"/>
      <c r="AI213" s="122"/>
      <c r="AJ213" s="122"/>
      <c r="AK213" s="122"/>
      <c r="AL213" s="122"/>
      <c r="AM213" s="122"/>
      <c r="AN213" s="122"/>
      <c r="AO213" s="122"/>
      <c r="AP213" s="122"/>
      <c r="AQ213" s="122"/>
      <c r="AR213" s="122"/>
    </row>
    <row r="214" spans="1:44" s="83" customFormat="1" ht="15.75" thickBot="1" x14ac:dyDescent="0.3">
      <c r="A214" s="62" t="s">
        <v>284</v>
      </c>
      <c r="B214" s="63">
        <f>B163</f>
        <v>0.25</v>
      </c>
      <c r="C214" s="63">
        <f>C163</f>
        <v>0.75</v>
      </c>
      <c r="D214" s="63">
        <f>D163</f>
        <v>0</v>
      </c>
      <c r="E214" s="63">
        <f>E163</f>
        <v>0</v>
      </c>
      <c r="H214" s="62" t="s">
        <v>284</v>
      </c>
      <c r="I214" s="121" t="e">
        <f>I163</f>
        <v>#DIV/0!</v>
      </c>
      <c r="J214" s="121" t="e">
        <f>J163</f>
        <v>#DIV/0!</v>
      </c>
      <c r="K214" s="121" t="e">
        <f>K163</f>
        <v>#DIV/0!</v>
      </c>
      <c r="L214" s="121" t="e">
        <f>L163</f>
        <v>#DIV/0!</v>
      </c>
      <c r="M214" s="122"/>
      <c r="N214" s="122"/>
      <c r="O214" s="62" t="s">
        <v>284</v>
      </c>
      <c r="P214" s="121">
        <f>P163</f>
        <v>0.25</v>
      </c>
      <c r="Q214" s="121">
        <f>Q163</f>
        <v>0.75</v>
      </c>
      <c r="R214" s="121">
        <f>R163</f>
        <v>0</v>
      </c>
      <c r="S214" s="121">
        <f>S163</f>
        <v>0</v>
      </c>
      <c r="T214" s="122"/>
      <c r="U214" s="122"/>
      <c r="V214" s="62" t="s">
        <v>284</v>
      </c>
      <c r="W214" s="63" t="e">
        <f>W163</f>
        <v>#DIV/0!</v>
      </c>
      <c r="X214" s="63" t="e">
        <f>X163</f>
        <v>#DIV/0!</v>
      </c>
      <c r="Y214" s="63" t="e">
        <f>Y163</f>
        <v>#DIV/0!</v>
      </c>
      <c r="Z214" s="63" t="e">
        <f>Z163</f>
        <v>#DIV/0!</v>
      </c>
      <c r="AA214" s="122"/>
      <c r="AB214" s="122"/>
      <c r="AC214" s="122"/>
      <c r="AD214" s="122"/>
      <c r="AE214" s="122"/>
      <c r="AF214" s="122"/>
      <c r="AG214" s="122"/>
      <c r="AH214" s="122"/>
      <c r="AI214" s="122"/>
      <c r="AJ214" s="122"/>
      <c r="AK214" s="122"/>
      <c r="AL214" s="122"/>
      <c r="AM214" s="122"/>
      <c r="AN214" s="122"/>
      <c r="AO214" s="122"/>
      <c r="AP214" s="122"/>
      <c r="AQ214" s="122"/>
      <c r="AR214" s="122"/>
    </row>
    <row r="215" spans="1:44" s="83" customFormat="1" x14ac:dyDescent="0.25">
      <c r="A215" s="65" t="s">
        <v>149</v>
      </c>
      <c r="B215" s="67">
        <f>SUM(B206:B214)</f>
        <v>7</v>
      </c>
      <c r="C215" s="67">
        <f>SUM(C206:C214)</f>
        <v>2</v>
      </c>
      <c r="D215" s="67">
        <f>SUM(D206:D214)</f>
        <v>0</v>
      </c>
      <c r="E215" s="69">
        <f>SUM(E206:E214)</f>
        <v>0</v>
      </c>
      <c r="H215" s="65" t="s">
        <v>149</v>
      </c>
      <c r="I215" s="67" t="e">
        <f>SUM(I206:I214)</f>
        <v>#DIV/0!</v>
      </c>
      <c r="J215" s="67" t="e">
        <f>SUM(J206:J214)</f>
        <v>#DIV/0!</v>
      </c>
      <c r="K215" s="67" t="e">
        <f>SUM(K206:K214)</f>
        <v>#DIV/0!</v>
      </c>
      <c r="L215" s="69" t="e">
        <f>SUM(L206:L214)</f>
        <v>#DIV/0!</v>
      </c>
      <c r="M215" s="122"/>
      <c r="N215" s="122"/>
      <c r="O215" s="65" t="s">
        <v>149</v>
      </c>
      <c r="P215" s="67">
        <f>SUM(P206:P214)</f>
        <v>7</v>
      </c>
      <c r="Q215" s="67">
        <f>SUM(Q206:Q214)</f>
        <v>2</v>
      </c>
      <c r="R215" s="67">
        <f>SUM(R206:R214)</f>
        <v>0</v>
      </c>
      <c r="S215" s="69">
        <f>SUM(S206:S214)</f>
        <v>0</v>
      </c>
      <c r="T215" s="122"/>
      <c r="U215" s="122"/>
      <c r="V215" s="65" t="s">
        <v>149</v>
      </c>
      <c r="W215" s="67" t="e">
        <f>SUM(W206:W214)</f>
        <v>#DIV/0!</v>
      </c>
      <c r="X215" s="67" t="e">
        <f>SUM(X206:X214)</f>
        <v>#DIV/0!</v>
      </c>
      <c r="Y215" s="67" t="e">
        <f>SUM(Y206:Y214)</f>
        <v>#DIV/0!</v>
      </c>
      <c r="Z215" s="69" t="e">
        <f>SUM(Z206:Z214)</f>
        <v>#DIV/0!</v>
      </c>
      <c r="AA215" s="122"/>
      <c r="AB215" s="122"/>
      <c r="AC215" s="122"/>
      <c r="AD215" s="122"/>
      <c r="AE215" s="122"/>
      <c r="AF215" s="122"/>
      <c r="AG215" s="122"/>
      <c r="AH215" s="122"/>
      <c r="AI215" s="122"/>
      <c r="AJ215" s="122"/>
      <c r="AK215" s="122"/>
      <c r="AL215" s="122"/>
      <c r="AM215" s="122"/>
      <c r="AN215" s="122"/>
      <c r="AO215" s="122"/>
      <c r="AP215" s="122"/>
      <c r="AQ215" s="122"/>
      <c r="AR215" s="122"/>
    </row>
    <row r="216" spans="1:44" s="83" customFormat="1" ht="15.75" thickBot="1" x14ac:dyDescent="0.3">
      <c r="A216" s="66" t="s">
        <v>150</v>
      </c>
      <c r="B216" s="68">
        <f>AVERAGE(B206:B214)</f>
        <v>0.77777777777777779</v>
      </c>
      <c r="C216" s="68">
        <f>AVERAGE(C206:C214)</f>
        <v>0.22222222222222221</v>
      </c>
      <c r="D216" s="68">
        <f>AVERAGE(D206:D214)</f>
        <v>0</v>
      </c>
      <c r="E216" s="70">
        <f>AVERAGE(E206:E214)</f>
        <v>0</v>
      </c>
      <c r="H216" s="66" t="s">
        <v>150</v>
      </c>
      <c r="I216" s="68" t="e">
        <f>AVERAGE(I206:I214)</f>
        <v>#DIV/0!</v>
      </c>
      <c r="J216" s="68" t="e">
        <f>AVERAGE(J206:J214)</f>
        <v>#DIV/0!</v>
      </c>
      <c r="K216" s="68" t="e">
        <f>AVERAGE(K206:K214)</f>
        <v>#DIV/0!</v>
      </c>
      <c r="L216" s="70" t="e">
        <f>AVERAGE(L206:L214)</f>
        <v>#DIV/0!</v>
      </c>
      <c r="M216" s="122"/>
      <c r="N216" s="122"/>
      <c r="O216" s="66" t="s">
        <v>150</v>
      </c>
      <c r="P216" s="68">
        <f>AVERAGE(P206:P214)</f>
        <v>0.77777777777777779</v>
      </c>
      <c r="Q216" s="68">
        <f>AVERAGE(Q206:Q214)</f>
        <v>0.22222222222222221</v>
      </c>
      <c r="R216" s="68">
        <f>AVERAGE(R206:R214)</f>
        <v>0</v>
      </c>
      <c r="S216" s="70">
        <f>AVERAGE(S206:S214)</f>
        <v>0</v>
      </c>
      <c r="T216" s="122"/>
      <c r="U216" s="122"/>
      <c r="V216" s="66" t="s">
        <v>150</v>
      </c>
      <c r="W216" s="68" t="e">
        <f>AVERAGE(W206:W214)</f>
        <v>#DIV/0!</v>
      </c>
      <c r="X216" s="68" t="e">
        <f>AVERAGE(X206:X214)</f>
        <v>#DIV/0!</v>
      </c>
      <c r="Y216" s="68" t="e">
        <f>AVERAGE(Y206:Y214)</f>
        <v>#DIV/0!</v>
      </c>
      <c r="Z216" s="70" t="e">
        <f>AVERAGE(Z206:Z214)</f>
        <v>#DIV/0!</v>
      </c>
      <c r="AA216" s="122"/>
      <c r="AB216" s="122"/>
      <c r="AC216" s="122"/>
      <c r="AD216" s="122"/>
      <c r="AE216" s="122"/>
      <c r="AF216" s="122"/>
      <c r="AG216" s="122"/>
      <c r="AH216" s="122"/>
      <c r="AI216" s="122"/>
      <c r="AJ216" s="122"/>
      <c r="AK216" s="122"/>
      <c r="AL216" s="122"/>
      <c r="AM216" s="122"/>
      <c r="AN216" s="122"/>
      <c r="AO216" s="122"/>
      <c r="AP216" s="122"/>
      <c r="AQ216" s="122"/>
      <c r="AR216" s="122"/>
    </row>
    <row r="217" spans="1:44" s="83" customFormat="1" ht="15.75" thickBot="1" x14ac:dyDescent="0.3">
      <c r="A217" s="84"/>
      <c r="B217" s="84"/>
      <c r="C217" s="122"/>
      <c r="J217" s="122"/>
      <c r="K217" s="122"/>
      <c r="L217" s="122"/>
      <c r="M217" s="122"/>
      <c r="N217" s="122"/>
      <c r="O217" s="122"/>
      <c r="P217" s="122"/>
      <c r="Q217" s="122"/>
      <c r="R217" s="122"/>
      <c r="S217" s="122"/>
      <c r="T217" s="122"/>
      <c r="U217" s="122"/>
      <c r="V217" s="122"/>
      <c r="W217" s="122"/>
      <c r="X217" s="122"/>
      <c r="Y217" s="122"/>
      <c r="Z217" s="122"/>
      <c r="AA217" s="122"/>
      <c r="AB217" s="122"/>
      <c r="AC217" s="122"/>
      <c r="AD217" s="122"/>
      <c r="AE217" s="122"/>
      <c r="AF217" s="122"/>
      <c r="AG217" s="122"/>
      <c r="AH217" s="122"/>
      <c r="AI217" s="122"/>
      <c r="AJ217" s="122"/>
      <c r="AK217" s="122"/>
      <c r="AL217" s="122"/>
      <c r="AM217" s="122"/>
      <c r="AN217" s="122"/>
      <c r="AO217" s="122"/>
      <c r="AP217" s="122"/>
      <c r="AQ217" s="122"/>
      <c r="AR217" s="122"/>
    </row>
    <row r="218" spans="1:44" s="83" customFormat="1" ht="17.25" thickBot="1" x14ac:dyDescent="0.3">
      <c r="A218" s="50" t="s">
        <v>129</v>
      </c>
      <c r="B218" s="51">
        <v>2024</v>
      </c>
      <c r="C218" s="140" t="s">
        <v>292</v>
      </c>
      <c r="D218" s="141"/>
      <c r="E218" s="142"/>
      <c r="J218" s="122"/>
      <c r="K218" s="122"/>
      <c r="L218" s="122"/>
      <c r="M218" s="122"/>
      <c r="N218" s="122"/>
      <c r="O218" s="122"/>
      <c r="P218" s="122"/>
      <c r="Q218" s="122"/>
      <c r="R218" s="122"/>
      <c r="S218" s="122"/>
      <c r="T218" s="122"/>
      <c r="U218" s="122"/>
      <c r="V218" s="122"/>
      <c r="W218" s="122"/>
      <c r="X218" s="122"/>
      <c r="Y218" s="122"/>
      <c r="Z218" s="122"/>
      <c r="AA218" s="122"/>
      <c r="AB218" s="122"/>
      <c r="AC218" s="122"/>
      <c r="AD218" s="122"/>
      <c r="AE218" s="122"/>
      <c r="AF218" s="122"/>
      <c r="AG218" s="122"/>
      <c r="AH218" s="122"/>
      <c r="AI218" s="122"/>
      <c r="AJ218" s="122"/>
      <c r="AK218" s="122"/>
      <c r="AL218" s="122"/>
      <c r="AM218" s="122"/>
      <c r="AN218" s="122"/>
      <c r="AO218" s="122"/>
      <c r="AP218" s="122"/>
      <c r="AQ218" s="122"/>
      <c r="AR218" s="122"/>
    </row>
    <row r="219" spans="1:44" s="83" customFormat="1" ht="17.25" thickBot="1" x14ac:dyDescent="0.3">
      <c r="A219" s="55" t="s">
        <v>128</v>
      </c>
      <c r="B219" s="56">
        <f>B202+B185+B168</f>
        <v>7</v>
      </c>
      <c r="C219" s="143"/>
      <c r="D219" s="144"/>
      <c r="E219" s="145"/>
      <c r="J219" s="122"/>
      <c r="K219" s="122"/>
      <c r="L219" s="122"/>
      <c r="M219" s="122"/>
      <c r="N219" s="122"/>
      <c r="O219" s="122"/>
      <c r="P219" s="122"/>
      <c r="Q219" s="122"/>
      <c r="R219" s="122"/>
      <c r="S219" s="122"/>
      <c r="T219" s="122"/>
      <c r="U219" s="122"/>
      <c r="V219" s="122"/>
      <c r="W219" s="122"/>
      <c r="X219" s="122"/>
      <c r="Y219" s="122"/>
      <c r="Z219" s="122"/>
      <c r="AA219" s="122"/>
      <c r="AB219" s="122"/>
      <c r="AC219" s="122"/>
      <c r="AD219" s="122"/>
      <c r="AE219" s="122"/>
      <c r="AF219" s="122"/>
      <c r="AG219" s="122"/>
      <c r="AH219" s="122"/>
      <c r="AI219" s="122"/>
      <c r="AJ219" s="122"/>
      <c r="AK219" s="122"/>
      <c r="AL219" s="122"/>
      <c r="AM219" s="122"/>
      <c r="AN219" s="122"/>
      <c r="AO219" s="122"/>
      <c r="AP219" s="122"/>
      <c r="AQ219" s="122"/>
      <c r="AR219" s="122"/>
    </row>
    <row r="220" spans="1:44" s="83" customFormat="1" ht="15.75" thickBot="1" x14ac:dyDescent="0.3">
      <c r="A220" s="126" t="s">
        <v>139</v>
      </c>
      <c r="B220" s="146" t="s">
        <v>145</v>
      </c>
      <c r="C220" s="146"/>
      <c r="D220" s="146"/>
      <c r="E220" s="146"/>
      <c r="J220" s="122"/>
      <c r="K220" s="122"/>
      <c r="L220" s="122"/>
      <c r="M220" s="122"/>
      <c r="N220" s="122"/>
      <c r="O220" s="122"/>
      <c r="P220" s="122"/>
      <c r="Q220" s="122"/>
      <c r="R220" s="122"/>
      <c r="S220" s="122"/>
      <c r="T220" s="122"/>
      <c r="U220" s="122"/>
      <c r="V220" s="122"/>
      <c r="W220" s="122"/>
      <c r="X220" s="122"/>
      <c r="Y220" s="122"/>
      <c r="Z220" s="122"/>
      <c r="AA220" s="122"/>
      <c r="AB220" s="122"/>
      <c r="AC220" s="122"/>
      <c r="AD220" s="122"/>
      <c r="AE220" s="122"/>
      <c r="AF220" s="122"/>
      <c r="AG220" s="122"/>
      <c r="AH220" s="122"/>
      <c r="AI220" s="122"/>
      <c r="AJ220" s="122"/>
      <c r="AK220" s="122"/>
      <c r="AL220" s="122"/>
      <c r="AM220" s="122"/>
      <c r="AN220" s="122"/>
      <c r="AO220" s="122"/>
      <c r="AP220" s="122"/>
      <c r="AQ220" s="122"/>
      <c r="AR220" s="122"/>
    </row>
    <row r="221" spans="1:44" s="83" customFormat="1" ht="15.75" thickBot="1" x14ac:dyDescent="0.3">
      <c r="A221" s="126"/>
      <c r="B221" s="123" t="s">
        <v>127</v>
      </c>
      <c r="C221" s="123" t="s">
        <v>146</v>
      </c>
      <c r="D221" s="123" t="s">
        <v>147</v>
      </c>
      <c r="E221" s="123" t="s">
        <v>148</v>
      </c>
      <c r="J221" s="122"/>
      <c r="K221" s="122"/>
      <c r="L221" s="122"/>
      <c r="M221" s="122"/>
      <c r="N221" s="122"/>
      <c r="O221" s="122"/>
      <c r="P221" s="122"/>
      <c r="Q221" s="122"/>
      <c r="R221" s="122"/>
      <c r="S221" s="122"/>
      <c r="T221" s="122"/>
      <c r="U221" s="122"/>
      <c r="V221" s="122"/>
      <c r="W221" s="122"/>
      <c r="X221" s="122"/>
      <c r="Y221" s="122"/>
      <c r="Z221" s="122"/>
      <c r="AA221" s="122"/>
      <c r="AB221" s="122"/>
      <c r="AC221" s="122"/>
      <c r="AD221" s="122"/>
      <c r="AE221" s="122"/>
      <c r="AF221" s="122"/>
      <c r="AG221" s="122"/>
      <c r="AH221" s="122"/>
      <c r="AI221" s="122"/>
      <c r="AJ221" s="122"/>
      <c r="AK221" s="122"/>
      <c r="AL221" s="122"/>
      <c r="AM221" s="122"/>
      <c r="AN221" s="122"/>
      <c r="AO221" s="122"/>
      <c r="AP221" s="122"/>
      <c r="AQ221" s="122"/>
      <c r="AR221" s="122"/>
    </row>
    <row r="222" spans="1:44" s="83" customFormat="1" x14ac:dyDescent="0.25">
      <c r="A222" s="59">
        <v>2</v>
      </c>
      <c r="B222" s="57">
        <v>3</v>
      </c>
      <c r="C222" s="57">
        <v>4</v>
      </c>
      <c r="D222" s="57">
        <v>5</v>
      </c>
      <c r="E222" s="60">
        <v>6</v>
      </c>
      <c r="J222" s="122"/>
      <c r="K222" s="122"/>
      <c r="L222" s="122"/>
      <c r="M222" s="122"/>
      <c r="N222" s="122"/>
      <c r="O222" s="122"/>
      <c r="P222" s="122"/>
      <c r="Q222" s="122"/>
      <c r="R222" s="122"/>
      <c r="S222" s="122"/>
      <c r="T222" s="122"/>
      <c r="U222" s="122"/>
      <c r="V222" s="122"/>
      <c r="W222" s="122"/>
      <c r="X222" s="122"/>
      <c r="Y222" s="122"/>
      <c r="Z222" s="122"/>
      <c r="AA222" s="122"/>
      <c r="AB222" s="122"/>
      <c r="AC222" s="122"/>
      <c r="AD222" s="122"/>
      <c r="AE222" s="122"/>
      <c r="AF222" s="122"/>
      <c r="AG222" s="122"/>
      <c r="AH222" s="122"/>
      <c r="AI222" s="122"/>
      <c r="AJ222" s="122"/>
      <c r="AK222" s="122"/>
      <c r="AL222" s="122"/>
      <c r="AM222" s="122"/>
      <c r="AN222" s="122"/>
      <c r="AO222" s="122"/>
      <c r="AP222" s="122"/>
      <c r="AQ222" s="122"/>
      <c r="AR222" s="122"/>
    </row>
    <row r="223" spans="1:44" s="83" customFormat="1" x14ac:dyDescent="0.25">
      <c r="A223" s="61" t="s">
        <v>291</v>
      </c>
      <c r="B223" s="52">
        <f>(B206+B189+B172)/3</f>
        <v>0.85</v>
      </c>
      <c r="C223" s="52">
        <f t="shared" ref="C223:E224" si="22">(C206+C189+C172)/3</f>
        <v>0.15</v>
      </c>
      <c r="D223" s="52">
        <f t="shared" si="22"/>
        <v>0</v>
      </c>
      <c r="E223" s="52">
        <f t="shared" si="22"/>
        <v>0</v>
      </c>
      <c r="J223" s="122"/>
      <c r="K223" s="122"/>
      <c r="L223" s="122"/>
      <c r="M223" s="122"/>
      <c r="N223" s="122"/>
      <c r="O223" s="122"/>
      <c r="P223" s="122"/>
      <c r="Q223" s="122"/>
      <c r="R223" s="122"/>
      <c r="S223" s="122"/>
      <c r="T223" s="122"/>
      <c r="U223" s="122"/>
      <c r="V223" s="122"/>
      <c r="W223" s="122"/>
      <c r="X223" s="122"/>
      <c r="Y223" s="122"/>
      <c r="Z223" s="122"/>
      <c r="AA223" s="122"/>
      <c r="AB223" s="122"/>
      <c r="AC223" s="122"/>
      <c r="AD223" s="122"/>
      <c r="AE223" s="122"/>
      <c r="AF223" s="122"/>
      <c r="AG223" s="122"/>
      <c r="AH223" s="122"/>
      <c r="AI223" s="122"/>
      <c r="AJ223" s="122"/>
      <c r="AK223" s="122"/>
      <c r="AL223" s="122"/>
      <c r="AM223" s="122"/>
      <c r="AN223" s="122"/>
      <c r="AO223" s="122"/>
      <c r="AP223" s="122"/>
      <c r="AQ223" s="122"/>
      <c r="AR223" s="122"/>
    </row>
    <row r="224" spans="1:44" s="83" customFormat="1" x14ac:dyDescent="0.25">
      <c r="A224" s="61" t="s">
        <v>289</v>
      </c>
      <c r="B224" s="52">
        <f>(B207+B190+B173)/3</f>
        <v>0.41666666666666669</v>
      </c>
      <c r="C224" s="52">
        <f t="shared" si="22"/>
        <v>0.58333333333333337</v>
      </c>
      <c r="D224" s="52">
        <f t="shared" si="22"/>
        <v>0</v>
      </c>
      <c r="E224" s="52">
        <f t="shared" si="22"/>
        <v>0</v>
      </c>
      <c r="J224" s="122"/>
      <c r="K224" s="122"/>
      <c r="L224" s="122"/>
      <c r="M224" s="122"/>
      <c r="N224" s="122"/>
      <c r="O224" s="122"/>
      <c r="P224" s="122"/>
      <c r="Q224" s="122"/>
      <c r="R224" s="122"/>
      <c r="S224" s="122"/>
      <c r="T224" s="122"/>
      <c r="U224" s="122"/>
      <c r="V224" s="122"/>
      <c r="W224" s="122"/>
      <c r="X224" s="122"/>
      <c r="Y224" s="122"/>
      <c r="Z224" s="122"/>
      <c r="AA224" s="122"/>
      <c r="AB224" s="122"/>
      <c r="AC224" s="122"/>
      <c r="AD224" s="122"/>
      <c r="AE224" s="122"/>
      <c r="AF224" s="122"/>
      <c r="AG224" s="122"/>
      <c r="AH224" s="122"/>
      <c r="AI224" s="122"/>
      <c r="AJ224" s="122"/>
      <c r="AK224" s="122"/>
      <c r="AL224" s="122"/>
      <c r="AM224" s="122"/>
      <c r="AN224" s="122"/>
      <c r="AO224" s="122"/>
      <c r="AP224" s="122"/>
      <c r="AQ224" s="122"/>
      <c r="AR224" s="122"/>
    </row>
    <row r="225" spans="1:44" s="83" customFormat="1" x14ac:dyDescent="0.25">
      <c r="A225" s="61" t="s">
        <v>142</v>
      </c>
      <c r="B225" s="52">
        <f t="shared" ref="B225:E231" si="23">(B208+B191+B174)/3</f>
        <v>0.375</v>
      </c>
      <c r="C225" s="52">
        <f t="shared" si="23"/>
        <v>0.625</v>
      </c>
      <c r="D225" s="52">
        <f t="shared" si="23"/>
        <v>0</v>
      </c>
      <c r="E225" s="52">
        <f t="shared" si="23"/>
        <v>0</v>
      </c>
      <c r="J225" s="122"/>
      <c r="K225" s="122"/>
      <c r="L225" s="122"/>
      <c r="M225" s="122"/>
      <c r="N225" s="122"/>
      <c r="O225" s="122"/>
      <c r="P225" s="122"/>
      <c r="Q225" s="122"/>
      <c r="R225" s="122"/>
      <c r="S225" s="122"/>
      <c r="T225" s="122"/>
      <c r="U225" s="122"/>
      <c r="V225" s="122"/>
      <c r="W225" s="122"/>
      <c r="X225" s="122"/>
      <c r="Y225" s="122"/>
      <c r="Z225" s="122"/>
      <c r="AA225" s="122"/>
      <c r="AB225" s="122"/>
      <c r="AC225" s="122"/>
      <c r="AD225" s="122"/>
      <c r="AE225" s="122"/>
      <c r="AF225" s="122"/>
      <c r="AG225" s="122"/>
      <c r="AH225" s="122"/>
      <c r="AI225" s="122"/>
      <c r="AJ225" s="122"/>
      <c r="AK225" s="122"/>
      <c r="AL225" s="122"/>
      <c r="AM225" s="122"/>
      <c r="AN225" s="122"/>
      <c r="AO225" s="122"/>
      <c r="AP225" s="122"/>
      <c r="AQ225" s="122"/>
      <c r="AR225" s="122"/>
    </row>
    <row r="226" spans="1:44" s="83" customFormat="1" x14ac:dyDescent="0.25">
      <c r="A226" s="61" t="s">
        <v>290</v>
      </c>
      <c r="B226" s="52">
        <f t="shared" si="23"/>
        <v>0.72222222222222221</v>
      </c>
      <c r="C226" s="52">
        <f t="shared" si="23"/>
        <v>0.27777777777777773</v>
      </c>
      <c r="D226" s="52">
        <f t="shared" si="23"/>
        <v>0</v>
      </c>
      <c r="E226" s="52">
        <f t="shared" si="23"/>
        <v>0</v>
      </c>
      <c r="J226" s="122"/>
      <c r="K226" s="122"/>
      <c r="L226" s="122"/>
      <c r="M226" s="122"/>
      <c r="N226" s="122"/>
      <c r="O226" s="122"/>
      <c r="P226" s="122"/>
      <c r="Q226" s="122"/>
      <c r="R226" s="122"/>
      <c r="S226" s="122"/>
      <c r="T226" s="122"/>
      <c r="U226" s="122"/>
      <c r="V226" s="122"/>
      <c r="W226" s="122"/>
      <c r="X226" s="122"/>
      <c r="Y226" s="122"/>
      <c r="Z226" s="122"/>
      <c r="AA226" s="122"/>
      <c r="AB226" s="122"/>
      <c r="AC226" s="122"/>
      <c r="AD226" s="122"/>
      <c r="AE226" s="122"/>
      <c r="AF226" s="122"/>
      <c r="AG226" s="122"/>
      <c r="AH226" s="122"/>
      <c r="AI226" s="122"/>
      <c r="AJ226" s="122"/>
      <c r="AK226" s="122"/>
      <c r="AL226" s="122"/>
      <c r="AM226" s="122"/>
      <c r="AN226" s="122"/>
      <c r="AO226" s="122"/>
      <c r="AP226" s="122"/>
      <c r="AQ226" s="122"/>
      <c r="AR226" s="122"/>
    </row>
    <row r="227" spans="1:44" s="83" customFormat="1" x14ac:dyDescent="0.25">
      <c r="A227" s="61" t="s">
        <v>144</v>
      </c>
      <c r="B227" s="52">
        <f t="shared" si="23"/>
        <v>0.27777777777777773</v>
      </c>
      <c r="C227" s="52">
        <f t="shared" si="23"/>
        <v>0.72222222222222221</v>
      </c>
      <c r="D227" s="52">
        <f t="shared" si="23"/>
        <v>0</v>
      </c>
      <c r="E227" s="52">
        <f t="shared" si="23"/>
        <v>0</v>
      </c>
      <c r="J227" s="122"/>
      <c r="K227" s="122"/>
      <c r="L227" s="122"/>
      <c r="M227" s="122"/>
      <c r="N227" s="122"/>
      <c r="O227" s="122"/>
      <c r="P227" s="122"/>
      <c r="Q227" s="122"/>
      <c r="R227" s="122"/>
      <c r="S227" s="122"/>
      <c r="T227" s="122"/>
      <c r="U227" s="122"/>
      <c r="V227" s="122"/>
      <c r="W227" s="122"/>
      <c r="X227" s="122"/>
      <c r="Y227" s="122"/>
      <c r="Z227" s="122"/>
      <c r="AA227" s="122"/>
      <c r="AB227" s="122"/>
      <c r="AC227" s="122"/>
      <c r="AD227" s="122"/>
      <c r="AE227" s="122"/>
      <c r="AF227" s="122"/>
      <c r="AG227" s="122"/>
      <c r="AH227" s="122"/>
      <c r="AI227" s="122"/>
      <c r="AJ227" s="122"/>
      <c r="AK227" s="122"/>
      <c r="AL227" s="122"/>
      <c r="AM227" s="122"/>
      <c r="AN227" s="122"/>
      <c r="AO227" s="122"/>
      <c r="AP227" s="122"/>
      <c r="AQ227" s="122"/>
      <c r="AR227" s="122"/>
    </row>
    <row r="228" spans="1:44" s="83" customFormat="1" x14ac:dyDescent="0.25">
      <c r="A228" s="61" t="s">
        <v>287</v>
      </c>
      <c r="B228" s="52">
        <f t="shared" si="23"/>
        <v>0.66666666666666663</v>
      </c>
      <c r="C228" s="52">
        <f t="shared" si="23"/>
        <v>0.33333333333333331</v>
      </c>
      <c r="D228" s="52">
        <f t="shared" si="23"/>
        <v>0</v>
      </c>
      <c r="E228" s="52">
        <f t="shared" si="23"/>
        <v>0</v>
      </c>
      <c r="J228" s="122"/>
      <c r="K228" s="122"/>
      <c r="L228" s="122"/>
      <c r="M228" s="122"/>
      <c r="N228" s="122"/>
      <c r="O228" s="122"/>
      <c r="P228" s="122"/>
      <c r="Q228" s="122"/>
      <c r="R228" s="122"/>
      <c r="S228" s="122"/>
      <c r="T228" s="122"/>
      <c r="U228" s="122"/>
      <c r="V228" s="122"/>
      <c r="W228" s="122"/>
      <c r="X228" s="122"/>
      <c r="Y228" s="122"/>
      <c r="Z228" s="122"/>
      <c r="AA228" s="122"/>
      <c r="AB228" s="122"/>
      <c r="AC228" s="122"/>
      <c r="AD228" s="122"/>
      <c r="AE228" s="122"/>
      <c r="AF228" s="122"/>
      <c r="AG228" s="122"/>
      <c r="AH228" s="122"/>
      <c r="AI228" s="122"/>
      <c r="AJ228" s="122"/>
      <c r="AK228" s="122"/>
      <c r="AL228" s="122"/>
      <c r="AM228" s="122"/>
      <c r="AN228" s="122"/>
      <c r="AO228" s="122"/>
      <c r="AP228" s="122"/>
      <c r="AQ228" s="122"/>
      <c r="AR228" s="122"/>
    </row>
    <row r="229" spans="1:44" s="83" customFormat="1" x14ac:dyDescent="0.25">
      <c r="A229" s="61" t="s">
        <v>79</v>
      </c>
      <c r="B229" s="52">
        <f t="shared" si="23"/>
        <v>0.66666666666666663</v>
      </c>
      <c r="C229" s="52">
        <f t="shared" si="23"/>
        <v>0.33333333333333331</v>
      </c>
      <c r="D229" s="52">
        <f t="shared" si="23"/>
        <v>0</v>
      </c>
      <c r="E229" s="52">
        <f t="shared" si="23"/>
        <v>0</v>
      </c>
      <c r="J229" s="122"/>
      <c r="K229" s="122"/>
      <c r="L229" s="122"/>
      <c r="M229" s="122"/>
      <c r="N229" s="122"/>
      <c r="O229" s="122"/>
      <c r="P229" s="122"/>
      <c r="Q229" s="122"/>
      <c r="R229" s="122"/>
      <c r="S229" s="122"/>
      <c r="T229" s="122"/>
      <c r="U229" s="122"/>
      <c r="V229" s="122"/>
      <c r="W229" s="122"/>
      <c r="X229" s="122"/>
      <c r="Y229" s="122"/>
      <c r="Z229" s="122"/>
      <c r="AA229" s="122"/>
      <c r="AB229" s="122"/>
      <c r="AC229" s="122"/>
      <c r="AD229" s="122"/>
      <c r="AE229" s="122"/>
      <c r="AF229" s="122"/>
      <c r="AG229" s="122"/>
      <c r="AH229" s="122"/>
      <c r="AI229" s="122"/>
      <c r="AJ229" s="122"/>
      <c r="AK229" s="122"/>
      <c r="AL229" s="122"/>
      <c r="AM229" s="122"/>
      <c r="AN229" s="122"/>
      <c r="AO229" s="122"/>
      <c r="AP229" s="122"/>
      <c r="AQ229" s="122"/>
      <c r="AR229" s="122"/>
    </row>
    <row r="230" spans="1:44" s="83" customFormat="1" x14ac:dyDescent="0.25">
      <c r="A230" s="61" t="s">
        <v>283</v>
      </c>
      <c r="B230" s="52">
        <f t="shared" si="23"/>
        <v>0.54166666666666663</v>
      </c>
      <c r="C230" s="52">
        <f t="shared" si="23"/>
        <v>0.29166666666666669</v>
      </c>
      <c r="D230" s="52">
        <f t="shared" si="23"/>
        <v>3.3333333333333333E-2</v>
      </c>
      <c r="E230" s="52">
        <f t="shared" si="23"/>
        <v>0.13333333333333333</v>
      </c>
      <c r="J230" s="122"/>
      <c r="K230" s="122"/>
      <c r="L230" s="122"/>
      <c r="M230" s="122"/>
      <c r="N230" s="122"/>
      <c r="O230" s="122"/>
      <c r="P230" s="122"/>
      <c r="Q230" s="122"/>
      <c r="R230" s="122"/>
      <c r="S230" s="122"/>
      <c r="T230" s="122"/>
      <c r="U230" s="122"/>
      <c r="V230" s="122"/>
      <c r="W230" s="122"/>
      <c r="X230" s="122"/>
      <c r="Y230" s="122"/>
      <c r="Z230" s="122"/>
      <c r="AA230" s="122"/>
      <c r="AB230" s="122"/>
      <c r="AC230" s="122"/>
      <c r="AD230" s="122"/>
      <c r="AE230" s="122"/>
      <c r="AF230" s="122"/>
      <c r="AG230" s="122"/>
      <c r="AH230" s="122"/>
      <c r="AI230" s="122"/>
      <c r="AJ230" s="122"/>
      <c r="AK230" s="122"/>
      <c r="AL230" s="122"/>
      <c r="AM230" s="122"/>
      <c r="AN230" s="122"/>
      <c r="AO230" s="122"/>
      <c r="AP230" s="122"/>
      <c r="AQ230" s="122"/>
      <c r="AR230" s="122"/>
    </row>
    <row r="231" spans="1:44" s="83" customFormat="1" ht="15.75" thickBot="1" x14ac:dyDescent="0.3">
      <c r="A231" s="62" t="s">
        <v>284</v>
      </c>
      <c r="B231" s="52">
        <f>(B214+B197+B180)/3</f>
        <v>0.1875</v>
      </c>
      <c r="C231" s="52">
        <f t="shared" si="23"/>
        <v>0.64583333333333337</v>
      </c>
      <c r="D231" s="52">
        <f t="shared" si="23"/>
        <v>0</v>
      </c>
      <c r="E231" s="52">
        <f>(E214+E197+E180)/3</f>
        <v>0.16666666666666666</v>
      </c>
      <c r="J231" s="122"/>
      <c r="K231" s="122"/>
      <c r="L231" s="122"/>
      <c r="M231" s="122"/>
      <c r="N231" s="122"/>
      <c r="O231" s="122"/>
      <c r="P231" s="122"/>
      <c r="Q231" s="122"/>
      <c r="R231" s="122"/>
      <c r="S231" s="122"/>
      <c r="T231" s="122"/>
      <c r="U231" s="122"/>
      <c r="V231" s="122"/>
      <c r="W231" s="122"/>
      <c r="X231" s="122"/>
      <c r="Y231" s="122"/>
      <c r="Z231" s="122"/>
      <c r="AA231" s="122"/>
      <c r="AB231" s="122"/>
      <c r="AC231" s="122"/>
      <c r="AD231" s="122"/>
      <c r="AE231" s="122"/>
      <c r="AF231" s="122"/>
      <c r="AG231" s="122"/>
      <c r="AH231" s="122"/>
      <c r="AI231" s="122"/>
      <c r="AJ231" s="122"/>
      <c r="AK231" s="122"/>
      <c r="AL231" s="122"/>
      <c r="AM231" s="122"/>
      <c r="AN231" s="122"/>
      <c r="AO231" s="122"/>
      <c r="AP231" s="122"/>
      <c r="AQ231" s="122"/>
      <c r="AR231" s="122"/>
    </row>
    <row r="232" spans="1:44" s="83" customFormat="1" x14ac:dyDescent="0.25">
      <c r="A232" s="65" t="s">
        <v>149</v>
      </c>
      <c r="B232" s="67">
        <f>SUM(B223:B231)</f>
        <v>4.7041666666666666</v>
      </c>
      <c r="C232" s="67">
        <f>SUM(C223:C231)</f>
        <v>3.9625000000000004</v>
      </c>
      <c r="D232" s="67">
        <f>SUM(D223:D231)</f>
        <v>3.3333333333333333E-2</v>
      </c>
      <c r="E232" s="69">
        <f>SUM(E223:E231)</f>
        <v>0.3</v>
      </c>
      <c r="J232" s="122"/>
      <c r="K232" s="122"/>
      <c r="L232" s="122"/>
      <c r="M232" s="122"/>
      <c r="N232" s="122"/>
      <c r="O232" s="122"/>
      <c r="P232" s="122"/>
      <c r="Q232" s="122"/>
      <c r="R232" s="122"/>
      <c r="S232" s="122"/>
      <c r="T232" s="122"/>
      <c r="U232" s="122"/>
      <c r="V232" s="122"/>
      <c r="W232" s="122"/>
      <c r="X232" s="122"/>
      <c r="Y232" s="122"/>
      <c r="Z232" s="122"/>
      <c r="AA232" s="122"/>
      <c r="AB232" s="122"/>
      <c r="AC232" s="122"/>
      <c r="AD232" s="122"/>
      <c r="AE232" s="122"/>
      <c r="AF232" s="122"/>
      <c r="AG232" s="122"/>
      <c r="AH232" s="122"/>
      <c r="AI232" s="122"/>
      <c r="AJ232" s="122"/>
      <c r="AK232" s="122"/>
      <c r="AL232" s="122"/>
      <c r="AM232" s="122"/>
      <c r="AN232" s="122"/>
      <c r="AO232" s="122"/>
      <c r="AP232" s="122"/>
      <c r="AQ232" s="122"/>
      <c r="AR232" s="122"/>
    </row>
    <row r="233" spans="1:44" s="83" customFormat="1" ht="15.75" thickBot="1" x14ac:dyDescent="0.3">
      <c r="A233" s="66" t="s">
        <v>150</v>
      </c>
      <c r="B233" s="68">
        <f>AVERAGE(B223:B231)</f>
        <v>0.52268518518518514</v>
      </c>
      <c r="C233" s="68">
        <f>AVERAGE(C223:C231)</f>
        <v>0.44027777777777782</v>
      </c>
      <c r="D233" s="68">
        <f>AVERAGE(D223:D231)</f>
        <v>3.7037037037037038E-3</v>
      </c>
      <c r="E233" s="70">
        <f>AVERAGE(E223:E231)</f>
        <v>3.3333333333333333E-2</v>
      </c>
      <c r="J233" s="122"/>
      <c r="K233" s="122"/>
      <c r="L233" s="122"/>
      <c r="M233" s="122"/>
      <c r="N233" s="122"/>
      <c r="O233" s="122"/>
      <c r="P233" s="122"/>
      <c r="Q233" s="122"/>
      <c r="R233" s="122"/>
      <c r="S233" s="122"/>
      <c r="T233" s="122"/>
      <c r="U233" s="122"/>
      <c r="V233" s="122"/>
      <c r="W233" s="122"/>
      <c r="X233" s="122"/>
      <c r="Y233" s="122"/>
      <c r="Z233" s="122"/>
      <c r="AA233" s="122"/>
      <c r="AB233" s="122"/>
      <c r="AC233" s="122"/>
      <c r="AD233" s="122"/>
      <c r="AE233" s="122"/>
      <c r="AF233" s="122"/>
      <c r="AG233" s="122"/>
      <c r="AH233" s="122"/>
      <c r="AI233" s="122"/>
      <c r="AJ233" s="122"/>
      <c r="AK233" s="122"/>
      <c r="AL233" s="122"/>
      <c r="AM233" s="122"/>
      <c r="AN233" s="122"/>
      <c r="AO233" s="122"/>
      <c r="AP233" s="122"/>
      <c r="AQ233" s="122"/>
      <c r="AR233" s="122"/>
    </row>
  </sheetData>
  <mergeCells count="39">
    <mergeCell ref="C167:E168"/>
    <mergeCell ref="J167:L168"/>
    <mergeCell ref="Q167:S168"/>
    <mergeCell ref="X167:Z168"/>
    <mergeCell ref="A169:A170"/>
    <mergeCell ref="B169:E169"/>
    <mergeCell ref="H169:H170"/>
    <mergeCell ref="I169:L169"/>
    <mergeCell ref="O169:O170"/>
    <mergeCell ref="P169:S169"/>
    <mergeCell ref="V169:V170"/>
    <mergeCell ref="W169:Z169"/>
    <mergeCell ref="C184:E185"/>
    <mergeCell ref="J184:L185"/>
    <mergeCell ref="Q184:S185"/>
    <mergeCell ref="X184:Z185"/>
    <mergeCell ref="A186:A187"/>
    <mergeCell ref="B186:E186"/>
    <mergeCell ref="H186:H187"/>
    <mergeCell ref="I186:L186"/>
    <mergeCell ref="O186:O187"/>
    <mergeCell ref="V186:V187"/>
    <mergeCell ref="W186:Z186"/>
    <mergeCell ref="C201:E202"/>
    <mergeCell ref="J201:L202"/>
    <mergeCell ref="Q201:S202"/>
    <mergeCell ref="X201:Z202"/>
    <mergeCell ref="P186:S186"/>
    <mergeCell ref="V203:V204"/>
    <mergeCell ref="W203:Z203"/>
    <mergeCell ref="C218:E219"/>
    <mergeCell ref="A220:A221"/>
    <mergeCell ref="B220:E220"/>
    <mergeCell ref="A203:A204"/>
    <mergeCell ref="B203:E203"/>
    <mergeCell ref="H203:H204"/>
    <mergeCell ref="I203:L203"/>
    <mergeCell ref="O203:O204"/>
    <mergeCell ref="P203:S203"/>
  </mergeCells>
  <pageMargins left="0.7" right="0.7" top="0.75" bottom="0.75" header="0.3" footer="0.3"/>
  <tableParts count="3">
    <tablePart r:id="rId1"/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38"/>
  <sheetViews>
    <sheetView workbookViewId="0">
      <selection activeCell="F2" sqref="F2:H32"/>
    </sheetView>
  </sheetViews>
  <sheetFormatPr defaultRowHeight="15" x14ac:dyDescent="0.25"/>
  <cols>
    <col min="1" max="1" width="1.7109375" customWidth="1"/>
    <col min="2" max="2" width="30.7109375" bestFit="1" customWidth="1"/>
    <col min="3" max="4" width="9.140625" style="80"/>
    <col min="5" max="5" width="3.7109375" style="80" customWidth="1"/>
    <col min="6" max="6" width="30.7109375" bestFit="1" customWidth="1"/>
    <col min="7" max="9" width="9.140625" style="80"/>
    <col min="10" max="10" width="30.7109375" bestFit="1" customWidth="1"/>
  </cols>
  <sheetData>
    <row r="2" spans="2:12" ht="16.5" x14ac:dyDescent="0.25">
      <c r="B2" s="43" t="s">
        <v>196</v>
      </c>
      <c r="C2" s="81"/>
      <c r="D2" s="81"/>
      <c r="F2" s="43" t="s">
        <v>215</v>
      </c>
      <c r="G2" s="81"/>
      <c r="J2" s="43" t="s">
        <v>191</v>
      </c>
      <c r="K2" s="81"/>
      <c r="L2" s="81"/>
    </row>
    <row r="3" spans="2:12" x14ac:dyDescent="0.25">
      <c r="B3" s="82" t="s">
        <v>192</v>
      </c>
      <c r="C3" s="81" t="s">
        <v>26</v>
      </c>
      <c r="D3" s="81"/>
      <c r="F3" s="82" t="s">
        <v>216</v>
      </c>
      <c r="G3" s="81" t="s">
        <v>26</v>
      </c>
      <c r="H3" s="81"/>
      <c r="J3" s="82" t="s">
        <v>216</v>
      </c>
      <c r="K3" s="81" t="s">
        <v>26</v>
      </c>
      <c r="L3" s="81"/>
    </row>
    <row r="4" spans="2:12" x14ac:dyDescent="0.25">
      <c r="B4" s="82"/>
      <c r="C4" s="81" t="s">
        <v>27</v>
      </c>
      <c r="D4" s="81"/>
      <c r="F4" s="82"/>
      <c r="G4" s="81" t="s">
        <v>27</v>
      </c>
      <c r="H4" s="81"/>
      <c r="J4" s="82"/>
      <c r="K4" s="81" t="s">
        <v>27</v>
      </c>
      <c r="L4" s="81"/>
    </row>
    <row r="5" spans="2:12" x14ac:dyDescent="0.25">
      <c r="B5" s="82"/>
      <c r="C5" s="81" t="s">
        <v>28</v>
      </c>
      <c r="D5" s="81"/>
      <c r="F5" s="82"/>
      <c r="G5" s="81" t="s">
        <v>28</v>
      </c>
      <c r="H5" s="81"/>
      <c r="J5" s="82"/>
      <c r="K5" s="81" t="s">
        <v>28</v>
      </c>
      <c r="L5" s="81"/>
    </row>
    <row r="6" spans="2:12" x14ac:dyDescent="0.25">
      <c r="B6" s="82"/>
      <c r="C6" s="81" t="s">
        <v>29</v>
      </c>
      <c r="D6" s="81"/>
      <c r="F6" s="82"/>
      <c r="G6" s="81" t="s">
        <v>29</v>
      </c>
      <c r="H6" s="81"/>
      <c r="J6" s="82"/>
      <c r="K6" s="81" t="s">
        <v>29</v>
      </c>
      <c r="L6" s="81"/>
    </row>
    <row r="7" spans="2:12" x14ac:dyDescent="0.25">
      <c r="B7" s="82" t="s">
        <v>193</v>
      </c>
      <c r="C7" s="81" t="s">
        <v>31</v>
      </c>
      <c r="D7" s="81"/>
      <c r="F7" s="82" t="s">
        <v>217</v>
      </c>
      <c r="G7" s="81" t="s">
        <v>31</v>
      </c>
      <c r="H7" s="81"/>
      <c r="J7" s="82"/>
      <c r="K7" s="81" t="s">
        <v>30</v>
      </c>
      <c r="L7" s="81"/>
    </row>
    <row r="8" spans="2:12" x14ac:dyDescent="0.25">
      <c r="B8" s="82"/>
      <c r="C8" s="81" t="s">
        <v>32</v>
      </c>
      <c r="D8" s="81"/>
      <c r="F8" s="82"/>
      <c r="G8" s="81" t="s">
        <v>32</v>
      </c>
      <c r="H8" s="81"/>
      <c r="J8" s="82" t="s">
        <v>217</v>
      </c>
      <c r="K8" s="81" t="s">
        <v>31</v>
      </c>
      <c r="L8" s="81"/>
    </row>
    <row r="9" spans="2:12" x14ac:dyDescent="0.25">
      <c r="B9" s="82"/>
      <c r="C9" s="81" t="s">
        <v>194</v>
      </c>
      <c r="D9" s="81"/>
      <c r="F9" s="82" t="s">
        <v>195</v>
      </c>
      <c r="G9" s="81" t="s">
        <v>33</v>
      </c>
      <c r="H9" s="81"/>
      <c r="J9" s="82"/>
      <c r="K9" s="81" t="s">
        <v>32</v>
      </c>
      <c r="L9" s="81"/>
    </row>
    <row r="10" spans="2:12" x14ac:dyDescent="0.25">
      <c r="B10" s="82" t="s">
        <v>195</v>
      </c>
      <c r="C10" s="81" t="s">
        <v>33</v>
      </c>
      <c r="D10" s="81"/>
      <c r="F10" s="82"/>
      <c r="G10" s="81" t="s">
        <v>34</v>
      </c>
      <c r="H10" s="81"/>
      <c r="J10" s="82" t="s">
        <v>195</v>
      </c>
      <c r="K10" s="81" t="s">
        <v>33</v>
      </c>
      <c r="L10" s="81"/>
    </row>
    <row r="11" spans="2:12" x14ac:dyDescent="0.25">
      <c r="B11" s="82"/>
      <c r="C11" s="81" t="s">
        <v>34</v>
      </c>
      <c r="D11" s="81"/>
      <c r="F11" s="82" t="s">
        <v>218</v>
      </c>
      <c r="G11" s="81" t="s">
        <v>35</v>
      </c>
      <c r="H11" s="81"/>
      <c r="J11" s="82"/>
      <c r="K11" s="81" t="s">
        <v>34</v>
      </c>
      <c r="L11" s="81"/>
    </row>
    <row r="12" spans="2:12" x14ac:dyDescent="0.25">
      <c r="B12" s="82" t="s">
        <v>197</v>
      </c>
      <c r="C12" s="81" t="s">
        <v>35</v>
      </c>
      <c r="D12" s="81"/>
      <c r="F12" s="82"/>
      <c r="G12" s="81" t="s">
        <v>36</v>
      </c>
      <c r="H12" s="81"/>
      <c r="J12" s="82" t="s">
        <v>218</v>
      </c>
      <c r="K12" s="81" t="s">
        <v>35</v>
      </c>
      <c r="L12" s="81"/>
    </row>
    <row r="13" spans="2:12" x14ac:dyDescent="0.25">
      <c r="B13" s="82"/>
      <c r="C13" s="81" t="s">
        <v>36</v>
      </c>
      <c r="D13" s="81"/>
      <c r="F13" s="82" t="s">
        <v>199</v>
      </c>
      <c r="G13" s="81" t="s">
        <v>37</v>
      </c>
      <c r="H13" s="81"/>
      <c r="J13" s="82"/>
      <c r="K13" s="81" t="s">
        <v>36</v>
      </c>
      <c r="L13" s="81"/>
    </row>
    <row r="14" spans="2:12" x14ac:dyDescent="0.25">
      <c r="B14" s="82"/>
      <c r="C14" s="81" t="s">
        <v>198</v>
      </c>
      <c r="D14" s="81"/>
      <c r="F14" s="82"/>
      <c r="G14" s="81" t="s">
        <v>38</v>
      </c>
      <c r="H14" s="81"/>
      <c r="J14" s="82"/>
      <c r="K14" s="81" t="s">
        <v>198</v>
      </c>
      <c r="L14" s="81"/>
    </row>
    <row r="15" spans="2:12" x14ac:dyDescent="0.25">
      <c r="B15" s="82" t="s">
        <v>199</v>
      </c>
      <c r="C15" s="81" t="s">
        <v>37</v>
      </c>
      <c r="D15" s="81"/>
      <c r="F15" s="82"/>
      <c r="G15" s="81" t="s">
        <v>39</v>
      </c>
      <c r="H15" s="81"/>
      <c r="J15" s="82" t="s">
        <v>199</v>
      </c>
      <c r="K15" s="81" t="s">
        <v>37</v>
      </c>
      <c r="L15" s="81"/>
    </row>
    <row r="16" spans="2:12" x14ac:dyDescent="0.25">
      <c r="B16" s="82"/>
      <c r="C16" s="81" t="s">
        <v>38</v>
      </c>
      <c r="D16" s="81"/>
      <c r="F16" s="82"/>
      <c r="G16" s="81" t="s">
        <v>200</v>
      </c>
      <c r="H16" s="81"/>
      <c r="J16" s="82"/>
      <c r="K16" s="81" t="s">
        <v>38</v>
      </c>
      <c r="L16" s="81"/>
    </row>
    <row r="17" spans="2:12" x14ac:dyDescent="0.25">
      <c r="B17" s="82"/>
      <c r="C17" s="81" t="s">
        <v>39</v>
      </c>
      <c r="D17" s="81"/>
      <c r="F17" s="82" t="s">
        <v>201</v>
      </c>
      <c r="G17" s="81" t="s">
        <v>40</v>
      </c>
      <c r="H17" s="81"/>
      <c r="J17" s="82"/>
      <c r="K17" s="81" t="s">
        <v>39</v>
      </c>
      <c r="L17" s="81"/>
    </row>
    <row r="18" spans="2:12" x14ac:dyDescent="0.25">
      <c r="B18" s="82"/>
      <c r="C18" s="81" t="s">
        <v>200</v>
      </c>
      <c r="D18" s="81"/>
      <c r="F18" s="82"/>
      <c r="G18" s="81" t="s">
        <v>41</v>
      </c>
      <c r="H18" s="81"/>
      <c r="J18" s="82" t="s">
        <v>201</v>
      </c>
      <c r="K18" s="81" t="s">
        <v>40</v>
      </c>
      <c r="L18" s="81"/>
    </row>
    <row r="19" spans="2:12" x14ac:dyDescent="0.25">
      <c r="B19" s="82" t="s">
        <v>201</v>
      </c>
      <c r="C19" s="81" t="s">
        <v>40</v>
      </c>
      <c r="D19" s="81"/>
      <c r="F19" s="82"/>
      <c r="G19" s="81" t="s">
        <v>202</v>
      </c>
      <c r="H19" s="81"/>
      <c r="J19" s="82"/>
      <c r="K19" s="81" t="s">
        <v>41</v>
      </c>
      <c r="L19" s="81"/>
    </row>
    <row r="20" spans="2:12" x14ac:dyDescent="0.25">
      <c r="B20" s="82"/>
      <c r="C20" s="81" t="s">
        <v>41</v>
      </c>
      <c r="D20" s="81"/>
      <c r="F20" s="82" t="s">
        <v>203</v>
      </c>
      <c r="G20" s="81" t="s">
        <v>42</v>
      </c>
      <c r="H20" s="81"/>
      <c r="J20" s="82"/>
      <c r="K20" s="81" t="s">
        <v>202</v>
      </c>
      <c r="L20" s="81"/>
    </row>
    <row r="21" spans="2:12" x14ac:dyDescent="0.25">
      <c r="B21" s="82"/>
      <c r="C21" s="81" t="s">
        <v>202</v>
      </c>
      <c r="D21" s="81"/>
      <c r="F21" s="82"/>
      <c r="G21" s="81" t="s">
        <v>43</v>
      </c>
      <c r="H21" s="81"/>
      <c r="J21" s="82" t="s">
        <v>203</v>
      </c>
      <c r="K21" s="81" t="s">
        <v>42</v>
      </c>
      <c r="L21" s="81"/>
    </row>
    <row r="22" spans="2:12" x14ac:dyDescent="0.25">
      <c r="B22" s="82" t="s">
        <v>203</v>
      </c>
      <c r="C22" s="81" t="s">
        <v>42</v>
      </c>
      <c r="D22" s="81"/>
      <c r="F22" s="82"/>
      <c r="G22" s="81" t="s">
        <v>44</v>
      </c>
      <c r="H22" s="81"/>
      <c r="J22" s="82"/>
      <c r="K22" s="81" t="s">
        <v>43</v>
      </c>
      <c r="L22" s="81"/>
    </row>
    <row r="23" spans="2:12" x14ac:dyDescent="0.25">
      <c r="B23" s="82"/>
      <c r="C23" s="81" t="s">
        <v>43</v>
      </c>
      <c r="D23" s="81"/>
      <c r="F23" s="82"/>
      <c r="G23" s="81" t="s">
        <v>45</v>
      </c>
      <c r="H23" s="81"/>
      <c r="J23" s="82"/>
      <c r="K23" s="81" t="s">
        <v>44</v>
      </c>
      <c r="L23" s="81"/>
    </row>
    <row r="24" spans="2:12" x14ac:dyDescent="0.25">
      <c r="B24" s="82"/>
      <c r="C24" s="81" t="s">
        <v>44</v>
      </c>
      <c r="D24" s="81"/>
      <c r="F24" s="82" t="s">
        <v>204</v>
      </c>
      <c r="G24" s="81" t="s">
        <v>205</v>
      </c>
      <c r="H24" s="81"/>
      <c r="J24" s="82"/>
      <c r="K24" s="81" t="s">
        <v>45</v>
      </c>
      <c r="L24" s="81"/>
    </row>
    <row r="25" spans="2:12" x14ac:dyDescent="0.25">
      <c r="B25" s="82"/>
      <c r="C25" s="81" t="s">
        <v>45</v>
      </c>
      <c r="D25" s="81"/>
      <c r="F25" s="82"/>
      <c r="G25" s="81" t="s">
        <v>206</v>
      </c>
      <c r="H25" s="81"/>
      <c r="J25" s="82" t="s">
        <v>204</v>
      </c>
      <c r="K25" s="81" t="s">
        <v>205</v>
      </c>
      <c r="L25" s="81"/>
    </row>
    <row r="26" spans="2:12" x14ac:dyDescent="0.25">
      <c r="B26" s="82" t="s">
        <v>204</v>
      </c>
      <c r="C26" s="81" t="s">
        <v>205</v>
      </c>
      <c r="D26" s="81"/>
      <c r="F26" s="82"/>
      <c r="G26" s="81" t="s">
        <v>207</v>
      </c>
      <c r="H26" s="81"/>
      <c r="J26" s="82"/>
      <c r="K26" s="81" t="s">
        <v>206</v>
      </c>
      <c r="L26" s="81"/>
    </row>
    <row r="27" spans="2:12" x14ac:dyDescent="0.25">
      <c r="B27" s="82"/>
      <c r="C27" s="81" t="s">
        <v>206</v>
      </c>
      <c r="D27" s="81"/>
      <c r="F27" s="82"/>
      <c r="G27" s="81" t="s">
        <v>208</v>
      </c>
      <c r="H27" s="81"/>
      <c r="J27" s="82"/>
      <c r="K27" s="81" t="s">
        <v>207</v>
      </c>
      <c r="L27" s="81"/>
    </row>
    <row r="28" spans="2:12" x14ac:dyDescent="0.25">
      <c r="B28" s="82"/>
      <c r="C28" s="81" t="s">
        <v>207</v>
      </c>
      <c r="D28" s="81"/>
      <c r="F28" s="82"/>
      <c r="G28" s="81" t="s">
        <v>209</v>
      </c>
      <c r="H28" s="81"/>
      <c r="J28" s="82"/>
      <c r="K28" s="81" t="s">
        <v>208</v>
      </c>
      <c r="L28" s="81"/>
    </row>
    <row r="29" spans="2:12" x14ac:dyDescent="0.25">
      <c r="B29" s="82"/>
      <c r="C29" s="81" t="s">
        <v>208</v>
      </c>
      <c r="D29" s="81"/>
      <c r="F29" s="82" t="s">
        <v>210</v>
      </c>
      <c r="G29" s="81" t="s">
        <v>211</v>
      </c>
      <c r="H29" s="81"/>
      <c r="J29" s="82"/>
      <c r="K29" s="81" t="s">
        <v>209</v>
      </c>
      <c r="L29" s="81"/>
    </row>
    <row r="30" spans="2:12" x14ac:dyDescent="0.25">
      <c r="B30" s="82"/>
      <c r="C30" s="81" t="s">
        <v>209</v>
      </c>
      <c r="D30" s="81"/>
      <c r="F30" s="82"/>
      <c r="G30" s="81" t="s">
        <v>212</v>
      </c>
      <c r="H30" s="81"/>
      <c r="J30" s="82" t="s">
        <v>210</v>
      </c>
      <c r="K30" s="81" t="s">
        <v>211</v>
      </c>
      <c r="L30" s="81"/>
    </row>
    <row r="31" spans="2:12" x14ac:dyDescent="0.25">
      <c r="B31" s="82" t="s">
        <v>210</v>
      </c>
      <c r="C31" s="81" t="s">
        <v>211</v>
      </c>
      <c r="D31" s="81"/>
      <c r="F31" s="82"/>
      <c r="G31" s="81" t="s">
        <v>213</v>
      </c>
      <c r="H31" s="81"/>
      <c r="J31" s="82"/>
      <c r="K31" s="81" t="s">
        <v>212</v>
      </c>
      <c r="L31" s="81"/>
    </row>
    <row r="32" spans="2:12" x14ac:dyDescent="0.25">
      <c r="B32" s="82"/>
      <c r="C32" s="81" t="s">
        <v>212</v>
      </c>
      <c r="D32" s="81"/>
      <c r="F32" s="82"/>
      <c r="G32" s="81" t="s">
        <v>214</v>
      </c>
      <c r="H32" s="81"/>
      <c r="J32" s="82"/>
      <c r="K32" s="81" t="s">
        <v>213</v>
      </c>
      <c r="L32" s="81"/>
    </row>
    <row r="33" spans="2:12" x14ac:dyDescent="0.25">
      <c r="B33" s="82"/>
      <c r="C33" s="81" t="s">
        <v>213</v>
      </c>
      <c r="J33" s="82"/>
      <c r="K33" s="81" t="s">
        <v>214</v>
      </c>
      <c r="L33" s="81"/>
    </row>
    <row r="34" spans="2:12" x14ac:dyDescent="0.25">
      <c r="B34" s="82"/>
      <c r="C34" s="81" t="s">
        <v>214</v>
      </c>
      <c r="G34"/>
      <c r="H34"/>
      <c r="I34"/>
    </row>
    <row r="35" spans="2:12" x14ac:dyDescent="0.25">
      <c r="G35"/>
      <c r="H35"/>
      <c r="I35"/>
    </row>
    <row r="36" spans="2:12" x14ac:dyDescent="0.25">
      <c r="G36"/>
      <c r="H36"/>
      <c r="I36"/>
    </row>
    <row r="37" spans="2:12" x14ac:dyDescent="0.25">
      <c r="G37"/>
      <c r="H37"/>
      <c r="I37"/>
    </row>
    <row r="38" spans="2:12" x14ac:dyDescent="0.25">
      <c r="G38"/>
      <c r="H38"/>
      <c r="I38"/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untuk D3 Si (2018-2020)</vt:lpstr>
      <vt:lpstr>Th. Lulus 2024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Wigananda Firdaus Putra Aditya</dc:creator>
  <cp:lastModifiedBy>Wiga</cp:lastModifiedBy>
  <cp:lastPrinted>2024-06-03T08:07:53Z</cp:lastPrinted>
  <dcterms:created xsi:type="dcterms:W3CDTF">2023-08-31T07:23:07Z</dcterms:created>
  <dcterms:modified xsi:type="dcterms:W3CDTF">2025-10-06T01:17:38Z</dcterms:modified>
</cp:coreProperties>
</file>