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shortcut-targets-by-id\0BxW4gAKLnduJMlh3WVJoNDBvbDg\STIKOM CAREER CENTER (PUSAT LAYANAN KARIR DAN ALUMNI - PLKA)\2025\3. Kepuasan Pengguna\"/>
    </mc:Choice>
  </mc:AlternateContent>
  <bookViews>
    <workbookView xWindow="-105" yWindow="-105" windowWidth="23250" windowHeight="12450" tabRatio="821" firstSheet="3" activeTab="10"/>
  </bookViews>
  <sheets>
    <sheet name="Th. Lulus 2016" sheetId="2" r:id="rId1"/>
    <sheet name="Th. Lulus 2017" sheetId="3" r:id="rId2"/>
    <sheet name="Th. Lulus 2018" sheetId="5" r:id="rId3"/>
    <sheet name="Th. Lulus 2019" sheetId="6" r:id="rId4"/>
    <sheet name="Th. Lulus 2020" sheetId="8" r:id="rId5"/>
    <sheet name="Th. Lulus 2021" sheetId="10" r:id="rId6"/>
    <sheet name="Th. Lulus 2022" sheetId="13" r:id="rId7"/>
    <sheet name="Th. Lulus 2023" sheetId="15" r:id="rId8"/>
    <sheet name="untuk D3 Si (2018-2020)" sheetId="11" state="hidden" r:id="rId9"/>
    <sheet name="Th. Lulus 2024" sheetId="17" r:id="rId10"/>
    <sheet name="Sheet1" sheetId="14" r:id="rId11"/>
    <sheet name="Grafik Dashboard" sheetId="16" r:id="rId12"/>
    <sheet name="Sheet5" sheetId="7" state="hidden"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4" l="1"/>
  <c r="G22" i="14"/>
  <c r="G16" i="14"/>
  <c r="D17" i="14"/>
  <c r="E17" i="14"/>
  <c r="F17" i="14"/>
  <c r="G17" i="14"/>
  <c r="D18" i="14"/>
  <c r="E18" i="14"/>
  <c r="F18" i="14"/>
  <c r="G18" i="14"/>
  <c r="D19" i="14"/>
  <c r="E19" i="14"/>
  <c r="F19" i="14"/>
  <c r="G19" i="14"/>
  <c r="D20" i="14"/>
  <c r="E20" i="14"/>
  <c r="F20" i="14"/>
  <c r="G20" i="14"/>
  <c r="D21" i="14"/>
  <c r="E21" i="14"/>
  <c r="F21" i="14"/>
  <c r="G21" i="14"/>
  <c r="D22" i="14"/>
  <c r="E22" i="14"/>
  <c r="F22" i="14"/>
  <c r="E16" i="14"/>
  <c r="F16" i="14"/>
  <c r="D16" i="14"/>
  <c r="B11" i="16"/>
  <c r="X171" i="17" l="1"/>
  <c r="W171" i="17"/>
  <c r="Q171" i="17"/>
  <c r="J171" i="17"/>
  <c r="I171" i="17"/>
  <c r="C171" i="17"/>
  <c r="W127" i="17"/>
  <c r="Y129" i="17" s="1"/>
  <c r="Y133" i="17" s="1"/>
  <c r="Y210" i="17" s="1"/>
  <c r="P127" i="17"/>
  <c r="P165" i="17" s="1"/>
  <c r="I127" i="17"/>
  <c r="L158" i="17" s="1"/>
  <c r="W82" i="17"/>
  <c r="Y119" i="17" s="1"/>
  <c r="P82" i="17"/>
  <c r="S108" i="17" s="1"/>
  <c r="I82" i="17"/>
  <c r="I115" i="17" s="1"/>
  <c r="B82" i="17"/>
  <c r="D117" i="17" s="1"/>
  <c r="W36" i="17"/>
  <c r="W75" i="17" s="1"/>
  <c r="P36" i="17"/>
  <c r="S77" i="17" s="1"/>
  <c r="I36" i="17"/>
  <c r="J69" i="17" s="1"/>
  <c r="S52" i="17" l="1"/>
  <c r="J54" i="17"/>
  <c r="P60" i="17"/>
  <c r="Q45" i="17"/>
  <c r="Y52" i="17"/>
  <c r="Z56" i="17"/>
  <c r="X157" i="17"/>
  <c r="E85" i="17"/>
  <c r="S160" i="17"/>
  <c r="S164" i="17"/>
  <c r="Q166" i="17"/>
  <c r="P116" i="17"/>
  <c r="K91" i="17"/>
  <c r="Q96" i="17"/>
  <c r="S129" i="17"/>
  <c r="X68" i="17"/>
  <c r="S85" i="17"/>
  <c r="R109" i="17"/>
  <c r="P131" i="17"/>
  <c r="W90" i="17"/>
  <c r="S117" i="17"/>
  <c r="J100" i="17"/>
  <c r="S40" i="17"/>
  <c r="S69" i="17"/>
  <c r="L86" i="17"/>
  <c r="L110" i="17"/>
  <c r="S132" i="17"/>
  <c r="W97" i="17"/>
  <c r="Y84" i="17"/>
  <c r="K109" i="17"/>
  <c r="I41" i="17"/>
  <c r="R70" i="17"/>
  <c r="P86" i="17"/>
  <c r="W111" i="17"/>
  <c r="S138" i="17"/>
  <c r="X84" i="17"/>
  <c r="X60" i="17"/>
  <c r="Q40" i="17"/>
  <c r="Q43" i="17"/>
  <c r="W74" i="17"/>
  <c r="S86" i="17"/>
  <c r="K113" i="17"/>
  <c r="Q141" i="17"/>
  <c r="R93" i="17"/>
  <c r="R84" i="17"/>
  <c r="J129" i="17"/>
  <c r="Z43" i="17"/>
  <c r="P87" i="17"/>
  <c r="W113" i="17"/>
  <c r="S141" i="17"/>
  <c r="P43" i="17"/>
  <c r="X54" i="17"/>
  <c r="I71" i="17"/>
  <c r="L94" i="17"/>
  <c r="J38" i="17"/>
  <c r="X47" i="17"/>
  <c r="Z63" i="17"/>
  <c r="C88" i="17"/>
  <c r="L102" i="17"/>
  <c r="I119" i="17"/>
  <c r="L143" i="17"/>
  <c r="J71" i="17"/>
  <c r="X45" i="17"/>
  <c r="D101" i="17"/>
  <c r="K38" i="17"/>
  <c r="J50" i="17"/>
  <c r="I64" i="17"/>
  <c r="S88" i="17"/>
  <c r="Z104" i="17"/>
  <c r="S120" i="17"/>
  <c r="X145" i="17"/>
  <c r="Q61" i="17"/>
  <c r="P38" i="17"/>
  <c r="K50" i="17"/>
  <c r="X65" i="17"/>
  <c r="B84" i="17"/>
  <c r="Y88" i="17"/>
  <c r="J106" i="17"/>
  <c r="K149" i="17"/>
  <c r="Y38" i="17"/>
  <c r="Y50" i="17"/>
  <c r="S68" i="17"/>
  <c r="D90" i="17"/>
  <c r="Z106" i="17"/>
  <c r="P153" i="17"/>
  <c r="Z38" i="17"/>
  <c r="J41" i="17"/>
  <c r="W44" i="17"/>
  <c r="Y47" i="17"/>
  <c r="Z50" i="17"/>
  <c r="Y54" i="17"/>
  <c r="S59" i="17"/>
  <c r="R61" i="17"/>
  <c r="Y65" i="17"/>
  <c r="X69" i="17"/>
  <c r="Y71" i="17"/>
  <c r="Y75" i="17"/>
  <c r="C84" i="17"/>
  <c r="Y86" i="17"/>
  <c r="D88" i="17"/>
  <c r="E90" i="17"/>
  <c r="L91" i="17"/>
  <c r="P94" i="17"/>
  <c r="X97" i="17"/>
  <c r="E101" i="17"/>
  <c r="K105" i="17"/>
  <c r="B108" i="17"/>
  <c r="Z110" i="17"/>
  <c r="C114" i="17"/>
  <c r="Q116" i="17"/>
  <c r="W120" i="17"/>
  <c r="I134" i="17"/>
  <c r="L140" i="17"/>
  <c r="P143" i="17"/>
  <c r="L149" i="17"/>
  <c r="I155" i="17"/>
  <c r="K161" i="17"/>
  <c r="R166" i="17"/>
  <c r="Z74" i="17"/>
  <c r="X39" i="17"/>
  <c r="W41" i="17"/>
  <c r="X44" i="17"/>
  <c r="Z47" i="17"/>
  <c r="I51" i="17"/>
  <c r="Z54" i="17"/>
  <c r="W59" i="17"/>
  <c r="Y61" i="17"/>
  <c r="Z65" i="17"/>
  <c r="Y69" i="17"/>
  <c r="Z71" i="17"/>
  <c r="Z75" i="17"/>
  <c r="D84" i="17"/>
  <c r="W85" i="17"/>
  <c r="Z86" i="17"/>
  <c r="E88" i="17"/>
  <c r="P90" i="17"/>
  <c r="S91" i="17"/>
  <c r="Q94" i="17"/>
  <c r="Y97" i="17"/>
  <c r="P101" i="17"/>
  <c r="L105" i="17"/>
  <c r="C108" i="17"/>
  <c r="B111" i="17"/>
  <c r="D114" i="17"/>
  <c r="L117" i="17"/>
  <c r="E121" i="17"/>
  <c r="R130" i="17"/>
  <c r="J134" i="17"/>
  <c r="P140" i="17"/>
  <c r="L144" i="17"/>
  <c r="S149" i="17"/>
  <c r="Q157" i="17"/>
  <c r="L161" i="17"/>
  <c r="X71" i="17"/>
  <c r="Y39" i="17"/>
  <c r="X41" i="17"/>
  <c r="Y44" i="17"/>
  <c r="S48" i="17"/>
  <c r="X51" i="17"/>
  <c r="I55" i="17"/>
  <c r="X59" i="17"/>
  <c r="I63" i="17"/>
  <c r="X66" i="17"/>
  <c r="Z69" i="17"/>
  <c r="I72" i="17"/>
  <c r="W76" i="17"/>
  <c r="E84" i="17"/>
  <c r="X85" i="17"/>
  <c r="B87" i="17"/>
  <c r="I88" i="17"/>
  <c r="Q90" i="17"/>
  <c r="B93" i="17"/>
  <c r="R94" i="17"/>
  <c r="I98" i="17"/>
  <c r="Q101" i="17"/>
  <c r="P105" i="17"/>
  <c r="P108" i="17"/>
  <c r="C111" i="17"/>
  <c r="E114" i="17"/>
  <c r="P117" i="17"/>
  <c r="S121" i="17"/>
  <c r="S130" i="17"/>
  <c r="K134" i="17"/>
  <c r="Q140" i="17"/>
  <c r="P144" i="17"/>
  <c r="Q150" i="17"/>
  <c r="R157" i="17"/>
  <c r="S161" i="17"/>
  <c r="Z39" i="17"/>
  <c r="Y41" i="17"/>
  <c r="Z44" i="17"/>
  <c r="X48" i="17"/>
  <c r="Y51" i="17"/>
  <c r="Y55" i="17"/>
  <c r="Y59" i="17"/>
  <c r="J63" i="17"/>
  <c r="Y66" i="17"/>
  <c r="P70" i="17"/>
  <c r="J72" i="17"/>
  <c r="X76" i="17"/>
  <c r="I84" i="17"/>
  <c r="Y85" i="17"/>
  <c r="C87" i="17"/>
  <c r="J88" i="17"/>
  <c r="R90" i="17"/>
  <c r="C93" i="17"/>
  <c r="Z94" i="17"/>
  <c r="J98" i="17"/>
  <c r="R101" i="17"/>
  <c r="Q105" i="17"/>
  <c r="I109" i="17"/>
  <c r="D111" i="17"/>
  <c r="P114" i="17"/>
  <c r="Q117" i="17"/>
  <c r="Y121" i="17"/>
  <c r="Y130" i="17"/>
  <c r="L134" i="17"/>
  <c r="L141" i="17"/>
  <c r="I145" i="17"/>
  <c r="R150" i="17"/>
  <c r="S157" i="17"/>
  <c r="P163" i="17"/>
  <c r="P40" i="17"/>
  <c r="Z41" i="17"/>
  <c r="P45" i="17"/>
  <c r="Y48" i="17"/>
  <c r="Z51" i="17"/>
  <c r="W56" i="17"/>
  <c r="Z59" i="17"/>
  <c r="K63" i="17"/>
  <c r="Z66" i="17"/>
  <c r="Q70" i="17"/>
  <c r="K72" i="17"/>
  <c r="Y76" i="17"/>
  <c r="P84" i="17"/>
  <c r="Z85" i="17"/>
  <c r="D87" i="17"/>
  <c r="K88" i="17"/>
  <c r="S90" i="17"/>
  <c r="D93" i="17"/>
  <c r="P96" i="17"/>
  <c r="Z98" i="17"/>
  <c r="D102" i="17"/>
  <c r="D106" i="17"/>
  <c r="J109" i="17"/>
  <c r="E111" i="17"/>
  <c r="B115" i="17"/>
  <c r="R117" i="17"/>
  <c r="Z121" i="17"/>
  <c r="L131" i="17"/>
  <c r="P134" i="17"/>
  <c r="P141" i="17"/>
  <c r="J145" i="17"/>
  <c r="I152" i="17"/>
  <c r="W157" i="17"/>
  <c r="AA157" i="17" s="1"/>
  <c r="Q163" i="17"/>
  <c r="X72" i="17"/>
  <c r="Y77" i="17"/>
  <c r="B86" i="17"/>
  <c r="E87" i="17"/>
  <c r="E93" i="17"/>
  <c r="E100" i="17"/>
  <c r="E102" i="17"/>
  <c r="E106" i="17"/>
  <c r="C115" i="17"/>
  <c r="C122" i="17"/>
  <c r="L135" i="17"/>
  <c r="J152" i="17"/>
  <c r="J164" i="17"/>
  <c r="Z48" i="17"/>
  <c r="X56" i="17"/>
  <c r="X63" i="17"/>
  <c r="R40" i="17"/>
  <c r="L43" i="17"/>
  <c r="S45" i="17"/>
  <c r="I50" i="17"/>
  <c r="W52" i="17"/>
  <c r="Y56" i="17"/>
  <c r="S60" i="17"/>
  <c r="Y63" i="17"/>
  <c r="W68" i="17"/>
  <c r="Y70" i="17"/>
  <c r="Y72" i="17"/>
  <c r="Z77" i="17"/>
  <c r="W84" i="17"/>
  <c r="C86" i="17"/>
  <c r="I87" i="17"/>
  <c r="X88" i="17"/>
  <c r="C91" i="17"/>
  <c r="J93" i="17"/>
  <c r="Z96" i="17"/>
  <c r="I100" i="17"/>
  <c r="K102" i="17"/>
  <c r="I106" i="17"/>
  <c r="Q109" i="17"/>
  <c r="J113" i="17"/>
  <c r="D115" i="17"/>
  <c r="E119" i="17"/>
  <c r="S122" i="17"/>
  <c r="Q131" i="17"/>
  <c r="P135" i="17"/>
  <c r="R141" i="17"/>
  <c r="I146" i="17"/>
  <c r="K152" i="17"/>
  <c r="K159" i="17"/>
  <c r="K164" i="17"/>
  <c r="Z72" i="17"/>
  <c r="D91" i="17"/>
  <c r="B97" i="17"/>
  <c r="E115" i="17"/>
  <c r="L132" i="17"/>
  <c r="I137" i="17"/>
  <c r="J146" i="17"/>
  <c r="L152" i="17"/>
  <c r="L159" i="17"/>
  <c r="Q87" i="17"/>
  <c r="Z88" i="17"/>
  <c r="E91" i="17"/>
  <c r="S93" i="17"/>
  <c r="C97" i="17"/>
  <c r="K100" i="17"/>
  <c r="P102" i="17"/>
  <c r="K106" i="17"/>
  <c r="S109" i="17"/>
  <c r="L113" i="17"/>
  <c r="Y115" i="17"/>
  <c r="B120" i="17"/>
  <c r="P132" i="17"/>
  <c r="J137" i="17"/>
  <c r="I143" i="17"/>
  <c r="Q148" i="17"/>
  <c r="S152" i="17"/>
  <c r="P160" i="17"/>
  <c r="I165" i="17"/>
  <c r="X57" i="17"/>
  <c r="Y68" i="17"/>
  <c r="W38" i="17"/>
  <c r="Y40" i="17"/>
  <c r="W43" i="17"/>
  <c r="Z45" i="17"/>
  <c r="W50" i="17"/>
  <c r="K54" i="17"/>
  <c r="Y57" i="17"/>
  <c r="Z60" i="17"/>
  <c r="Y64" i="17"/>
  <c r="Z68" i="17"/>
  <c r="R71" i="17"/>
  <c r="X74" i="17"/>
  <c r="C85" i="17"/>
  <c r="Q86" i="17"/>
  <c r="R87" i="17"/>
  <c r="B90" i="17"/>
  <c r="I91" i="17"/>
  <c r="W93" i="17"/>
  <c r="D97" i="17"/>
  <c r="L100" i="17"/>
  <c r="E104" i="17"/>
  <c r="Q106" i="17"/>
  <c r="E110" i="17"/>
  <c r="P113" i="17"/>
  <c r="Z115" i="17"/>
  <c r="C120" i="17"/>
  <c r="Q132" i="17"/>
  <c r="X137" i="17"/>
  <c r="X139" i="17" s="1"/>
  <c r="X212" i="17" s="1"/>
  <c r="J143" i="17"/>
  <c r="R148" i="17"/>
  <c r="K153" i="17"/>
  <c r="Q160" i="17"/>
  <c r="J165" i="17"/>
  <c r="B189" i="17"/>
  <c r="W40" i="17"/>
  <c r="Y45" i="17"/>
  <c r="Y60" i="17"/>
  <c r="X38" i="17"/>
  <c r="Z40" i="17"/>
  <c r="Y43" i="17"/>
  <c r="W47" i="17"/>
  <c r="AA47" i="17" s="1"/>
  <c r="X50" i="17"/>
  <c r="L54" i="17"/>
  <c r="Z57" i="17"/>
  <c r="P61" i="17"/>
  <c r="W65" i="17"/>
  <c r="P69" i="17"/>
  <c r="W71" i="17"/>
  <c r="Y74" i="17"/>
  <c r="D85" i="17"/>
  <c r="R86" i="17"/>
  <c r="W87" i="17"/>
  <c r="C90" i="17"/>
  <c r="J91" i="17"/>
  <c r="K94" i="17"/>
  <c r="E97" i="17"/>
  <c r="B101" i="17"/>
  <c r="Y104" i="17"/>
  <c r="Y106" i="17"/>
  <c r="K110" i="17"/>
  <c r="Q113" i="17"/>
  <c r="E116" i="17"/>
  <c r="R120" i="17"/>
  <c r="I129" i="17"/>
  <c r="R132" i="17"/>
  <c r="R138" i="17"/>
  <c r="K143" i="17"/>
  <c r="S148" i="17"/>
  <c r="L153" i="17"/>
  <c r="R160" i="17"/>
  <c r="P166" i="17"/>
  <c r="I189" i="17"/>
  <c r="Y219" i="17"/>
  <c r="Y220" i="17"/>
  <c r="I44" i="17"/>
  <c r="R50" i="17"/>
  <c r="S70" i="17"/>
  <c r="I74" i="17"/>
  <c r="S38" i="17"/>
  <c r="K39" i="17"/>
  <c r="P41" i="17"/>
  <c r="S43" i="17"/>
  <c r="K44" i="17"/>
  <c r="K47" i="17"/>
  <c r="I48" i="17"/>
  <c r="S50" i="17"/>
  <c r="L51" i="17"/>
  <c r="Q54" i="17"/>
  <c r="P55" i="17"/>
  <c r="J56" i="17"/>
  <c r="J57" i="17"/>
  <c r="P63" i="17"/>
  <c r="P64" i="17"/>
  <c r="J65" i="17"/>
  <c r="J66" i="17"/>
  <c r="P72" i="17"/>
  <c r="J74" i="17"/>
  <c r="J75" i="17"/>
  <c r="J77" i="17"/>
  <c r="Z137" i="17"/>
  <c r="Z139" i="17" s="1"/>
  <c r="Z212" i="17" s="1"/>
  <c r="I65" i="17"/>
  <c r="S71" i="17"/>
  <c r="Y137" i="17"/>
  <c r="Y139" i="17" s="1"/>
  <c r="Y212" i="17" s="1"/>
  <c r="L39" i="17"/>
  <c r="R41" i="17"/>
  <c r="Q55" i="17"/>
  <c r="S63" i="17"/>
  <c r="K66" i="17"/>
  <c r="S72" i="17"/>
  <c r="K76" i="17"/>
  <c r="L66" i="17"/>
  <c r="R74" i="17"/>
  <c r="P76" i="17"/>
  <c r="L77" i="17"/>
  <c r="X131" i="17"/>
  <c r="R38" i="17"/>
  <c r="J44" i="17"/>
  <c r="I56" i="17"/>
  <c r="I75" i="17"/>
  <c r="I77" i="17"/>
  <c r="L75" i="17"/>
  <c r="S41" i="17"/>
  <c r="P44" i="17"/>
  <c r="K48" i="17"/>
  <c r="L52" i="17"/>
  <c r="R55" i="17"/>
  <c r="R56" i="17"/>
  <c r="L57" i="17"/>
  <c r="R64" i="17"/>
  <c r="R65" i="17"/>
  <c r="P39" i="17"/>
  <c r="I40" i="17"/>
  <c r="R44" i="17"/>
  <c r="J45" i="17"/>
  <c r="S47" i="17"/>
  <c r="L48" i="17"/>
  <c r="Q51" i="17"/>
  <c r="S55" i="17"/>
  <c r="S56" i="17"/>
  <c r="I59" i="17"/>
  <c r="I60" i="17"/>
  <c r="S64" i="17"/>
  <c r="S65" i="17"/>
  <c r="I68" i="17"/>
  <c r="I69" i="17"/>
  <c r="S74" i="17"/>
  <c r="P75" i="17"/>
  <c r="R76" i="17"/>
  <c r="I47" i="17"/>
  <c r="J48" i="17"/>
  <c r="I52" i="17"/>
  <c r="S54" i="17"/>
  <c r="K57" i="17"/>
  <c r="Q64" i="17"/>
  <c r="I45" i="17"/>
  <c r="R47" i="17"/>
  <c r="P51" i="17"/>
  <c r="Q39" i="17"/>
  <c r="J40" i="17"/>
  <c r="S44" i="17"/>
  <c r="K45" i="17"/>
  <c r="S51" i="17"/>
  <c r="P52" i="17"/>
  <c r="P57" i="17"/>
  <c r="J59" i="17"/>
  <c r="J60" i="17"/>
  <c r="P66" i="17"/>
  <c r="J68" i="17"/>
  <c r="Q75" i="17"/>
  <c r="S76" i="17"/>
  <c r="P77" i="17"/>
  <c r="I172" i="17"/>
  <c r="K75" i="17"/>
  <c r="K70" i="17"/>
  <c r="K64" i="17"/>
  <c r="K61" i="17"/>
  <c r="K55" i="17"/>
  <c r="K52" i="17"/>
  <c r="K43" i="17"/>
  <c r="K40" i="17"/>
  <c r="L76" i="17"/>
  <c r="J70" i="17"/>
  <c r="J64" i="17"/>
  <c r="J61" i="17"/>
  <c r="J55" i="17"/>
  <c r="J52" i="17"/>
  <c r="J76" i="17"/>
  <c r="L74" i="17"/>
  <c r="L71" i="17"/>
  <c r="L68" i="17"/>
  <c r="L65" i="17"/>
  <c r="L59" i="17"/>
  <c r="L56" i="17"/>
  <c r="L50" i="17"/>
  <c r="L47" i="17"/>
  <c r="L44" i="17"/>
  <c r="L41" i="17"/>
  <c r="L38" i="17"/>
  <c r="B36" i="17"/>
  <c r="I76" i="17"/>
  <c r="K74" i="17"/>
  <c r="K71" i="17"/>
  <c r="K68" i="17"/>
  <c r="K65" i="17"/>
  <c r="K59" i="17"/>
  <c r="K56" i="17"/>
  <c r="L55" i="17"/>
  <c r="I66" i="17"/>
  <c r="X165" i="17"/>
  <c r="X159" i="17"/>
  <c r="X153" i="17"/>
  <c r="X150" i="17"/>
  <c r="W165" i="17"/>
  <c r="AA165" i="17" s="1"/>
  <c r="W159" i="17"/>
  <c r="AA159" i="17" s="1"/>
  <c r="W153" i="17"/>
  <c r="AA153" i="17" s="1"/>
  <c r="W150" i="17"/>
  <c r="AA150" i="17" s="1"/>
  <c r="Z166" i="17"/>
  <c r="Z163" i="17"/>
  <c r="Z167" i="17" s="1"/>
  <c r="Z218" i="17" s="1"/>
  <c r="Z160" i="17"/>
  <c r="Z157" i="17"/>
  <c r="Z154" i="17"/>
  <c r="Z148" i="17"/>
  <c r="Z151" i="17" s="1"/>
  <c r="Z215" i="17" s="1"/>
  <c r="Y166" i="17"/>
  <c r="Y163" i="17"/>
  <c r="Y167" i="17" s="1"/>
  <c r="Y218" i="17" s="1"/>
  <c r="Y160" i="17"/>
  <c r="Y157" i="17"/>
  <c r="Y154" i="17"/>
  <c r="Y148" i="17"/>
  <c r="Y151" i="17" s="1"/>
  <c r="Y215" i="17" s="1"/>
  <c r="X166" i="17"/>
  <c r="X163" i="17"/>
  <c r="X167" i="17" s="1"/>
  <c r="X218" i="17" s="1"/>
  <c r="W206" i="17"/>
  <c r="Z164" i="17"/>
  <c r="Z161" i="17"/>
  <c r="Z153" i="17"/>
  <c r="Z152" i="17"/>
  <c r="Z156" i="17" s="1"/>
  <c r="Z216" i="17" s="1"/>
  <c r="X146" i="17"/>
  <c r="W143" i="17"/>
  <c r="W140" i="17"/>
  <c r="W137" i="17"/>
  <c r="W134" i="17"/>
  <c r="W131" i="17"/>
  <c r="AA131" i="17" s="1"/>
  <c r="Y164" i="17"/>
  <c r="W163" i="17"/>
  <c r="Y161" i="17"/>
  <c r="Y153" i="17"/>
  <c r="Y152" i="17"/>
  <c r="Y156" i="17" s="1"/>
  <c r="Y216" i="17" s="1"/>
  <c r="W146" i="17"/>
  <c r="AA146" i="17" s="1"/>
  <c r="Z144" i="17"/>
  <c r="Z141" i="17"/>
  <c r="Z138" i="17"/>
  <c r="Z135" i="17"/>
  <c r="Z132" i="17"/>
  <c r="Z129" i="17"/>
  <c r="Z133" i="17" s="1"/>
  <c r="Z210" i="17" s="1"/>
  <c r="W166" i="17"/>
  <c r="AA166" i="17" s="1"/>
  <c r="Z165" i="17"/>
  <c r="X164" i="17"/>
  <c r="X161" i="17"/>
  <c r="X160" i="17"/>
  <c r="X152" i="17"/>
  <c r="X156" i="17" s="1"/>
  <c r="X216" i="17" s="1"/>
  <c r="Y144" i="17"/>
  <c r="Y141" i="17"/>
  <c r="Y138" i="17"/>
  <c r="Y135" i="17"/>
  <c r="Y132" i="17"/>
  <c r="Y165" i="17"/>
  <c r="W164" i="17"/>
  <c r="AA164" i="17" s="1"/>
  <c r="W161" i="17"/>
  <c r="AA161" i="17" s="1"/>
  <c r="W160" i="17"/>
  <c r="AA160" i="17" s="1"/>
  <c r="W152" i="17"/>
  <c r="X144" i="17"/>
  <c r="X141" i="17"/>
  <c r="X138" i="17"/>
  <c r="X135" i="17"/>
  <c r="X132" i="17"/>
  <c r="X129" i="17"/>
  <c r="X133" i="17" s="1"/>
  <c r="X210" i="17" s="1"/>
  <c r="Z159" i="17"/>
  <c r="Z155" i="17"/>
  <c r="W145" i="17"/>
  <c r="AA145" i="17" s="1"/>
  <c r="W144" i="17"/>
  <c r="AA144" i="17" s="1"/>
  <c r="W135" i="17"/>
  <c r="AA135" i="17" s="1"/>
  <c r="Y159" i="17"/>
  <c r="Y155" i="17"/>
  <c r="Z143" i="17"/>
  <c r="Z147" i="17" s="1"/>
  <c r="Z214" i="17" s="1"/>
  <c r="Z134" i="17"/>
  <c r="Z136" i="17" s="1"/>
  <c r="Z211" i="17" s="1"/>
  <c r="X155" i="17"/>
  <c r="X148" i="17"/>
  <c r="X151" i="17" s="1"/>
  <c r="X215" i="17" s="1"/>
  <c r="Y143" i="17"/>
  <c r="Y147" i="17" s="1"/>
  <c r="Y214" i="17" s="1"/>
  <c r="Y134" i="17"/>
  <c r="Y136" i="17" s="1"/>
  <c r="Y211" i="17" s="1"/>
  <c r="W155" i="17"/>
  <c r="AA155" i="17" s="1"/>
  <c r="W148" i="17"/>
  <c r="X143" i="17"/>
  <c r="X147" i="17" s="1"/>
  <c r="X214" i="17" s="1"/>
  <c r="X134" i="17"/>
  <c r="X136" i="17" s="1"/>
  <c r="X211" i="17" s="1"/>
  <c r="Z149" i="17"/>
  <c r="W141" i="17"/>
  <c r="AA141" i="17" s="1"/>
  <c r="W132" i="17"/>
  <c r="AA132" i="17" s="1"/>
  <c r="X130" i="17"/>
  <c r="W130" i="17"/>
  <c r="AA130" i="17" s="1"/>
  <c r="Y149" i="17"/>
  <c r="X154" i="17"/>
  <c r="X149" i="17"/>
  <c r="Z145" i="17"/>
  <c r="Z131" i="17"/>
  <c r="Z158" i="17"/>
  <c r="Z162" i="17" s="1"/>
  <c r="Z217" i="17" s="1"/>
  <c r="W154" i="17"/>
  <c r="AA154" i="17" s="1"/>
  <c r="W149" i="17"/>
  <c r="AA149" i="17" s="1"/>
  <c r="Y145" i="17"/>
  <c r="Y131" i="17"/>
  <c r="Z150" i="17"/>
  <c r="Z140" i="17"/>
  <c r="Z142" i="17" s="1"/>
  <c r="Z213" i="17" s="1"/>
  <c r="W138" i="17"/>
  <c r="AA138" i="17" s="1"/>
  <c r="W129" i="17"/>
  <c r="Y150" i="17"/>
  <c r="Y140" i="17"/>
  <c r="Y142" i="17" s="1"/>
  <c r="Y213" i="17" s="1"/>
  <c r="Y158" i="17"/>
  <c r="Y162" i="17" s="1"/>
  <c r="Y217" i="17" s="1"/>
  <c r="X140" i="17"/>
  <c r="X142" i="17" s="1"/>
  <c r="X213" i="17" s="1"/>
  <c r="X158" i="17"/>
  <c r="X162" i="17" s="1"/>
  <c r="X217" i="17" s="1"/>
  <c r="Z146" i="17"/>
  <c r="W158" i="17"/>
  <c r="Y146" i="17"/>
  <c r="Z130" i="17"/>
  <c r="K77" i="17"/>
  <c r="S39" i="17"/>
  <c r="L40" i="17"/>
  <c r="I43" i="17"/>
  <c r="L45" i="17"/>
  <c r="P48" i="17"/>
  <c r="Q52" i="17"/>
  <c r="S57" i="17"/>
  <c r="K60" i="17"/>
  <c r="I61" i="17"/>
  <c r="S66" i="17"/>
  <c r="K69" i="17"/>
  <c r="I70" i="17"/>
  <c r="I39" i="17"/>
  <c r="K41" i="17"/>
  <c r="J51" i="17"/>
  <c r="L63" i="17"/>
  <c r="L64" i="17"/>
  <c r="L72" i="17"/>
  <c r="P172" i="17"/>
  <c r="Q76" i="17"/>
  <c r="Q74" i="17"/>
  <c r="Q71" i="17"/>
  <c r="Q68" i="17"/>
  <c r="Q65" i="17"/>
  <c r="Q59" i="17"/>
  <c r="Q56" i="17"/>
  <c r="Q50" i="17"/>
  <c r="Q47" i="17"/>
  <c r="Q44" i="17"/>
  <c r="Q41" i="17"/>
  <c r="Q38" i="17"/>
  <c r="P74" i="17"/>
  <c r="P71" i="17"/>
  <c r="P68" i="17"/>
  <c r="P65" i="17"/>
  <c r="P59" i="17"/>
  <c r="P56" i="17"/>
  <c r="P50" i="17"/>
  <c r="P47" i="17"/>
  <c r="R77" i="17"/>
  <c r="S75" i="17"/>
  <c r="R72" i="17"/>
  <c r="R69" i="17"/>
  <c r="R66" i="17"/>
  <c r="R63" i="17"/>
  <c r="R60" i="17"/>
  <c r="R57" i="17"/>
  <c r="R54" i="17"/>
  <c r="R51" i="17"/>
  <c r="R48" i="17"/>
  <c r="R45" i="17"/>
  <c r="R39" i="17"/>
  <c r="Q77" i="17"/>
  <c r="R75" i="17"/>
  <c r="Q72" i="17"/>
  <c r="Q69" i="17"/>
  <c r="Q66" i="17"/>
  <c r="Q63" i="17"/>
  <c r="Q60" i="17"/>
  <c r="Q57" i="17"/>
  <c r="J39" i="17"/>
  <c r="R43" i="17"/>
  <c r="J47" i="17"/>
  <c r="K51" i="17"/>
  <c r="P54" i="17"/>
  <c r="I57" i="17"/>
  <c r="S61" i="17"/>
  <c r="I38" i="17"/>
  <c r="J43" i="17"/>
  <c r="Q48" i="17"/>
  <c r="R52" i="17"/>
  <c r="I54" i="17"/>
  <c r="R59" i="17"/>
  <c r="L60" i="17"/>
  <c r="L61" i="17"/>
  <c r="R68" i="17"/>
  <c r="L69" i="17"/>
  <c r="L70" i="17"/>
  <c r="W55" i="17"/>
  <c r="W61" i="17"/>
  <c r="W64" i="17"/>
  <c r="W70" i="17"/>
  <c r="Z76" i="17"/>
  <c r="I85" i="17"/>
  <c r="S87" i="17"/>
  <c r="L88" i="17"/>
  <c r="X90" i="17"/>
  <c r="X93" i="17"/>
  <c r="K98" i="17"/>
  <c r="P100" i="17"/>
  <c r="R105" i="17"/>
  <c r="Q108" i="17"/>
  <c r="W116" i="17"/>
  <c r="J119" i="17"/>
  <c r="Y120" i="17"/>
  <c r="X122" i="17"/>
  <c r="X40" i="17"/>
  <c r="X42" i="17" s="1"/>
  <c r="X176" i="17" s="1"/>
  <c r="X43" i="17"/>
  <c r="X52" i="17"/>
  <c r="X55" i="17"/>
  <c r="X61" i="17"/>
  <c r="X64" i="17"/>
  <c r="X70" i="17"/>
  <c r="Q84" i="17"/>
  <c r="J85" i="17"/>
  <c r="Y90" i="17"/>
  <c r="W91" i="17"/>
  <c r="W92" i="17" s="1"/>
  <c r="Z93" i="17"/>
  <c r="J96" i="17"/>
  <c r="L98" i="17"/>
  <c r="X100" i="17"/>
  <c r="W101" i="17"/>
  <c r="P104" i="17"/>
  <c r="S105" i="17"/>
  <c r="R108" i="17"/>
  <c r="X116" i="17"/>
  <c r="W119" i="17"/>
  <c r="Z120" i="17"/>
  <c r="Y122" i="17"/>
  <c r="K120" i="17"/>
  <c r="L121" i="17"/>
  <c r="L120" i="17"/>
  <c r="J117" i="17"/>
  <c r="J114" i="17"/>
  <c r="J111" i="17"/>
  <c r="J108" i="17"/>
  <c r="J105" i="17"/>
  <c r="J102" i="17"/>
  <c r="J120" i="17"/>
  <c r="I117" i="17"/>
  <c r="I114" i="17"/>
  <c r="I111" i="17"/>
  <c r="I108" i="17"/>
  <c r="I105" i="17"/>
  <c r="I102" i="17"/>
  <c r="I96" i="17"/>
  <c r="I93" i="17"/>
  <c r="L122" i="17"/>
  <c r="I120" i="17"/>
  <c r="L115" i="17"/>
  <c r="L109" i="17"/>
  <c r="L106" i="17"/>
  <c r="K122" i="17"/>
  <c r="L116" i="17"/>
  <c r="I113" i="17"/>
  <c r="L104" i="17"/>
  <c r="L101" i="17"/>
  <c r="L90" i="17"/>
  <c r="L87" i="17"/>
  <c r="L84" i="17"/>
  <c r="J122" i="17"/>
  <c r="K121" i="17"/>
  <c r="K116" i="17"/>
  <c r="L108" i="17"/>
  <c r="K104" i="17"/>
  <c r="K101" i="17"/>
  <c r="L97" i="17"/>
  <c r="K90" i="17"/>
  <c r="K87" i="17"/>
  <c r="K84" i="17"/>
  <c r="I122" i="17"/>
  <c r="J121" i="17"/>
  <c r="J116" i="17"/>
  <c r="K108" i="17"/>
  <c r="J104" i="17"/>
  <c r="J101" i="17"/>
  <c r="K97" i="17"/>
  <c r="J90" i="17"/>
  <c r="J87" i="17"/>
  <c r="J84" i="17"/>
  <c r="I121" i="17"/>
  <c r="L119" i="17"/>
  <c r="I116" i="17"/>
  <c r="K115" i="17"/>
  <c r="I104" i="17"/>
  <c r="I101" i="17"/>
  <c r="J97" i="17"/>
  <c r="L93" i="17"/>
  <c r="K119" i="17"/>
  <c r="J115" i="17"/>
  <c r="L111" i="17"/>
  <c r="I97" i="17"/>
  <c r="K93" i="17"/>
  <c r="K85" i="17"/>
  <c r="I86" i="17"/>
  <c r="X91" i="17"/>
  <c r="K96" i="17"/>
  <c r="Q97" i="17"/>
  <c r="Y100" i="17"/>
  <c r="X101" i="17"/>
  <c r="Q104" i="17"/>
  <c r="K111" i="17"/>
  <c r="Y116" i="17"/>
  <c r="X119" i="17"/>
  <c r="Z122" i="17"/>
  <c r="Z52" i="17"/>
  <c r="Z55" i="17"/>
  <c r="Z61" i="17"/>
  <c r="Z64" i="17"/>
  <c r="Z70" i="17"/>
  <c r="Q121" i="17"/>
  <c r="R122" i="17"/>
  <c r="Q122" i="17"/>
  <c r="P122" i="17"/>
  <c r="P115" i="17"/>
  <c r="P109" i="17"/>
  <c r="P106" i="17"/>
  <c r="S119" i="17"/>
  <c r="S116" i="17"/>
  <c r="S113" i="17"/>
  <c r="S110" i="17"/>
  <c r="S104" i="17"/>
  <c r="S101" i="17"/>
  <c r="S98" i="17"/>
  <c r="R119" i="17"/>
  <c r="R116" i="17"/>
  <c r="R113" i="17"/>
  <c r="R110" i="17"/>
  <c r="R104" i="17"/>
  <c r="Q120" i="17"/>
  <c r="Q119" i="17"/>
  <c r="S115" i="17"/>
  <c r="R111" i="17"/>
  <c r="P97" i="17"/>
  <c r="Q93" i="17"/>
  <c r="R91" i="17"/>
  <c r="R92" i="17" s="1"/>
  <c r="R194" i="17" s="1"/>
  <c r="R88" i="17"/>
  <c r="R85" i="17"/>
  <c r="P120" i="17"/>
  <c r="P119" i="17"/>
  <c r="R115" i="17"/>
  <c r="Q111" i="17"/>
  <c r="P93" i="17"/>
  <c r="Q91" i="17"/>
  <c r="Q92" i="17" s="1"/>
  <c r="Q194" i="17" s="1"/>
  <c r="Q88" i="17"/>
  <c r="Q85" i="17"/>
  <c r="Q115" i="17"/>
  <c r="S114" i="17"/>
  <c r="P111" i="17"/>
  <c r="S102" i="17"/>
  <c r="S100" i="17"/>
  <c r="P91" i="17"/>
  <c r="P88" i="17"/>
  <c r="P85" i="17"/>
  <c r="R114" i="17"/>
  <c r="Q110" i="17"/>
  <c r="S106" i="17"/>
  <c r="R102" i="17"/>
  <c r="R100" i="17"/>
  <c r="R98" i="17"/>
  <c r="S96" i="17"/>
  <c r="P189" i="17"/>
  <c r="Q114" i="17"/>
  <c r="P110" i="17"/>
  <c r="R106" i="17"/>
  <c r="Q102" i="17"/>
  <c r="Q100" i="17"/>
  <c r="Q98" i="17"/>
  <c r="R96" i="17"/>
  <c r="S94" i="17"/>
  <c r="S84" i="17"/>
  <c r="L85" i="17"/>
  <c r="J86" i="17"/>
  <c r="X87" i="17"/>
  <c r="Y91" i="17"/>
  <c r="I94" i="17"/>
  <c r="L96" i="17"/>
  <c r="R97" i="17"/>
  <c r="P98" i="17"/>
  <c r="Z100" i="17"/>
  <c r="W104" i="17"/>
  <c r="I110" i="17"/>
  <c r="S111" i="17"/>
  <c r="K114" i="17"/>
  <c r="W115" i="17"/>
  <c r="Z116" i="17"/>
  <c r="P121" i="17"/>
  <c r="W172" i="17"/>
  <c r="W77" i="17"/>
  <c r="W39" i="17"/>
  <c r="W45" i="17"/>
  <c r="W48" i="17"/>
  <c r="W51" i="17"/>
  <c r="W54" i="17"/>
  <c r="W57" i="17"/>
  <c r="W60" i="17"/>
  <c r="W63" i="17"/>
  <c r="W66" i="17"/>
  <c r="W69" i="17"/>
  <c r="W72" i="17"/>
  <c r="X75" i="17"/>
  <c r="X77" i="17"/>
  <c r="W122" i="17"/>
  <c r="X120" i="17"/>
  <c r="X121" i="17"/>
  <c r="Z117" i="17"/>
  <c r="Z114" i="17"/>
  <c r="Z111" i="17"/>
  <c r="Z108" i="17"/>
  <c r="Z105" i="17"/>
  <c r="Z102" i="17"/>
  <c r="W121" i="17"/>
  <c r="Y117" i="17"/>
  <c r="Y114" i="17"/>
  <c r="Y111" i="17"/>
  <c r="Y108" i="17"/>
  <c r="Y105" i="17"/>
  <c r="Y102" i="17"/>
  <c r="Y96" i="17"/>
  <c r="Y93" i="17"/>
  <c r="X117" i="17"/>
  <c r="X114" i="17"/>
  <c r="X111" i="17"/>
  <c r="X108" i="17"/>
  <c r="X105" i="17"/>
  <c r="X102" i="17"/>
  <c r="W114" i="17"/>
  <c r="Y110" i="17"/>
  <c r="X106" i="17"/>
  <c r="W102" i="17"/>
  <c r="W100" i="17"/>
  <c r="X98" i="17"/>
  <c r="X96" i="17"/>
  <c r="Y94" i="17"/>
  <c r="X86" i="17"/>
  <c r="X110" i="17"/>
  <c r="Z109" i="17"/>
  <c r="W106" i="17"/>
  <c r="W98" i="17"/>
  <c r="W96" i="17"/>
  <c r="X94" i="17"/>
  <c r="W86" i="17"/>
  <c r="Z113" i="17"/>
  <c r="W110" i="17"/>
  <c r="Y109" i="17"/>
  <c r="W94" i="17"/>
  <c r="Z90" i="17"/>
  <c r="Z87" i="17"/>
  <c r="Z84" i="17"/>
  <c r="W189" i="17"/>
  <c r="W117" i="17"/>
  <c r="Y113" i="17"/>
  <c r="X109" i="17"/>
  <c r="W105" i="17"/>
  <c r="Z101" i="17"/>
  <c r="X113" i="17"/>
  <c r="W109" i="17"/>
  <c r="Y101" i="17"/>
  <c r="Z97" i="17"/>
  <c r="K86" i="17"/>
  <c r="Y87" i="17"/>
  <c r="W88" i="17"/>
  <c r="I90" i="17"/>
  <c r="Z91" i="17"/>
  <c r="J94" i="17"/>
  <c r="S97" i="17"/>
  <c r="Y98" i="17"/>
  <c r="X104" i="17"/>
  <c r="W108" i="17"/>
  <c r="J110" i="17"/>
  <c r="L114" i="17"/>
  <c r="X115" i="17"/>
  <c r="K117" i="17"/>
  <c r="Z119" i="17"/>
  <c r="R121" i="17"/>
  <c r="B94" i="17"/>
  <c r="D108" i="17"/>
  <c r="B109" i="17"/>
  <c r="D120" i="17"/>
  <c r="D122" i="17"/>
  <c r="C94" i="17"/>
  <c r="B96" i="17"/>
  <c r="B105" i="17"/>
  <c r="E108" i="17"/>
  <c r="C109" i="17"/>
  <c r="B117" i="17"/>
  <c r="E120" i="17"/>
  <c r="D86" i="17"/>
  <c r="D94" i="17"/>
  <c r="C96" i="17"/>
  <c r="B98" i="17"/>
  <c r="B100" i="17"/>
  <c r="C105" i="17"/>
  <c r="D109" i="17"/>
  <c r="E113" i="17"/>
  <c r="C117" i="17"/>
  <c r="E86" i="17"/>
  <c r="E94" i="17"/>
  <c r="D96" i="17"/>
  <c r="D98" i="17"/>
  <c r="C100" i="17"/>
  <c r="B102" i="17"/>
  <c r="D105" i="17"/>
  <c r="B106" i="17"/>
  <c r="E109" i="17"/>
  <c r="E122" i="17"/>
  <c r="B122" i="17"/>
  <c r="D121" i="17"/>
  <c r="D119" i="17"/>
  <c r="D116" i="17"/>
  <c r="D113" i="17"/>
  <c r="D110" i="17"/>
  <c r="D104" i="17"/>
  <c r="C121" i="17"/>
  <c r="C119" i="17"/>
  <c r="C116" i="17"/>
  <c r="C113" i="17"/>
  <c r="C110" i="17"/>
  <c r="C104" i="17"/>
  <c r="C101" i="17"/>
  <c r="C98" i="17"/>
  <c r="B121" i="17"/>
  <c r="B119" i="17"/>
  <c r="B116" i="17"/>
  <c r="B113" i="17"/>
  <c r="B110" i="17"/>
  <c r="B104" i="17"/>
  <c r="B85" i="17"/>
  <c r="B88" i="17"/>
  <c r="B91" i="17"/>
  <c r="E96" i="17"/>
  <c r="E98" i="17"/>
  <c r="D100" i="17"/>
  <c r="C102" i="17"/>
  <c r="E105" i="17"/>
  <c r="C106" i="17"/>
  <c r="B114" i="17"/>
  <c r="E117" i="17"/>
  <c r="L129" i="17"/>
  <c r="Q134" i="17"/>
  <c r="Q135" i="17"/>
  <c r="K137" i="17"/>
  <c r="Q143" i="17"/>
  <c r="Q144" i="17"/>
  <c r="K145" i="17"/>
  <c r="K146" i="17"/>
  <c r="J155" i="17"/>
  <c r="P159" i="17"/>
  <c r="R163" i="17"/>
  <c r="K165" i="17"/>
  <c r="S166" i="17"/>
  <c r="R135" i="17"/>
  <c r="L137" i="17"/>
  <c r="L138" i="17"/>
  <c r="R144" i="17"/>
  <c r="R145" i="17"/>
  <c r="L146" i="17"/>
  <c r="K150" i="17"/>
  <c r="K158" i="17"/>
  <c r="Q159" i="17"/>
  <c r="L165" i="17"/>
  <c r="B127" i="17"/>
  <c r="P129" i="17"/>
  <c r="I130" i="17"/>
  <c r="I131" i="17"/>
  <c r="S135" i="17"/>
  <c r="I140" i="17"/>
  <c r="S144" i="17"/>
  <c r="S145" i="17"/>
  <c r="L150" i="17"/>
  <c r="R159" i="17"/>
  <c r="L166" i="17"/>
  <c r="L163" i="17"/>
  <c r="L160" i="17"/>
  <c r="L157" i="17"/>
  <c r="L154" i="17"/>
  <c r="L148" i="17"/>
  <c r="K166" i="17"/>
  <c r="K163" i="17"/>
  <c r="K160" i="17"/>
  <c r="K157" i="17"/>
  <c r="K154" i="17"/>
  <c r="K148" i="17"/>
  <c r="J166" i="17"/>
  <c r="J163" i="17"/>
  <c r="J160" i="17"/>
  <c r="J157" i="17"/>
  <c r="J154" i="17"/>
  <c r="J148" i="17"/>
  <c r="I166" i="17"/>
  <c r="I163" i="17"/>
  <c r="I160" i="17"/>
  <c r="I157" i="17"/>
  <c r="I154" i="17"/>
  <c r="I148" i="17"/>
  <c r="L164" i="17"/>
  <c r="J159" i="17"/>
  <c r="J158" i="17"/>
  <c r="J150" i="17"/>
  <c r="J149" i="17"/>
  <c r="K144" i="17"/>
  <c r="K141" i="17"/>
  <c r="K138" i="17"/>
  <c r="K135" i="17"/>
  <c r="K132" i="17"/>
  <c r="K129" i="17"/>
  <c r="I159" i="17"/>
  <c r="I158" i="17"/>
  <c r="I150" i="17"/>
  <c r="I149" i="17"/>
  <c r="J144" i="17"/>
  <c r="J141" i="17"/>
  <c r="J138" i="17"/>
  <c r="J135" i="17"/>
  <c r="J132" i="17"/>
  <c r="I206" i="17"/>
  <c r="L155" i="17"/>
  <c r="I144" i="17"/>
  <c r="I141" i="17"/>
  <c r="I138" i="17"/>
  <c r="I135" i="17"/>
  <c r="I132" i="17"/>
  <c r="K155" i="17"/>
  <c r="L145" i="17"/>
  <c r="L130" i="17"/>
  <c r="Q129" i="17"/>
  <c r="J130" i="17"/>
  <c r="J131" i="17"/>
  <c r="P137" i="17"/>
  <c r="P138" i="17"/>
  <c r="J140" i="17"/>
  <c r="P146" i="17"/>
  <c r="I153" i="17"/>
  <c r="S158" i="17"/>
  <c r="I161" i="17"/>
  <c r="R164" i="17"/>
  <c r="R161" i="17"/>
  <c r="R158" i="17"/>
  <c r="R155" i="17"/>
  <c r="R152" i="17"/>
  <c r="R149" i="17"/>
  <c r="R146" i="17"/>
  <c r="Q164" i="17"/>
  <c r="Q161" i="17"/>
  <c r="Q158" i="17"/>
  <c r="Q155" i="17"/>
  <c r="Q152" i="17"/>
  <c r="Q149" i="17"/>
  <c r="P164" i="17"/>
  <c r="P161" i="17"/>
  <c r="P158" i="17"/>
  <c r="P155" i="17"/>
  <c r="P152" i="17"/>
  <c r="P149" i="17"/>
  <c r="S165" i="17"/>
  <c r="S159" i="17"/>
  <c r="S153" i="17"/>
  <c r="S150" i="17"/>
  <c r="R165" i="17"/>
  <c r="P157" i="17"/>
  <c r="P148" i="17"/>
  <c r="Q145" i="17"/>
  <c r="Q130" i="17"/>
  <c r="P206" i="17"/>
  <c r="S155" i="17"/>
  <c r="S154" i="17"/>
  <c r="P145" i="17"/>
  <c r="P130" i="17"/>
  <c r="R154" i="17"/>
  <c r="R153" i="17"/>
  <c r="S143" i="17"/>
  <c r="S140" i="17"/>
  <c r="S137" i="17"/>
  <c r="S134" i="17"/>
  <c r="S136" i="17" s="1"/>
  <c r="S211" i="17" s="1"/>
  <c r="S131" i="17"/>
  <c r="S163" i="17"/>
  <c r="Q154" i="17"/>
  <c r="Q153" i="17"/>
  <c r="S146" i="17"/>
  <c r="R143" i="17"/>
  <c r="R140" i="17"/>
  <c r="R137" i="17"/>
  <c r="R134" i="17"/>
  <c r="R131" i="17"/>
  <c r="R129" i="17"/>
  <c r="K130" i="17"/>
  <c r="K131" i="17"/>
  <c r="Q137" i="17"/>
  <c r="Q138" i="17"/>
  <c r="K140" i="17"/>
  <c r="Q146" i="17"/>
  <c r="P150" i="17"/>
  <c r="J153" i="17"/>
  <c r="P154" i="17"/>
  <c r="J161" i="17"/>
  <c r="I164" i="17"/>
  <c r="Q165" i="17"/>
  <c r="I95" i="15"/>
  <c r="K92" i="17" l="1"/>
  <c r="K194" i="17" s="1"/>
  <c r="Z99" i="17"/>
  <c r="Z196" i="17" s="1"/>
  <c r="K136" i="17"/>
  <c r="K211" i="17" s="1"/>
  <c r="Z95" i="17"/>
  <c r="Z195" i="17" s="1"/>
  <c r="J46" i="17"/>
  <c r="J177" i="17" s="1"/>
  <c r="T117" i="17"/>
  <c r="C92" i="17"/>
  <c r="C194" i="17" s="1"/>
  <c r="R62" i="17"/>
  <c r="R181" i="17" s="1"/>
  <c r="R95" i="17"/>
  <c r="R195" i="17" s="1"/>
  <c r="J42" i="17"/>
  <c r="J176" i="17" s="1"/>
  <c r="J92" i="17"/>
  <c r="J194" i="17" s="1"/>
  <c r="F115" i="17"/>
  <c r="T165" i="17"/>
  <c r="F88" i="17"/>
  <c r="X99" i="17"/>
  <c r="X196" i="17" s="1"/>
  <c r="W95" i="17"/>
  <c r="W195" i="17" s="1"/>
  <c r="Z107" i="17"/>
  <c r="Z198" i="17" s="1"/>
  <c r="I53" i="17"/>
  <c r="I179" i="17" s="1"/>
  <c r="D95" i="17"/>
  <c r="D195" i="17" s="1"/>
  <c r="Y107" i="17"/>
  <c r="Y198" i="17" s="1"/>
  <c r="P142" i="17"/>
  <c r="P213" i="17" s="1"/>
  <c r="M72" i="17"/>
  <c r="Q46" i="17"/>
  <c r="Q177" i="17" s="1"/>
  <c r="AA56" i="17"/>
  <c r="M57" i="17"/>
  <c r="D103" i="17"/>
  <c r="D197" i="17" s="1"/>
  <c r="K95" i="17"/>
  <c r="K195" i="17" s="1"/>
  <c r="J49" i="17"/>
  <c r="J178" i="17" s="1"/>
  <c r="F90" i="17"/>
  <c r="T132" i="17"/>
  <c r="Q133" i="17"/>
  <c r="Q210" i="17" s="1"/>
  <c r="J136" i="17"/>
  <c r="J211" i="17" s="1"/>
  <c r="K139" i="17"/>
  <c r="K212" i="17" s="1"/>
  <c r="AA66" i="17"/>
  <c r="K103" i="17"/>
  <c r="K197" i="17" s="1"/>
  <c r="T131" i="17"/>
  <c r="S142" i="17"/>
  <c r="S213" i="17" s="1"/>
  <c r="L147" i="17"/>
  <c r="L214" i="17" s="1"/>
  <c r="M134" i="17"/>
  <c r="J139" i="17"/>
  <c r="J212" i="17" s="1"/>
  <c r="AA115" i="17"/>
  <c r="C123" i="17"/>
  <c r="C201" i="17" s="1"/>
  <c r="S89" i="17"/>
  <c r="S193" i="17" s="1"/>
  <c r="Q95" i="17"/>
  <c r="Q195" i="17" s="1"/>
  <c r="S92" i="17"/>
  <c r="S194" i="17" s="1"/>
  <c r="F84" i="17"/>
  <c r="AA74" i="17"/>
  <c r="D92" i="17"/>
  <c r="D194" i="17" s="1"/>
  <c r="R142" i="17"/>
  <c r="R213" i="17" s="1"/>
  <c r="J95" i="17"/>
  <c r="J195" i="17" s="1"/>
  <c r="R99" i="17"/>
  <c r="R196" i="17" s="1"/>
  <c r="M100" i="17"/>
  <c r="AA65" i="17"/>
  <c r="L162" i="17"/>
  <c r="L217" i="17" s="1"/>
  <c r="B95" i="17"/>
  <c r="B195" i="17" s="1"/>
  <c r="Q107" i="17"/>
  <c r="Q198" i="17" s="1"/>
  <c r="X62" i="17"/>
  <c r="X181" i="17" s="1"/>
  <c r="AA38" i="17"/>
  <c r="X49" i="17"/>
  <c r="X178" i="17" s="1"/>
  <c r="M146" i="17"/>
  <c r="AA88" i="17"/>
  <c r="F114" i="17"/>
  <c r="S112" i="17"/>
  <c r="S199" i="17" s="1"/>
  <c r="R151" i="17"/>
  <c r="R215" i="17" s="1"/>
  <c r="E118" i="17"/>
  <c r="E200" i="17" s="1"/>
  <c r="S62" i="17"/>
  <c r="S181" i="17" s="1"/>
  <c r="T38" i="17"/>
  <c r="T160" i="17"/>
  <c r="L156" i="17"/>
  <c r="L216" i="17" s="1"/>
  <c r="AA60" i="17"/>
  <c r="L95" i="17"/>
  <c r="L195" i="17" s="1"/>
  <c r="M63" i="17"/>
  <c r="M143" i="17"/>
  <c r="R139" i="17"/>
  <c r="R212" i="17" s="1"/>
  <c r="Z67" i="17"/>
  <c r="Z182" i="17" s="1"/>
  <c r="Z103" i="17"/>
  <c r="Z197" i="17" s="1"/>
  <c r="E107" i="17"/>
  <c r="E198" i="17" s="1"/>
  <c r="Z58" i="17"/>
  <c r="Z180" i="17" s="1"/>
  <c r="T86" i="17"/>
  <c r="Q142" i="17"/>
  <c r="Q213" i="17" s="1"/>
  <c r="Z46" i="17"/>
  <c r="Z177" i="17" s="1"/>
  <c r="AA39" i="17"/>
  <c r="Z53" i="17"/>
  <c r="Z179" i="17" s="1"/>
  <c r="L92" i="17"/>
  <c r="L194" i="17" s="1"/>
  <c r="S139" i="17"/>
  <c r="S212" i="17" s="1"/>
  <c r="E89" i="17"/>
  <c r="E193" i="17" s="1"/>
  <c r="Y89" i="17"/>
  <c r="Y193" i="17" s="1"/>
  <c r="AA84" i="17"/>
  <c r="AA75" i="17"/>
  <c r="L103" i="17"/>
  <c r="L197" i="17" s="1"/>
  <c r="X58" i="17"/>
  <c r="X180" i="17" s="1"/>
  <c r="P136" i="17"/>
  <c r="P211" i="17" s="1"/>
  <c r="AA59" i="17"/>
  <c r="T144" i="17"/>
  <c r="F101" i="17"/>
  <c r="AA72" i="17"/>
  <c r="T109" i="17"/>
  <c r="X53" i="17"/>
  <c r="X179" i="17" s="1"/>
  <c r="T141" i="17"/>
  <c r="Y53" i="17"/>
  <c r="Y179" i="17" s="1"/>
  <c r="D112" i="17"/>
  <c r="D199" i="17" s="1"/>
  <c r="Z62" i="17"/>
  <c r="Z181" i="17" s="1"/>
  <c r="X73" i="17"/>
  <c r="X183" i="17" s="1"/>
  <c r="E123" i="17"/>
  <c r="E201" i="17" s="1"/>
  <c r="AA114" i="17"/>
  <c r="AA45" i="17"/>
  <c r="T98" i="17"/>
  <c r="X67" i="17"/>
  <c r="X182" i="17" s="1"/>
  <c r="S49" i="17"/>
  <c r="S178" i="17" s="1"/>
  <c r="P46" i="17"/>
  <c r="P177" i="17" s="1"/>
  <c r="T61" i="17"/>
  <c r="F86" i="17"/>
  <c r="Y118" i="17"/>
  <c r="Y200" i="17" s="1"/>
  <c r="M129" i="17"/>
  <c r="K156" i="17"/>
  <c r="K216" i="17" s="1"/>
  <c r="D123" i="17"/>
  <c r="D201" i="17" s="1"/>
  <c r="E95" i="17"/>
  <c r="E195" i="17" s="1"/>
  <c r="S123" i="17"/>
  <c r="S201" i="17" s="1"/>
  <c r="K73" i="17"/>
  <c r="K183" i="17" s="1"/>
  <c r="S133" i="17"/>
  <c r="S210" i="17" s="1"/>
  <c r="F122" i="17"/>
  <c r="M97" i="17"/>
  <c r="T69" i="17"/>
  <c r="F87" i="17"/>
  <c r="F93" i="17"/>
  <c r="T161" i="17"/>
  <c r="R162" i="17"/>
  <c r="R217" i="17" s="1"/>
  <c r="M166" i="17"/>
  <c r="F91" i="17"/>
  <c r="L118" i="17"/>
  <c r="L200" i="17" s="1"/>
  <c r="X89" i="17"/>
  <c r="X193" i="17" s="1"/>
  <c r="Q118" i="17"/>
  <c r="Q200" i="17" s="1"/>
  <c r="S103" i="17"/>
  <c r="S197" i="17" s="1"/>
  <c r="T120" i="17"/>
  <c r="X46" i="17"/>
  <c r="X177" i="17" s="1"/>
  <c r="P42" i="17"/>
  <c r="P176" i="17" s="1"/>
  <c r="K107" i="17"/>
  <c r="K198" i="17" s="1"/>
  <c r="M88" i="17"/>
  <c r="T157" i="17"/>
  <c r="J147" i="17"/>
  <c r="J214" i="17" s="1"/>
  <c r="Y95" i="17"/>
  <c r="Y195" i="17" s="1"/>
  <c r="M106" i="17"/>
  <c r="T87" i="17"/>
  <c r="K53" i="17"/>
  <c r="K179" i="17" s="1"/>
  <c r="Q151" i="17"/>
  <c r="Q215" i="17" s="1"/>
  <c r="AA109" i="17"/>
  <c r="T166" i="17"/>
  <c r="S151" i="17"/>
  <c r="S215" i="17" s="1"/>
  <c r="AA57" i="17"/>
  <c r="T101" i="17"/>
  <c r="M109" i="17"/>
  <c r="Y123" i="17"/>
  <c r="Y201" i="17" s="1"/>
  <c r="T45" i="17"/>
  <c r="Q53" i="17"/>
  <c r="Q179" i="17" s="1"/>
  <c r="L58" i="17"/>
  <c r="L180" i="17" s="1"/>
  <c r="L49" i="17"/>
  <c r="L178" i="17" s="1"/>
  <c r="Y78" i="17"/>
  <c r="Y184" i="17" s="1"/>
  <c r="C89" i="17"/>
  <c r="C193" i="17" s="1"/>
  <c r="C95" i="17"/>
  <c r="C195" i="17" s="1"/>
  <c r="Z112" i="17"/>
  <c r="Z199" i="17" s="1"/>
  <c r="S156" i="17"/>
  <c r="S216" i="17" s="1"/>
  <c r="D107" i="17"/>
  <c r="D198" i="17" s="1"/>
  <c r="AA86" i="17"/>
  <c r="AA102" i="17"/>
  <c r="S95" i="17"/>
  <c r="S195" i="17" s="1"/>
  <c r="Z73" i="17"/>
  <c r="Z183" i="17" s="1"/>
  <c r="AA76" i="17"/>
  <c r="M41" i="17"/>
  <c r="M50" i="17"/>
  <c r="J73" i="17"/>
  <c r="J183" i="17" s="1"/>
  <c r="AA71" i="17"/>
  <c r="R147" i="17"/>
  <c r="R214" i="17" s="1"/>
  <c r="Q167" i="17"/>
  <c r="Q218" i="17" s="1"/>
  <c r="M159" i="17"/>
  <c r="K151" i="17"/>
  <c r="K215" i="17" s="1"/>
  <c r="K162" i="17"/>
  <c r="K217" i="17" s="1"/>
  <c r="M155" i="17"/>
  <c r="AA87" i="17"/>
  <c r="R89" i="17"/>
  <c r="R193" i="17" s="1"/>
  <c r="T116" i="17"/>
  <c r="T122" i="17"/>
  <c r="M115" i="17"/>
  <c r="M111" i="17"/>
  <c r="K58" i="17"/>
  <c r="K180" i="17" s="1"/>
  <c r="Y42" i="17"/>
  <c r="Y176" i="17" s="1"/>
  <c r="F111" i="17"/>
  <c r="T51" i="17"/>
  <c r="T55" i="17"/>
  <c r="Z42" i="17"/>
  <c r="Z176" i="17" s="1"/>
  <c r="M145" i="17"/>
  <c r="X107" i="17"/>
  <c r="X198" i="17" s="1"/>
  <c r="AA110" i="17"/>
  <c r="K118" i="17"/>
  <c r="K200" i="17" s="1"/>
  <c r="J103" i="17"/>
  <c r="J197" i="17" s="1"/>
  <c r="L112" i="17"/>
  <c r="L199" i="17" s="1"/>
  <c r="AA120" i="17"/>
  <c r="K67" i="17"/>
  <c r="K182" i="17" s="1"/>
  <c r="S73" i="17"/>
  <c r="S183" i="17" s="1"/>
  <c r="M91" i="17"/>
  <c r="AA50" i="17"/>
  <c r="T40" i="17"/>
  <c r="Y73" i="17"/>
  <c r="Y183" i="17" s="1"/>
  <c r="F120" i="17"/>
  <c r="R103" i="17"/>
  <c r="R197" i="17" s="1"/>
  <c r="Y103" i="17"/>
  <c r="Y197" i="17" s="1"/>
  <c r="J107" i="17"/>
  <c r="J198" i="17" s="1"/>
  <c r="M45" i="17"/>
  <c r="Y67" i="17"/>
  <c r="Y182" i="17" s="1"/>
  <c r="J133" i="17"/>
  <c r="J210" i="17" s="1"/>
  <c r="T143" i="17"/>
  <c r="M110" i="17"/>
  <c r="Q99" i="17"/>
  <c r="Q196" i="17" s="1"/>
  <c r="M55" i="17"/>
  <c r="AA68" i="17"/>
  <c r="M51" i="17"/>
  <c r="T96" i="17"/>
  <c r="L46" i="17"/>
  <c r="L177" i="17" s="1"/>
  <c r="M48" i="17"/>
  <c r="R133" i="17"/>
  <c r="R210" i="17" s="1"/>
  <c r="T164" i="17"/>
  <c r="K147" i="17"/>
  <c r="K214" i="17" s="1"/>
  <c r="J151" i="17"/>
  <c r="J215" i="17" s="1"/>
  <c r="L151" i="17"/>
  <c r="L215" i="17" s="1"/>
  <c r="M131" i="17"/>
  <c r="T135" i="17"/>
  <c r="T108" i="17"/>
  <c r="AA64" i="17"/>
  <c r="R46" i="17"/>
  <c r="R177" i="17" s="1"/>
  <c r="M64" i="17"/>
  <c r="Y58" i="17"/>
  <c r="Y180" i="17" s="1"/>
  <c r="T105" i="17"/>
  <c r="Z78" i="17"/>
  <c r="Z184" i="17" s="1"/>
  <c r="M152" i="17"/>
  <c r="Y62" i="17"/>
  <c r="Y181" i="17" s="1"/>
  <c r="T90" i="17"/>
  <c r="S147" i="17"/>
  <c r="S214" i="17" s="1"/>
  <c r="T102" i="17"/>
  <c r="L123" i="17"/>
  <c r="L201" i="17" s="1"/>
  <c r="J118" i="17"/>
  <c r="J200" i="17" s="1"/>
  <c r="AA101" i="17"/>
  <c r="T70" i="17"/>
  <c r="Z49" i="17"/>
  <c r="Z178" i="17" s="1"/>
  <c r="L142" i="17"/>
  <c r="L213" i="17" s="1"/>
  <c r="E92" i="17"/>
  <c r="E194" i="17" s="1"/>
  <c r="Y49" i="17"/>
  <c r="Y178" i="17" s="1"/>
  <c r="T154" i="17"/>
  <c r="T153" i="17"/>
  <c r="S162" i="17"/>
  <c r="S217" i="17" s="1"/>
  <c r="M132" i="17"/>
  <c r="M149" i="17"/>
  <c r="J162" i="17"/>
  <c r="J217" i="17" s="1"/>
  <c r="M165" i="17"/>
  <c r="C118" i="17"/>
  <c r="C200" i="17" s="1"/>
  <c r="C112" i="17"/>
  <c r="C199" i="17" s="1"/>
  <c r="M121" i="17"/>
  <c r="M102" i="17"/>
  <c r="X103" i="17"/>
  <c r="X197" i="17" s="1"/>
  <c r="M98" i="17"/>
  <c r="T60" i="17"/>
  <c r="M70" i="17"/>
  <c r="L62" i="17"/>
  <c r="L181" i="17" s="1"/>
  <c r="L136" i="17"/>
  <c r="L211" i="17" s="1"/>
  <c r="AA44" i="17"/>
  <c r="C107" i="17"/>
  <c r="C198" i="17" s="1"/>
  <c r="T163" i="17"/>
  <c r="X123" i="17"/>
  <c r="X201" i="17" s="1"/>
  <c r="M105" i="17"/>
  <c r="B92" i="17"/>
  <c r="M75" i="17"/>
  <c r="M65" i="17"/>
  <c r="K42" i="17"/>
  <c r="K176" i="17" s="1"/>
  <c r="J53" i="17"/>
  <c r="J179" i="17" s="1"/>
  <c r="Y46" i="17"/>
  <c r="Y177" i="17" s="1"/>
  <c r="AA85" i="17"/>
  <c r="AA41" i="17"/>
  <c r="T130" i="17"/>
  <c r="T146" i="17"/>
  <c r="F105" i="17"/>
  <c r="R118" i="17"/>
  <c r="R200" i="17" s="1"/>
  <c r="T115" i="17"/>
  <c r="X92" i="17"/>
  <c r="X194" i="17" s="1"/>
  <c r="M71" i="17"/>
  <c r="M56" i="17"/>
  <c r="F97" i="17"/>
  <c r="E103" i="17"/>
  <c r="E197" i="17" s="1"/>
  <c r="W194" i="17"/>
  <c r="I99" i="17"/>
  <c r="M96" i="17"/>
  <c r="I123" i="17"/>
  <c r="I78" i="17"/>
  <c r="M74" i="17"/>
  <c r="T43" i="17"/>
  <c r="Q136" i="17"/>
  <c r="Q211" i="17" s="1"/>
  <c r="E99" i="17"/>
  <c r="E196" i="17" s="1"/>
  <c r="Z118" i="17"/>
  <c r="Z200" i="17" s="1"/>
  <c r="AA100" i="17"/>
  <c r="W103" i="17"/>
  <c r="Y99" i="17"/>
  <c r="Y196" i="17" s="1"/>
  <c r="S99" i="17"/>
  <c r="S196" i="17" s="1"/>
  <c r="T111" i="17"/>
  <c r="R123" i="17"/>
  <c r="R201" i="17" s="1"/>
  <c r="J89" i="17"/>
  <c r="J193" i="17" s="1"/>
  <c r="M84" i="17"/>
  <c r="L107" i="17"/>
  <c r="L198" i="17" s="1"/>
  <c r="AA55" i="17"/>
  <c r="Q49" i="17"/>
  <c r="Q178" i="17" s="1"/>
  <c r="L67" i="17"/>
  <c r="L182" i="17" s="1"/>
  <c r="W42" i="17"/>
  <c r="W136" i="17"/>
  <c r="AA134" i="17"/>
  <c r="L53" i="17"/>
  <c r="L179" i="17" s="1"/>
  <c r="J62" i="17"/>
  <c r="J181" i="17" s="1"/>
  <c r="D89" i="17"/>
  <c r="D193" i="17" s="1"/>
  <c r="T94" i="17"/>
  <c r="I58" i="17"/>
  <c r="M54" i="17"/>
  <c r="T54" i="17"/>
  <c r="P58" i="17"/>
  <c r="Z219" i="17"/>
  <c r="Z220" i="17"/>
  <c r="R49" i="17"/>
  <c r="R178" i="17" s="1"/>
  <c r="Q58" i="17"/>
  <c r="Q180" i="17" s="1"/>
  <c r="M164" i="17"/>
  <c r="M130" i="17"/>
  <c r="I133" i="17"/>
  <c r="R136" i="17"/>
  <c r="R211" i="17" s="1"/>
  <c r="Q156" i="17"/>
  <c r="Q216" i="17" s="1"/>
  <c r="M161" i="17"/>
  <c r="P133" i="17"/>
  <c r="T129" i="17"/>
  <c r="L133" i="17"/>
  <c r="L210" i="17" s="1"/>
  <c r="F117" i="17"/>
  <c r="F94" i="17"/>
  <c r="AA105" i="17"/>
  <c r="W58" i="17"/>
  <c r="AA54" i="17"/>
  <c r="M87" i="17"/>
  <c r="I118" i="17"/>
  <c r="M113" i="17"/>
  <c r="M108" i="17"/>
  <c r="I112" i="17"/>
  <c r="J99" i="17"/>
  <c r="J196" i="17" s="1"/>
  <c r="X95" i="17"/>
  <c r="X195" i="17" s="1"/>
  <c r="T47" i="17"/>
  <c r="P49" i="17"/>
  <c r="AA129" i="17"/>
  <c r="W133" i="17"/>
  <c r="X219" i="17"/>
  <c r="X220" i="17"/>
  <c r="W139" i="17"/>
  <c r="AA137" i="17"/>
  <c r="K62" i="17"/>
  <c r="K181" i="17" s="1"/>
  <c r="T57" i="17"/>
  <c r="AA43" i="17"/>
  <c r="R42" i="17"/>
  <c r="R176" i="17" s="1"/>
  <c r="S67" i="17"/>
  <c r="S182" i="17" s="1"/>
  <c r="J78" i="17"/>
  <c r="J184" i="17" s="1"/>
  <c r="S53" i="17"/>
  <c r="S179" i="17" s="1"/>
  <c r="R53" i="17"/>
  <c r="R179" i="17" s="1"/>
  <c r="J58" i="17"/>
  <c r="J180" i="17" s="1"/>
  <c r="P151" i="17"/>
  <c r="T148" i="17"/>
  <c r="X118" i="17"/>
  <c r="X200" i="17" s="1"/>
  <c r="P53" i="17"/>
  <c r="T50" i="17"/>
  <c r="AA90" i="17"/>
  <c r="W89" i="17"/>
  <c r="T75" i="17"/>
  <c r="P147" i="17"/>
  <c r="T72" i="17"/>
  <c r="J156" i="17"/>
  <c r="J216" i="17" s="1"/>
  <c r="Q162" i="17"/>
  <c r="Q217" i="17" s="1"/>
  <c r="I156" i="17"/>
  <c r="M153" i="17"/>
  <c r="M135" i="17"/>
  <c r="I136" i="17"/>
  <c r="M150" i="17"/>
  <c r="J167" i="17"/>
  <c r="J218" i="17" s="1"/>
  <c r="L167" i="17"/>
  <c r="L218" i="17" s="1"/>
  <c r="R167" i="17"/>
  <c r="R218" i="17" s="1"/>
  <c r="F85" i="17"/>
  <c r="B89" i="17"/>
  <c r="E112" i="17"/>
  <c r="E199" i="17" s="1"/>
  <c r="I92" i="17"/>
  <c r="M90" i="17"/>
  <c r="W99" i="17"/>
  <c r="AA96" i="17"/>
  <c r="Y112" i="17"/>
  <c r="Y199" i="17" s="1"/>
  <c r="W49" i="17"/>
  <c r="AA48" i="17"/>
  <c r="AA104" i="17"/>
  <c r="W107" i="17"/>
  <c r="T97" i="17"/>
  <c r="P99" i="17"/>
  <c r="S107" i="17"/>
  <c r="S198" i="17" s="1"/>
  <c r="K123" i="17"/>
  <c r="K201" i="17" s="1"/>
  <c r="M114" i="17"/>
  <c r="AA91" i="17"/>
  <c r="T140" i="17"/>
  <c r="T56" i="17"/>
  <c r="Q62" i="17"/>
  <c r="Q181" i="17" s="1"/>
  <c r="M39" i="17"/>
  <c r="W147" i="17"/>
  <c r="AA143" i="17"/>
  <c r="K46" i="17"/>
  <c r="K177" i="17" s="1"/>
  <c r="T52" i="17"/>
  <c r="S78" i="17"/>
  <c r="S184" i="17" s="1"/>
  <c r="F108" i="17"/>
  <c r="K49" i="17"/>
  <c r="K178" i="17" s="1"/>
  <c r="I67" i="17"/>
  <c r="K89" i="17"/>
  <c r="K193" i="17" s="1"/>
  <c r="AA148" i="17"/>
  <c r="W151" i="17"/>
  <c r="B164" i="17"/>
  <c r="B161" i="17"/>
  <c r="B158" i="17"/>
  <c r="B155" i="17"/>
  <c r="B152" i="17"/>
  <c r="B149" i="17"/>
  <c r="E165" i="17"/>
  <c r="E159" i="17"/>
  <c r="E153" i="17"/>
  <c r="E150" i="17"/>
  <c r="D165" i="17"/>
  <c r="D159" i="17"/>
  <c r="D153" i="17"/>
  <c r="D150" i="17"/>
  <c r="C165" i="17"/>
  <c r="C159" i="17"/>
  <c r="C153" i="17"/>
  <c r="C150" i="17"/>
  <c r="B165" i="17"/>
  <c r="B166" i="17"/>
  <c r="C164" i="17"/>
  <c r="D161" i="17"/>
  <c r="D160" i="17"/>
  <c r="D152" i="17"/>
  <c r="E146" i="17"/>
  <c r="E143" i="17"/>
  <c r="E140" i="17"/>
  <c r="E137" i="17"/>
  <c r="E134" i="17"/>
  <c r="E131" i="17"/>
  <c r="C161" i="17"/>
  <c r="C160" i="17"/>
  <c r="C152" i="17"/>
  <c r="D146" i="17"/>
  <c r="D143" i="17"/>
  <c r="D140" i="17"/>
  <c r="D137" i="17"/>
  <c r="D134" i="17"/>
  <c r="D131" i="17"/>
  <c r="B160" i="17"/>
  <c r="B159" i="17"/>
  <c r="B150" i="17"/>
  <c r="C146" i="17"/>
  <c r="C143" i="17"/>
  <c r="C140" i="17"/>
  <c r="C137" i="17"/>
  <c r="C134" i="17"/>
  <c r="C131" i="17"/>
  <c r="B206" i="17"/>
  <c r="E158" i="17"/>
  <c r="E157" i="17"/>
  <c r="E149" i="17"/>
  <c r="E148" i="17"/>
  <c r="B146" i="17"/>
  <c r="B143" i="17"/>
  <c r="B140" i="17"/>
  <c r="B137" i="17"/>
  <c r="B134" i="17"/>
  <c r="B131" i="17"/>
  <c r="D157" i="17"/>
  <c r="D149" i="17"/>
  <c r="E141" i="17"/>
  <c r="E132" i="17"/>
  <c r="C157" i="17"/>
  <c r="C149" i="17"/>
  <c r="D141" i="17"/>
  <c r="D132" i="17"/>
  <c r="E164" i="17"/>
  <c r="B157" i="17"/>
  <c r="B153" i="17"/>
  <c r="C141" i="17"/>
  <c r="C132" i="17"/>
  <c r="D164" i="17"/>
  <c r="E161" i="17"/>
  <c r="E154" i="17"/>
  <c r="B141" i="17"/>
  <c r="B132" i="17"/>
  <c r="D158" i="17"/>
  <c r="D154" i="17"/>
  <c r="E138" i="17"/>
  <c r="E130" i="17"/>
  <c r="E160" i="17"/>
  <c r="E155" i="17"/>
  <c r="D148" i="17"/>
  <c r="B145" i="17"/>
  <c r="D155" i="17"/>
  <c r="C148" i="17"/>
  <c r="C155" i="17"/>
  <c r="B148" i="17"/>
  <c r="D138" i="17"/>
  <c r="E135" i="17"/>
  <c r="E129" i="17"/>
  <c r="C138" i="17"/>
  <c r="D135" i="17"/>
  <c r="D129" i="17"/>
  <c r="E144" i="17"/>
  <c r="B138" i="17"/>
  <c r="C135" i="17"/>
  <c r="C129" i="17"/>
  <c r="C166" i="17"/>
  <c r="C163" i="17"/>
  <c r="D145" i="17"/>
  <c r="B163" i="17"/>
  <c r="C145" i="17"/>
  <c r="D144" i="17"/>
  <c r="C130" i="17"/>
  <c r="C154" i="17"/>
  <c r="E163" i="17"/>
  <c r="C158" i="17"/>
  <c r="E145" i="17"/>
  <c r="B130" i="17"/>
  <c r="E166" i="17"/>
  <c r="B135" i="17"/>
  <c r="C144" i="17"/>
  <c r="B144" i="17"/>
  <c r="B154" i="17"/>
  <c r="E152" i="17"/>
  <c r="B129" i="17"/>
  <c r="D163" i="17"/>
  <c r="D130" i="17"/>
  <c r="D166" i="17"/>
  <c r="W53" i="17"/>
  <c r="AA51" i="17"/>
  <c r="M61" i="17"/>
  <c r="P167" i="17"/>
  <c r="W67" i="17"/>
  <c r="AA63" i="17"/>
  <c r="L139" i="17"/>
  <c r="L212" i="17" s="1"/>
  <c r="P103" i="17"/>
  <c r="T100" i="17"/>
  <c r="M158" i="17"/>
  <c r="I162" i="17"/>
  <c r="AA98" i="17"/>
  <c r="AA122" i="17"/>
  <c r="M141" i="17"/>
  <c r="I151" i="17"/>
  <c r="M148" i="17"/>
  <c r="F110" i="17"/>
  <c r="F96" i="17"/>
  <c r="B99" i="17"/>
  <c r="AA106" i="17"/>
  <c r="S118" i="17"/>
  <c r="S200" i="17" s="1"/>
  <c r="AA119" i="17"/>
  <c r="W123" i="17"/>
  <c r="L73" i="17"/>
  <c r="L183" i="17" s="1"/>
  <c r="T65" i="17"/>
  <c r="T113" i="17"/>
  <c r="K78" i="17"/>
  <c r="K184" i="17" s="1"/>
  <c r="T77" i="17"/>
  <c r="M68" i="17"/>
  <c r="M40" i="17"/>
  <c r="T76" i="17"/>
  <c r="T114" i="17"/>
  <c r="S46" i="17"/>
  <c r="S177" i="17" s="1"/>
  <c r="W46" i="17"/>
  <c r="AA97" i="17"/>
  <c r="W118" i="17"/>
  <c r="W62" i="17"/>
  <c r="B107" i="17"/>
  <c r="F104" i="17"/>
  <c r="AA117" i="17"/>
  <c r="M117" i="17"/>
  <c r="I42" i="17"/>
  <c r="M38" i="17"/>
  <c r="I49" i="17"/>
  <c r="M47" i="17"/>
  <c r="J142" i="17"/>
  <c r="J213" i="17" s="1"/>
  <c r="T149" i="17"/>
  <c r="T138" i="17"/>
  <c r="M144" i="17"/>
  <c r="I147" i="17"/>
  <c r="K133" i="17"/>
  <c r="K210" i="17" s="1"/>
  <c r="M154" i="17"/>
  <c r="B118" i="17"/>
  <c r="F113" i="17"/>
  <c r="F106" i="17"/>
  <c r="Z89" i="17"/>
  <c r="Z193" i="17" s="1"/>
  <c r="X78" i="17"/>
  <c r="X184" i="17" s="1"/>
  <c r="AA77" i="17"/>
  <c r="W78" i="17"/>
  <c r="Q103" i="17"/>
  <c r="Q197" i="17" s="1"/>
  <c r="P95" i="17"/>
  <c r="T93" i="17"/>
  <c r="Q123" i="17"/>
  <c r="Q201" i="17" s="1"/>
  <c r="K99" i="17"/>
  <c r="K196" i="17" s="1"/>
  <c r="M101" i="17"/>
  <c r="K112" i="17"/>
  <c r="K199" i="17" s="1"/>
  <c r="Q67" i="17"/>
  <c r="Q182" i="17" s="1"/>
  <c r="T68" i="17"/>
  <c r="P118" i="17"/>
  <c r="W162" i="17"/>
  <c r="AA158" i="17"/>
  <c r="M76" i="17"/>
  <c r="L78" i="17"/>
  <c r="L184" i="17" s="1"/>
  <c r="T39" i="17"/>
  <c r="R78" i="17"/>
  <c r="R184" i="17" s="1"/>
  <c r="T64" i="17"/>
  <c r="T41" i="17"/>
  <c r="J67" i="17"/>
  <c r="J182" i="17" s="1"/>
  <c r="AA52" i="17"/>
  <c r="M137" i="17"/>
  <c r="M119" i="17"/>
  <c r="F109" i="17"/>
  <c r="B112" i="17"/>
  <c r="W142" i="17"/>
  <c r="AA140" i="17"/>
  <c r="M138" i="17"/>
  <c r="T159" i="17"/>
  <c r="Y92" i="17"/>
  <c r="Y194" i="17" s="1"/>
  <c r="P156" i="17"/>
  <c r="T152" i="17"/>
  <c r="P139" i="17"/>
  <c r="T137" i="17"/>
  <c r="M157" i="17"/>
  <c r="F116" i="17"/>
  <c r="B103" i="17"/>
  <c r="F100" i="17"/>
  <c r="T84" i="17"/>
  <c r="X112" i="17"/>
  <c r="X199" i="17" s="1"/>
  <c r="AA121" i="17"/>
  <c r="L99" i="17"/>
  <c r="L196" i="17" s="1"/>
  <c r="T85" i="17"/>
  <c r="I107" i="17"/>
  <c r="M104" i="17"/>
  <c r="M120" i="17"/>
  <c r="R112" i="17"/>
  <c r="R199" i="17" s="1"/>
  <c r="Q89" i="17"/>
  <c r="Q193" i="17" s="1"/>
  <c r="J123" i="17"/>
  <c r="J201" i="17" s="1"/>
  <c r="M85" i="17"/>
  <c r="I89" i="17"/>
  <c r="R67" i="17"/>
  <c r="R182" i="17" s="1"/>
  <c r="T71" i="17"/>
  <c r="Q78" i="17"/>
  <c r="Q184" i="17" s="1"/>
  <c r="T48" i="17"/>
  <c r="W156" i="17"/>
  <c r="AA152" i="17"/>
  <c r="B172" i="17"/>
  <c r="E77" i="17"/>
  <c r="D77" i="17"/>
  <c r="E75" i="17"/>
  <c r="E72" i="17"/>
  <c r="E69" i="17"/>
  <c r="E66" i="17"/>
  <c r="E63" i="17"/>
  <c r="E60" i="17"/>
  <c r="E57" i="17"/>
  <c r="E54" i="17"/>
  <c r="E51" i="17"/>
  <c r="E48" i="17"/>
  <c r="E45" i="17"/>
  <c r="E39" i="17"/>
  <c r="C77" i="17"/>
  <c r="D75" i="17"/>
  <c r="D72" i="17"/>
  <c r="D69" i="17"/>
  <c r="D66" i="17"/>
  <c r="D63" i="17"/>
  <c r="D60" i="17"/>
  <c r="D57" i="17"/>
  <c r="D54" i="17"/>
  <c r="D51" i="17"/>
  <c r="D48" i="17"/>
  <c r="B75" i="17"/>
  <c r="B72" i="17"/>
  <c r="B69" i="17"/>
  <c r="B66" i="17"/>
  <c r="B63" i="17"/>
  <c r="B60" i="17"/>
  <c r="B57" i="17"/>
  <c r="B54" i="17"/>
  <c r="B51" i="17"/>
  <c r="B48" i="17"/>
  <c r="B45" i="17"/>
  <c r="B39" i="17"/>
  <c r="E70" i="17"/>
  <c r="E64" i="17"/>
  <c r="E61" i="17"/>
  <c r="E55" i="17"/>
  <c r="B74" i="17"/>
  <c r="B65" i="17"/>
  <c r="B64" i="17"/>
  <c r="B56" i="17"/>
  <c r="B55" i="17"/>
  <c r="C47" i="17"/>
  <c r="C44" i="17"/>
  <c r="E41" i="17"/>
  <c r="D76" i="17"/>
  <c r="B68" i="17"/>
  <c r="C48" i="17"/>
  <c r="C72" i="17"/>
  <c r="E71" i="17"/>
  <c r="C63" i="17"/>
  <c r="E50" i="17"/>
  <c r="B47" i="17"/>
  <c r="B44" i="17"/>
  <c r="D41" i="17"/>
  <c r="E40" i="17"/>
  <c r="E68" i="17"/>
  <c r="C68" i="17"/>
  <c r="C45" i="17"/>
  <c r="D71" i="17"/>
  <c r="D70" i="17"/>
  <c r="D61" i="17"/>
  <c r="C54" i="17"/>
  <c r="D50" i="17"/>
  <c r="E43" i="17"/>
  <c r="C41" i="17"/>
  <c r="E38" i="17"/>
  <c r="C60" i="17"/>
  <c r="D40" i="17"/>
  <c r="C59" i="17"/>
  <c r="C71" i="17"/>
  <c r="C70" i="17"/>
  <c r="C61" i="17"/>
  <c r="C50" i="17"/>
  <c r="D43" i="17"/>
  <c r="B41" i="17"/>
  <c r="D38" i="17"/>
  <c r="B61" i="17"/>
  <c r="B50" i="17"/>
  <c r="C43" i="17"/>
  <c r="B40" i="17"/>
  <c r="B59" i="17"/>
  <c r="C52" i="17"/>
  <c r="B71" i="17"/>
  <c r="B70" i="17"/>
  <c r="C38" i="17"/>
  <c r="C69" i="17"/>
  <c r="E59" i="17"/>
  <c r="B43" i="17"/>
  <c r="B38" i="17"/>
  <c r="D68" i="17"/>
  <c r="D59" i="17"/>
  <c r="E52" i="17"/>
  <c r="D45" i="17"/>
  <c r="C40" i="17"/>
  <c r="E76" i="17"/>
  <c r="D52" i="17"/>
  <c r="E74" i="17"/>
  <c r="C56" i="17"/>
  <c r="E44" i="17"/>
  <c r="D64" i="17"/>
  <c r="B52" i="17"/>
  <c r="C64" i="17"/>
  <c r="E56" i="17"/>
  <c r="D74" i="17"/>
  <c r="E65" i="17"/>
  <c r="C51" i="17"/>
  <c r="C57" i="17"/>
  <c r="E47" i="17"/>
  <c r="C74" i="17"/>
  <c r="D65" i="17"/>
  <c r="C75" i="17"/>
  <c r="C66" i="17"/>
  <c r="C76" i="17"/>
  <c r="C65" i="17"/>
  <c r="D55" i="17"/>
  <c r="D44" i="17"/>
  <c r="D39" i="17"/>
  <c r="D56" i="17"/>
  <c r="D47" i="17"/>
  <c r="B76" i="17"/>
  <c r="C55" i="17"/>
  <c r="B77" i="17"/>
  <c r="C39" i="17"/>
  <c r="S58" i="17"/>
  <c r="S180" i="17" s="1"/>
  <c r="T134" i="17"/>
  <c r="I103" i="17"/>
  <c r="P112" i="17"/>
  <c r="T63" i="17"/>
  <c r="P67" i="17"/>
  <c r="AA40" i="17"/>
  <c r="I139" i="17"/>
  <c r="D99" i="17"/>
  <c r="D196" i="17" s="1"/>
  <c r="AA61" i="17"/>
  <c r="T150" i="17"/>
  <c r="Z123" i="17"/>
  <c r="Z201" i="17" s="1"/>
  <c r="R58" i="17"/>
  <c r="R180" i="17" s="1"/>
  <c r="M69" i="17"/>
  <c r="I73" i="17"/>
  <c r="AA113" i="17"/>
  <c r="K142" i="17"/>
  <c r="K213" i="17" s="1"/>
  <c r="Q139" i="17"/>
  <c r="Q212" i="17" s="1"/>
  <c r="S167" i="17"/>
  <c r="S218" i="17" s="1"/>
  <c r="T155" i="17"/>
  <c r="R156" i="17"/>
  <c r="R216" i="17" s="1"/>
  <c r="M160" i="17"/>
  <c r="B123" i="17"/>
  <c r="F119" i="17"/>
  <c r="D118" i="17"/>
  <c r="D200" i="17" s="1"/>
  <c r="F102" i="17"/>
  <c r="F98" i="17"/>
  <c r="Z92" i="17"/>
  <c r="Z194" i="17" s="1"/>
  <c r="AA111" i="17"/>
  <c r="W73" i="17"/>
  <c r="AA69" i="17"/>
  <c r="M94" i="17"/>
  <c r="T88" i="17"/>
  <c r="R107" i="17"/>
  <c r="R198" i="17" s="1"/>
  <c r="T106" i="17"/>
  <c r="L89" i="17"/>
  <c r="L193" i="17" s="1"/>
  <c r="J112" i="17"/>
  <c r="J199" i="17" s="1"/>
  <c r="AA116" i="17"/>
  <c r="Q73" i="17"/>
  <c r="Q183" i="17" s="1"/>
  <c r="T74" i="17"/>
  <c r="P78" i="17"/>
  <c r="L42" i="17"/>
  <c r="L176" i="17" s="1"/>
  <c r="M52" i="17"/>
  <c r="M60" i="17"/>
  <c r="P89" i="17"/>
  <c r="P62" i="17"/>
  <c r="T59" i="17"/>
  <c r="T44" i="17"/>
  <c r="M44" i="17"/>
  <c r="T145" i="17"/>
  <c r="P162" i="17"/>
  <c r="T158" i="17"/>
  <c r="I167" i="17"/>
  <c r="M163" i="17"/>
  <c r="K167" i="17"/>
  <c r="K218" i="17" s="1"/>
  <c r="I142" i="17"/>
  <c r="M140" i="17"/>
  <c r="Q147" i="17"/>
  <c r="Q214" i="17" s="1"/>
  <c r="F121" i="17"/>
  <c r="C103" i="17"/>
  <c r="C197" i="17" s="1"/>
  <c r="C99" i="17"/>
  <c r="C196" i="17" s="1"/>
  <c r="W112" i="17"/>
  <c r="AA108" i="17"/>
  <c r="AA94" i="17"/>
  <c r="T121" i="17"/>
  <c r="T110" i="17"/>
  <c r="T91" i="17"/>
  <c r="P92" i="17"/>
  <c r="T119" i="17"/>
  <c r="P123" i="17"/>
  <c r="M86" i="17"/>
  <c r="M116" i="17"/>
  <c r="M122" i="17"/>
  <c r="M93" i="17"/>
  <c r="I95" i="17"/>
  <c r="T104" i="17"/>
  <c r="P107" i="17"/>
  <c r="Q112" i="17"/>
  <c r="Q199" i="17" s="1"/>
  <c r="AA70" i="17"/>
  <c r="R73" i="17"/>
  <c r="R183" i="17" s="1"/>
  <c r="Q42" i="17"/>
  <c r="Q176" i="17" s="1"/>
  <c r="I46" i="17"/>
  <c r="M43" i="17"/>
  <c r="AA163" i="17"/>
  <c r="W167" i="17"/>
  <c r="M66" i="17"/>
  <c r="T66" i="17"/>
  <c r="M59" i="17"/>
  <c r="I62" i="17"/>
  <c r="M77" i="17"/>
  <c r="S42" i="17"/>
  <c r="S176" i="17" s="1"/>
  <c r="AA93" i="17"/>
  <c r="P73" i="17"/>
  <c r="X184" i="15"/>
  <c r="W184" i="15"/>
  <c r="Q184" i="15"/>
  <c r="P184" i="15"/>
  <c r="J184" i="15"/>
  <c r="I184" i="15"/>
  <c r="C184" i="15"/>
  <c r="B184" i="15"/>
  <c r="W140" i="15"/>
  <c r="Z172" i="15" s="1"/>
  <c r="P140" i="15"/>
  <c r="P179" i="15" s="1"/>
  <c r="I140" i="15"/>
  <c r="W95" i="15"/>
  <c r="X114" i="15" s="1"/>
  <c r="P95" i="15"/>
  <c r="S122" i="15" s="1"/>
  <c r="I202" i="15"/>
  <c r="B95" i="15"/>
  <c r="B133" i="15" s="1"/>
  <c r="W49" i="15"/>
  <c r="Z88" i="15" s="1"/>
  <c r="P49" i="15"/>
  <c r="Q64" i="15" s="1"/>
  <c r="I49" i="15"/>
  <c r="I79" i="15" s="1"/>
  <c r="D49" i="17" l="1"/>
  <c r="D178" i="17" s="1"/>
  <c r="F92" i="17"/>
  <c r="E203" i="17"/>
  <c r="T136" i="17"/>
  <c r="R220" i="17"/>
  <c r="E49" i="17"/>
  <c r="E178" i="17" s="1"/>
  <c r="T142" i="17"/>
  <c r="J220" i="17"/>
  <c r="E202" i="17"/>
  <c r="F71" i="17"/>
  <c r="R219" i="17"/>
  <c r="C162" i="17"/>
  <c r="C217" i="17" s="1"/>
  <c r="Z185" i="17"/>
  <c r="R203" i="17"/>
  <c r="C46" i="17"/>
  <c r="C177" i="17" s="1"/>
  <c r="X185" i="17"/>
  <c r="F95" i="17"/>
  <c r="E167" i="17"/>
  <c r="E218" i="17" s="1"/>
  <c r="Q219" i="17"/>
  <c r="AA95" i="17"/>
  <c r="M53" i="17"/>
  <c r="F52" i="17"/>
  <c r="S220" i="17"/>
  <c r="B194" i="17"/>
  <c r="J186" i="17"/>
  <c r="E156" i="17"/>
  <c r="E216" i="17" s="1"/>
  <c r="F61" i="17"/>
  <c r="E62" i="17"/>
  <c r="E181" i="17" s="1"/>
  <c r="E53" i="17"/>
  <c r="E179" i="17" s="1"/>
  <c r="Y202" i="17"/>
  <c r="F154" i="17"/>
  <c r="E133" i="17"/>
  <c r="E210" i="17" s="1"/>
  <c r="Q220" i="17"/>
  <c r="C203" i="17"/>
  <c r="F77" i="17"/>
  <c r="Z186" i="17"/>
  <c r="S203" i="17"/>
  <c r="X202" i="17"/>
  <c r="D142" i="17"/>
  <c r="D213" i="17" s="1"/>
  <c r="F44" i="17"/>
  <c r="F55" i="17"/>
  <c r="F51" i="17"/>
  <c r="E58" i="17"/>
  <c r="E180" i="17" s="1"/>
  <c r="X203" i="17"/>
  <c r="D42" i="17"/>
  <c r="D176" i="17" s="1"/>
  <c r="E46" i="17"/>
  <c r="E177" i="17" s="1"/>
  <c r="F56" i="17"/>
  <c r="C142" i="17"/>
  <c r="C213" i="17" s="1"/>
  <c r="D53" i="17"/>
  <c r="D179" i="17" s="1"/>
  <c r="K185" i="17"/>
  <c r="C151" i="17"/>
  <c r="C215" i="17" s="1"/>
  <c r="C62" i="17"/>
  <c r="C181" i="17" s="1"/>
  <c r="E162" i="17"/>
  <c r="E217" i="17" s="1"/>
  <c r="D136" i="17"/>
  <c r="D211" i="17" s="1"/>
  <c r="F161" i="17"/>
  <c r="Y185" i="17"/>
  <c r="Y186" i="17"/>
  <c r="F138" i="17"/>
  <c r="B223" i="17"/>
  <c r="D139" i="17"/>
  <c r="D212" i="17" s="1"/>
  <c r="B49" i="17"/>
  <c r="F47" i="17"/>
  <c r="T156" i="17"/>
  <c r="P216" i="17"/>
  <c r="W200" i="17"/>
  <c r="AA118" i="17"/>
  <c r="D151" i="17"/>
  <c r="D215" i="17" s="1"/>
  <c r="P184" i="17"/>
  <c r="T78" i="17"/>
  <c r="C73" i="17"/>
  <c r="C183" i="17" s="1"/>
  <c r="D46" i="17"/>
  <c r="D177" i="17" s="1"/>
  <c r="C58" i="17"/>
  <c r="C180" i="17" s="1"/>
  <c r="C67" i="17"/>
  <c r="C182" i="17" s="1"/>
  <c r="F65" i="17"/>
  <c r="F60" i="17"/>
  <c r="E67" i="17"/>
  <c r="E182" i="17" s="1"/>
  <c r="Z202" i="17"/>
  <c r="Z203" i="17"/>
  <c r="W177" i="17"/>
  <c r="AA46" i="17"/>
  <c r="D167" i="17"/>
  <c r="D218" i="17" s="1"/>
  <c r="D133" i="17"/>
  <c r="D210" i="17" s="1"/>
  <c r="F131" i="17"/>
  <c r="C136" i="17"/>
  <c r="C211" i="17" s="1"/>
  <c r="D147" i="17"/>
  <c r="D214" i="17" s="1"/>
  <c r="M136" i="17"/>
  <c r="I211" i="17"/>
  <c r="P179" i="17"/>
  <c r="T53" i="17"/>
  <c r="P180" i="17"/>
  <c r="T58" i="17"/>
  <c r="T46" i="17"/>
  <c r="J185" i="17"/>
  <c r="I196" i="17"/>
  <c r="M99" i="17"/>
  <c r="F41" i="17"/>
  <c r="P201" i="17"/>
  <c r="T123" i="17"/>
  <c r="C78" i="17"/>
  <c r="C184" i="17" s="1"/>
  <c r="E78" i="17"/>
  <c r="E184" i="17" s="1"/>
  <c r="C42" i="17"/>
  <c r="C176" i="17" s="1"/>
  <c r="C53" i="17"/>
  <c r="C179" i="17" s="1"/>
  <c r="F74" i="17"/>
  <c r="B78" i="17"/>
  <c r="F63" i="17"/>
  <c r="B67" i="17"/>
  <c r="D73" i="17"/>
  <c r="D183" i="17" s="1"/>
  <c r="F129" i="17"/>
  <c r="B133" i="17"/>
  <c r="F153" i="17"/>
  <c r="F134" i="17"/>
  <c r="B136" i="17"/>
  <c r="C139" i="17"/>
  <c r="C212" i="17" s="1"/>
  <c r="K202" i="17"/>
  <c r="K203" i="17"/>
  <c r="S202" i="17"/>
  <c r="I199" i="17"/>
  <c r="M112" i="17"/>
  <c r="P210" i="17"/>
  <c r="T133" i="17"/>
  <c r="W181" i="17"/>
  <c r="AA62" i="17"/>
  <c r="W214" i="17"/>
  <c r="AA147" i="17"/>
  <c r="W217" i="17"/>
  <c r="AA162" i="17"/>
  <c r="F145" i="17"/>
  <c r="F164" i="17"/>
  <c r="W176" i="17"/>
  <c r="AA42" i="17"/>
  <c r="F64" i="17"/>
  <c r="P200" i="17"/>
  <c r="T118" i="17"/>
  <c r="I177" i="17"/>
  <c r="M46" i="17"/>
  <c r="P183" i="17"/>
  <c r="T73" i="17"/>
  <c r="Q186" i="17"/>
  <c r="Q185" i="17"/>
  <c r="I183" i="17"/>
  <c r="M73" i="17"/>
  <c r="F76" i="17"/>
  <c r="F70" i="17"/>
  <c r="F66" i="17"/>
  <c r="E73" i="17"/>
  <c r="E183" i="17" s="1"/>
  <c r="I193" i="17"/>
  <c r="M89" i="17"/>
  <c r="I178" i="17"/>
  <c r="M49" i="17"/>
  <c r="P197" i="17"/>
  <c r="T103" i="17"/>
  <c r="F157" i="17"/>
  <c r="B139" i="17"/>
  <c r="F137" i="17"/>
  <c r="C156" i="17"/>
  <c r="C216" i="17" s="1"/>
  <c r="I182" i="17"/>
  <c r="M67" i="17"/>
  <c r="W196" i="17"/>
  <c r="AA99" i="17"/>
  <c r="S219" i="17"/>
  <c r="K186" i="17"/>
  <c r="I198" i="17"/>
  <c r="M107" i="17"/>
  <c r="E147" i="17"/>
  <c r="E214" i="17" s="1"/>
  <c r="P178" i="17"/>
  <c r="T49" i="17"/>
  <c r="F43" i="17"/>
  <c r="B46" i="17"/>
  <c r="D67" i="17"/>
  <c r="D182" i="17" s="1"/>
  <c r="I217" i="17"/>
  <c r="M162" i="17"/>
  <c r="AA151" i="17"/>
  <c r="W215" i="17"/>
  <c r="B73" i="17"/>
  <c r="F69" i="17"/>
  <c r="W213" i="17"/>
  <c r="AA142" i="17"/>
  <c r="B200" i="17"/>
  <c r="F118" i="17"/>
  <c r="B196" i="17"/>
  <c r="F99" i="17"/>
  <c r="B142" i="17"/>
  <c r="F140" i="17"/>
  <c r="C147" i="17"/>
  <c r="C214" i="17" s="1"/>
  <c r="F166" i="17"/>
  <c r="I216" i="17"/>
  <c r="M156" i="17"/>
  <c r="I180" i="17"/>
  <c r="M58" i="17"/>
  <c r="W179" i="17"/>
  <c r="AA53" i="17"/>
  <c r="W211" i="17"/>
  <c r="AA136" i="17"/>
  <c r="F57" i="17"/>
  <c r="S186" i="17"/>
  <c r="S185" i="17"/>
  <c r="F68" i="17"/>
  <c r="F72" i="17"/>
  <c r="B197" i="17"/>
  <c r="F103" i="17"/>
  <c r="X186" i="17"/>
  <c r="I176" i="17"/>
  <c r="M42" i="17"/>
  <c r="F144" i="17"/>
  <c r="B167" i="17"/>
  <c r="F163" i="17"/>
  <c r="F143" i="17"/>
  <c r="B147" i="17"/>
  <c r="F165" i="17"/>
  <c r="I194" i="17"/>
  <c r="M92" i="17"/>
  <c r="W212" i="17"/>
  <c r="AA139" i="17"/>
  <c r="M118" i="17"/>
  <c r="I200" i="17"/>
  <c r="J203" i="17"/>
  <c r="J202" i="17"/>
  <c r="C202" i="17"/>
  <c r="T42" i="17"/>
  <c r="W216" i="17"/>
  <c r="AA156" i="17"/>
  <c r="T162" i="17"/>
  <c r="P217" i="17"/>
  <c r="R186" i="17"/>
  <c r="R185" i="17"/>
  <c r="P194" i="17"/>
  <c r="T92" i="17"/>
  <c r="I213" i="17"/>
  <c r="M142" i="17"/>
  <c r="I212" i="17"/>
  <c r="M139" i="17"/>
  <c r="B62" i="17"/>
  <c r="F59" i="17"/>
  <c r="F75" i="17"/>
  <c r="Q203" i="17"/>
  <c r="Q202" i="17"/>
  <c r="K219" i="17"/>
  <c r="K220" i="17"/>
  <c r="W182" i="17"/>
  <c r="AA67" i="17"/>
  <c r="D162" i="17"/>
  <c r="D217" i="17" s="1"/>
  <c r="F146" i="17"/>
  <c r="F150" i="17"/>
  <c r="F149" i="17"/>
  <c r="P215" i="17"/>
  <c r="T151" i="17"/>
  <c r="I210" i="17"/>
  <c r="M133" i="17"/>
  <c r="D202" i="17"/>
  <c r="D203" i="17"/>
  <c r="AA92" i="17"/>
  <c r="B42" i="17"/>
  <c r="F38" i="17"/>
  <c r="W197" i="17"/>
  <c r="AA103" i="17"/>
  <c r="AA167" i="17"/>
  <c r="W218" i="17"/>
  <c r="F54" i="17"/>
  <c r="B58" i="17"/>
  <c r="W183" i="17"/>
  <c r="AA73" i="17"/>
  <c r="AA123" i="17"/>
  <c r="W201" i="17"/>
  <c r="D156" i="17"/>
  <c r="D216" i="17" s="1"/>
  <c r="W178" i="17"/>
  <c r="AA49" i="17"/>
  <c r="P181" i="17"/>
  <c r="T62" i="17"/>
  <c r="L202" i="17"/>
  <c r="L203" i="17"/>
  <c r="T67" i="17"/>
  <c r="P182" i="17"/>
  <c r="I181" i="17"/>
  <c r="M62" i="17"/>
  <c r="P198" i="17"/>
  <c r="T107" i="17"/>
  <c r="M167" i="17"/>
  <c r="I218" i="17"/>
  <c r="P193" i="17"/>
  <c r="T89" i="17"/>
  <c r="B201" i="17"/>
  <c r="F123" i="17"/>
  <c r="D78" i="17"/>
  <c r="D184" i="17" s="1"/>
  <c r="F40" i="17"/>
  <c r="F39" i="17"/>
  <c r="R202" i="17"/>
  <c r="M147" i="17"/>
  <c r="I214" i="17"/>
  <c r="P218" i="17"/>
  <c r="T167" i="17"/>
  <c r="F135" i="17"/>
  <c r="C167" i="17"/>
  <c r="C218" i="17" s="1"/>
  <c r="B151" i="17"/>
  <c r="F148" i="17"/>
  <c r="F132" i="17"/>
  <c r="E151" i="17"/>
  <c r="E215" i="17" s="1"/>
  <c r="F159" i="17"/>
  <c r="E136" i="17"/>
  <c r="E211" i="17" s="1"/>
  <c r="B156" i="17"/>
  <c r="F152" i="17"/>
  <c r="P196" i="17"/>
  <c r="T99" i="17"/>
  <c r="B193" i="17"/>
  <c r="F89" i="17"/>
  <c r="I184" i="17"/>
  <c r="M78" i="17"/>
  <c r="W199" i="17"/>
  <c r="AA112" i="17"/>
  <c r="W184" i="17"/>
  <c r="AA78" i="17"/>
  <c r="L186" i="17"/>
  <c r="L185" i="17"/>
  <c r="J219" i="17"/>
  <c r="P199" i="17"/>
  <c r="T112" i="17"/>
  <c r="D62" i="17"/>
  <c r="D181" i="17" s="1"/>
  <c r="F45" i="17"/>
  <c r="P195" i="17"/>
  <c r="T95" i="17"/>
  <c r="I215" i="17"/>
  <c r="M151" i="17"/>
  <c r="F141" i="17"/>
  <c r="F160" i="17"/>
  <c r="E139" i="17"/>
  <c r="E212" i="17" s="1"/>
  <c r="F155" i="17"/>
  <c r="T147" i="17"/>
  <c r="P214" i="17"/>
  <c r="W210" i="17"/>
  <c r="AA133" i="17"/>
  <c r="W180" i="17"/>
  <c r="AA58" i="17"/>
  <c r="I201" i="17"/>
  <c r="M123" i="17"/>
  <c r="Y203" i="17"/>
  <c r="W193" i="17"/>
  <c r="AA89" i="17"/>
  <c r="L220" i="17"/>
  <c r="L219" i="17"/>
  <c r="I195" i="17"/>
  <c r="M95" i="17"/>
  <c r="M103" i="17"/>
  <c r="I197" i="17"/>
  <c r="F50" i="17"/>
  <c r="B53" i="17"/>
  <c r="E42" i="17"/>
  <c r="E176" i="17" s="1"/>
  <c r="C49" i="17"/>
  <c r="C178" i="17" s="1"/>
  <c r="F48" i="17"/>
  <c r="D58" i="17"/>
  <c r="D180" i="17" s="1"/>
  <c r="P212" i="17"/>
  <c r="T139" i="17"/>
  <c r="B199" i="17"/>
  <c r="F112" i="17"/>
  <c r="B198" i="17"/>
  <c r="F107" i="17"/>
  <c r="F130" i="17"/>
  <c r="C133" i="17"/>
  <c r="C210" i="17" s="1"/>
  <c r="E142" i="17"/>
  <c r="E213" i="17" s="1"/>
  <c r="F158" i="17"/>
  <c r="B162" i="17"/>
  <c r="W198" i="17"/>
  <c r="AA107" i="17"/>
  <c r="I177" i="15"/>
  <c r="B140" i="15"/>
  <c r="S145" i="15"/>
  <c r="Q148" i="15"/>
  <c r="R53" i="15"/>
  <c r="Y53" i="15"/>
  <c r="Z61" i="15"/>
  <c r="W84" i="15"/>
  <c r="W64" i="15"/>
  <c r="I104" i="15"/>
  <c r="J52" i="15"/>
  <c r="P52" i="15"/>
  <c r="Q52" i="15"/>
  <c r="X153" i="15"/>
  <c r="Z60" i="15"/>
  <c r="Z142" i="15"/>
  <c r="W107" i="15"/>
  <c r="P64" i="15"/>
  <c r="X107" i="15"/>
  <c r="Z126" i="15"/>
  <c r="X64" i="15"/>
  <c r="P51" i="15"/>
  <c r="Q69" i="15"/>
  <c r="L51" i="15"/>
  <c r="W130" i="15"/>
  <c r="Q51" i="15"/>
  <c r="R69" i="15"/>
  <c r="Q109" i="15"/>
  <c r="W153" i="15"/>
  <c r="W156" i="15"/>
  <c r="P166" i="15"/>
  <c r="K113" i="15"/>
  <c r="X143" i="15"/>
  <c r="X145" i="15"/>
  <c r="L163" i="15"/>
  <c r="Y166" i="15"/>
  <c r="Y113" i="15"/>
  <c r="Z53" i="15"/>
  <c r="W73" i="15"/>
  <c r="Y98" i="15"/>
  <c r="J115" i="15"/>
  <c r="I113" i="15"/>
  <c r="I159" i="15"/>
  <c r="W56" i="15"/>
  <c r="X73" i="15"/>
  <c r="J99" i="15"/>
  <c r="Z117" i="15"/>
  <c r="J97" i="15"/>
  <c r="Y143" i="15"/>
  <c r="Z56" i="15"/>
  <c r="Z73" i="15"/>
  <c r="J100" i="15"/>
  <c r="J121" i="15"/>
  <c r="J142" i="15"/>
  <c r="Y154" i="15"/>
  <c r="Y174" i="15"/>
  <c r="X98" i="15"/>
  <c r="P58" i="15"/>
  <c r="X78" i="15"/>
  <c r="Y100" i="15"/>
  <c r="Q124" i="15"/>
  <c r="K142" i="15"/>
  <c r="Z154" i="15"/>
  <c r="W165" i="15"/>
  <c r="Z174" i="15"/>
  <c r="R58" i="15"/>
  <c r="Z78" i="15"/>
  <c r="Z100" i="15"/>
  <c r="Y126" i="15"/>
  <c r="Y142" i="15"/>
  <c r="W144" i="15"/>
  <c r="B49" i="15"/>
  <c r="E79" i="15" s="1"/>
  <c r="J84" i="15"/>
  <c r="K97" i="15"/>
  <c r="Q117" i="15"/>
  <c r="S144" i="15"/>
  <c r="W52" i="15"/>
  <c r="Q58" i="15"/>
  <c r="S76" i="15"/>
  <c r="Z87" i="15"/>
  <c r="Q97" i="15"/>
  <c r="C103" i="15"/>
  <c r="R109" i="15"/>
  <c r="Z118" i="15"/>
  <c r="L128" i="15"/>
  <c r="X144" i="15"/>
  <c r="L147" i="15"/>
  <c r="S161" i="15"/>
  <c r="W170" i="15"/>
  <c r="Y52" i="15"/>
  <c r="L67" i="15"/>
  <c r="W76" i="15"/>
  <c r="W88" i="15"/>
  <c r="K98" i="15"/>
  <c r="D103" i="15"/>
  <c r="D111" i="15"/>
  <c r="B119" i="15"/>
  <c r="Y128" i="15"/>
  <c r="R147" i="15"/>
  <c r="D135" i="15"/>
  <c r="L97" i="15"/>
  <c r="W58" i="15"/>
  <c r="P67" i="15"/>
  <c r="X76" i="15"/>
  <c r="X88" i="15"/>
  <c r="D104" i="15"/>
  <c r="E111" i="15"/>
  <c r="E121" i="15"/>
  <c r="Q130" i="15"/>
  <c r="S147" i="15"/>
  <c r="K165" i="15"/>
  <c r="K51" i="15"/>
  <c r="X53" i="15"/>
  <c r="X60" i="15"/>
  <c r="Z68" i="15"/>
  <c r="W78" i="15"/>
  <c r="Z90" i="15"/>
  <c r="E104" i="15"/>
  <c r="I111" i="15"/>
  <c r="I121" i="15"/>
  <c r="S130" i="15"/>
  <c r="S143" i="15"/>
  <c r="Y153" i="15"/>
  <c r="S156" i="15"/>
  <c r="S165" i="15"/>
  <c r="S177" i="15"/>
  <c r="K99" i="15"/>
  <c r="C123" i="15"/>
  <c r="Y70" i="15"/>
  <c r="B100" i="15"/>
  <c r="I106" i="15"/>
  <c r="D123" i="15"/>
  <c r="Q133" i="15"/>
  <c r="S159" i="15"/>
  <c r="E106" i="15"/>
  <c r="L133" i="15"/>
  <c r="J54" i="15"/>
  <c r="W51" i="15"/>
  <c r="Q56" i="15"/>
  <c r="Z70" i="15"/>
  <c r="Z81" i="15"/>
  <c r="C100" i="15"/>
  <c r="J106" i="15"/>
  <c r="E115" i="15"/>
  <c r="L124" i="15"/>
  <c r="R133" i="15"/>
  <c r="L142" i="15"/>
  <c r="Y145" i="15"/>
  <c r="K148" i="15"/>
  <c r="Y151" i="15"/>
  <c r="W159" i="15"/>
  <c r="I168" i="15"/>
  <c r="L81" i="15"/>
  <c r="X51" i="15"/>
  <c r="R56" i="15"/>
  <c r="J72" i="15"/>
  <c r="I97" i="15"/>
  <c r="I100" i="15"/>
  <c r="P107" i="15"/>
  <c r="I115" i="15"/>
  <c r="P124" i="15"/>
  <c r="C135" i="15"/>
  <c r="S142" i="15"/>
  <c r="L148" i="15"/>
  <c r="Z151" i="15"/>
  <c r="X154" i="15"/>
  <c r="D100" i="15"/>
  <c r="S51" i="15"/>
  <c r="X52" i="15"/>
  <c r="X56" i="15"/>
  <c r="S58" i="15"/>
  <c r="J61" i="15"/>
  <c r="Y64" i="15"/>
  <c r="R67" i="15"/>
  <c r="S69" i="15"/>
  <c r="P72" i="15"/>
  <c r="K74" i="15"/>
  <c r="Y76" i="15"/>
  <c r="I82" i="15"/>
  <c r="Z84" i="15"/>
  <c r="Y88" i="15"/>
  <c r="R97" i="15"/>
  <c r="C99" i="15"/>
  <c r="E100" i="15"/>
  <c r="E101" i="15"/>
  <c r="I103" i="15"/>
  <c r="J104" i="15"/>
  <c r="K106" i="15"/>
  <c r="C110" i="15"/>
  <c r="J111" i="15"/>
  <c r="C114" i="15"/>
  <c r="K115" i="15"/>
  <c r="C118" i="15"/>
  <c r="D119" i="15"/>
  <c r="K121" i="15"/>
  <c r="I123" i="15"/>
  <c r="R124" i="15"/>
  <c r="J127" i="15"/>
  <c r="D129" i="15"/>
  <c r="B132" i="15"/>
  <c r="B134" i="15"/>
  <c r="J135" i="15"/>
  <c r="Z145" i="15"/>
  <c r="W147" i="15"/>
  <c r="R148" i="15"/>
  <c r="J158" i="15"/>
  <c r="X159" i="15"/>
  <c r="P163" i="15"/>
  <c r="Y165" i="15"/>
  <c r="S168" i="15"/>
  <c r="K61" i="15"/>
  <c r="P63" i="15"/>
  <c r="Z64" i="15"/>
  <c r="W67" i="15"/>
  <c r="W69" i="15"/>
  <c r="R72" i="15"/>
  <c r="L74" i="15"/>
  <c r="Z76" i="15"/>
  <c r="K79" i="15"/>
  <c r="K82" i="15"/>
  <c r="P89" i="15"/>
  <c r="W97" i="15"/>
  <c r="D99" i="15"/>
  <c r="I101" i="15"/>
  <c r="J103" i="15"/>
  <c r="K104" i="15"/>
  <c r="L106" i="15"/>
  <c r="D110" i="15"/>
  <c r="L111" i="15"/>
  <c r="D114" i="15"/>
  <c r="L115" i="15"/>
  <c r="E118" i="15"/>
  <c r="K119" i="15"/>
  <c r="W121" i="15"/>
  <c r="J123" i="15"/>
  <c r="Z124" i="15"/>
  <c r="K127" i="15"/>
  <c r="J129" i="15"/>
  <c r="J132" i="15"/>
  <c r="E134" i="15"/>
  <c r="K135" i="15"/>
  <c r="I142" i="15"/>
  <c r="Y147" i="15"/>
  <c r="S148" i="15"/>
  <c r="L158" i="15"/>
  <c r="Y159" i="15"/>
  <c r="Q163" i="15"/>
  <c r="W168" i="15"/>
  <c r="Q173" i="15"/>
  <c r="D101" i="15"/>
  <c r="B110" i="15"/>
  <c r="E123" i="15"/>
  <c r="K54" i="15"/>
  <c r="K57" i="15"/>
  <c r="Y58" i="15"/>
  <c r="P61" i="15"/>
  <c r="R63" i="15"/>
  <c r="X67" i="15"/>
  <c r="X69" i="15"/>
  <c r="S72" i="15"/>
  <c r="Q74" i="15"/>
  <c r="P77" i="15"/>
  <c r="S79" i="15"/>
  <c r="X82" i="15"/>
  <c r="W85" i="15"/>
  <c r="X89" i="15"/>
  <c r="X97" i="15"/>
  <c r="E99" i="15"/>
  <c r="J101" i="15"/>
  <c r="K103" i="15"/>
  <c r="P104" i="15"/>
  <c r="P106" i="15"/>
  <c r="B109" i="15"/>
  <c r="E110" i="15"/>
  <c r="W111" i="15"/>
  <c r="J114" i="15"/>
  <c r="P115" i="15"/>
  <c r="I118" i="15"/>
  <c r="P119" i="15"/>
  <c r="Y121" i="15"/>
  <c r="K123" i="15"/>
  <c r="C126" i="15"/>
  <c r="L127" i="15"/>
  <c r="K129" i="15"/>
  <c r="K132" i="15"/>
  <c r="I134" i="15"/>
  <c r="L135" i="15"/>
  <c r="X148" i="15"/>
  <c r="I150" i="15"/>
  <c r="I151" i="15"/>
  <c r="P158" i="15"/>
  <c r="Z159" i="15"/>
  <c r="I162" i="15"/>
  <c r="X163" i="15"/>
  <c r="Z168" i="15"/>
  <c r="Z171" i="15"/>
  <c r="S173" i="15"/>
  <c r="K178" i="15"/>
  <c r="B129" i="15"/>
  <c r="Z51" i="15"/>
  <c r="P54" i="15"/>
  <c r="L57" i="15"/>
  <c r="Z58" i="15"/>
  <c r="Q61" i="15"/>
  <c r="W63" i="15"/>
  <c r="Y67" i="15"/>
  <c r="Z69" i="15"/>
  <c r="X72" i="15"/>
  <c r="R74" i="15"/>
  <c r="Q77" i="15"/>
  <c r="X79" i="15"/>
  <c r="Y82" i="15"/>
  <c r="X85" i="15"/>
  <c r="Y89" i="15"/>
  <c r="B97" i="15"/>
  <c r="D98" i="15"/>
  <c r="K100" i="15"/>
  <c r="K101" i="15"/>
  <c r="L103" i="15"/>
  <c r="Y104" i="15"/>
  <c r="B107" i="15"/>
  <c r="C109" i="15"/>
  <c r="X111" i="15"/>
  <c r="K114" i="15"/>
  <c r="W115" i="15"/>
  <c r="J118" i="15"/>
  <c r="Q119" i="15"/>
  <c r="B122" i="15"/>
  <c r="L123" i="15"/>
  <c r="D126" i="15"/>
  <c r="S127" i="15"/>
  <c r="L129" i="15"/>
  <c r="L132" i="15"/>
  <c r="K134" i="15"/>
  <c r="X135" i="15"/>
  <c r="I143" i="15"/>
  <c r="Y148" i="15"/>
  <c r="K150" i="15"/>
  <c r="J151" i="15"/>
  <c r="I157" i="15"/>
  <c r="R158" i="15"/>
  <c r="P162" i="15"/>
  <c r="Y163" i="15"/>
  <c r="P167" i="15"/>
  <c r="W173" i="15"/>
  <c r="P176" i="15"/>
  <c r="Z178" i="15"/>
  <c r="B127" i="15"/>
  <c r="S54" i="15"/>
  <c r="Q57" i="15"/>
  <c r="J60" i="15"/>
  <c r="R61" i="15"/>
  <c r="X63" i="15"/>
  <c r="R65" i="15"/>
  <c r="Z67" i="15"/>
  <c r="I70" i="15"/>
  <c r="Z72" i="15"/>
  <c r="X74" i="15"/>
  <c r="R77" i="15"/>
  <c r="Y79" i="15"/>
  <c r="Z82" i="15"/>
  <c r="Y85" i="15"/>
  <c r="Z89" i="15"/>
  <c r="C97" i="15"/>
  <c r="E98" i="15"/>
  <c r="L100" i="15"/>
  <c r="L101" i="15"/>
  <c r="P103" i="15"/>
  <c r="Z104" i="15"/>
  <c r="C107" i="15"/>
  <c r="D109" i="15"/>
  <c r="I110" i="15"/>
  <c r="Z111" i="15"/>
  <c r="L114" i="15"/>
  <c r="I117" i="15"/>
  <c r="K118" i="15"/>
  <c r="S119" i="15"/>
  <c r="I122" i="15"/>
  <c r="W123" i="15"/>
  <c r="E126" i="15"/>
  <c r="B128" i="15"/>
  <c r="S129" i="15"/>
  <c r="X132" i="15"/>
  <c r="L134" i="15"/>
  <c r="Z135" i="15"/>
  <c r="P143" i="15"/>
  <c r="I144" i="15"/>
  <c r="I145" i="15"/>
  <c r="Z148" i="15"/>
  <c r="R150" i="15"/>
  <c r="K151" i="15"/>
  <c r="J154" i="15"/>
  <c r="J157" i="15"/>
  <c r="W158" i="15"/>
  <c r="Y162" i="15"/>
  <c r="Q167" i="15"/>
  <c r="I53" i="15"/>
  <c r="W54" i="15"/>
  <c r="W57" i="15"/>
  <c r="K60" i="15"/>
  <c r="S61" i="15"/>
  <c r="Z63" i="15"/>
  <c r="W65" i="15"/>
  <c r="K68" i="15"/>
  <c r="P70" i="15"/>
  <c r="P73" i="15"/>
  <c r="Y74" i="15"/>
  <c r="Y77" i="15"/>
  <c r="Z79" i="15"/>
  <c r="W83" i="15"/>
  <c r="Z85" i="15"/>
  <c r="P90" i="15"/>
  <c r="D97" i="15"/>
  <c r="I98" i="15"/>
  <c r="L99" i="15"/>
  <c r="P100" i="15"/>
  <c r="W101" i="15"/>
  <c r="Q103" i="15"/>
  <c r="D107" i="15"/>
  <c r="I109" i="15"/>
  <c r="K110" i="15"/>
  <c r="B113" i="15"/>
  <c r="Q114" i="15"/>
  <c r="J117" i="15"/>
  <c r="L118" i="15"/>
  <c r="W119" i="15"/>
  <c r="K122" i="15"/>
  <c r="B124" i="15"/>
  <c r="I126" i="15"/>
  <c r="D128" i="15"/>
  <c r="B130" i="15"/>
  <c r="Z132" i="15"/>
  <c r="P134" i="15"/>
  <c r="Q142" i="15"/>
  <c r="Q143" i="15"/>
  <c r="K144" i="15"/>
  <c r="J145" i="15"/>
  <c r="S150" i="15"/>
  <c r="L151" i="15"/>
  <c r="K154" i="15"/>
  <c r="K157" i="15"/>
  <c r="Z162" i="15"/>
  <c r="S167" i="15"/>
  <c r="E103" i="15"/>
  <c r="B118" i="15"/>
  <c r="E135" i="15"/>
  <c r="P53" i="15"/>
  <c r="X54" i="15"/>
  <c r="X57" i="15"/>
  <c r="L60" i="15"/>
  <c r="W61" i="15"/>
  <c r="I64" i="15"/>
  <c r="X65" i="15"/>
  <c r="Q68" i="15"/>
  <c r="Q70" i="15"/>
  <c r="Q73" i="15"/>
  <c r="Z74" i="15"/>
  <c r="Z77" i="15"/>
  <c r="X83" i="15"/>
  <c r="Q90" i="15"/>
  <c r="E97" i="15"/>
  <c r="J98" i="15"/>
  <c r="Q99" i="15"/>
  <c r="Q100" i="15"/>
  <c r="X101" i="15"/>
  <c r="R103" i="15"/>
  <c r="E107" i="15"/>
  <c r="K109" i="15"/>
  <c r="P110" i="15"/>
  <c r="C113" i="15"/>
  <c r="S114" i="15"/>
  <c r="K117" i="15"/>
  <c r="R118" i="15"/>
  <c r="X119" i="15"/>
  <c r="P122" i="15"/>
  <c r="C124" i="15"/>
  <c r="J126" i="15"/>
  <c r="E128" i="15"/>
  <c r="C130" i="15"/>
  <c r="E133" i="15"/>
  <c r="Q134" i="15"/>
  <c r="R142" i="15"/>
  <c r="R143" i="15"/>
  <c r="L144" i="15"/>
  <c r="K145" i="15"/>
  <c r="W150" i="15"/>
  <c r="Q151" i="15"/>
  <c r="I153" i="15"/>
  <c r="L154" i="15"/>
  <c r="I156" i="15"/>
  <c r="L157" i="15"/>
  <c r="I166" i="15"/>
  <c r="W167" i="15"/>
  <c r="Z57" i="15"/>
  <c r="R60" i="15"/>
  <c r="X61" i="15"/>
  <c r="J64" i="15"/>
  <c r="Y65" i="15"/>
  <c r="W68" i="15"/>
  <c r="S70" i="15"/>
  <c r="R73" i="15"/>
  <c r="Q76" i="15"/>
  <c r="J78" i="15"/>
  <c r="Y83" i="15"/>
  <c r="R90" i="15"/>
  <c r="S99" i="15"/>
  <c r="R100" i="15"/>
  <c r="Y101" i="15"/>
  <c r="S103" i="15"/>
  <c r="C106" i="15"/>
  <c r="I107" i="15"/>
  <c r="L109" i="15"/>
  <c r="Y110" i="15"/>
  <c r="D113" i="15"/>
  <c r="B115" i="15"/>
  <c r="L117" i="15"/>
  <c r="W118" i="15"/>
  <c r="B121" i="15"/>
  <c r="Q122" i="15"/>
  <c r="E124" i="15"/>
  <c r="K126" i="15"/>
  <c r="I128" i="15"/>
  <c r="E130" i="15"/>
  <c r="I133" i="15"/>
  <c r="Y134" i="15"/>
  <c r="P144" i="15"/>
  <c r="Q145" i="15"/>
  <c r="I147" i="15"/>
  <c r="I148" i="15"/>
  <c r="X150" i="15"/>
  <c r="R151" i="15"/>
  <c r="R153" i="15"/>
  <c r="Q154" i="15"/>
  <c r="K156" i="15"/>
  <c r="P157" i="15"/>
  <c r="P161" i="15"/>
  <c r="J166" i="15"/>
  <c r="Q170" i="15"/>
  <c r="P172" i="15"/>
  <c r="B99" i="15"/>
  <c r="C119" i="15"/>
  <c r="K52" i="15"/>
  <c r="W53" i="15"/>
  <c r="P56" i="15"/>
  <c r="I58" i="15"/>
  <c r="S60" i="15"/>
  <c r="Y61" i="15"/>
  <c r="K64" i="15"/>
  <c r="Z65" i="15"/>
  <c r="X68" i="15"/>
  <c r="W70" i="15"/>
  <c r="S73" i="15"/>
  <c r="R76" i="15"/>
  <c r="R78" i="15"/>
  <c r="J81" i="15"/>
  <c r="R87" i="15"/>
  <c r="W90" i="15"/>
  <c r="L98" i="15"/>
  <c r="Z99" i="15"/>
  <c r="S100" i="15"/>
  <c r="B103" i="15"/>
  <c r="Z103" i="15"/>
  <c r="D106" i="15"/>
  <c r="K107" i="15"/>
  <c r="P109" i="15"/>
  <c r="C111" i="15"/>
  <c r="E113" i="15"/>
  <c r="C115" i="15"/>
  <c r="Y118" i="15"/>
  <c r="C121" i="15"/>
  <c r="R122" i="15"/>
  <c r="I124" i="15"/>
  <c r="X126" i="15"/>
  <c r="J128" i="15"/>
  <c r="I130" i="15"/>
  <c r="J133" i="15"/>
  <c r="B135" i="15"/>
  <c r="X142" i="15"/>
  <c r="W143" i="15"/>
  <c r="R144" i="15"/>
  <c r="R145" i="15"/>
  <c r="K147" i="15"/>
  <c r="J148" i="15"/>
  <c r="Y150" i="15"/>
  <c r="S151" i="15"/>
  <c r="S153" i="15"/>
  <c r="S154" i="15"/>
  <c r="P156" i="15"/>
  <c r="Q161" i="15"/>
  <c r="J165" i="15"/>
  <c r="K166" i="15"/>
  <c r="S170" i="15"/>
  <c r="Q172" i="15"/>
  <c r="W174" i="15"/>
  <c r="S87" i="15"/>
  <c r="L52" i="15"/>
  <c r="L54" i="15"/>
  <c r="Q63" i="15"/>
  <c r="L64" i="15"/>
  <c r="P81" i="15"/>
  <c r="Q89" i="15"/>
  <c r="I185" i="15"/>
  <c r="I90" i="15"/>
  <c r="I87" i="15"/>
  <c r="I84" i="15"/>
  <c r="I81" i="15"/>
  <c r="I78" i="15"/>
  <c r="I72" i="15"/>
  <c r="I69" i="15"/>
  <c r="I63" i="15"/>
  <c r="I60" i="15"/>
  <c r="I57" i="15"/>
  <c r="I54" i="15"/>
  <c r="I51" i="15"/>
  <c r="L85" i="15"/>
  <c r="L88" i="15"/>
  <c r="L82" i="15"/>
  <c r="I88" i="15"/>
  <c r="K85" i="15"/>
  <c r="I83" i="15"/>
  <c r="J69" i="15"/>
  <c r="J67" i="15"/>
  <c r="K65" i="15"/>
  <c r="L63" i="15"/>
  <c r="L61" i="15"/>
  <c r="I52" i="15"/>
  <c r="L90" i="15"/>
  <c r="J85" i="15"/>
  <c r="L78" i="15"/>
  <c r="L76" i="15"/>
  <c r="I89" i="15"/>
  <c r="K81" i="15"/>
  <c r="J79" i="15"/>
  <c r="K77" i="15"/>
  <c r="L73" i="15"/>
  <c r="K90" i="15"/>
  <c r="L89" i="15"/>
  <c r="J77" i="15"/>
  <c r="K76" i="15"/>
  <c r="I73" i="15"/>
  <c r="K69" i="15"/>
  <c r="I61" i="15"/>
  <c r="L58" i="15"/>
  <c r="J56" i="15"/>
  <c r="L53" i="15"/>
  <c r="J51" i="15"/>
  <c r="K63" i="15"/>
  <c r="K53" i="15"/>
  <c r="L84" i="15"/>
  <c r="J90" i="15"/>
  <c r="K89" i="15"/>
  <c r="K88" i="15"/>
  <c r="L87" i="15"/>
  <c r="I77" i="15"/>
  <c r="J76" i="15"/>
  <c r="L72" i="15"/>
  <c r="K58" i="15"/>
  <c r="I56" i="15"/>
  <c r="J63" i="15"/>
  <c r="J58" i="15"/>
  <c r="J89" i="15"/>
  <c r="J88" i="15"/>
  <c r="K87" i="15"/>
  <c r="I76" i="15"/>
  <c r="K72" i="15"/>
  <c r="L68" i="15"/>
  <c r="J53" i="15"/>
  <c r="J87" i="15"/>
  <c r="I85" i="15"/>
  <c r="L83" i="15"/>
  <c r="K84" i="15"/>
  <c r="K83" i="15"/>
  <c r="J82" i="15"/>
  <c r="K56" i="15"/>
  <c r="S63" i="15"/>
  <c r="I65" i="15"/>
  <c r="J70" i="15"/>
  <c r="K78" i="15"/>
  <c r="L79" i="15"/>
  <c r="P185" i="15"/>
  <c r="S89" i="15"/>
  <c r="S83" i="15"/>
  <c r="S77" i="15"/>
  <c r="S74" i="15"/>
  <c r="S68" i="15"/>
  <c r="S65" i="15"/>
  <c r="S56" i="15"/>
  <c r="S53" i="15"/>
  <c r="R83" i="15"/>
  <c r="R89" i="15"/>
  <c r="Q87" i="15"/>
  <c r="S84" i="15"/>
  <c r="Q82" i="15"/>
  <c r="P76" i="15"/>
  <c r="P74" i="15"/>
  <c r="Q72" i="15"/>
  <c r="R70" i="15"/>
  <c r="R68" i="15"/>
  <c r="P57" i="15"/>
  <c r="Q53" i="15"/>
  <c r="R51" i="15"/>
  <c r="P87" i="15"/>
  <c r="R84" i="15"/>
  <c r="P82" i="15"/>
  <c r="S90" i="15"/>
  <c r="Q88" i="15"/>
  <c r="S85" i="15"/>
  <c r="S78" i="15"/>
  <c r="P69" i="15"/>
  <c r="Q67" i="15"/>
  <c r="P88" i="15"/>
  <c r="R85" i="15"/>
  <c r="Q84" i="15"/>
  <c r="S81" i="15"/>
  <c r="P68" i="15"/>
  <c r="Q65" i="15"/>
  <c r="Q60" i="15"/>
  <c r="S52" i="15"/>
  <c r="Q85" i="15"/>
  <c r="P84" i="15"/>
  <c r="Q83" i="15"/>
  <c r="S82" i="15"/>
  <c r="R81" i="15"/>
  <c r="P65" i="15"/>
  <c r="P60" i="15"/>
  <c r="S57" i="15"/>
  <c r="P85" i="15"/>
  <c r="P83" i="15"/>
  <c r="R82" i="15"/>
  <c r="Q81" i="15"/>
  <c r="S67" i="15"/>
  <c r="R57" i="15"/>
  <c r="R52" i="15"/>
  <c r="R79" i="15"/>
  <c r="Q54" i="15"/>
  <c r="L56" i="15"/>
  <c r="R64" i="15"/>
  <c r="J65" i="15"/>
  <c r="I67" i="15"/>
  <c r="I68" i="15"/>
  <c r="L69" i="15"/>
  <c r="J73" i="15"/>
  <c r="I74" i="15"/>
  <c r="L77" i="15"/>
  <c r="P78" i="15"/>
  <c r="P79" i="15"/>
  <c r="J83" i="15"/>
  <c r="R88" i="15"/>
  <c r="K70" i="15"/>
  <c r="R54" i="15"/>
  <c r="J57" i="15"/>
  <c r="S64" i="15"/>
  <c r="L65" i="15"/>
  <c r="K67" i="15"/>
  <c r="J68" i="15"/>
  <c r="L70" i="15"/>
  <c r="K73" i="15"/>
  <c r="J74" i="15"/>
  <c r="Q78" i="15"/>
  <c r="Q79" i="15"/>
  <c r="S88" i="15"/>
  <c r="Q107" i="15"/>
  <c r="S113" i="15"/>
  <c r="Z115" i="15"/>
  <c r="Q121" i="15"/>
  <c r="X123" i="15"/>
  <c r="W127" i="15"/>
  <c r="X130" i="15"/>
  <c r="W133" i="15"/>
  <c r="P135" i="15"/>
  <c r="P132" i="15"/>
  <c r="P129" i="15"/>
  <c r="S134" i="15"/>
  <c r="S128" i="15"/>
  <c r="S135" i="15"/>
  <c r="P133" i="15"/>
  <c r="R130" i="15"/>
  <c r="R126" i="15"/>
  <c r="R123" i="15"/>
  <c r="R117" i="15"/>
  <c r="R114" i="15"/>
  <c r="R111" i="15"/>
  <c r="Q135" i="15"/>
  <c r="S132" i="15"/>
  <c r="P130" i="15"/>
  <c r="P126" i="15"/>
  <c r="P123" i="15"/>
  <c r="P117" i="15"/>
  <c r="P114" i="15"/>
  <c r="P111" i="15"/>
  <c r="P202" i="15"/>
  <c r="R129" i="15"/>
  <c r="S123" i="15"/>
  <c r="Q118" i="15"/>
  <c r="S115" i="15"/>
  <c r="Q113" i="15"/>
  <c r="S110" i="15"/>
  <c r="S106" i="15"/>
  <c r="S101" i="15"/>
  <c r="S98" i="15"/>
  <c r="R135" i="15"/>
  <c r="Q129" i="15"/>
  <c r="Q123" i="15"/>
  <c r="P118" i="15"/>
  <c r="R115" i="15"/>
  <c r="P113" i="15"/>
  <c r="R110" i="15"/>
  <c r="R106" i="15"/>
  <c r="S104" i="15"/>
  <c r="R101" i="15"/>
  <c r="R98" i="15"/>
  <c r="R134" i="15"/>
  <c r="R128" i="15"/>
  <c r="Q115" i="15"/>
  <c r="Q110" i="15"/>
  <c r="Q106" i="15"/>
  <c r="R104" i="15"/>
  <c r="Q101" i="15"/>
  <c r="R127" i="15"/>
  <c r="R113" i="15"/>
  <c r="S111" i="15"/>
  <c r="Q128" i="15"/>
  <c r="Q127" i="15"/>
  <c r="Q111" i="15"/>
  <c r="P101" i="15"/>
  <c r="Q98" i="15"/>
  <c r="P128" i="15"/>
  <c r="P127" i="15"/>
  <c r="S126" i="15"/>
  <c r="S124" i="15"/>
  <c r="S109" i="15"/>
  <c r="Q104" i="15"/>
  <c r="S133" i="15"/>
  <c r="Q132" i="15"/>
  <c r="P121" i="15"/>
  <c r="R119" i="15"/>
  <c r="S118" i="15"/>
  <c r="S117" i="15"/>
  <c r="R107" i="15"/>
  <c r="R99" i="15"/>
  <c r="P97" i="15"/>
  <c r="S97" i="15"/>
  <c r="P98" i="15"/>
  <c r="W106" i="15"/>
  <c r="S107" i="15"/>
  <c r="R121" i="15"/>
  <c r="Z134" i="15"/>
  <c r="Z128" i="15"/>
  <c r="Y135" i="15"/>
  <c r="Y132" i="15"/>
  <c r="Y129" i="15"/>
  <c r="W132" i="15"/>
  <c r="Z129" i="15"/>
  <c r="X127" i="15"/>
  <c r="X124" i="15"/>
  <c r="X121" i="15"/>
  <c r="X118" i="15"/>
  <c r="X115" i="15"/>
  <c r="X109" i="15"/>
  <c r="X106" i="15"/>
  <c r="W202" i="15"/>
  <c r="X134" i="15"/>
  <c r="W129" i="15"/>
  <c r="Z122" i="15"/>
  <c r="Z119" i="15"/>
  <c r="Z113" i="15"/>
  <c r="Z110" i="15"/>
  <c r="W134" i="15"/>
  <c r="Z133" i="15"/>
  <c r="W128" i="15"/>
  <c r="Y122" i="15"/>
  <c r="Y117" i="15"/>
  <c r="Y99" i="15"/>
  <c r="Y133" i="15"/>
  <c r="Z127" i="15"/>
  <c r="X122" i="15"/>
  <c r="X117" i="15"/>
  <c r="Z114" i="15"/>
  <c r="Z109" i="15"/>
  <c r="Z107" i="15"/>
  <c r="X99" i="15"/>
  <c r="X133" i="15"/>
  <c r="Y127" i="15"/>
  <c r="W122" i="15"/>
  <c r="Y119" i="15"/>
  <c r="W117" i="15"/>
  <c r="Y114" i="15"/>
  <c r="Y109" i="15"/>
  <c r="Y107" i="15"/>
  <c r="W99" i="15"/>
  <c r="W135" i="15"/>
  <c r="X128" i="15"/>
  <c r="W126" i="15"/>
  <c r="Y124" i="15"/>
  <c r="X110" i="15"/>
  <c r="W109" i="15"/>
  <c r="X104" i="15"/>
  <c r="Y103" i="15"/>
  <c r="X100" i="15"/>
  <c r="Z97" i="15"/>
  <c r="Z130" i="15"/>
  <c r="X129" i="15"/>
  <c r="W124" i="15"/>
  <c r="Z123" i="15"/>
  <c r="W110" i="15"/>
  <c r="W104" i="15"/>
  <c r="X103" i="15"/>
  <c r="W100" i="15"/>
  <c r="Y97" i="15"/>
  <c r="Y130" i="15"/>
  <c r="Y123" i="15"/>
  <c r="Z121" i="15"/>
  <c r="W103" i="15"/>
  <c r="Y115" i="15"/>
  <c r="W114" i="15"/>
  <c r="X113" i="15"/>
  <c r="Y111" i="15"/>
  <c r="Y106" i="15"/>
  <c r="Z101" i="15"/>
  <c r="Z98" i="15"/>
  <c r="W98" i="15"/>
  <c r="P99" i="15"/>
  <c r="Z106" i="15"/>
  <c r="W113" i="15"/>
  <c r="S121" i="15"/>
  <c r="Q126" i="15"/>
  <c r="R132" i="15"/>
  <c r="Y68" i="15"/>
  <c r="X70" i="15"/>
  <c r="W72" i="15"/>
  <c r="W74" i="15"/>
  <c r="W82" i="15"/>
  <c r="W87" i="15"/>
  <c r="W77" i="15"/>
  <c r="Z83" i="15"/>
  <c r="W185" i="15"/>
  <c r="Y90" i="15"/>
  <c r="Y87" i="15"/>
  <c r="Y84" i="15"/>
  <c r="Y81" i="15"/>
  <c r="Y78" i="15"/>
  <c r="Y72" i="15"/>
  <c r="Y69" i="15"/>
  <c r="Y63" i="15"/>
  <c r="Y60" i="15"/>
  <c r="Y57" i="15"/>
  <c r="Y54" i="15"/>
  <c r="Y51" i="15"/>
  <c r="X84" i="15"/>
  <c r="X90" i="15"/>
  <c r="X87" i="15"/>
  <c r="X81" i="15"/>
  <c r="Z52" i="15"/>
  <c r="Z54" i="15"/>
  <c r="Y56" i="15"/>
  <c r="X58" i="15"/>
  <c r="W60" i="15"/>
  <c r="Y73" i="15"/>
  <c r="X77" i="15"/>
  <c r="W79" i="15"/>
  <c r="W81" i="15"/>
  <c r="W89" i="15"/>
  <c r="E109" i="15"/>
  <c r="E114" i="15"/>
  <c r="C117" i="15"/>
  <c r="E119" i="15"/>
  <c r="C122" i="15"/>
  <c r="C127" i="15"/>
  <c r="J130" i="15"/>
  <c r="D132" i="15"/>
  <c r="B98" i="15"/>
  <c r="B101" i="15"/>
  <c r="B104" i="15"/>
  <c r="D117" i="15"/>
  <c r="L121" i="15"/>
  <c r="D122" i="15"/>
  <c r="J124" i="15"/>
  <c r="L126" i="15"/>
  <c r="E127" i="15"/>
  <c r="K130" i="15"/>
  <c r="E132" i="15"/>
  <c r="B202" i="15"/>
  <c r="D133" i="15"/>
  <c r="D130" i="15"/>
  <c r="C134" i="15"/>
  <c r="C128" i="15"/>
  <c r="C132" i="15"/>
  <c r="E129" i="15"/>
  <c r="B126" i="15"/>
  <c r="B123" i="15"/>
  <c r="B117" i="15"/>
  <c r="B114" i="15"/>
  <c r="B111" i="15"/>
  <c r="D134" i="15"/>
  <c r="C129" i="15"/>
  <c r="D127" i="15"/>
  <c r="D124" i="15"/>
  <c r="D121" i="15"/>
  <c r="D118" i="15"/>
  <c r="D115" i="15"/>
  <c r="J134" i="15"/>
  <c r="I135" i="15"/>
  <c r="I132" i="15"/>
  <c r="I129" i="15"/>
  <c r="L122" i="15"/>
  <c r="L119" i="15"/>
  <c r="L113" i="15"/>
  <c r="L110" i="15"/>
  <c r="L107" i="15"/>
  <c r="L104" i="15"/>
  <c r="K133" i="15"/>
  <c r="K128" i="15"/>
  <c r="J122" i="15"/>
  <c r="J119" i="15"/>
  <c r="J113" i="15"/>
  <c r="J110" i="15"/>
  <c r="C98" i="15"/>
  <c r="I99" i="15"/>
  <c r="C101" i="15"/>
  <c r="C104" i="15"/>
  <c r="B106" i="15"/>
  <c r="J107" i="15"/>
  <c r="J109" i="15"/>
  <c r="K111" i="15"/>
  <c r="I114" i="15"/>
  <c r="E117" i="15"/>
  <c r="I119" i="15"/>
  <c r="E122" i="15"/>
  <c r="K124" i="15"/>
  <c r="I127" i="15"/>
  <c r="L130" i="15"/>
  <c r="C133" i="15"/>
  <c r="L179" i="15"/>
  <c r="L176" i="15"/>
  <c r="L173" i="15"/>
  <c r="L170" i="15"/>
  <c r="L167" i="15"/>
  <c r="K179" i="15"/>
  <c r="K176" i="15"/>
  <c r="K173" i="15"/>
  <c r="K170" i="15"/>
  <c r="K167" i="15"/>
  <c r="K161" i="15"/>
  <c r="K158" i="15"/>
  <c r="J179" i="15"/>
  <c r="J176" i="15"/>
  <c r="J173" i="15"/>
  <c r="J170" i="15"/>
  <c r="J167" i="15"/>
  <c r="I179" i="15"/>
  <c r="I176" i="15"/>
  <c r="I173" i="15"/>
  <c r="I170" i="15"/>
  <c r="I167" i="15"/>
  <c r="I161" i="15"/>
  <c r="I158" i="15"/>
  <c r="L177" i="15"/>
  <c r="L174" i="15"/>
  <c r="L171" i="15"/>
  <c r="L168" i="15"/>
  <c r="L165" i="15"/>
  <c r="L162" i="15"/>
  <c r="L159" i="15"/>
  <c r="L178" i="15"/>
  <c r="L172" i="15"/>
  <c r="L166" i="15"/>
  <c r="K172" i="15"/>
  <c r="I165" i="15"/>
  <c r="K163" i="15"/>
  <c r="K143" i="15"/>
  <c r="K174" i="15"/>
  <c r="J172" i="15"/>
  <c r="K171" i="15"/>
  <c r="J163" i="15"/>
  <c r="J143" i="15"/>
  <c r="I219" i="15"/>
  <c r="J174" i="15"/>
  <c r="I172" i="15"/>
  <c r="J171" i="15"/>
  <c r="I163" i="15"/>
  <c r="K159" i="15"/>
  <c r="I174" i="15"/>
  <c r="I171" i="15"/>
  <c r="J159" i="15"/>
  <c r="L156" i="15"/>
  <c r="L153" i="15"/>
  <c r="L150" i="15"/>
  <c r="J178" i="15"/>
  <c r="K177" i="15"/>
  <c r="K162" i="15"/>
  <c r="J156" i="15"/>
  <c r="J153" i="15"/>
  <c r="J150" i="15"/>
  <c r="J147" i="15"/>
  <c r="J144" i="15"/>
  <c r="I178" i="15"/>
  <c r="J177" i="15"/>
  <c r="L145" i="15"/>
  <c r="X147" i="15"/>
  <c r="K153" i="15"/>
  <c r="X156" i="15"/>
  <c r="Z158" i="15"/>
  <c r="J161" i="15"/>
  <c r="J162" i="15"/>
  <c r="J168" i="15"/>
  <c r="Y172" i="15"/>
  <c r="Y156" i="15"/>
  <c r="L161" i="15"/>
  <c r="K168" i="15"/>
  <c r="W171" i="15"/>
  <c r="X178" i="15"/>
  <c r="X172" i="15"/>
  <c r="X166" i="15"/>
  <c r="W178" i="15"/>
  <c r="W172" i="15"/>
  <c r="W166" i="15"/>
  <c r="W163" i="15"/>
  <c r="W157" i="15"/>
  <c r="Z179" i="15"/>
  <c r="Z176" i="15"/>
  <c r="Z173" i="15"/>
  <c r="Z170" i="15"/>
  <c r="Z167" i="15"/>
  <c r="Y179" i="15"/>
  <c r="Y176" i="15"/>
  <c r="Y173" i="15"/>
  <c r="Y170" i="15"/>
  <c r="Y167" i="15"/>
  <c r="Y161" i="15"/>
  <c r="Y158" i="15"/>
  <c r="X179" i="15"/>
  <c r="X176" i="15"/>
  <c r="X173" i="15"/>
  <c r="X170" i="15"/>
  <c r="X167" i="15"/>
  <c r="X161" i="15"/>
  <c r="X158" i="15"/>
  <c r="X177" i="15"/>
  <c r="X174" i="15"/>
  <c r="X171" i="15"/>
  <c r="X168" i="15"/>
  <c r="X165" i="15"/>
  <c r="W219" i="15"/>
  <c r="W179" i="15"/>
  <c r="Y178" i="15"/>
  <c r="Z177" i="15"/>
  <c r="W176" i="15"/>
  <c r="W162" i="15"/>
  <c r="W154" i="15"/>
  <c r="W151" i="15"/>
  <c r="W148" i="15"/>
  <c r="W145" i="15"/>
  <c r="W142" i="15"/>
  <c r="Y177" i="15"/>
  <c r="Z161" i="15"/>
  <c r="Z157" i="15"/>
  <c r="Z143" i="15"/>
  <c r="W177" i="15"/>
  <c r="W161" i="15"/>
  <c r="Z166" i="15"/>
  <c r="X157" i="15"/>
  <c r="Y168" i="15"/>
  <c r="Z165" i="15"/>
  <c r="Z163" i="15"/>
  <c r="Z153" i="15"/>
  <c r="Z150" i="15"/>
  <c r="Z147" i="15"/>
  <c r="Z144" i="15"/>
  <c r="L143" i="15"/>
  <c r="Y144" i="15"/>
  <c r="X151" i="15"/>
  <c r="I154" i="15"/>
  <c r="Z156" i="15"/>
  <c r="Y157" i="15"/>
  <c r="X162" i="15"/>
  <c r="Y171" i="15"/>
  <c r="R177" i="15"/>
  <c r="R174" i="15"/>
  <c r="R171" i="15"/>
  <c r="R168" i="15"/>
  <c r="R165" i="15"/>
  <c r="Q177" i="15"/>
  <c r="Q174" i="15"/>
  <c r="Q171" i="15"/>
  <c r="Q168" i="15"/>
  <c r="Q165" i="15"/>
  <c r="Q162" i="15"/>
  <c r="Q159" i="15"/>
  <c r="P177" i="15"/>
  <c r="P174" i="15"/>
  <c r="P171" i="15"/>
  <c r="P168" i="15"/>
  <c r="P165" i="15"/>
  <c r="S178" i="15"/>
  <c r="S172" i="15"/>
  <c r="S166" i="15"/>
  <c r="S163" i="15"/>
  <c r="S157" i="15"/>
  <c r="R178" i="15"/>
  <c r="R172" i="15"/>
  <c r="R166" i="15"/>
  <c r="R163" i="15"/>
  <c r="R157" i="15"/>
  <c r="R179" i="15"/>
  <c r="R176" i="15"/>
  <c r="R173" i="15"/>
  <c r="R170" i="15"/>
  <c r="R167" i="15"/>
  <c r="P142" i="15"/>
  <c r="P145" i="15"/>
  <c r="P148" i="15"/>
  <c r="P151" i="15"/>
  <c r="P154" i="15"/>
  <c r="Q157" i="15"/>
  <c r="R161" i="15"/>
  <c r="Q166" i="15"/>
  <c r="R154" i="15"/>
  <c r="Q158" i="15"/>
  <c r="R162" i="15"/>
  <c r="Q176" i="15"/>
  <c r="Q179" i="15"/>
  <c r="S162" i="15"/>
  <c r="S176" i="15"/>
  <c r="P178" i="15"/>
  <c r="S179" i="15"/>
  <c r="P147" i="15"/>
  <c r="P150" i="15"/>
  <c r="P153" i="15"/>
  <c r="Q156" i="15"/>
  <c r="S158" i="15"/>
  <c r="P159" i="15"/>
  <c r="Q178" i="15"/>
  <c r="P219" i="15"/>
  <c r="Q144" i="15"/>
  <c r="Q147" i="15"/>
  <c r="Q150" i="15"/>
  <c r="Q153" i="15"/>
  <c r="R156" i="15"/>
  <c r="R159" i="15"/>
  <c r="P170" i="15"/>
  <c r="S171" i="15"/>
  <c r="P173" i="15"/>
  <c r="S174" i="15"/>
  <c r="C90" i="8"/>
  <c r="D229" i="17" l="1"/>
  <c r="E229" i="17"/>
  <c r="E233" i="17"/>
  <c r="D230" i="17"/>
  <c r="E234" i="17"/>
  <c r="C232" i="17"/>
  <c r="E235" i="17"/>
  <c r="D233" i="17"/>
  <c r="C233" i="17"/>
  <c r="C234" i="17"/>
  <c r="P185" i="17"/>
  <c r="E232" i="17"/>
  <c r="P186" i="17"/>
  <c r="E231" i="17"/>
  <c r="D185" i="17"/>
  <c r="E230" i="17"/>
  <c r="E228" i="17"/>
  <c r="C228" i="17"/>
  <c r="D186" i="17"/>
  <c r="C230" i="17"/>
  <c r="D232" i="17"/>
  <c r="D234" i="17"/>
  <c r="B183" i="17"/>
  <c r="F73" i="17"/>
  <c r="W186" i="17"/>
  <c r="W185" i="17"/>
  <c r="E185" i="17"/>
  <c r="E186" i="17"/>
  <c r="F156" i="17"/>
  <c r="B216" i="17"/>
  <c r="B176" i="17"/>
  <c r="F42" i="17"/>
  <c r="B213" i="17"/>
  <c r="F142" i="17"/>
  <c r="B184" i="17"/>
  <c r="F78" i="17"/>
  <c r="B179" i="17"/>
  <c r="F53" i="17"/>
  <c r="B218" i="17"/>
  <c r="F167" i="17"/>
  <c r="E220" i="17"/>
  <c r="E227" i="17"/>
  <c r="D235" i="17"/>
  <c r="C219" i="17"/>
  <c r="C220" i="17"/>
  <c r="C227" i="17"/>
  <c r="D219" i="17"/>
  <c r="D220" i="17"/>
  <c r="D227" i="17"/>
  <c r="E219" i="17"/>
  <c r="C229" i="17"/>
  <c r="C185" i="17"/>
  <c r="C186" i="17"/>
  <c r="B180" i="17"/>
  <c r="F58" i="17"/>
  <c r="I185" i="17"/>
  <c r="I186" i="17"/>
  <c r="B211" i="17"/>
  <c r="F136" i="17"/>
  <c r="W220" i="17"/>
  <c r="W219" i="17"/>
  <c r="B215" i="17"/>
  <c r="F151" i="17"/>
  <c r="B177" i="17"/>
  <c r="F46" i="17"/>
  <c r="I202" i="17"/>
  <c r="I203" i="17"/>
  <c r="C235" i="17"/>
  <c r="I219" i="17"/>
  <c r="I220" i="17"/>
  <c r="B210" i="17"/>
  <c r="F133" i="17"/>
  <c r="B203" i="17"/>
  <c r="B202" i="17"/>
  <c r="P203" i="17"/>
  <c r="P202" i="17"/>
  <c r="B217" i="17"/>
  <c r="F162" i="17"/>
  <c r="P220" i="17"/>
  <c r="P219" i="17"/>
  <c r="W203" i="17"/>
  <c r="W202" i="17"/>
  <c r="D228" i="17"/>
  <c r="B181" i="17"/>
  <c r="F62" i="17"/>
  <c r="B214" i="17"/>
  <c r="F147" i="17"/>
  <c r="C231" i="17"/>
  <c r="F139" i="17"/>
  <c r="B212" i="17"/>
  <c r="B182" i="17"/>
  <c r="F67" i="17"/>
  <c r="D231" i="17"/>
  <c r="B178" i="17"/>
  <c r="F49" i="17"/>
  <c r="D179" i="15"/>
  <c r="D176" i="15"/>
  <c r="D172" i="15"/>
  <c r="D168" i="15"/>
  <c r="D165" i="15"/>
  <c r="D161" i="15"/>
  <c r="D157" i="15"/>
  <c r="D153" i="15"/>
  <c r="D148" i="15"/>
  <c r="D144" i="15"/>
  <c r="E174" i="15"/>
  <c r="E163" i="15"/>
  <c r="E151" i="15"/>
  <c r="D171" i="15"/>
  <c r="D159" i="15"/>
  <c r="D147" i="15"/>
  <c r="C171" i="15"/>
  <c r="C159" i="15"/>
  <c r="C147" i="15"/>
  <c r="B174" i="15"/>
  <c r="B167" i="15"/>
  <c r="B156" i="15"/>
  <c r="B143" i="15"/>
  <c r="C179" i="15"/>
  <c r="C176" i="15"/>
  <c r="C172" i="15"/>
  <c r="C168" i="15"/>
  <c r="C165" i="15"/>
  <c r="C161" i="15"/>
  <c r="C157" i="15"/>
  <c r="C153" i="15"/>
  <c r="C148" i="15"/>
  <c r="C144" i="15"/>
  <c r="E178" i="15"/>
  <c r="E167" i="15"/>
  <c r="E156" i="15"/>
  <c r="E143" i="15"/>
  <c r="D178" i="15"/>
  <c r="D167" i="15"/>
  <c r="D156" i="15"/>
  <c r="D143" i="15"/>
  <c r="C174" i="15"/>
  <c r="C163" i="15"/>
  <c r="C151" i="15"/>
  <c r="C143" i="15"/>
  <c r="B178" i="15"/>
  <c r="B171" i="15"/>
  <c r="B159" i="15"/>
  <c r="B151" i="15"/>
  <c r="B219" i="15"/>
  <c r="B179" i="15"/>
  <c r="B176" i="15"/>
  <c r="B172" i="15"/>
  <c r="B168" i="15"/>
  <c r="B165" i="15"/>
  <c r="B161" i="15"/>
  <c r="B157" i="15"/>
  <c r="B153" i="15"/>
  <c r="B148" i="15"/>
  <c r="B144" i="15"/>
  <c r="E171" i="15"/>
  <c r="E159" i="15"/>
  <c r="E147" i="15"/>
  <c r="D174" i="15"/>
  <c r="D163" i="15"/>
  <c r="D151" i="15"/>
  <c r="C178" i="15"/>
  <c r="C167" i="15"/>
  <c r="C156" i="15"/>
  <c r="B163" i="15"/>
  <c r="B147" i="15"/>
  <c r="E177" i="15"/>
  <c r="E173" i="15"/>
  <c r="E170" i="15"/>
  <c r="E166" i="15"/>
  <c r="E162" i="15"/>
  <c r="E158" i="15"/>
  <c r="E154" i="15"/>
  <c r="E150" i="15"/>
  <c r="E145" i="15"/>
  <c r="E142" i="15"/>
  <c r="D177" i="15"/>
  <c r="D173" i="15"/>
  <c r="D170" i="15"/>
  <c r="D166" i="15"/>
  <c r="D162" i="15"/>
  <c r="D158" i="15"/>
  <c r="D154" i="15"/>
  <c r="D150" i="15"/>
  <c r="D145" i="15"/>
  <c r="D142" i="15"/>
  <c r="C177" i="15"/>
  <c r="C173" i="15"/>
  <c r="C170" i="15"/>
  <c r="C166" i="15"/>
  <c r="C162" i="15"/>
  <c r="C158" i="15"/>
  <c r="C154" i="15"/>
  <c r="C150" i="15"/>
  <c r="C145" i="15"/>
  <c r="C142" i="15"/>
  <c r="B177" i="15"/>
  <c r="B173" i="15"/>
  <c r="B170" i="15"/>
  <c r="B166" i="15"/>
  <c r="B162" i="15"/>
  <c r="B158" i="15"/>
  <c r="B154" i="15"/>
  <c r="B150" i="15"/>
  <c r="B145" i="15"/>
  <c r="B142" i="15"/>
  <c r="E179" i="15"/>
  <c r="E176" i="15"/>
  <c r="E172" i="15"/>
  <c r="E168" i="15"/>
  <c r="E165" i="15"/>
  <c r="E161" i="15"/>
  <c r="E157" i="15"/>
  <c r="E153" i="15"/>
  <c r="E148" i="15"/>
  <c r="E144" i="15"/>
  <c r="Q149" i="15"/>
  <c r="Q224" i="15" s="1"/>
  <c r="B58" i="15"/>
  <c r="D79" i="15"/>
  <c r="E64" i="15"/>
  <c r="D89" i="15"/>
  <c r="D67" i="15"/>
  <c r="C73" i="15"/>
  <c r="B83" i="15"/>
  <c r="D84" i="15"/>
  <c r="C58" i="15"/>
  <c r="E76" i="15"/>
  <c r="B82" i="15"/>
  <c r="C56" i="15"/>
  <c r="E89" i="15"/>
  <c r="C78" i="15"/>
  <c r="E87" i="15"/>
  <c r="B52" i="15"/>
  <c r="C88" i="15"/>
  <c r="E69" i="15"/>
  <c r="B185" i="15"/>
  <c r="C60" i="15"/>
  <c r="C70" i="15"/>
  <c r="D69" i="15"/>
  <c r="D70" i="15"/>
  <c r="C76" i="15"/>
  <c r="E60" i="15"/>
  <c r="E84" i="15"/>
  <c r="D82" i="15"/>
  <c r="D77" i="15"/>
  <c r="Y155" i="15"/>
  <c r="Y226" i="15" s="1"/>
  <c r="Z155" i="15"/>
  <c r="Z226" i="15" s="1"/>
  <c r="Z149" i="15"/>
  <c r="Z224" i="15" s="1"/>
  <c r="C108" i="15"/>
  <c r="C208" i="15" s="1"/>
  <c r="T52" i="15"/>
  <c r="Z62" i="15"/>
  <c r="Z191" i="15" s="1"/>
  <c r="E116" i="15"/>
  <c r="E210" i="15" s="1"/>
  <c r="I149" i="15"/>
  <c r="I224" i="15" s="1"/>
  <c r="I105" i="15"/>
  <c r="I207" i="15" s="1"/>
  <c r="T53" i="15"/>
  <c r="T122" i="15"/>
  <c r="Q152" i="15"/>
  <c r="Q225" i="15" s="1"/>
  <c r="K155" i="15"/>
  <c r="K226" i="15" s="1"/>
  <c r="AA111" i="15"/>
  <c r="Z136" i="15"/>
  <c r="Z214" i="15" s="1"/>
  <c r="P164" i="15"/>
  <c r="P228" i="15" s="1"/>
  <c r="Q105" i="15"/>
  <c r="Q207" i="15" s="1"/>
  <c r="B136" i="15"/>
  <c r="B214" i="15" s="1"/>
  <c r="J116" i="15"/>
  <c r="J210" i="15" s="1"/>
  <c r="Q120" i="15"/>
  <c r="Q211" i="15" s="1"/>
  <c r="D58" i="15"/>
  <c r="C90" i="15"/>
  <c r="E73" i="15"/>
  <c r="E65" i="15"/>
  <c r="E81" i="15"/>
  <c r="D52" i="15"/>
  <c r="J62" i="15"/>
  <c r="J191" i="15" s="1"/>
  <c r="T151" i="15"/>
  <c r="L108" i="15"/>
  <c r="L208" i="15" s="1"/>
  <c r="D85" i="15"/>
  <c r="C61" i="15"/>
  <c r="B76" i="15"/>
  <c r="B72" i="15"/>
  <c r="E61" i="15"/>
  <c r="D64" i="15"/>
  <c r="D74" i="15"/>
  <c r="E77" i="15"/>
  <c r="C89" i="15"/>
  <c r="I108" i="15"/>
  <c r="I208" i="15" s="1"/>
  <c r="B51" i="15"/>
  <c r="B53" i="15"/>
  <c r="B65" i="15"/>
  <c r="C85" i="15"/>
  <c r="C72" i="15"/>
  <c r="D57" i="15"/>
  <c r="B70" i="15"/>
  <c r="D54" i="15"/>
  <c r="B78" i="15"/>
  <c r="C81" i="15"/>
  <c r="E85" i="15"/>
  <c r="T90" i="15"/>
  <c r="D56" i="15"/>
  <c r="D73" i="15"/>
  <c r="B57" i="15"/>
  <c r="C82" i="15"/>
  <c r="B89" i="15"/>
  <c r="B84" i="15"/>
  <c r="D53" i="15"/>
  <c r="X155" i="15"/>
  <c r="X226" i="15" s="1"/>
  <c r="M106" i="15"/>
  <c r="F103" i="15"/>
  <c r="X149" i="15"/>
  <c r="X224" i="15" s="1"/>
  <c r="Y66" i="15"/>
  <c r="Y192" i="15" s="1"/>
  <c r="B60" i="15"/>
  <c r="B61" i="15"/>
  <c r="E68" i="15"/>
  <c r="D88" i="15"/>
  <c r="E90" i="15"/>
  <c r="B67" i="15"/>
  <c r="C87" i="15"/>
  <c r="C53" i="15"/>
  <c r="B68" i="15"/>
  <c r="X66" i="15"/>
  <c r="X192" i="15" s="1"/>
  <c r="D63" i="15"/>
  <c r="B74" i="15"/>
  <c r="B88" i="15"/>
  <c r="D76" i="15"/>
  <c r="E83" i="15"/>
  <c r="E88" i="15"/>
  <c r="D78" i="15"/>
  <c r="E78" i="15"/>
  <c r="B81" i="15"/>
  <c r="C68" i="15"/>
  <c r="E63" i="15"/>
  <c r="B87" i="15"/>
  <c r="B85" i="15"/>
  <c r="C65" i="15"/>
  <c r="D87" i="15"/>
  <c r="C69" i="15"/>
  <c r="D83" i="15"/>
  <c r="D90" i="15"/>
  <c r="E51" i="15"/>
  <c r="B79" i="15"/>
  <c r="E58" i="15"/>
  <c r="C74" i="15"/>
  <c r="D81" i="15"/>
  <c r="D65" i="15"/>
  <c r="E57" i="15"/>
  <c r="C79" i="15"/>
  <c r="Z152" i="15"/>
  <c r="Z225" i="15" s="1"/>
  <c r="C136" i="15"/>
  <c r="C214" i="15" s="1"/>
  <c r="E112" i="15"/>
  <c r="E209" i="15" s="1"/>
  <c r="Q112" i="15"/>
  <c r="Q209" i="15" s="1"/>
  <c r="B90" i="15"/>
  <c r="D68" i="15"/>
  <c r="E74" i="15"/>
  <c r="B54" i="15"/>
  <c r="B64" i="15"/>
  <c r="E70" i="15"/>
  <c r="D60" i="15"/>
  <c r="C77" i="15"/>
  <c r="C57" i="15"/>
  <c r="E52" i="15"/>
  <c r="E53" i="15"/>
  <c r="M144" i="15"/>
  <c r="K146" i="15"/>
  <c r="K223" i="15" s="1"/>
  <c r="E67" i="15"/>
  <c r="E72" i="15"/>
  <c r="B77" i="15"/>
  <c r="B73" i="15"/>
  <c r="E56" i="15"/>
  <c r="C54" i="15"/>
  <c r="D72" i="15"/>
  <c r="C64" i="15"/>
  <c r="C83" i="15"/>
  <c r="B56" i="15"/>
  <c r="C51" i="15"/>
  <c r="C52" i="15"/>
  <c r="T103" i="15"/>
  <c r="E120" i="15"/>
  <c r="E211" i="15" s="1"/>
  <c r="J120" i="15"/>
  <c r="J211" i="15" s="1"/>
  <c r="M135" i="15"/>
  <c r="F123" i="15"/>
  <c r="T124" i="15"/>
  <c r="E105" i="15"/>
  <c r="E207" i="15" s="1"/>
  <c r="M118" i="15"/>
  <c r="F100" i="15"/>
  <c r="M142" i="15"/>
  <c r="Z120" i="15"/>
  <c r="Z211" i="15" s="1"/>
  <c r="R105" i="15"/>
  <c r="R207" i="15" s="1"/>
  <c r="X62" i="15"/>
  <c r="X191" i="15" s="1"/>
  <c r="F115" i="15"/>
  <c r="AA174" i="15"/>
  <c r="AA89" i="15"/>
  <c r="Z105" i="15"/>
  <c r="Z207" i="15" s="1"/>
  <c r="K136" i="15"/>
  <c r="K214" i="15" s="1"/>
  <c r="AA178" i="15"/>
  <c r="T99" i="15"/>
  <c r="S169" i="15"/>
  <c r="S229" i="15" s="1"/>
  <c r="Y102" i="15"/>
  <c r="Y206" i="15" s="1"/>
  <c r="T69" i="15"/>
  <c r="AA88" i="15"/>
  <c r="M128" i="15"/>
  <c r="AA148" i="15"/>
  <c r="T163" i="15"/>
  <c r="F128" i="15"/>
  <c r="Y105" i="15"/>
  <c r="Y207" i="15" s="1"/>
  <c r="T167" i="15"/>
  <c r="AA154" i="15"/>
  <c r="F134" i="15"/>
  <c r="C105" i="15"/>
  <c r="C207" i="15" s="1"/>
  <c r="L112" i="15"/>
  <c r="L209" i="15" s="1"/>
  <c r="D131" i="15"/>
  <c r="D213" i="15" s="1"/>
  <c r="X108" i="15"/>
  <c r="X208" i="15" s="1"/>
  <c r="R59" i="15"/>
  <c r="R190" i="15" s="1"/>
  <c r="K55" i="15"/>
  <c r="K189" i="15" s="1"/>
  <c r="M115" i="15"/>
  <c r="M111" i="15"/>
  <c r="Z59" i="15"/>
  <c r="Z190" i="15" s="1"/>
  <c r="AA83" i="15"/>
  <c r="P75" i="15"/>
  <c r="P194" i="15" s="1"/>
  <c r="L136" i="15"/>
  <c r="L214" i="15" s="1"/>
  <c r="M157" i="15"/>
  <c r="W66" i="15"/>
  <c r="W192" i="15" s="1"/>
  <c r="M101" i="15"/>
  <c r="AA64" i="15"/>
  <c r="E54" i="15"/>
  <c r="S146" i="15"/>
  <c r="S223" i="15" s="1"/>
  <c r="AA159" i="15"/>
  <c r="AA57" i="15"/>
  <c r="D112" i="15"/>
  <c r="D209" i="15" s="1"/>
  <c r="T77" i="15"/>
  <c r="J102" i="15"/>
  <c r="J206" i="15" s="1"/>
  <c r="AA69" i="15"/>
  <c r="AA118" i="15"/>
  <c r="X55" i="15"/>
  <c r="X189" i="15" s="1"/>
  <c r="T148" i="15"/>
  <c r="M159" i="15"/>
  <c r="P55" i="15"/>
  <c r="P189" i="15" s="1"/>
  <c r="P108" i="15"/>
  <c r="P208" i="15" s="1"/>
  <c r="J105" i="15"/>
  <c r="J207" i="15" s="1"/>
  <c r="W71" i="15"/>
  <c r="W193" i="15" s="1"/>
  <c r="Z71" i="15"/>
  <c r="Z193" i="15" s="1"/>
  <c r="M97" i="15"/>
  <c r="S125" i="15"/>
  <c r="S212" i="15" s="1"/>
  <c r="E108" i="15"/>
  <c r="E208" i="15" s="1"/>
  <c r="AA76" i="15"/>
  <c r="K149" i="15"/>
  <c r="K224" i="15" s="1"/>
  <c r="K102" i="15"/>
  <c r="K206" i="15" s="1"/>
  <c r="I112" i="15"/>
  <c r="I209" i="15" s="1"/>
  <c r="S149" i="15"/>
  <c r="S224" i="15" s="1"/>
  <c r="M154" i="15"/>
  <c r="J155" i="15"/>
  <c r="J226" i="15" s="1"/>
  <c r="K160" i="15"/>
  <c r="K227" i="15" s="1"/>
  <c r="T89" i="15"/>
  <c r="X146" i="15"/>
  <c r="X223" i="15" s="1"/>
  <c r="Z112" i="15"/>
  <c r="Z209" i="15" s="1"/>
  <c r="L55" i="15"/>
  <c r="L189" i="15" s="1"/>
  <c r="T158" i="15"/>
  <c r="AA144" i="15"/>
  <c r="L116" i="15"/>
  <c r="L210" i="15" s="1"/>
  <c r="AA79" i="15"/>
  <c r="P112" i="15"/>
  <c r="P209" i="15" s="1"/>
  <c r="L146" i="15"/>
  <c r="L223" i="15" s="1"/>
  <c r="Z175" i="15"/>
  <c r="Z230" i="15" s="1"/>
  <c r="X160" i="15"/>
  <c r="X227" i="15" s="1"/>
  <c r="X80" i="15"/>
  <c r="X195" i="15" s="1"/>
  <c r="T54" i="15"/>
  <c r="T143" i="15"/>
  <c r="W59" i="15"/>
  <c r="W190" i="15" s="1"/>
  <c r="M156" i="15"/>
  <c r="W55" i="15"/>
  <c r="W189" i="15" s="1"/>
  <c r="AA73" i="15"/>
  <c r="AA100" i="15"/>
  <c r="J75" i="15"/>
  <c r="J194" i="15" s="1"/>
  <c r="D108" i="15"/>
  <c r="D208" i="15" s="1"/>
  <c r="D102" i="15"/>
  <c r="D206" i="15" s="1"/>
  <c r="E125" i="15"/>
  <c r="E212" i="15" s="1"/>
  <c r="W80" i="15"/>
  <c r="W195" i="15" s="1"/>
  <c r="Y116" i="15"/>
  <c r="Y210" i="15" s="1"/>
  <c r="M179" i="15"/>
  <c r="AA58" i="15"/>
  <c r="Y152" i="15"/>
  <c r="Y225" i="15" s="1"/>
  <c r="Z91" i="15"/>
  <c r="Z197" i="15" s="1"/>
  <c r="Q164" i="15"/>
  <c r="Q228" i="15" s="1"/>
  <c r="AA145" i="15"/>
  <c r="J136" i="15"/>
  <c r="J214" i="15" s="1"/>
  <c r="M124" i="15"/>
  <c r="C120" i="15"/>
  <c r="C211" i="15" s="1"/>
  <c r="L66" i="15"/>
  <c r="L192" i="15" s="1"/>
  <c r="M100" i="15"/>
  <c r="R149" i="15"/>
  <c r="R224" i="15" s="1"/>
  <c r="T58" i="15"/>
  <c r="I86" i="15"/>
  <c r="I196" i="15" s="1"/>
  <c r="R155" i="15"/>
  <c r="R226" i="15" s="1"/>
  <c r="J152" i="15"/>
  <c r="J225" i="15" s="1"/>
  <c r="Z55" i="15"/>
  <c r="Z189" i="15" s="1"/>
  <c r="Y80" i="15"/>
  <c r="Y195" i="15" s="1"/>
  <c r="AA74" i="15"/>
  <c r="Z108" i="15"/>
  <c r="Z208" i="15" s="1"/>
  <c r="M79" i="15"/>
  <c r="F135" i="15"/>
  <c r="K105" i="15"/>
  <c r="K207" i="15" s="1"/>
  <c r="F99" i="15"/>
  <c r="M168" i="15"/>
  <c r="X152" i="15"/>
  <c r="X225" i="15" s="1"/>
  <c r="AA167" i="15"/>
  <c r="F133" i="15"/>
  <c r="F130" i="15"/>
  <c r="X91" i="15"/>
  <c r="X197" i="15" s="1"/>
  <c r="AA70" i="15"/>
  <c r="AA119" i="15"/>
  <c r="S120" i="15"/>
  <c r="S211" i="15" s="1"/>
  <c r="T115" i="15"/>
  <c r="R80" i="15"/>
  <c r="R195" i="15" s="1"/>
  <c r="Q71" i="15"/>
  <c r="Q193" i="15" s="1"/>
  <c r="R71" i="15"/>
  <c r="R193" i="15" s="1"/>
  <c r="M70" i="15"/>
  <c r="S155" i="15"/>
  <c r="S226" i="15" s="1"/>
  <c r="K62" i="15"/>
  <c r="K191" i="15" s="1"/>
  <c r="I146" i="15"/>
  <c r="I223" i="15" s="1"/>
  <c r="K116" i="15"/>
  <c r="K210" i="15" s="1"/>
  <c r="L149" i="15"/>
  <c r="L224" i="15" s="1"/>
  <c r="I160" i="15"/>
  <c r="I227" i="15" s="1"/>
  <c r="F124" i="15"/>
  <c r="F109" i="15"/>
  <c r="AA121" i="15"/>
  <c r="F129" i="15"/>
  <c r="AA68" i="15"/>
  <c r="AA122" i="15"/>
  <c r="T70" i="15"/>
  <c r="R152" i="15"/>
  <c r="R225" i="15" s="1"/>
  <c r="I125" i="15"/>
  <c r="M151" i="15"/>
  <c r="T119" i="15"/>
  <c r="Q155" i="15"/>
  <c r="Q226" i="15" s="1"/>
  <c r="AA170" i="15"/>
  <c r="Z146" i="15"/>
  <c r="Z223" i="15" s="1"/>
  <c r="M170" i="15"/>
  <c r="M127" i="15"/>
  <c r="M99" i="15"/>
  <c r="L120" i="15"/>
  <c r="L211" i="15" s="1"/>
  <c r="X86" i="15"/>
  <c r="X196" i="15" s="1"/>
  <c r="AA101" i="15"/>
  <c r="Y125" i="15"/>
  <c r="Y212" i="15" s="1"/>
  <c r="Q75" i="15"/>
  <c r="Q194" i="15" s="1"/>
  <c r="S75" i="15"/>
  <c r="S194" i="15" s="1"/>
  <c r="C112" i="15"/>
  <c r="C209" i="15" s="1"/>
  <c r="T161" i="15"/>
  <c r="C102" i="15"/>
  <c r="C206" i="15" s="1"/>
  <c r="F111" i="15"/>
  <c r="E136" i="15"/>
  <c r="E214" i="15" s="1"/>
  <c r="J131" i="15"/>
  <c r="J213" i="15" s="1"/>
  <c r="Y108" i="15"/>
  <c r="Y208" i="15" s="1"/>
  <c r="AA115" i="15"/>
  <c r="AA67" i="15"/>
  <c r="R102" i="15"/>
  <c r="R206" i="15" s="1"/>
  <c r="T123" i="15"/>
  <c r="S71" i="15"/>
  <c r="S193" i="15" s="1"/>
  <c r="M145" i="15"/>
  <c r="F97" i="15"/>
  <c r="L62" i="15"/>
  <c r="L191" i="15" s="1"/>
  <c r="K120" i="15"/>
  <c r="K211" i="15" s="1"/>
  <c r="R62" i="15"/>
  <c r="R191" i="15" s="1"/>
  <c r="L152" i="15"/>
  <c r="L225" i="15" s="1"/>
  <c r="M110" i="15"/>
  <c r="M129" i="15"/>
  <c r="AA54" i="15"/>
  <c r="X102" i="15"/>
  <c r="X206" i="15" s="1"/>
  <c r="R125" i="15"/>
  <c r="R212" i="15" s="1"/>
  <c r="Q136" i="15"/>
  <c r="Q214" i="15" s="1"/>
  <c r="D116" i="15"/>
  <c r="D210" i="15" s="1"/>
  <c r="D105" i="15"/>
  <c r="D207" i="15" s="1"/>
  <c r="M103" i="15"/>
  <c r="T157" i="15"/>
  <c r="T177" i="15"/>
  <c r="AA158" i="15"/>
  <c r="L155" i="15"/>
  <c r="L226" i="15" s="1"/>
  <c r="E131" i="15"/>
  <c r="E213" i="15" s="1"/>
  <c r="S105" i="15"/>
  <c r="S207" i="15" s="1"/>
  <c r="T130" i="15"/>
  <c r="M148" i="15"/>
  <c r="R86" i="15"/>
  <c r="R196" i="15" s="1"/>
  <c r="Q62" i="15"/>
  <c r="Q191" i="15" s="1"/>
  <c r="M52" i="15"/>
  <c r="C125" i="15"/>
  <c r="C212" i="15" s="1"/>
  <c r="L102" i="15"/>
  <c r="L206" i="15" s="1"/>
  <c r="Q59" i="15"/>
  <c r="Q190" i="15" s="1"/>
  <c r="AA53" i="15"/>
  <c r="P105" i="15"/>
  <c r="P207" i="15" s="1"/>
  <c r="T154" i="15"/>
  <c r="S160" i="15"/>
  <c r="S227" i="15" s="1"/>
  <c r="Y164" i="15"/>
  <c r="Y228" i="15" s="1"/>
  <c r="F119" i="15"/>
  <c r="AA114" i="15"/>
  <c r="M54" i="15"/>
  <c r="M64" i="15"/>
  <c r="S62" i="15"/>
  <c r="S191" i="15" s="1"/>
  <c r="B69" i="15"/>
  <c r="E82" i="15"/>
  <c r="C63" i="15"/>
  <c r="D61" i="15"/>
  <c r="B63" i="15"/>
  <c r="D51" i="15"/>
  <c r="C67" i="15"/>
  <c r="C84" i="15"/>
  <c r="Q175" i="15"/>
  <c r="Q230" i="15" s="1"/>
  <c r="M114" i="15"/>
  <c r="J125" i="15"/>
  <c r="J212" i="15" s="1"/>
  <c r="Y55" i="15"/>
  <c r="Y189" i="15" s="1"/>
  <c r="Y131" i="15"/>
  <c r="Y213" i="15" s="1"/>
  <c r="T114" i="15"/>
  <c r="F113" i="15"/>
  <c r="M53" i="15"/>
  <c r="T61" i="15"/>
  <c r="F118" i="15"/>
  <c r="AA130" i="15"/>
  <c r="R91" i="15"/>
  <c r="R197" i="15" s="1"/>
  <c r="S80" i="15"/>
  <c r="S195" i="15" s="1"/>
  <c r="L71" i="15"/>
  <c r="L193" i="15" s="1"/>
  <c r="R146" i="15"/>
  <c r="R223" i="15" s="1"/>
  <c r="C116" i="15"/>
  <c r="C210" i="15" s="1"/>
  <c r="M117" i="15"/>
  <c r="F107" i="15"/>
  <c r="I152" i="15"/>
  <c r="I225" i="15" s="1"/>
  <c r="M162" i="15"/>
  <c r="M172" i="15"/>
  <c r="M166" i="15"/>
  <c r="K169" i="15"/>
  <c r="K229" i="15" s="1"/>
  <c r="AA143" i="15"/>
  <c r="M107" i="15"/>
  <c r="D125" i="15"/>
  <c r="D212" i="15" s="1"/>
  <c r="L125" i="15"/>
  <c r="L212" i="15" s="1"/>
  <c r="Y62" i="15"/>
  <c r="Y191" i="15" s="1"/>
  <c r="R136" i="15"/>
  <c r="R214" i="15" s="1"/>
  <c r="S108" i="15"/>
  <c r="S208" i="15" s="1"/>
  <c r="E102" i="15"/>
  <c r="E206" i="15" s="1"/>
  <c r="X75" i="15"/>
  <c r="X194" i="15" s="1"/>
  <c r="AA85" i="15"/>
  <c r="T134" i="15"/>
  <c r="AA123" i="15"/>
  <c r="AA97" i="15"/>
  <c r="Q86" i="15"/>
  <c r="Q196" i="15" s="1"/>
  <c r="T73" i="15"/>
  <c r="Y149" i="15"/>
  <c r="Y224" i="15" s="1"/>
  <c r="K108" i="15"/>
  <c r="K208" i="15" s="1"/>
  <c r="L164" i="15"/>
  <c r="L228" i="15" s="1"/>
  <c r="M173" i="15"/>
  <c r="Y59" i="15"/>
  <c r="Y190" i="15" s="1"/>
  <c r="M133" i="15"/>
  <c r="T104" i="15"/>
  <c r="R116" i="15"/>
  <c r="R210" i="15" s="1"/>
  <c r="R108" i="15"/>
  <c r="R208" i="15" s="1"/>
  <c r="Q116" i="15"/>
  <c r="Q210" i="15" s="1"/>
  <c r="T129" i="15"/>
  <c r="Q80" i="15"/>
  <c r="Q195" i="15" s="1"/>
  <c r="R66" i="15"/>
  <c r="R192" i="15" s="1"/>
  <c r="T83" i="15"/>
  <c r="S66" i="15"/>
  <c r="S192" i="15" s="1"/>
  <c r="K91" i="15"/>
  <c r="K197" i="15" s="1"/>
  <c r="K80" i="15"/>
  <c r="K195" i="15" s="1"/>
  <c r="AA56" i="15"/>
  <c r="M158" i="15"/>
  <c r="T166" i="15"/>
  <c r="AA173" i="15"/>
  <c r="M143" i="15"/>
  <c r="F101" i="15"/>
  <c r="F132" i="15"/>
  <c r="AA107" i="15"/>
  <c r="R112" i="15"/>
  <c r="R209" i="15" s="1"/>
  <c r="T79" i="15"/>
  <c r="T85" i="15"/>
  <c r="T68" i="15"/>
  <c r="Q91" i="15"/>
  <c r="Q197" i="15" s="1"/>
  <c r="K59" i="15"/>
  <c r="K190" i="15" s="1"/>
  <c r="AA63" i="15"/>
  <c r="T100" i="15"/>
  <c r="F110" i="15"/>
  <c r="X169" i="15"/>
  <c r="X229" i="15" s="1"/>
  <c r="AA157" i="15"/>
  <c r="F98" i="15"/>
  <c r="Z125" i="15"/>
  <c r="Z212" i="15" s="1"/>
  <c r="AA51" i="15"/>
  <c r="T78" i="15"/>
  <c r="Y71" i="15"/>
  <c r="Y193" i="15" s="1"/>
  <c r="S152" i="15"/>
  <c r="S225" i="15" s="1"/>
  <c r="AA65" i="15"/>
  <c r="Z80" i="15"/>
  <c r="Z195" i="15" s="1"/>
  <c r="T170" i="15"/>
  <c r="T172" i="15"/>
  <c r="Y175" i="15"/>
  <c r="Y230" i="15" s="1"/>
  <c r="AA168" i="15"/>
  <c r="AA163" i="15"/>
  <c r="M177" i="15"/>
  <c r="J169" i="15"/>
  <c r="J229" i="15" s="1"/>
  <c r="K125" i="15"/>
  <c r="K212" i="15" s="1"/>
  <c r="D136" i="15"/>
  <c r="D214" i="15" s="1"/>
  <c r="Z131" i="15"/>
  <c r="Z213" i="15" s="1"/>
  <c r="T107" i="15"/>
  <c r="R55" i="15"/>
  <c r="R189" i="15" s="1"/>
  <c r="K86" i="15"/>
  <c r="K196" i="15" s="1"/>
  <c r="M58" i="15"/>
  <c r="M57" i="15"/>
  <c r="M98" i="15"/>
  <c r="Z66" i="15"/>
  <c r="Z192" i="15" s="1"/>
  <c r="Z75" i="15"/>
  <c r="Z194" i="15" s="1"/>
  <c r="M123" i="15"/>
  <c r="T179" i="15"/>
  <c r="Q160" i="15"/>
  <c r="Q227" i="15" s="1"/>
  <c r="X175" i="15"/>
  <c r="X230" i="15" s="1"/>
  <c r="Y169" i="15"/>
  <c r="Y229" i="15" s="1"/>
  <c r="AA166" i="15"/>
  <c r="F114" i="15"/>
  <c r="I102" i="15"/>
  <c r="I206" i="15" s="1"/>
  <c r="Y86" i="15"/>
  <c r="Y196" i="15" s="1"/>
  <c r="X136" i="15"/>
  <c r="X214" i="15" s="1"/>
  <c r="R120" i="15"/>
  <c r="R211" i="15" s="1"/>
  <c r="L59" i="15"/>
  <c r="L190" i="15" s="1"/>
  <c r="AA84" i="15"/>
  <c r="K152" i="15"/>
  <c r="K225" i="15" s="1"/>
  <c r="R75" i="15"/>
  <c r="R194" i="15" s="1"/>
  <c r="T145" i="15"/>
  <c r="Q169" i="15"/>
  <c r="Q229" i="15" s="1"/>
  <c r="Z169" i="15"/>
  <c r="Z229" i="15" s="1"/>
  <c r="AA172" i="15"/>
  <c r="M119" i="15"/>
  <c r="F127" i="15"/>
  <c r="AA90" i="15"/>
  <c r="Y91" i="15"/>
  <c r="Y197" i="15" s="1"/>
  <c r="AA98" i="15"/>
  <c r="T110" i="15"/>
  <c r="J55" i="15"/>
  <c r="J189" i="15" s="1"/>
  <c r="T81" i="15"/>
  <c r="AA61" i="15"/>
  <c r="T121" i="15"/>
  <c r="P125" i="15"/>
  <c r="B120" i="15"/>
  <c r="F117" i="15"/>
  <c r="T126" i="15"/>
  <c r="P131" i="15"/>
  <c r="T106" i="15"/>
  <c r="B102" i="15"/>
  <c r="Y160" i="15"/>
  <c r="Y227" i="15" s="1"/>
  <c r="X105" i="15"/>
  <c r="X207" i="15" s="1"/>
  <c r="AA133" i="15"/>
  <c r="W169" i="15"/>
  <c r="AA151" i="15"/>
  <c r="W152" i="15"/>
  <c r="S112" i="15"/>
  <c r="S209" i="15" s="1"/>
  <c r="P136" i="15"/>
  <c r="T132" i="15"/>
  <c r="K66" i="15"/>
  <c r="K192" i="15" s="1"/>
  <c r="L160" i="15"/>
  <c r="L227" i="15" s="1"/>
  <c r="S180" i="15"/>
  <c r="S231" i="15" s="1"/>
  <c r="S164" i="15"/>
  <c r="S228" i="15" s="1"/>
  <c r="T173" i="15"/>
  <c r="P175" i="15"/>
  <c r="T171" i="15"/>
  <c r="X180" i="15"/>
  <c r="X231" i="15" s="1"/>
  <c r="Z180" i="15"/>
  <c r="Z231" i="15" s="1"/>
  <c r="M163" i="15"/>
  <c r="D120" i="15"/>
  <c r="D211" i="15" s="1"/>
  <c r="J146" i="15"/>
  <c r="J223" i="15" s="1"/>
  <c r="S175" i="15"/>
  <c r="S230" i="15" s="1"/>
  <c r="T159" i="15"/>
  <c r="T174" i="15"/>
  <c r="Z164" i="15"/>
  <c r="Z228" i="15" s="1"/>
  <c r="T162" i="15"/>
  <c r="J164" i="15"/>
  <c r="J228" i="15" s="1"/>
  <c r="J160" i="15"/>
  <c r="J227" i="15" s="1"/>
  <c r="J175" i="15"/>
  <c r="J230" i="15" s="1"/>
  <c r="I164" i="15"/>
  <c r="M161" i="15"/>
  <c r="K164" i="15"/>
  <c r="K228" i="15" s="1"/>
  <c r="F104" i="15"/>
  <c r="B112" i="15"/>
  <c r="Y75" i="15"/>
  <c r="Y194" i="15" s="1"/>
  <c r="AA129" i="15"/>
  <c r="P120" i="15"/>
  <c r="T117" i="15"/>
  <c r="T133" i="15"/>
  <c r="S116" i="15"/>
  <c r="S210" i="15" s="1"/>
  <c r="T64" i="15"/>
  <c r="X59" i="15"/>
  <c r="X190" i="15" s="1"/>
  <c r="M67" i="15"/>
  <c r="I71" i="15"/>
  <c r="S55" i="15"/>
  <c r="S189" i="15" s="1"/>
  <c r="T76" i="15"/>
  <c r="P80" i="15"/>
  <c r="M65" i="15"/>
  <c r="M76" i="15"/>
  <c r="I80" i="15"/>
  <c r="M73" i="15"/>
  <c r="M87" i="15"/>
  <c r="I91" i="15"/>
  <c r="Q55" i="15"/>
  <c r="W102" i="15"/>
  <c r="K112" i="15"/>
  <c r="K209" i="15" s="1"/>
  <c r="Z86" i="15"/>
  <c r="Z196" i="15" s="1"/>
  <c r="Q180" i="15"/>
  <c r="Q231" i="15" s="1"/>
  <c r="S91" i="15"/>
  <c r="S197" i="15" s="1"/>
  <c r="Y120" i="15"/>
  <c r="Y211" i="15" s="1"/>
  <c r="J86" i="15"/>
  <c r="J196" i="15" s="1"/>
  <c r="M82" i="15"/>
  <c r="I120" i="15"/>
  <c r="T153" i="15"/>
  <c r="P155" i="15"/>
  <c r="T176" i="15"/>
  <c r="AA165" i="15"/>
  <c r="B131" i="15"/>
  <c r="F126" i="15"/>
  <c r="Z160" i="15"/>
  <c r="Z227" i="15" s="1"/>
  <c r="M60" i="15"/>
  <c r="I62" i="15"/>
  <c r="T109" i="15"/>
  <c r="T63" i="15"/>
  <c r="AA78" i="15"/>
  <c r="AA142" i="15"/>
  <c r="W146" i="15"/>
  <c r="P152" i="15"/>
  <c r="T150" i="15"/>
  <c r="W86" i="15"/>
  <c r="AA82" i="15"/>
  <c r="W108" i="15"/>
  <c r="AA106" i="15"/>
  <c r="K175" i="15"/>
  <c r="K230" i="15" s="1"/>
  <c r="L169" i="15"/>
  <c r="L229" i="15" s="1"/>
  <c r="J112" i="15"/>
  <c r="J209" i="15" s="1"/>
  <c r="M109" i="15"/>
  <c r="I155" i="15"/>
  <c r="B125" i="15"/>
  <c r="W75" i="15"/>
  <c r="AA72" i="15"/>
  <c r="AA110" i="15"/>
  <c r="AA126" i="15"/>
  <c r="W131" i="15"/>
  <c r="S102" i="15"/>
  <c r="S206" i="15" s="1"/>
  <c r="P116" i="15"/>
  <c r="T113" i="15"/>
  <c r="T135" i="15"/>
  <c r="AA153" i="15"/>
  <c r="C131" i="15"/>
  <c r="C213" i="15" s="1"/>
  <c r="K71" i="15"/>
  <c r="K193" i="15" s="1"/>
  <c r="P66" i="15"/>
  <c r="T65" i="15"/>
  <c r="I59" i="15"/>
  <c r="M56" i="15"/>
  <c r="J71" i="15"/>
  <c r="J193" i="15" s="1"/>
  <c r="I66" i="15"/>
  <c r="M63" i="15"/>
  <c r="P160" i="15"/>
  <c r="T67" i="15"/>
  <c r="X71" i="15"/>
  <c r="X193" i="15" s="1"/>
  <c r="I136" i="15"/>
  <c r="M132" i="15"/>
  <c r="K180" i="15"/>
  <c r="K231" i="15" s="1"/>
  <c r="X112" i="15"/>
  <c r="X209" i="15" s="1"/>
  <c r="S136" i="15"/>
  <c r="S214" i="15" s="1"/>
  <c r="T147" i="15"/>
  <c r="P149" i="15"/>
  <c r="T98" i="15"/>
  <c r="M130" i="15"/>
  <c r="AA162" i="15"/>
  <c r="M178" i="15"/>
  <c r="L105" i="15"/>
  <c r="L207" i="15" s="1"/>
  <c r="M104" i="15"/>
  <c r="L131" i="15"/>
  <c r="L213" i="15" s="1"/>
  <c r="K131" i="15"/>
  <c r="K213" i="15" s="1"/>
  <c r="F121" i="15"/>
  <c r="Q131" i="15"/>
  <c r="Q213" i="15" s="1"/>
  <c r="X116" i="15"/>
  <c r="X210" i="15" s="1"/>
  <c r="AA134" i="15"/>
  <c r="X125" i="15"/>
  <c r="X212" i="15" s="1"/>
  <c r="P102" i="15"/>
  <c r="T97" i="15"/>
  <c r="S131" i="15"/>
  <c r="S213" i="15" s="1"/>
  <c r="AA127" i="15"/>
  <c r="T51" i="15"/>
  <c r="M74" i="15"/>
  <c r="T88" i="15"/>
  <c r="T57" i="15"/>
  <c r="S59" i="15"/>
  <c r="S190" i="15" s="1"/>
  <c r="M85" i="15"/>
  <c r="M69" i="15"/>
  <c r="Q66" i="15"/>
  <c r="Q192" i="15" s="1"/>
  <c r="B116" i="15"/>
  <c r="AA52" i="15"/>
  <c r="W120" i="15"/>
  <c r="AA117" i="15"/>
  <c r="AA150" i="15"/>
  <c r="P86" i="15"/>
  <c r="T82" i="15"/>
  <c r="R160" i="15"/>
  <c r="R227" i="15" s="1"/>
  <c r="AA109" i="15"/>
  <c r="W112" i="15"/>
  <c r="M176" i="15"/>
  <c r="I180" i="15"/>
  <c r="AA81" i="15"/>
  <c r="AA128" i="15"/>
  <c r="AA161" i="15"/>
  <c r="W164" i="15"/>
  <c r="M171" i="15"/>
  <c r="I175" i="15"/>
  <c r="L175" i="15"/>
  <c r="L230" i="15" s="1"/>
  <c r="B108" i="15"/>
  <c r="F106" i="15"/>
  <c r="F122" i="15"/>
  <c r="AA77" i="15"/>
  <c r="M113" i="15"/>
  <c r="AA124" i="15"/>
  <c r="AA135" i="15"/>
  <c r="T127" i="15"/>
  <c r="Q108" i="15"/>
  <c r="Q208" i="15" s="1"/>
  <c r="T118" i="15"/>
  <c r="Y146" i="15"/>
  <c r="Y223" i="15" s="1"/>
  <c r="M122" i="15"/>
  <c r="S86" i="15"/>
  <c r="S196" i="15" s="1"/>
  <c r="J91" i="15"/>
  <c r="J197" i="15" s="1"/>
  <c r="L75" i="15"/>
  <c r="L194" i="15" s="1"/>
  <c r="J59" i="15"/>
  <c r="J190" i="15" s="1"/>
  <c r="M83" i="15"/>
  <c r="I75" i="15"/>
  <c r="M72" i="15"/>
  <c r="M167" i="15"/>
  <c r="I55" i="15"/>
  <c r="M51" i="15"/>
  <c r="T87" i="15"/>
  <c r="P91" i="15"/>
  <c r="M134" i="15"/>
  <c r="T142" i="15"/>
  <c r="P146" i="15"/>
  <c r="T60" i="15"/>
  <c r="P62" i="15"/>
  <c r="Y180" i="15"/>
  <c r="Y231" i="15" s="1"/>
  <c r="T178" i="15"/>
  <c r="R180" i="15"/>
  <c r="R231" i="15" s="1"/>
  <c r="P169" i="15"/>
  <c r="T165" i="15"/>
  <c r="R169" i="15"/>
  <c r="R229" i="15" s="1"/>
  <c r="AA177" i="15"/>
  <c r="W175" i="15"/>
  <c r="AA171" i="15"/>
  <c r="J149" i="15"/>
  <c r="J224" i="15" s="1"/>
  <c r="M147" i="15"/>
  <c r="M174" i="15"/>
  <c r="J180" i="15"/>
  <c r="J231" i="15" s="1"/>
  <c r="L180" i="15"/>
  <c r="L231" i="15" s="1"/>
  <c r="W149" i="15"/>
  <c r="W62" i="15"/>
  <c r="AA60" i="15"/>
  <c r="I116" i="15"/>
  <c r="AA99" i="15"/>
  <c r="Z116" i="15"/>
  <c r="Z210" i="15" s="1"/>
  <c r="X131" i="15"/>
  <c r="X213" i="15" s="1"/>
  <c r="AA156" i="15"/>
  <c r="T128" i="15"/>
  <c r="J80" i="15"/>
  <c r="J195" i="15" s="1"/>
  <c r="M89" i="15"/>
  <c r="M78" i="15"/>
  <c r="P59" i="15"/>
  <c r="T72" i="15"/>
  <c r="M90" i="15"/>
  <c r="W91" i="15"/>
  <c r="AA87" i="15"/>
  <c r="P180" i="15"/>
  <c r="W125" i="15"/>
  <c r="T156" i="15"/>
  <c r="T144" i="15"/>
  <c r="Q146" i="15"/>
  <c r="Q223" i="15" s="1"/>
  <c r="X164" i="15"/>
  <c r="X228" i="15" s="1"/>
  <c r="AA176" i="15"/>
  <c r="W180" i="15"/>
  <c r="AA147" i="15"/>
  <c r="W155" i="15"/>
  <c r="W116" i="15"/>
  <c r="AA113" i="15"/>
  <c r="AA103" i="15"/>
  <c r="W105" i="15"/>
  <c r="X120" i="15"/>
  <c r="X211" i="15" s="1"/>
  <c r="W160" i="15"/>
  <c r="Q102" i="15"/>
  <c r="Q206" i="15" s="1"/>
  <c r="T111" i="15"/>
  <c r="R131" i="15"/>
  <c r="R213" i="15" s="1"/>
  <c r="I131" i="15"/>
  <c r="Q125" i="15"/>
  <c r="Q212" i="15" s="1"/>
  <c r="T84" i="15"/>
  <c r="T56" i="15"/>
  <c r="B105" i="15"/>
  <c r="M77" i="15"/>
  <c r="M61" i="15"/>
  <c r="L80" i="15"/>
  <c r="L195" i="15" s="1"/>
  <c r="M88" i="15"/>
  <c r="M81" i="15"/>
  <c r="P71" i="15"/>
  <c r="J108" i="15"/>
  <c r="Y136" i="15"/>
  <c r="Y214" i="15" s="1"/>
  <c r="AA104" i="15"/>
  <c r="J66" i="15"/>
  <c r="J192" i="15" s="1"/>
  <c r="T168" i="15"/>
  <c r="R164" i="15"/>
  <c r="R228" i="15" s="1"/>
  <c r="R175" i="15"/>
  <c r="R230" i="15" s="1"/>
  <c r="AA179" i="15"/>
  <c r="M165" i="15"/>
  <c r="I169" i="15"/>
  <c r="M153" i="15"/>
  <c r="Z102" i="15"/>
  <c r="Z206" i="15" s="1"/>
  <c r="Y112" i="15"/>
  <c r="Y209" i="15" s="1"/>
  <c r="AA132" i="15"/>
  <c r="W136" i="15"/>
  <c r="M150" i="15"/>
  <c r="T101" i="15"/>
  <c r="M126" i="15"/>
  <c r="M68" i="15"/>
  <c r="T74" i="15"/>
  <c r="K75" i="15"/>
  <c r="K194" i="15" s="1"/>
  <c r="L91" i="15"/>
  <c r="L197" i="15" s="1"/>
  <c r="L86" i="15"/>
  <c r="L196" i="15" s="1"/>
  <c r="M84" i="15"/>
  <c r="M121" i="15"/>
  <c r="Q227" i="10"/>
  <c r="J227" i="10"/>
  <c r="C227" i="10"/>
  <c r="X210" i="10"/>
  <c r="W210" i="10"/>
  <c r="Q210" i="10"/>
  <c r="P210" i="10"/>
  <c r="E188" i="10"/>
  <c r="D188" i="10"/>
  <c r="C188" i="10"/>
  <c r="B188" i="10"/>
  <c r="E187" i="10"/>
  <c r="D187" i="10"/>
  <c r="C187" i="10"/>
  <c r="B187" i="10"/>
  <c r="E186" i="10"/>
  <c r="D186" i="10"/>
  <c r="C186" i="10"/>
  <c r="B186" i="10"/>
  <c r="E185" i="10"/>
  <c r="D185" i="10"/>
  <c r="C185" i="10"/>
  <c r="B185" i="10"/>
  <c r="E183" i="10"/>
  <c r="D183" i="10"/>
  <c r="C183" i="10"/>
  <c r="B183" i="10"/>
  <c r="E182" i="10"/>
  <c r="D182" i="10"/>
  <c r="C182" i="10"/>
  <c r="B182" i="10"/>
  <c r="E181" i="10"/>
  <c r="D181" i="10"/>
  <c r="C181" i="10"/>
  <c r="B181" i="10"/>
  <c r="E180" i="10"/>
  <c r="D180" i="10"/>
  <c r="C180" i="10"/>
  <c r="B180" i="10"/>
  <c r="E179" i="10"/>
  <c r="D179" i="10"/>
  <c r="C179" i="10"/>
  <c r="B179" i="10"/>
  <c r="E177" i="10"/>
  <c r="D177" i="10"/>
  <c r="C177" i="10"/>
  <c r="B177" i="10"/>
  <c r="E176" i="10"/>
  <c r="D176" i="10"/>
  <c r="C176" i="10"/>
  <c r="B176" i="10"/>
  <c r="E175" i="10"/>
  <c r="D175" i="10"/>
  <c r="C175" i="10"/>
  <c r="B175" i="10"/>
  <c r="E174" i="10"/>
  <c r="D174" i="10"/>
  <c r="C174" i="10"/>
  <c r="B174" i="10"/>
  <c r="E172" i="10"/>
  <c r="D172" i="10"/>
  <c r="C172" i="10"/>
  <c r="B172" i="10"/>
  <c r="E171" i="10"/>
  <c r="D171" i="10"/>
  <c r="C171" i="10"/>
  <c r="B171" i="10"/>
  <c r="E170" i="10"/>
  <c r="D170" i="10"/>
  <c r="C170" i="10"/>
  <c r="B170" i="10"/>
  <c r="E168" i="10"/>
  <c r="D168" i="10"/>
  <c r="C168" i="10"/>
  <c r="B168" i="10"/>
  <c r="E167" i="10"/>
  <c r="D167" i="10"/>
  <c r="C167" i="10"/>
  <c r="B167" i="10"/>
  <c r="E166" i="10"/>
  <c r="D166" i="10"/>
  <c r="C166" i="10"/>
  <c r="B166" i="10"/>
  <c r="E165" i="10"/>
  <c r="D165" i="10"/>
  <c r="C165" i="10"/>
  <c r="B165" i="10"/>
  <c r="E163" i="10"/>
  <c r="D163" i="10"/>
  <c r="C163" i="10"/>
  <c r="B163" i="10"/>
  <c r="E162" i="10"/>
  <c r="D162" i="10"/>
  <c r="C162" i="10"/>
  <c r="B162" i="10"/>
  <c r="E160" i="10"/>
  <c r="D160" i="10"/>
  <c r="C160" i="10"/>
  <c r="B160" i="10"/>
  <c r="E159" i="10"/>
  <c r="D159" i="10"/>
  <c r="C159" i="10"/>
  <c r="B159" i="10"/>
  <c r="E157" i="10"/>
  <c r="D157" i="10"/>
  <c r="C157" i="10"/>
  <c r="B157" i="10"/>
  <c r="E156" i="10"/>
  <c r="D156" i="10"/>
  <c r="C156" i="10"/>
  <c r="B156" i="10"/>
  <c r="E154" i="10"/>
  <c r="D154" i="10"/>
  <c r="C154" i="10"/>
  <c r="B154" i="10"/>
  <c r="E153" i="10"/>
  <c r="D153" i="10"/>
  <c r="C153" i="10"/>
  <c r="B153" i="10"/>
  <c r="E152" i="10"/>
  <c r="D152" i="10"/>
  <c r="C152" i="10"/>
  <c r="B152" i="10"/>
  <c r="E151" i="10"/>
  <c r="D151" i="10"/>
  <c r="C151" i="10"/>
  <c r="B151" i="10"/>
  <c r="P149" i="10"/>
  <c r="P228" i="10" s="1"/>
  <c r="I149" i="10"/>
  <c r="L188" i="10" s="1"/>
  <c r="B227" i="17" l="1"/>
  <c r="B232" i="17"/>
  <c r="B234" i="17"/>
  <c r="B235" i="17"/>
  <c r="B228" i="17"/>
  <c r="B230" i="17"/>
  <c r="B186" i="17"/>
  <c r="B185" i="17"/>
  <c r="B229" i="17"/>
  <c r="E237" i="17"/>
  <c r="E236" i="17"/>
  <c r="B233" i="17"/>
  <c r="B231" i="17"/>
  <c r="D237" i="17"/>
  <c r="D236" i="17"/>
  <c r="C237" i="17"/>
  <c r="C236" i="17"/>
  <c r="B220" i="17"/>
  <c r="B219" i="17"/>
  <c r="B236" i="15"/>
  <c r="E152" i="15"/>
  <c r="E225" i="15" s="1"/>
  <c r="F154" i="15"/>
  <c r="F159" i="15"/>
  <c r="E160" i="15"/>
  <c r="E227" i="15" s="1"/>
  <c r="E155" i="15"/>
  <c r="E226" i="15" s="1"/>
  <c r="F144" i="15"/>
  <c r="F158" i="15"/>
  <c r="C160" i="15"/>
  <c r="C227" i="15" s="1"/>
  <c r="F143" i="15"/>
  <c r="F178" i="15"/>
  <c r="E146" i="15"/>
  <c r="E223" i="15" s="1"/>
  <c r="C146" i="15"/>
  <c r="C223" i="15" s="1"/>
  <c r="D152" i="15"/>
  <c r="D225" i="15" s="1"/>
  <c r="F172" i="15"/>
  <c r="C175" i="15"/>
  <c r="C230" i="15" s="1"/>
  <c r="C152" i="15"/>
  <c r="C225" i="15" s="1"/>
  <c r="F145" i="15"/>
  <c r="F147" i="15"/>
  <c r="B149" i="15"/>
  <c r="F148" i="15"/>
  <c r="F171" i="15"/>
  <c r="B175" i="15"/>
  <c r="E164" i="15"/>
  <c r="E228" i="15" s="1"/>
  <c r="F166" i="15"/>
  <c r="F157" i="15"/>
  <c r="F167" i="15"/>
  <c r="E169" i="15"/>
  <c r="E229" i="15" s="1"/>
  <c r="F170" i="15"/>
  <c r="B164" i="15"/>
  <c r="F161" i="15"/>
  <c r="F174" i="15"/>
  <c r="D155" i="15"/>
  <c r="D226" i="15" s="1"/>
  <c r="B155" i="15"/>
  <c r="F153" i="15"/>
  <c r="F173" i="15"/>
  <c r="D146" i="15"/>
  <c r="D223" i="15" s="1"/>
  <c r="B169" i="15"/>
  <c r="F165" i="15"/>
  <c r="C155" i="15"/>
  <c r="C226" i="15" s="1"/>
  <c r="C149" i="15"/>
  <c r="C224" i="15" s="1"/>
  <c r="F162" i="15"/>
  <c r="F163" i="15"/>
  <c r="F156" i="15"/>
  <c r="B160" i="15"/>
  <c r="F177" i="15"/>
  <c r="F168" i="15"/>
  <c r="D164" i="15"/>
  <c r="D228" i="15" s="1"/>
  <c r="C164" i="15"/>
  <c r="C228" i="15" s="1"/>
  <c r="D169" i="15"/>
  <c r="D229" i="15" s="1"/>
  <c r="E180" i="15"/>
  <c r="E231" i="15" s="1"/>
  <c r="F176" i="15"/>
  <c r="B180" i="15"/>
  <c r="D160" i="15"/>
  <c r="D227" i="15" s="1"/>
  <c r="C169" i="15"/>
  <c r="C229" i="15" s="1"/>
  <c r="D149" i="15"/>
  <c r="D224" i="15" s="1"/>
  <c r="F142" i="15"/>
  <c r="B146" i="15"/>
  <c r="E149" i="15"/>
  <c r="E224" i="15" s="1"/>
  <c r="F179" i="15"/>
  <c r="D175" i="15"/>
  <c r="D230" i="15" s="1"/>
  <c r="D180" i="15"/>
  <c r="D231" i="15" s="1"/>
  <c r="F150" i="15"/>
  <c r="B152" i="15"/>
  <c r="E175" i="15"/>
  <c r="E230" i="15" s="1"/>
  <c r="F151" i="15"/>
  <c r="C180" i="15"/>
  <c r="C231" i="15" s="1"/>
  <c r="C62" i="15"/>
  <c r="C191" i="15" s="1"/>
  <c r="C59" i="15"/>
  <c r="C190" i="15" s="1"/>
  <c r="E62" i="15"/>
  <c r="E191" i="15" s="1"/>
  <c r="D86" i="15"/>
  <c r="D196" i="15" s="1"/>
  <c r="C75" i="15"/>
  <c r="C194" i="15" s="1"/>
  <c r="D71" i="15"/>
  <c r="D193" i="15" s="1"/>
  <c r="C80" i="15"/>
  <c r="C195" i="15" s="1"/>
  <c r="E91" i="15"/>
  <c r="E197" i="15" s="1"/>
  <c r="E66" i="15"/>
  <c r="E192" i="15" s="1"/>
  <c r="E59" i="15"/>
  <c r="E190" i="15" s="1"/>
  <c r="F70" i="15"/>
  <c r="F87" i="15"/>
  <c r="F81" i="15"/>
  <c r="B75" i="15"/>
  <c r="B194" i="15" s="1"/>
  <c r="D80" i="15"/>
  <c r="D195" i="15" s="1"/>
  <c r="E75" i="15"/>
  <c r="E194" i="15" s="1"/>
  <c r="F83" i="15"/>
  <c r="E55" i="15"/>
  <c r="E189" i="15" s="1"/>
  <c r="F73" i="15"/>
  <c r="F64" i="15"/>
  <c r="F56" i="15"/>
  <c r="F72" i="15"/>
  <c r="F74" i="15"/>
  <c r="F54" i="15"/>
  <c r="E80" i="15"/>
  <c r="E195" i="15" s="1"/>
  <c r="F77" i="15"/>
  <c r="D75" i="15"/>
  <c r="D194" i="15" s="1"/>
  <c r="C91" i="15"/>
  <c r="C197" i="15" s="1"/>
  <c r="F67" i="15"/>
  <c r="F58" i="15"/>
  <c r="F90" i="15"/>
  <c r="C55" i="15"/>
  <c r="C189" i="15" s="1"/>
  <c r="F76" i="15"/>
  <c r="AA55" i="15"/>
  <c r="F68" i="15"/>
  <c r="F57" i="15"/>
  <c r="F65" i="15"/>
  <c r="D91" i="15"/>
  <c r="D197" i="15" s="1"/>
  <c r="F88" i="15"/>
  <c r="B62" i="15"/>
  <c r="B191" i="15" s="1"/>
  <c r="D59" i="15"/>
  <c r="D190" i="15" s="1"/>
  <c r="F53" i="15"/>
  <c r="F79" i="15"/>
  <c r="B86" i="15"/>
  <c r="B196" i="15" s="1"/>
  <c r="D66" i="15"/>
  <c r="D192" i="15" s="1"/>
  <c r="F89" i="15"/>
  <c r="F52" i="15"/>
  <c r="E86" i="15"/>
  <c r="E196" i="15" s="1"/>
  <c r="F78" i="15"/>
  <c r="F69" i="15"/>
  <c r="C66" i="15"/>
  <c r="C192" i="15" s="1"/>
  <c r="B91" i="15"/>
  <c r="B197" i="15" s="1"/>
  <c r="B55" i="15"/>
  <c r="B189" i="15" s="1"/>
  <c r="F60" i="15"/>
  <c r="F85" i="15"/>
  <c r="C86" i="15"/>
  <c r="C196" i="15" s="1"/>
  <c r="E71" i="15"/>
  <c r="E193" i="15" s="1"/>
  <c r="C71" i="15"/>
  <c r="C193" i="15" s="1"/>
  <c r="M152" i="15"/>
  <c r="B59" i="15"/>
  <c r="B190" i="15" s="1"/>
  <c r="B71" i="15"/>
  <c r="B193" i="15" s="1"/>
  <c r="B80" i="15"/>
  <c r="B195" i="15" s="1"/>
  <c r="F51" i="15"/>
  <c r="D62" i="15"/>
  <c r="D191" i="15" s="1"/>
  <c r="D216" i="15"/>
  <c r="T105" i="15"/>
  <c r="Y199" i="15"/>
  <c r="F136" i="15"/>
  <c r="F82" i="15"/>
  <c r="M102" i="15"/>
  <c r="R199" i="15"/>
  <c r="T112" i="15"/>
  <c r="F84" i="15"/>
  <c r="F63" i="15"/>
  <c r="Y198" i="15"/>
  <c r="M125" i="15"/>
  <c r="Z233" i="15"/>
  <c r="R198" i="15"/>
  <c r="R216" i="15"/>
  <c r="Z198" i="15"/>
  <c r="I212" i="15"/>
  <c r="Y215" i="15"/>
  <c r="C215" i="15"/>
  <c r="AA80" i="15"/>
  <c r="F61" i="15"/>
  <c r="J199" i="15"/>
  <c r="E216" i="15"/>
  <c r="E215" i="15"/>
  <c r="X216" i="15"/>
  <c r="D215" i="15"/>
  <c r="T75" i="15"/>
  <c r="B66" i="15"/>
  <c r="B192" i="15" s="1"/>
  <c r="D55" i="15"/>
  <c r="D189" i="15" s="1"/>
  <c r="Z232" i="15"/>
  <c r="AA66" i="15"/>
  <c r="R232" i="15"/>
  <c r="M112" i="15"/>
  <c r="R215" i="15"/>
  <c r="M149" i="15"/>
  <c r="X232" i="15"/>
  <c r="X215" i="15"/>
  <c r="Z199" i="15"/>
  <c r="L199" i="15"/>
  <c r="X233" i="15"/>
  <c r="S233" i="15"/>
  <c r="L215" i="15"/>
  <c r="L233" i="15"/>
  <c r="K233" i="15"/>
  <c r="K198" i="15"/>
  <c r="P193" i="15"/>
  <c r="T71" i="15"/>
  <c r="Q189" i="15"/>
  <c r="T55" i="15"/>
  <c r="W224" i="15"/>
  <c r="AA149" i="15"/>
  <c r="W208" i="15"/>
  <c r="AA108" i="15"/>
  <c r="Z215" i="15"/>
  <c r="Z216" i="15"/>
  <c r="T108" i="15"/>
  <c r="X198" i="15"/>
  <c r="X199" i="15"/>
  <c r="W212" i="15"/>
  <c r="AA125" i="15"/>
  <c r="I194" i="15"/>
  <c r="M75" i="15"/>
  <c r="P196" i="15"/>
  <c r="T86" i="15"/>
  <c r="B212" i="15"/>
  <c r="F125" i="15"/>
  <c r="P197" i="15"/>
  <c r="T91" i="15"/>
  <c r="Y216" i="15"/>
  <c r="K199" i="15"/>
  <c r="I213" i="15"/>
  <c r="M131" i="15"/>
  <c r="W231" i="15"/>
  <c r="AA180" i="15"/>
  <c r="L216" i="15"/>
  <c r="I214" i="15"/>
  <c r="M136" i="15"/>
  <c r="P225" i="15"/>
  <c r="T152" i="15"/>
  <c r="I211" i="15"/>
  <c r="M120" i="15"/>
  <c r="T164" i="15"/>
  <c r="B206" i="15"/>
  <c r="F102" i="15"/>
  <c r="R233" i="15"/>
  <c r="W191" i="15"/>
  <c r="AA62" i="15"/>
  <c r="B210" i="15"/>
  <c r="F116" i="15"/>
  <c r="W226" i="15"/>
  <c r="AA155" i="15"/>
  <c r="J198" i="15"/>
  <c r="AA59" i="15"/>
  <c r="P190" i="15"/>
  <c r="T59" i="15"/>
  <c r="P191" i="15"/>
  <c r="T62" i="15"/>
  <c r="K232" i="15"/>
  <c r="M146" i="15"/>
  <c r="I190" i="15"/>
  <c r="M59" i="15"/>
  <c r="I226" i="15"/>
  <c r="M155" i="15"/>
  <c r="I191" i="15"/>
  <c r="M62" i="15"/>
  <c r="I195" i="15"/>
  <c r="M80" i="15"/>
  <c r="W225" i="15"/>
  <c r="AA152" i="15"/>
  <c r="C216" i="15"/>
  <c r="I192" i="15"/>
  <c r="M66" i="15"/>
  <c r="W194" i="15"/>
  <c r="AA75" i="15"/>
  <c r="P226" i="15"/>
  <c r="T155" i="15"/>
  <c r="W210" i="15"/>
  <c r="AA116" i="15"/>
  <c r="P214" i="15"/>
  <c r="T136" i="15"/>
  <c r="P231" i="15"/>
  <c r="T180" i="15"/>
  <c r="M180" i="15"/>
  <c r="I231" i="15"/>
  <c r="P210" i="15"/>
  <c r="T116" i="15"/>
  <c r="W223" i="15"/>
  <c r="AA146" i="15"/>
  <c r="T175" i="15"/>
  <c r="P230" i="15"/>
  <c r="P213" i="15"/>
  <c r="T131" i="15"/>
  <c r="I193" i="15"/>
  <c r="M71" i="15"/>
  <c r="I229" i="15"/>
  <c r="M169" i="15"/>
  <c r="Q216" i="15"/>
  <c r="Q215" i="15"/>
  <c r="M105" i="15"/>
  <c r="W211" i="15"/>
  <c r="AA120" i="15"/>
  <c r="S216" i="15"/>
  <c r="S215" i="15"/>
  <c r="L198" i="15"/>
  <c r="W229" i="15"/>
  <c r="AA169" i="15"/>
  <c r="S232" i="15"/>
  <c r="L232" i="15"/>
  <c r="J208" i="15"/>
  <c r="M108" i="15"/>
  <c r="W227" i="15"/>
  <c r="AA160" i="15"/>
  <c r="Q233" i="15"/>
  <c r="Q232" i="15"/>
  <c r="W197" i="15"/>
  <c r="AA91" i="15"/>
  <c r="W230" i="15"/>
  <c r="AA175" i="15"/>
  <c r="P223" i="15"/>
  <c r="T146" i="15"/>
  <c r="B208" i="15"/>
  <c r="F108" i="15"/>
  <c r="W213" i="15"/>
  <c r="AA131" i="15"/>
  <c r="P195" i="15"/>
  <c r="T80" i="15"/>
  <c r="P211" i="15"/>
  <c r="T120" i="15"/>
  <c r="T169" i="15"/>
  <c r="P229" i="15"/>
  <c r="AA164" i="15"/>
  <c r="W228" i="15"/>
  <c r="I197" i="15"/>
  <c r="M91" i="15"/>
  <c r="P206" i="15"/>
  <c r="T102" i="15"/>
  <c r="B207" i="15"/>
  <c r="F105" i="15"/>
  <c r="M86" i="15"/>
  <c r="I210" i="15"/>
  <c r="M116" i="15"/>
  <c r="P224" i="15"/>
  <c r="T149" i="15"/>
  <c r="P192" i="15"/>
  <c r="T66" i="15"/>
  <c r="B213" i="15"/>
  <c r="F131" i="15"/>
  <c r="K215" i="15"/>
  <c r="K216" i="15"/>
  <c r="B211" i="15"/>
  <c r="F120" i="15"/>
  <c r="B209" i="15"/>
  <c r="F112" i="15"/>
  <c r="J233" i="15"/>
  <c r="J232" i="15"/>
  <c r="I189" i="15"/>
  <c r="M55" i="15"/>
  <c r="W196" i="15"/>
  <c r="AA86" i="15"/>
  <c r="I228" i="15"/>
  <c r="M164" i="15"/>
  <c r="W214" i="15"/>
  <c r="AA136" i="15"/>
  <c r="W207" i="15"/>
  <c r="AA105" i="15"/>
  <c r="Y232" i="15"/>
  <c r="Y233" i="15"/>
  <c r="I230" i="15"/>
  <c r="M175" i="15"/>
  <c r="W209" i="15"/>
  <c r="AA112" i="15"/>
  <c r="AA71" i="15"/>
  <c r="P227" i="15"/>
  <c r="T160" i="15"/>
  <c r="W206" i="15"/>
  <c r="AA102" i="15"/>
  <c r="S199" i="15"/>
  <c r="S198" i="15"/>
  <c r="M160" i="15"/>
  <c r="P212" i="15"/>
  <c r="T125" i="15"/>
  <c r="I157" i="10"/>
  <c r="Q151" i="10"/>
  <c r="P151" i="10"/>
  <c r="I153" i="10"/>
  <c r="Q162" i="10"/>
  <c r="Q174" i="10"/>
  <c r="Q185" i="10"/>
  <c r="Q163" i="10"/>
  <c r="Q175" i="10"/>
  <c r="Q186" i="10"/>
  <c r="R163" i="10"/>
  <c r="R175" i="10"/>
  <c r="R186" i="10"/>
  <c r="P166" i="10"/>
  <c r="P177" i="10"/>
  <c r="P188" i="10"/>
  <c r="Q153" i="10"/>
  <c r="Q177" i="10"/>
  <c r="Q188" i="10"/>
  <c r="S152" i="10"/>
  <c r="Q166" i="10"/>
  <c r="Q154" i="10"/>
  <c r="Q167" i="10"/>
  <c r="Q179" i="10"/>
  <c r="R154" i="10"/>
  <c r="R167" i="10"/>
  <c r="R179" i="10"/>
  <c r="P157" i="10"/>
  <c r="P170" i="10"/>
  <c r="P181" i="10"/>
  <c r="Q157" i="10"/>
  <c r="Q170" i="10"/>
  <c r="Q181" i="10"/>
  <c r="Q159" i="10"/>
  <c r="Q171" i="10"/>
  <c r="Q182" i="10"/>
  <c r="R159" i="10"/>
  <c r="R171" i="10"/>
  <c r="R182" i="10"/>
  <c r="P162" i="10"/>
  <c r="P174" i="10"/>
  <c r="P185" i="10"/>
  <c r="I170" i="10"/>
  <c r="J177" i="10"/>
  <c r="K151" i="10"/>
  <c r="K154" i="10"/>
  <c r="K159" i="10"/>
  <c r="K163" i="10"/>
  <c r="K167" i="10"/>
  <c r="K171" i="10"/>
  <c r="K175" i="10"/>
  <c r="K179" i="10"/>
  <c r="K182" i="10"/>
  <c r="K186" i="10"/>
  <c r="R152" i="10"/>
  <c r="S156" i="10"/>
  <c r="S160" i="10"/>
  <c r="S165" i="10"/>
  <c r="S168" i="10"/>
  <c r="S172" i="10"/>
  <c r="S176" i="10"/>
  <c r="S180" i="10"/>
  <c r="S183" i="10"/>
  <c r="S187" i="10"/>
  <c r="I177" i="10"/>
  <c r="L151" i="10"/>
  <c r="L171" i="10"/>
  <c r="L154" i="10"/>
  <c r="L163" i="10"/>
  <c r="L175" i="10"/>
  <c r="L182" i="10"/>
  <c r="J156" i="10"/>
  <c r="J160" i="10"/>
  <c r="J165" i="10"/>
  <c r="J168" i="10"/>
  <c r="J172" i="10"/>
  <c r="J176" i="10"/>
  <c r="J180" i="10"/>
  <c r="J183" i="10"/>
  <c r="J187" i="10"/>
  <c r="R153" i="10"/>
  <c r="R157" i="10"/>
  <c r="R162" i="10"/>
  <c r="R166" i="10"/>
  <c r="R170" i="10"/>
  <c r="R174" i="10"/>
  <c r="R177" i="10"/>
  <c r="R181" i="10"/>
  <c r="R185" i="10"/>
  <c r="R188" i="10"/>
  <c r="L159" i="10"/>
  <c r="L167" i="10"/>
  <c r="L179" i="10"/>
  <c r="L186" i="10"/>
  <c r="I152" i="10"/>
  <c r="I160" i="10"/>
  <c r="I168" i="10"/>
  <c r="I176" i="10"/>
  <c r="I180" i="10"/>
  <c r="I183" i="10"/>
  <c r="I187" i="10"/>
  <c r="J152" i="10"/>
  <c r="K152" i="10"/>
  <c r="K156" i="10"/>
  <c r="K160" i="10"/>
  <c r="K165" i="10"/>
  <c r="K168" i="10"/>
  <c r="K172" i="10"/>
  <c r="K176" i="10"/>
  <c r="K180" i="10"/>
  <c r="K183" i="10"/>
  <c r="K187" i="10"/>
  <c r="S153" i="10"/>
  <c r="S157" i="10"/>
  <c r="S162" i="10"/>
  <c r="S166" i="10"/>
  <c r="S170" i="10"/>
  <c r="S174" i="10"/>
  <c r="S177" i="10"/>
  <c r="S181" i="10"/>
  <c r="S185" i="10"/>
  <c r="S188" i="10"/>
  <c r="I174" i="10"/>
  <c r="I156" i="10"/>
  <c r="I165" i="10"/>
  <c r="I172" i="10"/>
  <c r="L152" i="10"/>
  <c r="L156" i="10"/>
  <c r="L160" i="10"/>
  <c r="L165" i="10"/>
  <c r="L168" i="10"/>
  <c r="L172" i="10"/>
  <c r="L176" i="10"/>
  <c r="L180" i="10"/>
  <c r="L183" i="10"/>
  <c r="L187" i="10"/>
  <c r="P154" i="10"/>
  <c r="P159" i="10"/>
  <c r="P163" i="10"/>
  <c r="P167" i="10"/>
  <c r="P171" i="10"/>
  <c r="P175" i="10"/>
  <c r="P179" i="10"/>
  <c r="P182" i="10"/>
  <c r="P186" i="10"/>
  <c r="P153" i="10"/>
  <c r="J162" i="10"/>
  <c r="J174" i="10"/>
  <c r="K153" i="10"/>
  <c r="K157" i="10"/>
  <c r="K162" i="10"/>
  <c r="K166" i="10"/>
  <c r="K170" i="10"/>
  <c r="K174" i="10"/>
  <c r="K177" i="10"/>
  <c r="K181" i="10"/>
  <c r="K185" i="10"/>
  <c r="R151" i="10"/>
  <c r="S154" i="10"/>
  <c r="S159" i="10"/>
  <c r="S163" i="10"/>
  <c r="S167" i="10"/>
  <c r="S171" i="10"/>
  <c r="S175" i="10"/>
  <c r="S179" i="10"/>
  <c r="S182" i="10"/>
  <c r="S186" i="10"/>
  <c r="I166" i="10"/>
  <c r="I185" i="10"/>
  <c r="J153" i="10"/>
  <c r="J166" i="10"/>
  <c r="J181" i="10"/>
  <c r="L153" i="10"/>
  <c r="L157" i="10"/>
  <c r="L162" i="10"/>
  <c r="L166" i="10"/>
  <c r="L170" i="10"/>
  <c r="L174" i="10"/>
  <c r="L177" i="10"/>
  <c r="L181" i="10"/>
  <c r="L185" i="10"/>
  <c r="S151" i="10"/>
  <c r="P156" i="10"/>
  <c r="P160" i="10"/>
  <c r="P165" i="10"/>
  <c r="P168" i="10"/>
  <c r="P172" i="10"/>
  <c r="P176" i="10"/>
  <c r="P180" i="10"/>
  <c r="P183" i="10"/>
  <c r="P187" i="10"/>
  <c r="I228" i="10"/>
  <c r="B149" i="10"/>
  <c r="B228" i="10" s="1"/>
  <c r="I151" i="10"/>
  <c r="I154" i="10"/>
  <c r="I159" i="10"/>
  <c r="I163" i="10"/>
  <c r="I167" i="10"/>
  <c r="I171" i="10"/>
  <c r="I175" i="10"/>
  <c r="I179" i="10"/>
  <c r="I182" i="10"/>
  <c r="I186" i="10"/>
  <c r="P152" i="10"/>
  <c r="Q156" i="10"/>
  <c r="Q160" i="10"/>
  <c r="Q165" i="10"/>
  <c r="Q168" i="10"/>
  <c r="Q172" i="10"/>
  <c r="Q176" i="10"/>
  <c r="Q180" i="10"/>
  <c r="Q183" i="10"/>
  <c r="Q187" i="10"/>
  <c r="I162" i="10"/>
  <c r="I181" i="10"/>
  <c r="J157" i="10"/>
  <c r="J170" i="10"/>
  <c r="J185" i="10"/>
  <c r="J151" i="10"/>
  <c r="J154" i="10"/>
  <c r="J159" i="10"/>
  <c r="J163" i="10"/>
  <c r="J167" i="10"/>
  <c r="J171" i="10"/>
  <c r="J175" i="10"/>
  <c r="J179" i="10"/>
  <c r="J182" i="10"/>
  <c r="J186" i="10"/>
  <c r="Q152" i="10"/>
  <c r="R156" i="10"/>
  <c r="R160" i="10"/>
  <c r="R165" i="10"/>
  <c r="R168" i="10"/>
  <c r="R172" i="10"/>
  <c r="R176" i="10"/>
  <c r="R180" i="10"/>
  <c r="R183" i="10"/>
  <c r="R187" i="10"/>
  <c r="I188" i="10"/>
  <c r="J188" i="10"/>
  <c r="K188" i="10"/>
  <c r="K82" i="11"/>
  <c r="L81" i="11"/>
  <c r="L80" i="11"/>
  <c r="L79" i="11"/>
  <c r="C33" i="11"/>
  <c r="F62" i="11" s="1"/>
  <c r="B256" i="13"/>
  <c r="X221" i="13"/>
  <c r="W221" i="13"/>
  <c r="Q221" i="13"/>
  <c r="P221" i="13"/>
  <c r="J221" i="13"/>
  <c r="I221" i="13"/>
  <c r="C221" i="13"/>
  <c r="B221" i="13"/>
  <c r="E216" i="13"/>
  <c r="D216" i="13"/>
  <c r="C216" i="13"/>
  <c r="B216" i="13"/>
  <c r="E215" i="13"/>
  <c r="D215" i="13"/>
  <c r="C215" i="13"/>
  <c r="B215" i="13"/>
  <c r="E214" i="13"/>
  <c r="D214" i="13"/>
  <c r="C214" i="13"/>
  <c r="B214" i="13"/>
  <c r="E213" i="13"/>
  <c r="D213" i="13"/>
  <c r="C213" i="13"/>
  <c r="B213" i="13"/>
  <c r="E211" i="13"/>
  <c r="D211" i="13"/>
  <c r="C211" i="13"/>
  <c r="B211" i="13"/>
  <c r="E210" i="13"/>
  <c r="D210" i="13"/>
  <c r="C210" i="13"/>
  <c r="B210" i="13"/>
  <c r="E209" i="13"/>
  <c r="D209" i="13"/>
  <c r="C209" i="13"/>
  <c r="B209" i="13"/>
  <c r="E208" i="13"/>
  <c r="D208" i="13"/>
  <c r="C208" i="13"/>
  <c r="B208" i="13"/>
  <c r="E207" i="13"/>
  <c r="D207" i="13"/>
  <c r="C207" i="13"/>
  <c r="B207" i="13"/>
  <c r="E205" i="13"/>
  <c r="D205" i="13"/>
  <c r="C205" i="13"/>
  <c r="B205" i="13"/>
  <c r="E204" i="13"/>
  <c r="D204" i="13"/>
  <c r="C204" i="13"/>
  <c r="B204" i="13"/>
  <c r="E203" i="13"/>
  <c r="D203" i="13"/>
  <c r="C203" i="13"/>
  <c r="B203" i="13"/>
  <c r="E202" i="13"/>
  <c r="D202" i="13"/>
  <c r="C202" i="13"/>
  <c r="B202" i="13"/>
  <c r="E200" i="13"/>
  <c r="D200" i="13"/>
  <c r="C200" i="13"/>
  <c r="B200" i="13"/>
  <c r="E199" i="13"/>
  <c r="D199" i="13"/>
  <c r="C199" i="13"/>
  <c r="B199" i="13"/>
  <c r="E198" i="13"/>
  <c r="D198" i="13"/>
  <c r="C198" i="13"/>
  <c r="B198" i="13"/>
  <c r="E196" i="13"/>
  <c r="D196" i="13"/>
  <c r="C196" i="13"/>
  <c r="B196" i="13"/>
  <c r="E195" i="13"/>
  <c r="D195" i="13"/>
  <c r="C195" i="13"/>
  <c r="B195" i="13"/>
  <c r="E194" i="13"/>
  <c r="D194" i="13"/>
  <c r="C194" i="13"/>
  <c r="B194" i="13"/>
  <c r="E193" i="13"/>
  <c r="D193" i="13"/>
  <c r="C193" i="13"/>
  <c r="B193" i="13"/>
  <c r="E191" i="13"/>
  <c r="D191" i="13"/>
  <c r="C191" i="13"/>
  <c r="B191" i="13"/>
  <c r="E190" i="13"/>
  <c r="D190" i="13"/>
  <c r="C190" i="13"/>
  <c r="B190" i="13"/>
  <c r="E188" i="13"/>
  <c r="D188" i="13"/>
  <c r="C188" i="13"/>
  <c r="B188" i="13"/>
  <c r="E187" i="13"/>
  <c r="D187" i="13"/>
  <c r="C187" i="13"/>
  <c r="B187" i="13"/>
  <c r="E185" i="13"/>
  <c r="D185" i="13"/>
  <c r="C185" i="13"/>
  <c r="B185" i="13"/>
  <c r="E184" i="13"/>
  <c r="D184" i="13"/>
  <c r="C184" i="13"/>
  <c r="B184" i="13"/>
  <c r="E182" i="13"/>
  <c r="D182" i="13"/>
  <c r="C182" i="13"/>
  <c r="B182" i="13"/>
  <c r="E181" i="13"/>
  <c r="D181" i="13"/>
  <c r="C181" i="13"/>
  <c r="B181" i="13"/>
  <c r="E180" i="13"/>
  <c r="D180" i="13"/>
  <c r="C180" i="13"/>
  <c r="B180" i="13"/>
  <c r="E179" i="13"/>
  <c r="D179" i="13"/>
  <c r="C179" i="13"/>
  <c r="B179" i="13"/>
  <c r="W177" i="13"/>
  <c r="X210" i="13" s="1"/>
  <c r="P177" i="13"/>
  <c r="I177" i="13"/>
  <c r="I202" i="13" s="1"/>
  <c r="W132" i="13"/>
  <c r="Y147" i="13" s="1"/>
  <c r="P132" i="13"/>
  <c r="R160" i="13" s="1"/>
  <c r="I132" i="13"/>
  <c r="I158" i="13" s="1"/>
  <c r="B132" i="13"/>
  <c r="D160" i="13" s="1"/>
  <c r="W86" i="13"/>
  <c r="Y95" i="13" s="1"/>
  <c r="P86" i="13"/>
  <c r="P91" i="13" s="1"/>
  <c r="I86" i="13"/>
  <c r="K116" i="13" s="1"/>
  <c r="J210" i="10"/>
  <c r="I210" i="10"/>
  <c r="X193" i="10"/>
  <c r="W193" i="10"/>
  <c r="Q193" i="10"/>
  <c r="P193" i="10"/>
  <c r="J193" i="10"/>
  <c r="I193" i="10"/>
  <c r="C193" i="10"/>
  <c r="B193" i="10"/>
  <c r="F188" i="10"/>
  <c r="F187" i="10"/>
  <c r="F186" i="10"/>
  <c r="F185" i="10"/>
  <c r="E189" i="10"/>
  <c r="E240" i="10" s="1"/>
  <c r="D189" i="10"/>
  <c r="D240" i="10" s="1"/>
  <c r="C189" i="10"/>
  <c r="C240" i="10" s="1"/>
  <c r="B189" i="10"/>
  <c r="F183" i="10"/>
  <c r="F182" i="10"/>
  <c r="F181" i="10"/>
  <c r="E184" i="10"/>
  <c r="E239" i="10" s="1"/>
  <c r="D184" i="10"/>
  <c r="D239" i="10" s="1"/>
  <c r="C184" i="10"/>
  <c r="C239" i="10" s="1"/>
  <c r="B184" i="10"/>
  <c r="F179" i="10"/>
  <c r="F177" i="10"/>
  <c r="F176" i="10"/>
  <c r="F175" i="10"/>
  <c r="F174" i="10"/>
  <c r="E178" i="10"/>
  <c r="E238" i="10" s="1"/>
  <c r="D178" i="10"/>
  <c r="D238" i="10" s="1"/>
  <c r="C178" i="10"/>
  <c r="C238" i="10" s="1"/>
  <c r="B178" i="10"/>
  <c r="F172" i="10"/>
  <c r="E173" i="10"/>
  <c r="E237" i="10" s="1"/>
  <c r="D173" i="10"/>
  <c r="D237" i="10" s="1"/>
  <c r="C173" i="10"/>
  <c r="C237" i="10" s="1"/>
  <c r="F171" i="10"/>
  <c r="B173" i="10"/>
  <c r="F168" i="10"/>
  <c r="F167" i="10"/>
  <c r="F166" i="10"/>
  <c r="F165" i="10"/>
  <c r="E169" i="10"/>
  <c r="E236" i="10" s="1"/>
  <c r="D169" i="10"/>
  <c r="D236" i="10" s="1"/>
  <c r="C169" i="10"/>
  <c r="C236" i="10" s="1"/>
  <c r="B169" i="10"/>
  <c r="F163" i="10"/>
  <c r="E164" i="10"/>
  <c r="E235" i="10" s="1"/>
  <c r="D164" i="10"/>
  <c r="D235" i="10" s="1"/>
  <c r="C164" i="10"/>
  <c r="C235" i="10" s="1"/>
  <c r="B164" i="10"/>
  <c r="F160" i="10"/>
  <c r="E161" i="10"/>
  <c r="E234" i="10" s="1"/>
  <c r="D161" i="10"/>
  <c r="D234" i="10" s="1"/>
  <c r="C161" i="10"/>
  <c r="C234" i="10" s="1"/>
  <c r="F159" i="10"/>
  <c r="F157" i="10"/>
  <c r="E158" i="10"/>
  <c r="E233" i="10" s="1"/>
  <c r="D158" i="10"/>
  <c r="D233" i="10" s="1"/>
  <c r="C158" i="10"/>
  <c r="C233" i="10" s="1"/>
  <c r="B158" i="10"/>
  <c r="F154" i="10"/>
  <c r="F153" i="10"/>
  <c r="F152" i="10"/>
  <c r="F151" i="10"/>
  <c r="E155" i="10"/>
  <c r="E232" i="10" s="1"/>
  <c r="D155" i="10"/>
  <c r="D232" i="10" s="1"/>
  <c r="C155" i="10"/>
  <c r="C232" i="10" s="1"/>
  <c r="B155" i="10"/>
  <c r="B232" i="10" s="1"/>
  <c r="W104" i="10"/>
  <c r="Y144" i="10" s="1"/>
  <c r="P104" i="10"/>
  <c r="R143" i="10" s="1"/>
  <c r="I104" i="10"/>
  <c r="K142" i="10" s="1"/>
  <c r="W58" i="10"/>
  <c r="W92" i="10" s="1"/>
  <c r="P58" i="10"/>
  <c r="R99" i="10" s="1"/>
  <c r="I58" i="10"/>
  <c r="K86" i="10" s="1"/>
  <c r="C276" i="8"/>
  <c r="C275" i="8"/>
  <c r="C234" i="8"/>
  <c r="F270" i="8" s="1"/>
  <c r="C214" i="8"/>
  <c r="C213" i="8"/>
  <c r="C172" i="8"/>
  <c r="C151" i="8"/>
  <c r="C109" i="8"/>
  <c r="C152" i="8" s="1"/>
  <c r="BN89" i="8"/>
  <c r="BG89" i="8"/>
  <c r="AZ89" i="8"/>
  <c r="AS89" i="8"/>
  <c r="AL89" i="8"/>
  <c r="AE89" i="8"/>
  <c r="X89" i="8"/>
  <c r="Q89" i="8"/>
  <c r="J89" i="8"/>
  <c r="BN88" i="8"/>
  <c r="BG88" i="8"/>
  <c r="AZ88" i="8"/>
  <c r="AS88" i="8"/>
  <c r="AL88" i="8"/>
  <c r="AE88" i="8"/>
  <c r="X88" i="8"/>
  <c r="Q88" i="8"/>
  <c r="J88" i="8"/>
  <c r="BN47" i="8"/>
  <c r="BN61" i="8" s="1"/>
  <c r="BG47" i="8"/>
  <c r="BH56" i="8" s="1"/>
  <c r="AZ47" i="8"/>
  <c r="AS47" i="8"/>
  <c r="AV52" i="8" s="1"/>
  <c r="AL47" i="8"/>
  <c r="AO68" i="8" s="1"/>
  <c r="AE47" i="8"/>
  <c r="AH64" i="8" s="1"/>
  <c r="X47" i="8"/>
  <c r="Z59" i="8" s="1"/>
  <c r="Q47" i="8"/>
  <c r="R71" i="8" s="1"/>
  <c r="J47" i="8"/>
  <c r="C47" i="8"/>
  <c r="E50" i="8" s="1"/>
  <c r="C270" i="6"/>
  <c r="C269" i="6"/>
  <c r="C228" i="6"/>
  <c r="C265" i="6" s="1"/>
  <c r="G265" i="6" s="1"/>
  <c r="C208" i="6"/>
  <c r="C207" i="6"/>
  <c r="C166" i="6"/>
  <c r="C209" i="6" s="1"/>
  <c r="C146" i="6"/>
  <c r="C145" i="6"/>
  <c r="C104" i="6"/>
  <c r="E133" i="6" s="1"/>
  <c r="C86" i="6"/>
  <c r="BG85" i="6"/>
  <c r="AZ85" i="6"/>
  <c r="AS85" i="6"/>
  <c r="AL85" i="6"/>
  <c r="AE85" i="6"/>
  <c r="X85" i="6"/>
  <c r="Q85" i="6"/>
  <c r="J85" i="6"/>
  <c r="BG84" i="6"/>
  <c r="AZ84" i="6"/>
  <c r="AS84" i="6"/>
  <c r="AL84" i="6"/>
  <c r="AE84" i="6"/>
  <c r="X84" i="6"/>
  <c r="Q84" i="6"/>
  <c r="J84" i="6"/>
  <c r="BG43" i="6"/>
  <c r="BG72" i="6" s="1"/>
  <c r="AZ43" i="6"/>
  <c r="AZ75" i="6" s="1"/>
  <c r="AS43" i="6"/>
  <c r="AU61" i="6" s="1"/>
  <c r="AL43" i="6"/>
  <c r="AO75" i="6" s="1"/>
  <c r="AE43" i="6"/>
  <c r="AG55" i="6" s="1"/>
  <c r="X43" i="6"/>
  <c r="Y78" i="6" s="1"/>
  <c r="Q43" i="6"/>
  <c r="T55" i="6" s="1"/>
  <c r="J43" i="6"/>
  <c r="K73" i="6" s="1"/>
  <c r="C43" i="6"/>
  <c r="E48" i="6" s="1"/>
  <c r="C244" i="5"/>
  <c r="C243" i="5"/>
  <c r="C202" i="5"/>
  <c r="D235" i="5" s="1"/>
  <c r="C182" i="5"/>
  <c r="C181" i="5"/>
  <c r="C140" i="5"/>
  <c r="D175" i="5" s="1"/>
  <c r="C120" i="5"/>
  <c r="C119" i="5"/>
  <c r="C78" i="5"/>
  <c r="F116" i="5" s="1"/>
  <c r="C58" i="5"/>
  <c r="AS57" i="5"/>
  <c r="AL57" i="5"/>
  <c r="AE57" i="5"/>
  <c r="X57" i="5"/>
  <c r="Q57" i="5"/>
  <c r="J57" i="5"/>
  <c r="AS56" i="5"/>
  <c r="AL56" i="5"/>
  <c r="AE56" i="5"/>
  <c r="X56" i="5"/>
  <c r="Q56" i="5"/>
  <c r="J56" i="5"/>
  <c r="AS15" i="5"/>
  <c r="AT24" i="5" s="1"/>
  <c r="AL15" i="5"/>
  <c r="AN30" i="5" s="1"/>
  <c r="AE15" i="5"/>
  <c r="X15" i="5"/>
  <c r="Q15" i="5"/>
  <c r="R29" i="5" s="1"/>
  <c r="J15" i="5"/>
  <c r="L24" i="5" s="1"/>
  <c r="C15" i="5"/>
  <c r="F17" i="5" s="1"/>
  <c r="C294" i="3"/>
  <c r="C293" i="3"/>
  <c r="C252" i="3"/>
  <c r="F290" i="3" s="1"/>
  <c r="C232" i="3"/>
  <c r="C231" i="3"/>
  <c r="C190" i="3"/>
  <c r="D228" i="3" s="1"/>
  <c r="C170" i="3"/>
  <c r="C169" i="3"/>
  <c r="C128" i="3"/>
  <c r="C166" i="3" s="1"/>
  <c r="C108" i="3"/>
  <c r="AS107" i="3"/>
  <c r="AL107" i="3"/>
  <c r="AE107" i="3"/>
  <c r="X107" i="3"/>
  <c r="Q107" i="3"/>
  <c r="J107" i="3"/>
  <c r="AS106" i="3"/>
  <c r="AL106" i="3"/>
  <c r="AE106" i="3"/>
  <c r="X106" i="3"/>
  <c r="Q106" i="3"/>
  <c r="J106" i="3"/>
  <c r="AS65" i="3"/>
  <c r="AS108" i="3" s="1"/>
  <c r="AL65" i="3"/>
  <c r="AN82" i="3" s="1"/>
  <c r="AE65" i="3"/>
  <c r="AG70" i="3" s="1"/>
  <c r="X65" i="3"/>
  <c r="AA87" i="3" s="1"/>
  <c r="Q65" i="3"/>
  <c r="S95" i="3" s="1"/>
  <c r="J65" i="3"/>
  <c r="L80" i="3" s="1"/>
  <c r="C65" i="3"/>
  <c r="F101" i="3" s="1"/>
  <c r="C301" i="2"/>
  <c r="C300" i="2"/>
  <c r="C259" i="2"/>
  <c r="D297" i="2" s="1"/>
  <c r="C239" i="2"/>
  <c r="C238" i="2"/>
  <c r="C197" i="2"/>
  <c r="C230" i="2" s="1"/>
  <c r="C177" i="2"/>
  <c r="C176" i="2"/>
  <c r="C135" i="2"/>
  <c r="E170" i="2" s="1"/>
  <c r="C115" i="2"/>
  <c r="AS114" i="2"/>
  <c r="AL114" i="2"/>
  <c r="AE114" i="2"/>
  <c r="X114" i="2"/>
  <c r="Q114" i="2"/>
  <c r="J114" i="2"/>
  <c r="AS113" i="2"/>
  <c r="AL113" i="2"/>
  <c r="AE113" i="2"/>
  <c r="X113" i="2"/>
  <c r="Q113" i="2"/>
  <c r="J113" i="2"/>
  <c r="AS72" i="2"/>
  <c r="AS108" i="2" s="1"/>
  <c r="AL72" i="2"/>
  <c r="AO96" i="2" s="1"/>
  <c r="AE72" i="2"/>
  <c r="AH104" i="2" s="1"/>
  <c r="X72" i="2"/>
  <c r="X99" i="2" s="1"/>
  <c r="Q72" i="2"/>
  <c r="Q110" i="2" s="1"/>
  <c r="J72" i="2"/>
  <c r="L108" i="2" s="1"/>
  <c r="C72" i="2"/>
  <c r="D109" i="2" s="1"/>
  <c r="S204" i="13" l="1"/>
  <c r="P179" i="13"/>
  <c r="E242" i="15"/>
  <c r="B237" i="17"/>
  <c r="B236" i="17"/>
  <c r="E244" i="15"/>
  <c r="E243" i="15"/>
  <c r="D243" i="15"/>
  <c r="C247" i="15"/>
  <c r="E248" i="15"/>
  <c r="E241" i="15"/>
  <c r="E240" i="15"/>
  <c r="C240" i="15"/>
  <c r="D242" i="15"/>
  <c r="C242" i="15"/>
  <c r="C246" i="15"/>
  <c r="D244" i="15"/>
  <c r="D241" i="15"/>
  <c r="C248" i="15"/>
  <c r="B231" i="15"/>
  <c r="B248" i="15" s="1"/>
  <c r="F180" i="15"/>
  <c r="C233" i="15"/>
  <c r="B225" i="15"/>
  <c r="B242" i="15" s="1"/>
  <c r="F152" i="15"/>
  <c r="B229" i="15"/>
  <c r="B246" i="15" s="1"/>
  <c r="F169" i="15"/>
  <c r="C245" i="15"/>
  <c r="C243" i="15"/>
  <c r="E245" i="15"/>
  <c r="D247" i="15"/>
  <c r="E233" i="15"/>
  <c r="E232" i="15"/>
  <c r="B230" i="15"/>
  <c r="B247" i="15" s="1"/>
  <c r="F175" i="15"/>
  <c r="D248" i="15"/>
  <c r="D245" i="15"/>
  <c r="D246" i="15"/>
  <c r="B223" i="15"/>
  <c r="B240" i="15" s="1"/>
  <c r="F146" i="15"/>
  <c r="B226" i="15"/>
  <c r="B243" i="15" s="1"/>
  <c r="F155" i="15"/>
  <c r="C241" i="15"/>
  <c r="B227" i="15"/>
  <c r="B244" i="15" s="1"/>
  <c r="F160" i="15"/>
  <c r="D232" i="15"/>
  <c r="D233" i="15"/>
  <c r="E247" i="15"/>
  <c r="E246" i="15"/>
  <c r="F149" i="15"/>
  <c r="B224" i="15"/>
  <c r="B241" i="15" s="1"/>
  <c r="D240" i="15"/>
  <c r="B228" i="15"/>
  <c r="B245" i="15" s="1"/>
  <c r="F164" i="15"/>
  <c r="C232" i="15"/>
  <c r="F59" i="15"/>
  <c r="F75" i="15"/>
  <c r="F80" i="15"/>
  <c r="D198" i="15"/>
  <c r="C198" i="15"/>
  <c r="F91" i="15"/>
  <c r="E198" i="15"/>
  <c r="F71" i="15"/>
  <c r="F86" i="15"/>
  <c r="E199" i="15"/>
  <c r="F55" i="15"/>
  <c r="F62" i="15"/>
  <c r="C244" i="15"/>
  <c r="C199" i="15"/>
  <c r="D199" i="15"/>
  <c r="F66" i="15"/>
  <c r="I216" i="15"/>
  <c r="W199" i="15"/>
  <c r="B199" i="15"/>
  <c r="W198" i="15"/>
  <c r="I232" i="15"/>
  <c r="W216" i="15"/>
  <c r="W215" i="15"/>
  <c r="I215" i="15"/>
  <c r="I198" i="15"/>
  <c r="I199" i="15"/>
  <c r="P216" i="15"/>
  <c r="P215" i="15"/>
  <c r="I233" i="15"/>
  <c r="B198" i="15"/>
  <c r="P198" i="15"/>
  <c r="P199" i="15"/>
  <c r="W233" i="15"/>
  <c r="W232" i="15"/>
  <c r="B216" i="15"/>
  <c r="B215" i="15"/>
  <c r="P233" i="15"/>
  <c r="P232" i="15"/>
  <c r="J215" i="15"/>
  <c r="J216" i="15"/>
  <c r="Q199" i="15"/>
  <c r="Q198" i="15"/>
  <c r="L83" i="8"/>
  <c r="K49" i="8"/>
  <c r="K51" i="8"/>
  <c r="K52" i="8"/>
  <c r="K50" i="8"/>
  <c r="K53" i="8"/>
  <c r="J161" i="10"/>
  <c r="J234" i="10" s="1"/>
  <c r="I158" i="10"/>
  <c r="I233" i="10" s="1"/>
  <c r="T151" i="10"/>
  <c r="M188" i="10"/>
  <c r="I161" i="10"/>
  <c r="I234" i="10" s="1"/>
  <c r="P164" i="10"/>
  <c r="P235" i="10" s="1"/>
  <c r="M157" i="10"/>
  <c r="L164" i="10"/>
  <c r="L235" i="10" s="1"/>
  <c r="L184" i="10"/>
  <c r="L239" i="10" s="1"/>
  <c r="K184" i="10"/>
  <c r="K239" i="10" s="1"/>
  <c r="R164" i="10"/>
  <c r="R235" i="10" s="1"/>
  <c r="C192" i="13"/>
  <c r="C263" i="13" s="1"/>
  <c r="J169" i="10"/>
  <c r="J236" i="10" s="1"/>
  <c r="D192" i="13"/>
  <c r="D263" i="13" s="1"/>
  <c r="J164" i="10"/>
  <c r="J235" i="10" s="1"/>
  <c r="C263" i="3"/>
  <c r="F276" i="3"/>
  <c r="D284" i="3"/>
  <c r="D260" i="3"/>
  <c r="M180" i="10"/>
  <c r="K140" i="13"/>
  <c r="L158" i="10"/>
  <c r="L233" i="10" s="1"/>
  <c r="K158" i="10"/>
  <c r="K233" i="10" s="1"/>
  <c r="S155" i="10"/>
  <c r="S232" i="10" s="1"/>
  <c r="Q164" i="10"/>
  <c r="Q235" i="10" s="1"/>
  <c r="M183" i="10"/>
  <c r="P158" i="10"/>
  <c r="P233" i="10" s="1"/>
  <c r="I140" i="13"/>
  <c r="F191" i="13"/>
  <c r="F199" i="13"/>
  <c r="I173" i="10"/>
  <c r="I237" i="10" s="1"/>
  <c r="Z74" i="2"/>
  <c r="W135" i="13"/>
  <c r="C81" i="5"/>
  <c r="Q173" i="10"/>
  <c r="Q237" i="10" s="1"/>
  <c r="C76" i="2"/>
  <c r="Y140" i="13"/>
  <c r="T167" i="10"/>
  <c r="T152" i="10"/>
  <c r="M166" i="10"/>
  <c r="E45" i="6"/>
  <c r="E68" i="8"/>
  <c r="E201" i="13"/>
  <c r="E265" i="13" s="1"/>
  <c r="J155" i="10"/>
  <c r="J232" i="10" s="1"/>
  <c r="E110" i="5"/>
  <c r="Y134" i="13"/>
  <c r="C131" i="6"/>
  <c r="F211" i="13"/>
  <c r="AS74" i="2"/>
  <c r="F164" i="2"/>
  <c r="D261" i="2"/>
  <c r="D267" i="3"/>
  <c r="M162" i="10"/>
  <c r="M174" i="10"/>
  <c r="M165" i="10"/>
  <c r="M154" i="10"/>
  <c r="K141" i="13"/>
  <c r="F202" i="13"/>
  <c r="F205" i="13"/>
  <c r="F216" i="13"/>
  <c r="M151" i="10"/>
  <c r="M152" i="10"/>
  <c r="AS77" i="2"/>
  <c r="AV80" i="2"/>
  <c r="E261" i="2"/>
  <c r="L155" i="10"/>
  <c r="L232" i="10" s="1"/>
  <c r="E201" i="2"/>
  <c r="C255" i="3"/>
  <c r="E86" i="5"/>
  <c r="E191" i="6"/>
  <c r="E265" i="2"/>
  <c r="D168" i="6"/>
  <c r="D173" i="6" s="1"/>
  <c r="D213" i="6" s="1"/>
  <c r="D222" i="6" s="1"/>
  <c r="D273" i="2"/>
  <c r="AT91" i="2"/>
  <c r="D209" i="2"/>
  <c r="F278" i="2"/>
  <c r="S67" i="3"/>
  <c r="D255" i="3"/>
  <c r="C89" i="5"/>
  <c r="E197" i="6"/>
  <c r="D268" i="2"/>
  <c r="C84" i="5"/>
  <c r="D84" i="5"/>
  <c r="F90" i="2"/>
  <c r="D97" i="2"/>
  <c r="C219" i="2"/>
  <c r="E288" i="2"/>
  <c r="Y71" i="3"/>
  <c r="E255" i="3"/>
  <c r="F93" i="5"/>
  <c r="I107" i="10"/>
  <c r="D81" i="2"/>
  <c r="AV101" i="2"/>
  <c r="F232" i="2"/>
  <c r="D296" i="2"/>
  <c r="AS76" i="3"/>
  <c r="F257" i="3"/>
  <c r="D95" i="5"/>
  <c r="E183" i="13"/>
  <c r="E260" i="13" s="1"/>
  <c r="E189" i="13"/>
  <c r="E262" i="13" s="1"/>
  <c r="C200" i="2"/>
  <c r="D181" i="6"/>
  <c r="D276" i="2"/>
  <c r="AT102" i="2"/>
  <c r="C260" i="3"/>
  <c r="D108" i="5"/>
  <c r="I137" i="13"/>
  <c r="B186" i="13"/>
  <c r="B261" i="13" s="1"/>
  <c r="M186" i="10"/>
  <c r="J158" i="10"/>
  <c r="J233" i="10" s="1"/>
  <c r="AS90" i="2"/>
  <c r="AS73" i="3"/>
  <c r="C113" i="5"/>
  <c r="C191" i="6"/>
  <c r="G191" i="6" s="1"/>
  <c r="D71" i="8"/>
  <c r="C135" i="13"/>
  <c r="F208" i="13"/>
  <c r="I184" i="10"/>
  <c r="I239" i="10" s="1"/>
  <c r="T177" i="10"/>
  <c r="I155" i="10"/>
  <c r="I232" i="10" s="1"/>
  <c r="K161" i="10"/>
  <c r="K234" i="10" s="1"/>
  <c r="E211" i="5"/>
  <c r="D196" i="6"/>
  <c r="J178" i="10"/>
  <c r="J238" i="10" s="1"/>
  <c r="Q189" i="10"/>
  <c r="Q240" i="10" s="1"/>
  <c r="M179" i="10"/>
  <c r="L173" i="10"/>
  <c r="L237" i="10" s="1"/>
  <c r="K173" i="10"/>
  <c r="K237" i="10" s="1"/>
  <c r="M175" i="10"/>
  <c r="M181" i="10"/>
  <c r="M171" i="10"/>
  <c r="K164" i="10"/>
  <c r="K235" i="10" s="1"/>
  <c r="L161" i="10"/>
  <c r="L234" i="10" s="1"/>
  <c r="F108" i="6"/>
  <c r="F168" i="6"/>
  <c r="F173" i="6" s="1"/>
  <c r="F213" i="6" s="1"/>
  <c r="F222" i="6" s="1"/>
  <c r="M172" i="10"/>
  <c r="J184" i="10"/>
  <c r="J239" i="10" s="1"/>
  <c r="F106" i="6"/>
  <c r="AT67" i="3"/>
  <c r="AU67" i="3"/>
  <c r="F158" i="5"/>
  <c r="Y45" i="6"/>
  <c r="D109" i="6"/>
  <c r="E169" i="6"/>
  <c r="S62" i="10"/>
  <c r="C186" i="13"/>
  <c r="C261" i="13" s="1"/>
  <c r="T168" i="10"/>
  <c r="I164" i="10"/>
  <c r="I235" i="10" s="1"/>
  <c r="M153" i="10"/>
  <c r="T154" i="10"/>
  <c r="I169" i="10"/>
  <c r="I236" i="10" s="1"/>
  <c r="M187" i="10"/>
  <c r="T185" i="10"/>
  <c r="M177" i="10"/>
  <c r="M182" i="10"/>
  <c r="T174" i="10"/>
  <c r="AT79" i="3"/>
  <c r="D201" i="13"/>
  <c r="D265" i="13" s="1"/>
  <c r="L169" i="10"/>
  <c r="L236" i="10" s="1"/>
  <c r="D240" i="5"/>
  <c r="F83" i="2"/>
  <c r="D140" i="2"/>
  <c r="AV67" i="3"/>
  <c r="C165" i="5"/>
  <c r="AV46" i="6"/>
  <c r="D116" i="6"/>
  <c r="D174" i="6"/>
  <c r="D176" i="6" s="1"/>
  <c r="D214" i="6" s="1"/>
  <c r="F230" i="6"/>
  <c r="F235" i="6" s="1"/>
  <c r="F275" i="6" s="1"/>
  <c r="F284" i="6" s="1"/>
  <c r="Y65" i="10"/>
  <c r="J143" i="13"/>
  <c r="D186" i="13"/>
  <c r="D261" i="13" s="1"/>
  <c r="Y74" i="3"/>
  <c r="C221" i="5"/>
  <c r="G221" i="5" s="1"/>
  <c r="X67" i="3"/>
  <c r="D144" i="5"/>
  <c r="AV84" i="2"/>
  <c r="F152" i="2"/>
  <c r="AS68" i="3"/>
  <c r="K21" i="5"/>
  <c r="F102" i="5"/>
  <c r="C170" i="5"/>
  <c r="BB47" i="6"/>
  <c r="F116" i="6"/>
  <c r="F174" i="6"/>
  <c r="F176" i="6" s="1"/>
  <c r="F214" i="6" s="1"/>
  <c r="F231" i="6"/>
  <c r="I178" i="10"/>
  <c r="I238" i="10" s="1"/>
  <c r="K163" i="13"/>
  <c r="K180" i="13"/>
  <c r="AV80" i="3"/>
  <c r="E232" i="5"/>
  <c r="AU68" i="3"/>
  <c r="S23" i="5"/>
  <c r="C173" i="5"/>
  <c r="BC52" i="6"/>
  <c r="E119" i="6"/>
  <c r="C177" i="6"/>
  <c r="G177" i="6" s="1"/>
  <c r="C239" i="6"/>
  <c r="G239" i="6" s="1"/>
  <c r="K155" i="10"/>
  <c r="K232" i="10" s="1"/>
  <c r="J184" i="13"/>
  <c r="E168" i="6"/>
  <c r="E173" i="6" s="1"/>
  <c r="E213" i="6" s="1"/>
  <c r="E222" i="6" s="1"/>
  <c r="E158" i="5"/>
  <c r="AV86" i="2"/>
  <c r="C90" i="2"/>
  <c r="AT70" i="3"/>
  <c r="AN39" i="5"/>
  <c r="F109" i="5"/>
  <c r="F177" i="5"/>
  <c r="C121" i="6"/>
  <c r="F178" i="6"/>
  <c r="D252" i="6"/>
  <c r="D256" i="6" s="1"/>
  <c r="D281" i="6" s="1"/>
  <c r="M159" i="10"/>
  <c r="Z188" i="13"/>
  <c r="T163" i="10"/>
  <c r="Q155" i="10"/>
  <c r="Q232" i="10" s="1"/>
  <c r="M170" i="10"/>
  <c r="Q158" i="10"/>
  <c r="Q233" i="10" s="1"/>
  <c r="L189" i="10"/>
  <c r="L240" i="10" s="1"/>
  <c r="M185" i="10"/>
  <c r="K189" i="10"/>
  <c r="K240" i="10" s="1"/>
  <c r="L178" i="10"/>
  <c r="L238" i="10" s="1"/>
  <c r="K178" i="10"/>
  <c r="K238" i="10" s="1"/>
  <c r="M168" i="10"/>
  <c r="M167" i="10"/>
  <c r="T159" i="10"/>
  <c r="F140" i="2"/>
  <c r="C165" i="2"/>
  <c r="C178" i="2"/>
  <c r="C130" i="3"/>
  <c r="BJ46" i="6"/>
  <c r="K169" i="10"/>
  <c r="K236" i="10" s="1"/>
  <c r="L180" i="13"/>
  <c r="C75" i="2"/>
  <c r="F81" i="2"/>
  <c r="E104" i="2"/>
  <c r="C141" i="2"/>
  <c r="C154" i="2"/>
  <c r="C166" i="2"/>
  <c r="E273" i="2"/>
  <c r="M73" i="3"/>
  <c r="D131" i="3"/>
  <c r="AN24" i="5"/>
  <c r="D227" i="5"/>
  <c r="AF47" i="6"/>
  <c r="E175" i="6"/>
  <c r="F192" i="6"/>
  <c r="F248" i="8"/>
  <c r="F250" i="8" s="1"/>
  <c r="F284" i="8" s="1"/>
  <c r="P69" i="10"/>
  <c r="J189" i="10"/>
  <c r="J240" i="10" s="1"/>
  <c r="Q180" i="13"/>
  <c r="T156" i="10"/>
  <c r="P155" i="10"/>
  <c r="P232" i="10" s="1"/>
  <c r="D153" i="2"/>
  <c r="BG52" i="6"/>
  <c r="C246" i="8"/>
  <c r="G246" i="8" s="1"/>
  <c r="J173" i="10"/>
  <c r="J237" i="10" s="1"/>
  <c r="M176" i="10"/>
  <c r="I189" i="10"/>
  <c r="I240" i="10" s="1"/>
  <c r="E75" i="2"/>
  <c r="C83" i="2"/>
  <c r="D91" i="2"/>
  <c r="D141" i="2"/>
  <c r="F154" i="2"/>
  <c r="D167" i="2"/>
  <c r="E274" i="2"/>
  <c r="E136" i="3"/>
  <c r="D27" i="5"/>
  <c r="C232" i="5"/>
  <c r="G232" i="5" s="1"/>
  <c r="BA47" i="6"/>
  <c r="F175" i="6"/>
  <c r="F195" i="6"/>
  <c r="F200" i="6" s="1"/>
  <c r="F220" i="6" s="1"/>
  <c r="C49" i="8"/>
  <c r="C266" i="8"/>
  <c r="G266" i="8" s="1"/>
  <c r="E186" i="13"/>
  <c r="E261" i="13" s="1"/>
  <c r="F213" i="13"/>
  <c r="C137" i="2"/>
  <c r="T175" i="10"/>
  <c r="C77" i="2"/>
  <c r="F84" i="2"/>
  <c r="E94" i="2"/>
  <c r="E137" i="2"/>
  <c r="F144" i="2"/>
  <c r="E159" i="2"/>
  <c r="D170" i="2"/>
  <c r="E214" i="2"/>
  <c r="D262" i="2"/>
  <c r="D281" i="2"/>
  <c r="T68" i="3"/>
  <c r="T77" i="3"/>
  <c r="C96" i="5"/>
  <c r="F45" i="6"/>
  <c r="BC48" i="6"/>
  <c r="D128" i="6"/>
  <c r="C169" i="6"/>
  <c r="G169" i="6" s="1"/>
  <c r="E180" i="6"/>
  <c r="E182" i="6" s="1"/>
  <c r="E216" i="6" s="1"/>
  <c r="C202" i="6"/>
  <c r="G202" i="6" s="1"/>
  <c r="E71" i="8"/>
  <c r="I106" i="10"/>
  <c r="M156" i="10"/>
  <c r="M163" i="10"/>
  <c r="K90" i="13"/>
  <c r="B192" i="13"/>
  <c r="B263" i="13" s="1"/>
  <c r="E217" i="13"/>
  <c r="E268" i="13" s="1"/>
  <c r="L82" i="11"/>
  <c r="R189" i="10"/>
  <c r="R240" i="10" s="1"/>
  <c r="D157" i="2"/>
  <c r="F140" i="3"/>
  <c r="F269" i="8"/>
  <c r="F273" i="8" s="1"/>
  <c r="F289" i="8" s="1"/>
  <c r="S93" i="2"/>
  <c r="E168" i="2"/>
  <c r="J68" i="3"/>
  <c r="F195" i="13"/>
  <c r="R184" i="10"/>
  <c r="R239" i="10" s="1"/>
  <c r="Q77" i="2"/>
  <c r="AE94" i="2"/>
  <c r="F137" i="2"/>
  <c r="D146" i="2"/>
  <c r="F160" i="2"/>
  <c r="F171" i="2"/>
  <c r="E215" i="2"/>
  <c r="D264" i="2"/>
  <c r="C285" i="2"/>
  <c r="J17" i="5"/>
  <c r="D80" i="5"/>
  <c r="F97" i="5"/>
  <c r="C144" i="5"/>
  <c r="BG48" i="6"/>
  <c r="E128" i="6"/>
  <c r="D169" i="6"/>
  <c r="F180" i="6"/>
  <c r="F182" i="6" s="1"/>
  <c r="F216" i="6" s="1"/>
  <c r="D202" i="6"/>
  <c r="E76" i="8"/>
  <c r="Y106" i="10"/>
  <c r="M160" i="10"/>
  <c r="X97" i="13"/>
  <c r="F200" i="13"/>
  <c r="Q178" i="10"/>
  <c r="Q238" i="10" s="1"/>
  <c r="F167" i="2"/>
  <c r="C217" i="13"/>
  <c r="C268" i="13" s="1"/>
  <c r="R83" i="2"/>
  <c r="F157" i="2"/>
  <c r="C138" i="2"/>
  <c r="D172" i="2"/>
  <c r="AM49" i="6"/>
  <c r="D197" i="13"/>
  <c r="D264" i="13" s="1"/>
  <c r="F78" i="2"/>
  <c r="S87" i="2"/>
  <c r="AU97" i="2"/>
  <c r="D138" i="2"/>
  <c r="C149" i="2"/>
  <c r="F161" i="2"/>
  <c r="F172" i="2"/>
  <c r="E223" i="2"/>
  <c r="F265" i="2"/>
  <c r="C290" i="2"/>
  <c r="Y69" i="3"/>
  <c r="AT83" i="3"/>
  <c r="D18" i="5"/>
  <c r="D81" i="5"/>
  <c r="C103" i="5"/>
  <c r="F145" i="5"/>
  <c r="E206" i="5"/>
  <c r="AN45" i="6"/>
  <c r="AN49" i="6"/>
  <c r="C107" i="6"/>
  <c r="E137" i="6"/>
  <c r="F170" i="6"/>
  <c r="E181" i="6"/>
  <c r="C84" i="8"/>
  <c r="Z107" i="10"/>
  <c r="K144" i="13"/>
  <c r="B189" i="13"/>
  <c r="B262" i="13" s="1"/>
  <c r="E192" i="13"/>
  <c r="E263" i="13" s="1"/>
  <c r="F196" i="13"/>
  <c r="D217" i="13"/>
  <c r="D268" i="13" s="1"/>
  <c r="Q169" i="10"/>
  <c r="Q236" i="10" s="1"/>
  <c r="P161" i="10"/>
  <c r="P234" i="10" s="1"/>
  <c r="S161" i="10"/>
  <c r="S234" i="10" s="1"/>
  <c r="E141" i="2"/>
  <c r="R76" i="2"/>
  <c r="C110" i="8"/>
  <c r="C118" i="8" s="1"/>
  <c r="D147" i="2"/>
  <c r="AM45" i="6"/>
  <c r="D74" i="2"/>
  <c r="AV78" i="2"/>
  <c r="C89" i="2"/>
  <c r="F99" i="2"/>
  <c r="F138" i="2"/>
  <c r="E149" i="2"/>
  <c r="E162" i="2"/>
  <c r="E173" i="2"/>
  <c r="D226" i="2"/>
  <c r="E267" i="2"/>
  <c r="C291" i="2"/>
  <c r="J67" i="3"/>
  <c r="AU69" i="3"/>
  <c r="AS86" i="3"/>
  <c r="AO18" i="5"/>
  <c r="D83" i="5"/>
  <c r="C105" i="5"/>
  <c r="C146" i="5"/>
  <c r="F206" i="5"/>
  <c r="BG45" i="6"/>
  <c r="AO49" i="6"/>
  <c r="E107" i="6"/>
  <c r="F139" i="6"/>
  <c r="F171" i="6"/>
  <c r="E185" i="6"/>
  <c r="P61" i="10"/>
  <c r="Q152" i="13"/>
  <c r="D183" i="13"/>
  <c r="D260" i="13" s="1"/>
  <c r="F190" i="13"/>
  <c r="C212" i="13"/>
  <c r="C267" i="13" s="1"/>
  <c r="R161" i="10"/>
  <c r="R234" i="10" s="1"/>
  <c r="D143" i="2"/>
  <c r="F152" i="3"/>
  <c r="AL48" i="6"/>
  <c r="D161" i="2"/>
  <c r="AL17" i="5"/>
  <c r="C82" i="8"/>
  <c r="F74" i="2"/>
  <c r="F80" i="2"/>
  <c r="AS89" i="2"/>
  <c r="C101" i="2"/>
  <c r="C139" i="2"/>
  <c r="E150" i="2"/>
  <c r="D164" i="2"/>
  <c r="F227" i="2"/>
  <c r="C268" i="2"/>
  <c r="E294" i="2"/>
  <c r="Q67" i="3"/>
  <c r="R70" i="3"/>
  <c r="J20" i="5"/>
  <c r="F83" i="5"/>
  <c r="E105" i="5"/>
  <c r="E155" i="5"/>
  <c r="E208" i="5"/>
  <c r="BH45" i="6"/>
  <c r="AL51" i="6"/>
  <c r="D108" i="6"/>
  <c r="F140" i="6"/>
  <c r="C174" i="6"/>
  <c r="G174" i="6" s="1"/>
  <c r="F187" i="6"/>
  <c r="F189" i="6" s="1"/>
  <c r="F218" i="6" s="1"/>
  <c r="Z61" i="10"/>
  <c r="K154" i="13"/>
  <c r="J182" i="13"/>
  <c r="K190" i="13"/>
  <c r="C201" i="13"/>
  <c r="C265" i="13" s="1"/>
  <c r="D212" i="13"/>
  <c r="D267" i="13" s="1"/>
  <c r="F215" i="13"/>
  <c r="Q161" i="10"/>
  <c r="Q234" i="10" s="1"/>
  <c r="T188" i="10"/>
  <c r="L84" i="2"/>
  <c r="AA87" i="2"/>
  <c r="X104" i="2"/>
  <c r="X107" i="2"/>
  <c r="X110" i="2"/>
  <c r="J79" i="3"/>
  <c r="Z80" i="3"/>
  <c r="AU82" i="3"/>
  <c r="AU84" i="3"/>
  <c r="AU87" i="3"/>
  <c r="AV90" i="3"/>
  <c r="AH94" i="3"/>
  <c r="AU96" i="3"/>
  <c r="AV98" i="3"/>
  <c r="AU102" i="3"/>
  <c r="C201" i="3"/>
  <c r="D209" i="3"/>
  <c r="E216" i="3"/>
  <c r="C226" i="3"/>
  <c r="X52" i="5"/>
  <c r="Z46" i="5"/>
  <c r="X29" i="5"/>
  <c r="X48" i="5"/>
  <c r="AA40" i="5"/>
  <c r="Z51" i="5"/>
  <c r="Y51" i="5"/>
  <c r="AA45" i="5"/>
  <c r="Z50" i="5"/>
  <c r="Z53" i="5"/>
  <c r="Y50" i="5"/>
  <c r="AA39" i="5"/>
  <c r="X33" i="5"/>
  <c r="AA46" i="5"/>
  <c r="AA18" i="5"/>
  <c r="X30" i="5"/>
  <c r="R75" i="2"/>
  <c r="AE76" i="2"/>
  <c r="AV77" i="2"/>
  <c r="Q80" i="2"/>
  <c r="AF81" i="2"/>
  <c r="AU83" i="2"/>
  <c r="C86" i="2"/>
  <c r="AG87" i="2"/>
  <c r="S90" i="2"/>
  <c r="C93" i="2"/>
  <c r="F94" i="2"/>
  <c r="M97" i="2"/>
  <c r="Z98" i="2"/>
  <c r="E101" i="2"/>
  <c r="AV102" i="2"/>
  <c r="AS104" i="2"/>
  <c r="AS107" i="2"/>
  <c r="Y110" i="2"/>
  <c r="E143" i="2"/>
  <c r="E147" i="2"/>
  <c r="F150" i="2"/>
  <c r="D156" i="2"/>
  <c r="F159" i="2"/>
  <c r="F162" i="2"/>
  <c r="D166" i="2"/>
  <c r="F170" i="2"/>
  <c r="F173" i="2"/>
  <c r="E202" i="2"/>
  <c r="F219" i="2"/>
  <c r="C233" i="2"/>
  <c r="C277" i="2"/>
  <c r="C289" i="2"/>
  <c r="C297" i="2"/>
  <c r="K67" i="3"/>
  <c r="AV68" i="3"/>
  <c r="AV69" i="3"/>
  <c r="AU70" i="3"/>
  <c r="R73" i="3"/>
  <c r="Z74" i="3"/>
  <c r="AT76" i="3"/>
  <c r="Q79" i="3"/>
  <c r="AA80" i="3"/>
  <c r="S83" i="3"/>
  <c r="AV84" i="3"/>
  <c r="AV87" i="3"/>
  <c r="Q91" i="3"/>
  <c r="AS94" i="3"/>
  <c r="AV96" i="3"/>
  <c r="S100" i="3"/>
  <c r="L103" i="3"/>
  <c r="F132" i="3"/>
  <c r="E154" i="3"/>
  <c r="E192" i="3"/>
  <c r="C202" i="3"/>
  <c r="E209" i="3"/>
  <c r="F216" i="3"/>
  <c r="D226" i="3"/>
  <c r="D257" i="3"/>
  <c r="E267" i="3"/>
  <c r="C277" i="3"/>
  <c r="F284" i="3"/>
  <c r="AE53" i="5"/>
  <c r="AI53" i="5" s="1"/>
  <c r="AF48" i="5"/>
  <c r="AH40" i="5"/>
  <c r="AF52" i="5"/>
  <c r="AH37" i="5"/>
  <c r="AH34" i="5"/>
  <c r="AG32" i="5"/>
  <c r="AG35" i="5" s="1"/>
  <c r="AG66" i="5" s="1"/>
  <c r="AG47" i="5"/>
  <c r="AF47" i="5"/>
  <c r="AG41" i="5"/>
  <c r="AG44" i="5"/>
  <c r="AG49" i="5" s="1"/>
  <c r="AG69" i="5" s="1"/>
  <c r="AG46" i="5"/>
  <c r="AF44" i="5"/>
  <c r="AF49" i="5" s="1"/>
  <c r="AF69" i="5" s="1"/>
  <c r="AH29" i="5"/>
  <c r="AH31" i="5" s="1"/>
  <c r="AH65" i="5" s="1"/>
  <c r="AE20" i="5"/>
  <c r="AI20" i="5" s="1"/>
  <c r="AM17" i="5"/>
  <c r="AS18" i="5"/>
  <c r="AW18" i="5" s="1"/>
  <c r="K20" i="5"/>
  <c r="L21" i="5"/>
  <c r="T23" i="5"/>
  <c r="AS24" i="5"/>
  <c r="AW24" i="5" s="1"/>
  <c r="X27" i="5"/>
  <c r="AU39" i="5"/>
  <c r="AU43" i="5" s="1"/>
  <c r="AU68" i="5" s="1"/>
  <c r="L75" i="2"/>
  <c r="AO83" i="2"/>
  <c r="L74" i="2"/>
  <c r="Q74" i="2"/>
  <c r="X75" i="2"/>
  <c r="AS76" i="2"/>
  <c r="C78" i="2"/>
  <c r="R80" i="2"/>
  <c r="AN81" i="2"/>
  <c r="C84" i="2"/>
  <c r="E86" i="2"/>
  <c r="AN87" i="2"/>
  <c r="X90" i="2"/>
  <c r="E93" i="2"/>
  <c r="Q94" i="2"/>
  <c r="X97" i="2"/>
  <c r="AG98" i="2"/>
  <c r="Q101" i="2"/>
  <c r="D103" i="2"/>
  <c r="AU104" i="2"/>
  <c r="AT107" i="2"/>
  <c r="AU110" i="2"/>
  <c r="E139" i="2"/>
  <c r="F143" i="2"/>
  <c r="F147" i="2"/>
  <c r="C152" i="2"/>
  <c r="E156" i="2"/>
  <c r="C160" i="2"/>
  <c r="E166" i="2"/>
  <c r="C171" i="2"/>
  <c r="F202" i="2"/>
  <c r="C221" i="2"/>
  <c r="C234" i="2"/>
  <c r="D277" i="2"/>
  <c r="D289" i="2"/>
  <c r="M67" i="3"/>
  <c r="L69" i="3"/>
  <c r="J70" i="3"/>
  <c r="AV70" i="3"/>
  <c r="S73" i="3"/>
  <c r="AT74" i="3"/>
  <c r="AV76" i="3"/>
  <c r="S79" i="3"/>
  <c r="AS80" i="3"/>
  <c r="T83" i="3"/>
  <c r="J86" i="3"/>
  <c r="Q89" i="3"/>
  <c r="T91" i="3"/>
  <c r="AT94" i="3"/>
  <c r="AS100" i="3"/>
  <c r="AG103" i="3"/>
  <c r="C133" i="3"/>
  <c r="F154" i="3"/>
  <c r="F192" i="3"/>
  <c r="D202" i="3"/>
  <c r="F209" i="3"/>
  <c r="C217" i="3"/>
  <c r="E226" i="3"/>
  <c r="E257" i="3"/>
  <c r="D269" i="3"/>
  <c r="E277" i="3"/>
  <c r="C287" i="3"/>
  <c r="AO50" i="5"/>
  <c r="AO32" i="5"/>
  <c r="AM52" i="5"/>
  <c r="AN42" i="5"/>
  <c r="AM42" i="5"/>
  <c r="AM51" i="5"/>
  <c r="AM45" i="5"/>
  <c r="AL58" i="5"/>
  <c r="AN44" i="5"/>
  <c r="AM39" i="5"/>
  <c r="AM36" i="5"/>
  <c r="AO33" i="5"/>
  <c r="AN33" i="5"/>
  <c r="AM23" i="5"/>
  <c r="AO21" i="5"/>
  <c r="AM19" i="5"/>
  <c r="AN17" i="5"/>
  <c r="F19" i="5"/>
  <c r="M20" i="5"/>
  <c r="Y21" i="5"/>
  <c r="Y23" i="5"/>
  <c r="Y27" i="5"/>
  <c r="AO30" i="5"/>
  <c r="Z40" i="5"/>
  <c r="X81" i="2"/>
  <c r="S98" i="2"/>
  <c r="R74" i="2"/>
  <c r="Y75" i="2"/>
  <c r="AU76" i="2"/>
  <c r="D78" i="2"/>
  <c r="X80" i="2"/>
  <c r="AV81" i="2"/>
  <c r="D84" i="2"/>
  <c r="K86" i="2"/>
  <c r="AT87" i="2"/>
  <c r="Y90" i="2"/>
  <c r="F93" i="2"/>
  <c r="S94" i="2"/>
  <c r="Y97" i="2"/>
  <c r="AN98" i="2"/>
  <c r="R101" i="2"/>
  <c r="E103" i="2"/>
  <c r="D105" i="2"/>
  <c r="D108" i="2"/>
  <c r="F139" i="2"/>
  <c r="D144" i="2"/>
  <c r="D145" i="2" s="1"/>
  <c r="D183" i="2" s="1"/>
  <c r="D152" i="2"/>
  <c r="F156" i="2"/>
  <c r="D160" i="2"/>
  <c r="F166" i="2"/>
  <c r="D171" i="2"/>
  <c r="F206" i="2"/>
  <c r="F221" i="2"/>
  <c r="E235" i="2"/>
  <c r="M69" i="3"/>
  <c r="L70" i="3"/>
  <c r="K71" i="3"/>
  <c r="Y73" i="3"/>
  <c r="AU74" i="3"/>
  <c r="J77" i="3"/>
  <c r="Y79" i="3"/>
  <c r="AT80" i="3"/>
  <c r="AA83" i="3"/>
  <c r="L86" i="3"/>
  <c r="S89" i="3"/>
  <c r="AH91" i="3"/>
  <c r="AU94" i="3"/>
  <c r="T97" i="3"/>
  <c r="AT100" i="3"/>
  <c r="AT103" i="3"/>
  <c r="C155" i="3"/>
  <c r="C193" i="3"/>
  <c r="E202" i="3"/>
  <c r="F211" i="3"/>
  <c r="E217" i="3"/>
  <c r="F226" i="3"/>
  <c r="E269" i="3"/>
  <c r="C279" i="3"/>
  <c r="E288" i="3"/>
  <c r="AU51" i="5"/>
  <c r="AS52" i="5"/>
  <c r="AW52" i="5" s="1"/>
  <c r="AT42" i="5"/>
  <c r="AS40" i="5"/>
  <c r="AW40" i="5" s="1"/>
  <c r="AU37" i="5"/>
  <c r="AU34" i="5"/>
  <c r="AV24" i="5"/>
  <c r="AT37" i="5"/>
  <c r="AT45" i="5"/>
  <c r="AS58" i="5"/>
  <c r="AU30" i="5"/>
  <c r="AS53" i="5"/>
  <c r="AW53" i="5" s="1"/>
  <c r="AT46" i="5"/>
  <c r="AS46" i="5"/>
  <c r="AW46" i="5" s="1"/>
  <c r="AS48" i="5"/>
  <c r="AW48" i="5" s="1"/>
  <c r="AT40" i="5"/>
  <c r="J19" i="5"/>
  <c r="X20" i="5"/>
  <c r="Z21" i="5"/>
  <c r="AH23" i="5"/>
  <c r="AH25" i="5" s="1"/>
  <c r="AH63" i="5" s="1"/>
  <c r="Q26" i="5"/>
  <c r="Z27" i="5"/>
  <c r="X32" i="5"/>
  <c r="AH41" i="5"/>
  <c r="K76" i="2"/>
  <c r="Z76" i="2"/>
  <c r="Y74" i="2"/>
  <c r="AV75" i="2"/>
  <c r="AV76" i="2"/>
  <c r="E78" i="2"/>
  <c r="Y80" i="2"/>
  <c r="E84" i="2"/>
  <c r="S86" i="2"/>
  <c r="AU87" i="2"/>
  <c r="AH90" i="2"/>
  <c r="R93" i="2"/>
  <c r="X94" i="2"/>
  <c r="AL97" i="2"/>
  <c r="AU98" i="2"/>
  <c r="Z101" i="2"/>
  <c r="T103" i="2"/>
  <c r="E105" i="2"/>
  <c r="E108" i="2"/>
  <c r="C140" i="2"/>
  <c r="E144" i="2"/>
  <c r="E152" i="2"/>
  <c r="C157" i="2"/>
  <c r="E160" i="2"/>
  <c r="C164" i="2"/>
  <c r="C167" i="2"/>
  <c r="E171" i="2"/>
  <c r="E208" i="2"/>
  <c r="E222" i="2"/>
  <c r="F235" i="2"/>
  <c r="E280" i="2"/>
  <c r="D290" i="2"/>
  <c r="C302" i="2"/>
  <c r="K68" i="3"/>
  <c r="S69" i="3"/>
  <c r="M70" i="3"/>
  <c r="Q71" i="3"/>
  <c r="AA73" i="3"/>
  <c r="AV74" i="3"/>
  <c r="M77" i="3"/>
  <c r="AS79" i="3"/>
  <c r="AU80" i="3"/>
  <c r="AS83" i="3"/>
  <c r="X86" i="3"/>
  <c r="AA89" i="3"/>
  <c r="AT91" i="3"/>
  <c r="Z95" i="3"/>
  <c r="AS97" i="3"/>
  <c r="AU100" i="3"/>
  <c r="AU103" i="3"/>
  <c r="C139" i="3"/>
  <c r="D158" i="3"/>
  <c r="E193" i="3"/>
  <c r="F202" i="3"/>
  <c r="C212" i="3"/>
  <c r="C219" i="3"/>
  <c r="C227" i="3"/>
  <c r="D258" i="3"/>
  <c r="F269" i="3"/>
  <c r="D279" i="3"/>
  <c r="F288" i="3"/>
  <c r="C17" i="5"/>
  <c r="E18" i="5"/>
  <c r="L19" i="5"/>
  <c r="Y20" i="5"/>
  <c r="AA21" i="5"/>
  <c r="AL23" i="5"/>
  <c r="R26" i="5"/>
  <c r="AE27" i="5"/>
  <c r="AI27" i="5" s="1"/>
  <c r="AH32" i="5"/>
  <c r="AH35" i="5" s="1"/>
  <c r="AH66" i="5" s="1"/>
  <c r="AN41" i="5"/>
  <c r="AN86" i="2"/>
  <c r="AM97" i="2"/>
  <c r="C99" i="2"/>
  <c r="AA101" i="2"/>
  <c r="AT103" i="2"/>
  <c r="T105" i="2"/>
  <c r="X108" i="2"/>
  <c r="AS89" i="3"/>
  <c r="AU91" i="3"/>
  <c r="AS95" i="3"/>
  <c r="AT97" i="3"/>
  <c r="AV100" i="3"/>
  <c r="AV103" i="3"/>
  <c r="C159" i="3"/>
  <c r="C195" i="3"/>
  <c r="E204" i="3"/>
  <c r="D212" i="3"/>
  <c r="D219" i="3"/>
  <c r="E228" i="3"/>
  <c r="D270" i="3"/>
  <c r="E279" i="3"/>
  <c r="C289" i="3"/>
  <c r="D17" i="5"/>
  <c r="K18" i="5"/>
  <c r="X19" i="5"/>
  <c r="Z20" i="5"/>
  <c r="AF21" i="5"/>
  <c r="D24" i="5"/>
  <c r="S26" i="5"/>
  <c r="AN27" i="5"/>
  <c r="AU33" i="5"/>
  <c r="AA42" i="5"/>
  <c r="AE74" i="2"/>
  <c r="F76" i="2"/>
  <c r="E77" i="2"/>
  <c r="R78" i="2"/>
  <c r="C81" i="2"/>
  <c r="E83" i="2"/>
  <c r="K84" i="2"/>
  <c r="AO86" i="2"/>
  <c r="T89" i="2"/>
  <c r="AT90" i="2"/>
  <c r="Y93" i="2"/>
  <c r="AT94" i="2"/>
  <c r="AT97" i="2"/>
  <c r="D99" i="2"/>
  <c r="AU101" i="2"/>
  <c r="AU103" i="2"/>
  <c r="AS105" i="2"/>
  <c r="AV108" i="2"/>
  <c r="D137" i="2"/>
  <c r="E140" i="2"/>
  <c r="D149" i="2"/>
  <c r="C153" i="2"/>
  <c r="E157" i="2"/>
  <c r="C161" i="2"/>
  <c r="E164" i="2"/>
  <c r="E167" i="2"/>
  <c r="C172" i="2"/>
  <c r="C212" i="2"/>
  <c r="C226" i="2"/>
  <c r="C270" i="2"/>
  <c r="E281" i="2"/>
  <c r="F291" i="2"/>
  <c r="Y67" i="3"/>
  <c r="X68" i="3"/>
  <c r="Z69" i="3"/>
  <c r="X70" i="3"/>
  <c r="AA71" i="3"/>
  <c r="AT73" i="3"/>
  <c r="J76" i="3"/>
  <c r="Y77" i="3"/>
  <c r="AU79" i="3"/>
  <c r="AV83" i="3"/>
  <c r="AT86" i="3"/>
  <c r="AT89" i="3"/>
  <c r="AV91" i="3"/>
  <c r="AU95" i="3"/>
  <c r="AU97" i="3"/>
  <c r="R101" i="3"/>
  <c r="D143" i="3"/>
  <c r="C163" i="3"/>
  <c r="D195" i="3"/>
  <c r="F204" i="3"/>
  <c r="F212" i="3"/>
  <c r="E219" i="3"/>
  <c r="F228" i="3"/>
  <c r="F271" i="3"/>
  <c r="D281" i="3"/>
  <c r="E289" i="3"/>
  <c r="E17" i="5"/>
  <c r="T18" i="5"/>
  <c r="Y19" i="5"/>
  <c r="AA20" i="5"/>
  <c r="AS21" i="5"/>
  <c r="AW21" i="5" s="1"/>
  <c r="J24" i="5"/>
  <c r="T26" i="5"/>
  <c r="AO27" i="5"/>
  <c r="J34" i="5"/>
  <c r="AN45" i="5"/>
  <c r="AV105" i="2"/>
  <c r="Q109" i="2"/>
  <c r="F270" i="2"/>
  <c r="C283" i="2"/>
  <c r="F292" i="2"/>
  <c r="Z67" i="3"/>
  <c r="Y68" i="3"/>
  <c r="AA69" i="3"/>
  <c r="Z70" i="3"/>
  <c r="AS71" i="3"/>
  <c r="AU73" i="3"/>
  <c r="R76" i="3"/>
  <c r="AA77" i="3"/>
  <c r="AV79" i="3"/>
  <c r="L82" i="3"/>
  <c r="S84" i="3"/>
  <c r="AV86" i="3"/>
  <c r="AV89" i="3"/>
  <c r="Z92" i="3"/>
  <c r="AV95" i="3"/>
  <c r="AV97" i="3"/>
  <c r="AS101" i="3"/>
  <c r="E143" i="3"/>
  <c r="C164" i="3"/>
  <c r="E195" i="3"/>
  <c r="C205" i="3"/>
  <c r="C214" i="3"/>
  <c r="D221" i="3"/>
  <c r="F260" i="3"/>
  <c r="C274" i="3"/>
  <c r="E281" i="3"/>
  <c r="X18" i="5"/>
  <c r="Z19" i="5"/>
  <c r="AN20" i="5"/>
  <c r="AT21" i="5"/>
  <c r="X26" i="5"/>
  <c r="AS27" i="5"/>
  <c r="AW27" i="5" s="1"/>
  <c r="AA34" i="5"/>
  <c r="AM47" i="5"/>
  <c r="Z93" i="2"/>
  <c r="AV74" i="2"/>
  <c r="L76" i="2"/>
  <c r="R77" i="2"/>
  <c r="AN78" i="2"/>
  <c r="E81" i="2"/>
  <c r="Q83" i="2"/>
  <c r="R84" i="2"/>
  <c r="F87" i="2"/>
  <c r="AV89" i="2"/>
  <c r="E91" i="2"/>
  <c r="AM93" i="2"/>
  <c r="D96" i="2"/>
  <c r="C98" i="2"/>
  <c r="M99" i="2"/>
  <c r="E102" i="2"/>
  <c r="F104" i="2"/>
  <c r="E107" i="2"/>
  <c r="R109" i="2"/>
  <c r="C146" i="2"/>
  <c r="F149" i="2"/>
  <c r="E153" i="2"/>
  <c r="E161" i="2"/>
  <c r="D168" i="2"/>
  <c r="E172" i="2"/>
  <c r="F214" i="2"/>
  <c r="E227" i="2"/>
  <c r="C284" i="2"/>
  <c r="D294" i="2"/>
  <c r="AA67" i="3"/>
  <c r="Z68" i="3"/>
  <c r="AF69" i="3"/>
  <c r="AA70" i="3"/>
  <c r="AT71" i="3"/>
  <c r="AV73" i="3"/>
  <c r="S76" i="3"/>
  <c r="AS77" i="3"/>
  <c r="M82" i="3"/>
  <c r="Y84" i="3"/>
  <c r="Y87" i="3"/>
  <c r="AA90" i="3"/>
  <c r="AS92" i="3"/>
  <c r="Z96" i="3"/>
  <c r="R98" i="3"/>
  <c r="AU101" i="3"/>
  <c r="F143" i="3"/>
  <c r="E166" i="3"/>
  <c r="D196" i="3"/>
  <c r="E205" i="3"/>
  <c r="D214" i="3"/>
  <c r="E221" i="3"/>
  <c r="D274" i="3"/>
  <c r="F281" i="3"/>
  <c r="Y18" i="5"/>
  <c r="AN19" i="5"/>
  <c r="AO20" i="5"/>
  <c r="AV21" i="5"/>
  <c r="X24" i="5"/>
  <c r="AH26" i="5"/>
  <c r="AH28" i="5" s="1"/>
  <c r="AH64" i="5" s="1"/>
  <c r="AV27" i="5"/>
  <c r="AT34" i="5"/>
  <c r="X78" i="2"/>
  <c r="Q91" i="2"/>
  <c r="AS93" i="2"/>
  <c r="F96" i="2"/>
  <c r="F98" i="2"/>
  <c r="Z99" i="2"/>
  <c r="F102" i="2"/>
  <c r="J104" i="2"/>
  <c r="F107" i="2"/>
  <c r="AA109" i="2"/>
  <c r="AE68" i="3"/>
  <c r="AG69" i="3"/>
  <c r="AF70" i="3"/>
  <c r="AU71" i="3"/>
  <c r="F74" i="3"/>
  <c r="X76" i="3"/>
  <c r="AT77" i="3"/>
  <c r="D80" i="3"/>
  <c r="AA84" i="3"/>
  <c r="Z87" i="3"/>
  <c r="AS90" i="3"/>
  <c r="AV92" i="3"/>
  <c r="AA96" i="3"/>
  <c r="S98" i="3"/>
  <c r="X102" i="3"/>
  <c r="C146" i="3"/>
  <c r="F166" i="3"/>
  <c r="D198" i="3"/>
  <c r="C207" i="3"/>
  <c r="E214" i="3"/>
  <c r="F221" i="3"/>
  <c r="E264" i="3"/>
  <c r="E274" i="3"/>
  <c r="D282" i="3"/>
  <c r="E27" i="5"/>
  <c r="D51" i="5"/>
  <c r="E26" i="5"/>
  <c r="S17" i="5"/>
  <c r="AL18" i="5"/>
  <c r="AO19" i="5"/>
  <c r="AS20" i="5"/>
  <c r="AW20" i="5" s="1"/>
  <c r="C23" i="5"/>
  <c r="Z24" i="5"/>
  <c r="AL26" i="5"/>
  <c r="Q29" i="5"/>
  <c r="AN36" i="5"/>
  <c r="S76" i="2"/>
  <c r="Z77" i="2"/>
  <c r="C80" i="2"/>
  <c r="M81" i="2"/>
  <c r="X83" i="2"/>
  <c r="AE84" i="2"/>
  <c r="T87" i="2"/>
  <c r="D90" i="2"/>
  <c r="X91" i="2"/>
  <c r="AT93" i="2"/>
  <c r="S96" i="2"/>
  <c r="K98" i="2"/>
  <c r="AA99" i="2"/>
  <c r="M102" i="2"/>
  <c r="K104" i="2"/>
  <c r="K107" i="2"/>
  <c r="AT109" i="2"/>
  <c r="F146" i="2"/>
  <c r="C150" i="2"/>
  <c r="D154" i="2"/>
  <c r="C159" i="2"/>
  <c r="C162" i="2"/>
  <c r="D165" i="2"/>
  <c r="F168" i="2"/>
  <c r="C173" i="2"/>
  <c r="F200" i="2"/>
  <c r="E216" i="2"/>
  <c r="E229" i="2"/>
  <c r="E286" i="2"/>
  <c r="E295" i="2"/>
  <c r="AE67" i="3"/>
  <c r="AS69" i="3"/>
  <c r="AV71" i="3"/>
  <c r="Q74" i="3"/>
  <c r="Z76" i="3"/>
  <c r="AU77" i="3"/>
  <c r="K80" i="3"/>
  <c r="AS82" i="3"/>
  <c r="AS84" i="3"/>
  <c r="AS87" i="3"/>
  <c r="AT90" i="3"/>
  <c r="M94" i="3"/>
  <c r="AS96" i="3"/>
  <c r="AS98" i="3"/>
  <c r="AS102" i="3"/>
  <c r="D130" i="3"/>
  <c r="D146" i="3"/>
  <c r="F198" i="3"/>
  <c r="D207" i="3"/>
  <c r="F214" i="3"/>
  <c r="D222" i="3"/>
  <c r="F264" i="3"/>
  <c r="F274" i="3"/>
  <c r="F283" i="3"/>
  <c r="L52" i="5"/>
  <c r="J46" i="5"/>
  <c r="K48" i="5"/>
  <c r="J42" i="5"/>
  <c r="J40" i="5"/>
  <c r="K37" i="5"/>
  <c r="K34" i="5"/>
  <c r="J51" i="5"/>
  <c r="M47" i="5"/>
  <c r="J45" i="5"/>
  <c r="K30" i="5"/>
  <c r="M53" i="5"/>
  <c r="M50" i="5"/>
  <c r="M41" i="5"/>
  <c r="K36" i="5"/>
  <c r="L53" i="5"/>
  <c r="M44" i="5"/>
  <c r="J39" i="5"/>
  <c r="K33" i="5"/>
  <c r="K27" i="5"/>
  <c r="X17" i="5"/>
  <c r="AM18" i="5"/>
  <c r="AT19" i="5"/>
  <c r="AU20" i="5"/>
  <c r="Q23" i="5"/>
  <c r="AA24" i="5"/>
  <c r="AM26" i="5"/>
  <c r="AU36" i="5"/>
  <c r="AU38" i="5" s="1"/>
  <c r="AU67" i="5" s="1"/>
  <c r="Y77" i="2"/>
  <c r="X84" i="2"/>
  <c r="F75" i="2"/>
  <c r="Y76" i="2"/>
  <c r="AH77" i="2"/>
  <c r="E80" i="2"/>
  <c r="R81" i="2"/>
  <c r="Y83" i="2"/>
  <c r="AU84" i="2"/>
  <c r="Z87" i="2"/>
  <c r="E90" i="2"/>
  <c r="Y91" i="2"/>
  <c r="D94" i="2"/>
  <c r="AA96" i="2"/>
  <c r="R98" i="2"/>
  <c r="AV99" i="2"/>
  <c r="T102" i="2"/>
  <c r="T104" i="2"/>
  <c r="T107" i="2"/>
  <c r="F110" i="2"/>
  <c r="E138" i="2"/>
  <c r="C143" i="2"/>
  <c r="C147" i="2"/>
  <c r="D150" i="2"/>
  <c r="E154" i="2"/>
  <c r="D159" i="2"/>
  <c r="D162" i="2"/>
  <c r="E165" i="2"/>
  <c r="C170" i="2"/>
  <c r="D173" i="2"/>
  <c r="D201" i="2"/>
  <c r="D218" i="2"/>
  <c r="C232" i="2"/>
  <c r="C263" i="2"/>
  <c r="F274" i="2"/>
  <c r="F286" i="2"/>
  <c r="F295" i="2"/>
  <c r="AS67" i="3"/>
  <c r="AT68" i="3"/>
  <c r="AT69" i="3"/>
  <c r="AS70" i="3"/>
  <c r="R74" i="3"/>
  <c r="AA76" i="3"/>
  <c r="AT82" i="3"/>
  <c r="AT84" i="3"/>
  <c r="AT87" i="3"/>
  <c r="AU90" i="3"/>
  <c r="Q94" i="3"/>
  <c r="AT96" i="3"/>
  <c r="AU98" i="3"/>
  <c r="AT102" i="3"/>
  <c r="E130" i="3"/>
  <c r="E149" i="3"/>
  <c r="F199" i="3"/>
  <c r="E207" i="3"/>
  <c r="C215" i="3"/>
  <c r="F223" i="3"/>
  <c r="C267" i="3"/>
  <c r="E276" i="3"/>
  <c r="C284" i="3"/>
  <c r="Q50" i="5"/>
  <c r="T42" i="5"/>
  <c r="Q40" i="5"/>
  <c r="Q37" i="5"/>
  <c r="Q34" i="5"/>
  <c r="Q32" i="5"/>
  <c r="T47" i="5"/>
  <c r="S45" i="5"/>
  <c r="Q41" i="5"/>
  <c r="T36" i="5"/>
  <c r="T39" i="5"/>
  <c r="T17" i="5"/>
  <c r="Z17" i="5"/>
  <c r="AN18" i="5"/>
  <c r="F20" i="5"/>
  <c r="J21" i="5"/>
  <c r="R23" i="5"/>
  <c r="AE24" i="5"/>
  <c r="AI24" i="5" s="1"/>
  <c r="AO26" i="5"/>
  <c r="AO29" i="5"/>
  <c r="AA37" i="5"/>
  <c r="F81" i="5"/>
  <c r="F90" i="5"/>
  <c r="D100" i="5"/>
  <c r="D107" i="5"/>
  <c r="F114" i="5"/>
  <c r="D155" i="5"/>
  <c r="D213" i="5"/>
  <c r="D215" i="5" s="1"/>
  <c r="D251" i="5" s="1"/>
  <c r="E235" i="5"/>
  <c r="AO45" i="6"/>
  <c r="AA46" i="6"/>
  <c r="AL47" i="6"/>
  <c r="AO48" i="6"/>
  <c r="BC49" i="6"/>
  <c r="AL52" i="6"/>
  <c r="AO54" i="6"/>
  <c r="AZ57" i="6"/>
  <c r="AA60" i="6"/>
  <c r="AZ62" i="6"/>
  <c r="BI67" i="6"/>
  <c r="L73" i="6"/>
  <c r="BH76" i="6"/>
  <c r="D113" i="6"/>
  <c r="E123" i="6"/>
  <c r="E135" i="6"/>
  <c r="E171" i="6"/>
  <c r="D178" i="6"/>
  <c r="F183" i="6"/>
  <c r="F186" i="6" s="1"/>
  <c r="F217" i="6" s="1"/>
  <c r="C190" i="6"/>
  <c r="E199" i="6"/>
  <c r="E247" i="6"/>
  <c r="F258" i="6"/>
  <c r="F53" i="8"/>
  <c r="K60" i="10"/>
  <c r="Y62" i="10"/>
  <c r="I68" i="10"/>
  <c r="Z71" i="10"/>
  <c r="Q76" i="10"/>
  <c r="Y79" i="10"/>
  <c r="Y87" i="10"/>
  <c r="X92" i="10"/>
  <c r="K106" i="10"/>
  <c r="W108" i="10"/>
  <c r="K110" i="10"/>
  <c r="X112" i="10"/>
  <c r="J115" i="10"/>
  <c r="I118" i="10"/>
  <c r="Z119" i="10"/>
  <c r="L123" i="10"/>
  <c r="R126" i="10"/>
  <c r="Y128" i="10"/>
  <c r="J132" i="10"/>
  <c r="J135" i="10"/>
  <c r="L138" i="10"/>
  <c r="C138" i="13"/>
  <c r="C146" i="13"/>
  <c r="J158" i="13"/>
  <c r="Q181" i="13"/>
  <c r="Y185" i="13"/>
  <c r="X204" i="13"/>
  <c r="R207" i="13"/>
  <c r="R215" i="13"/>
  <c r="D58" i="11"/>
  <c r="C93" i="5"/>
  <c r="E100" i="5"/>
  <c r="E107" i="5"/>
  <c r="C115" i="5"/>
  <c r="C216" i="5"/>
  <c r="C218" i="5" s="1"/>
  <c r="C237" i="5"/>
  <c r="C241" i="5" s="1"/>
  <c r="C257" i="5" s="1"/>
  <c r="AS45" i="6"/>
  <c r="AS46" i="6"/>
  <c r="AW46" i="6" s="1"/>
  <c r="AU47" i="6"/>
  <c r="AZ48" i="6"/>
  <c r="BG49" i="6"/>
  <c r="AM52" i="6"/>
  <c r="AU54" i="6"/>
  <c r="AU56" i="6" s="1"/>
  <c r="AU92" i="6" s="1"/>
  <c r="BA57" i="6"/>
  <c r="AE60" i="6"/>
  <c r="S64" i="6"/>
  <c r="AF68" i="6"/>
  <c r="M73" i="6"/>
  <c r="K78" i="6"/>
  <c r="E113" i="6"/>
  <c r="F123" i="6"/>
  <c r="F135" i="6"/>
  <c r="C147" i="6"/>
  <c r="D184" i="6"/>
  <c r="D190" i="6"/>
  <c r="D194" i="6" s="1"/>
  <c r="D219" i="6" s="1"/>
  <c r="F199" i="6"/>
  <c r="D234" i="6"/>
  <c r="D249" i="6"/>
  <c r="D251" i="6" s="1"/>
  <c r="D280" i="6" s="1"/>
  <c r="C259" i="6"/>
  <c r="G259" i="6" s="1"/>
  <c r="P60" i="10"/>
  <c r="Z62" i="10"/>
  <c r="J68" i="10"/>
  <c r="R72" i="10"/>
  <c r="W76" i="10"/>
  <c r="Z79" i="10"/>
  <c r="Z87" i="10"/>
  <c r="Y92" i="10"/>
  <c r="R106" i="10"/>
  <c r="P107" i="10"/>
  <c r="L110" i="10"/>
  <c r="Y112" i="10"/>
  <c r="R115" i="10"/>
  <c r="J118" i="10"/>
  <c r="L120" i="10"/>
  <c r="P123" i="10"/>
  <c r="S126" i="10"/>
  <c r="I130" i="10"/>
  <c r="K132" i="10"/>
  <c r="K135" i="10"/>
  <c r="J139" i="10"/>
  <c r="K101" i="13"/>
  <c r="D138" i="13"/>
  <c r="E146" i="13"/>
  <c r="S158" i="13"/>
  <c r="S181" i="13"/>
  <c r="L194" i="13"/>
  <c r="P209" i="13"/>
  <c r="J211" i="13"/>
  <c r="C63" i="11"/>
  <c r="E83" i="5"/>
  <c r="D93" i="5"/>
  <c r="F100" i="5"/>
  <c r="F107" i="5"/>
  <c r="D115" i="5"/>
  <c r="F155" i="5"/>
  <c r="D204" i="5"/>
  <c r="D209" i="5" s="1"/>
  <c r="D249" i="5" s="1"/>
  <c r="D259" i="5" s="1"/>
  <c r="D216" i="5"/>
  <c r="D218" i="5" s="1"/>
  <c r="D252" i="5" s="1"/>
  <c r="D237" i="5"/>
  <c r="D241" i="5" s="1"/>
  <c r="D257" i="5" s="1"/>
  <c r="AT45" i="6"/>
  <c r="AT50" i="6" s="1"/>
  <c r="AT90" i="6" s="1"/>
  <c r="AT97" i="6" s="1"/>
  <c r="AT46" i="6"/>
  <c r="AV47" i="6"/>
  <c r="BA48" i="6"/>
  <c r="BH49" i="6"/>
  <c r="AN52" i="6"/>
  <c r="BG54" i="6"/>
  <c r="BB57" i="6"/>
  <c r="AT60" i="6"/>
  <c r="AT63" i="6" s="1"/>
  <c r="AT94" i="6" s="1"/>
  <c r="T64" i="6"/>
  <c r="AG68" i="6"/>
  <c r="AU73" i="6"/>
  <c r="L78" i="6"/>
  <c r="E115" i="6"/>
  <c r="D125" i="6"/>
  <c r="D136" i="6"/>
  <c r="C185" i="6"/>
  <c r="G185" i="6" s="1"/>
  <c r="F190" i="6"/>
  <c r="F194" i="6" s="1"/>
  <c r="F219" i="6" s="1"/>
  <c r="C195" i="6"/>
  <c r="C200" i="6" s="1"/>
  <c r="G200" i="6" s="1"/>
  <c r="C201" i="6"/>
  <c r="E249" i="6"/>
  <c r="E251" i="6" s="1"/>
  <c r="E280" i="6" s="1"/>
  <c r="F260" i="6"/>
  <c r="AL90" i="8"/>
  <c r="X60" i="10"/>
  <c r="X64" i="10"/>
  <c r="W68" i="10"/>
  <c r="W72" i="10"/>
  <c r="X76" i="10"/>
  <c r="J81" i="10"/>
  <c r="W88" i="10"/>
  <c r="K93" i="10"/>
  <c r="S106" i="10"/>
  <c r="Q107" i="10"/>
  <c r="I109" i="10"/>
  <c r="P110" i="10"/>
  <c r="Z112" i="10"/>
  <c r="W115" i="10"/>
  <c r="R118" i="10"/>
  <c r="P120" i="10"/>
  <c r="Q123" i="10"/>
  <c r="W126" i="10"/>
  <c r="J130" i="10"/>
  <c r="L132" i="10"/>
  <c r="L135" i="10"/>
  <c r="K139" i="10"/>
  <c r="I107" i="13"/>
  <c r="Q134" i="13"/>
  <c r="E140" i="13"/>
  <c r="I146" i="13"/>
  <c r="Z158" i="13"/>
  <c r="X181" i="13"/>
  <c r="Q188" i="13"/>
  <c r="X190" i="13"/>
  <c r="L196" i="13"/>
  <c r="L211" i="13"/>
  <c r="E63" i="11"/>
  <c r="E93" i="5"/>
  <c r="E102" i="5"/>
  <c r="C108" i="5"/>
  <c r="E115" i="5"/>
  <c r="D206" i="5"/>
  <c r="F217" i="5"/>
  <c r="C240" i="5"/>
  <c r="G240" i="5" s="1"/>
  <c r="BC45" i="6"/>
  <c r="AU46" i="6"/>
  <c r="AZ47" i="6"/>
  <c r="BB48" i="6"/>
  <c r="BJ49" i="6"/>
  <c r="AS52" i="6"/>
  <c r="AW52" i="6" s="1"/>
  <c r="BI54" i="6"/>
  <c r="BH57" i="6"/>
  <c r="AU60" i="6"/>
  <c r="AU63" i="6" s="1"/>
  <c r="AU94" i="6" s="1"/>
  <c r="AT64" i="6"/>
  <c r="AT66" i="6" s="1"/>
  <c r="AT95" i="6" s="1"/>
  <c r="AS69" i="6"/>
  <c r="AW69" i="6" s="1"/>
  <c r="AV73" i="6"/>
  <c r="R78" i="6"/>
  <c r="F115" i="6"/>
  <c r="E125" i="6"/>
  <c r="C137" i="6"/>
  <c r="D172" i="6"/>
  <c r="D180" i="6"/>
  <c r="D182" i="6" s="1"/>
  <c r="D216" i="6" s="1"/>
  <c r="D185" i="6"/>
  <c r="E195" i="6"/>
  <c r="E200" i="6" s="1"/>
  <c r="E220" i="6" s="1"/>
  <c r="D236" i="6"/>
  <c r="D238" i="6" s="1"/>
  <c r="D276" i="6" s="1"/>
  <c r="E250" i="6"/>
  <c r="C261" i="6"/>
  <c r="G261" i="6" s="1"/>
  <c r="Y60" i="10"/>
  <c r="Z64" i="10"/>
  <c r="Y68" i="10"/>
  <c r="X72" i="10"/>
  <c r="J77" i="10"/>
  <c r="W81" i="10"/>
  <c r="Y88" i="10"/>
  <c r="W94" i="10"/>
  <c r="W106" i="10"/>
  <c r="X107" i="10"/>
  <c r="J109" i="10"/>
  <c r="Q110" i="10"/>
  <c r="X115" i="10"/>
  <c r="W118" i="10"/>
  <c r="Q120" i="10"/>
  <c r="R123" i="10"/>
  <c r="X126" i="10"/>
  <c r="K130" i="10"/>
  <c r="Q132" i="10"/>
  <c r="X135" i="10"/>
  <c r="W139" i="10"/>
  <c r="J107" i="13"/>
  <c r="K150" i="13"/>
  <c r="I159" i="13"/>
  <c r="Y181" i="13"/>
  <c r="R188" i="13"/>
  <c r="Y190" i="13"/>
  <c r="X196" i="13"/>
  <c r="L203" i="13"/>
  <c r="P214" i="13"/>
  <c r="C65" i="11"/>
  <c r="S178" i="10"/>
  <c r="S238" i="10" s="1"/>
  <c r="C55" i="6"/>
  <c r="K58" i="6"/>
  <c r="AV60" i="6"/>
  <c r="AV63" i="6" s="1"/>
  <c r="AV94" i="6" s="1"/>
  <c r="AU64" i="6"/>
  <c r="AU66" i="6" s="1"/>
  <c r="AU95" i="6" s="1"/>
  <c r="AT69" i="6"/>
  <c r="X74" i="6"/>
  <c r="BC79" i="6"/>
  <c r="F236" i="6"/>
  <c r="F238" i="6" s="1"/>
  <c r="F276" i="6" s="1"/>
  <c r="C252" i="6"/>
  <c r="E261" i="6"/>
  <c r="Z60" i="10"/>
  <c r="W65" i="10"/>
  <c r="Z68" i="10"/>
  <c r="J73" i="10"/>
  <c r="L77" i="10"/>
  <c r="X81" i="10"/>
  <c r="Z88" i="10"/>
  <c r="J96" i="10"/>
  <c r="X106" i="10"/>
  <c r="Y107" i="10"/>
  <c r="K109" i="10"/>
  <c r="X110" i="10"/>
  <c r="J113" i="10"/>
  <c r="Y115" i="10"/>
  <c r="X118" i="10"/>
  <c r="R120" i="10"/>
  <c r="S123" i="10"/>
  <c r="J127" i="10"/>
  <c r="L130" i="10"/>
  <c r="Z132" i="10"/>
  <c r="Z135" i="10"/>
  <c r="W141" i="10"/>
  <c r="I109" i="13"/>
  <c r="B135" i="13"/>
  <c r="J152" i="13"/>
  <c r="C163" i="13"/>
  <c r="F182" i="13"/>
  <c r="I184" i="13"/>
  <c r="Y188" i="13"/>
  <c r="Z190" i="13"/>
  <c r="C197" i="13"/>
  <c r="C264" i="13" s="1"/>
  <c r="P203" i="13"/>
  <c r="Q214" i="13"/>
  <c r="E65" i="11"/>
  <c r="T166" i="10"/>
  <c r="L55" i="6"/>
  <c r="Y58" i="6"/>
  <c r="X61" i="6"/>
  <c r="AV64" i="6"/>
  <c r="AV66" i="6" s="1"/>
  <c r="AV95" i="6" s="1"/>
  <c r="BA70" i="6"/>
  <c r="BG74" i="6"/>
  <c r="BA80" i="6"/>
  <c r="L73" i="10"/>
  <c r="W77" i="10"/>
  <c r="Y81" i="10"/>
  <c r="P90" i="10"/>
  <c r="I98" i="10"/>
  <c r="R109" i="10"/>
  <c r="Z110" i="10"/>
  <c r="K113" i="10"/>
  <c r="Z115" i="10"/>
  <c r="Y118" i="10"/>
  <c r="S120" i="10"/>
  <c r="I124" i="10"/>
  <c r="K127" i="10"/>
  <c r="W130" i="10"/>
  <c r="I133" i="10"/>
  <c r="Q136" i="10"/>
  <c r="Y141" i="10"/>
  <c r="S109" i="13"/>
  <c r="Q203" i="13"/>
  <c r="D70" i="11"/>
  <c r="T179" i="10"/>
  <c r="C86" i="5"/>
  <c r="E95" i="5"/>
  <c r="D103" i="5"/>
  <c r="C110" i="5"/>
  <c r="D165" i="5"/>
  <c r="C208" i="5"/>
  <c r="G208" i="5" s="1"/>
  <c r="E227" i="5"/>
  <c r="J45" i="6"/>
  <c r="BI45" i="6"/>
  <c r="BH46" i="6"/>
  <c r="C48" i="6"/>
  <c r="X49" i="6"/>
  <c r="BJ52" i="6"/>
  <c r="AM55" i="6"/>
  <c r="AA58" i="6"/>
  <c r="AL61" i="6"/>
  <c r="AN65" i="6"/>
  <c r="BB70" i="6"/>
  <c r="BI74" i="6"/>
  <c r="BB80" i="6"/>
  <c r="C119" i="6"/>
  <c r="C129" i="6"/>
  <c r="D140" i="6"/>
  <c r="C181" i="6"/>
  <c r="G181" i="6" s="1"/>
  <c r="D192" i="6"/>
  <c r="C197" i="6"/>
  <c r="G197" i="6" s="1"/>
  <c r="F202" i="6"/>
  <c r="C231" i="6"/>
  <c r="G231" i="6" s="1"/>
  <c r="F240" i="6"/>
  <c r="F263" i="6"/>
  <c r="F267" i="6" s="1"/>
  <c r="F283" i="6" s="1"/>
  <c r="D82" i="8"/>
  <c r="D118" i="8"/>
  <c r="Q61" i="10"/>
  <c r="Z65" i="10"/>
  <c r="Q69" i="10"/>
  <c r="X73" i="10"/>
  <c r="Y77" i="10"/>
  <c r="P82" i="10"/>
  <c r="Z90" i="10"/>
  <c r="I99" i="10"/>
  <c r="Z106" i="10"/>
  <c r="L108" i="10"/>
  <c r="S109" i="10"/>
  <c r="L113" i="10"/>
  <c r="J116" i="10"/>
  <c r="Z118" i="10"/>
  <c r="J122" i="10"/>
  <c r="J124" i="10"/>
  <c r="L127" i="10"/>
  <c r="Z130" i="10"/>
  <c r="J133" i="10"/>
  <c r="S136" i="10"/>
  <c r="Z141" i="10"/>
  <c r="S111" i="13"/>
  <c r="D135" i="13"/>
  <c r="Y152" i="13"/>
  <c r="I164" i="13"/>
  <c r="Q179" i="13"/>
  <c r="W180" i="13"/>
  <c r="K184" i="13"/>
  <c r="D189" i="13"/>
  <c r="D262" i="13" s="1"/>
  <c r="E197" i="13"/>
  <c r="E264" i="13" s="1"/>
  <c r="B206" i="13"/>
  <c r="B266" i="13" s="1"/>
  <c r="X205" i="13"/>
  <c r="I208" i="13"/>
  <c r="R210" i="13"/>
  <c r="D36" i="11"/>
  <c r="F70" i="11"/>
  <c r="T157" i="10"/>
  <c r="S169" i="10"/>
  <c r="S236" i="10" s="1"/>
  <c r="D86" i="5"/>
  <c r="F95" i="5"/>
  <c r="E103" i="5"/>
  <c r="D110" i="5"/>
  <c r="F169" i="5"/>
  <c r="D208" i="5"/>
  <c r="F227" i="5"/>
  <c r="X45" i="6"/>
  <c r="BJ45" i="6"/>
  <c r="BI46" i="6"/>
  <c r="D48" i="6"/>
  <c r="Y49" i="6"/>
  <c r="AU51" i="6"/>
  <c r="AU53" i="6" s="1"/>
  <c r="AU91" i="6" s="1"/>
  <c r="K54" i="6"/>
  <c r="AZ55" i="6"/>
  <c r="AS58" i="6"/>
  <c r="AW58" i="6" s="1"/>
  <c r="AN61" i="6"/>
  <c r="AO65" i="6"/>
  <c r="BC70" i="6"/>
  <c r="AF75" i="6"/>
  <c r="BI80" i="6"/>
  <c r="C130" i="6"/>
  <c r="E140" i="6"/>
  <c r="E187" i="6"/>
  <c r="E189" i="6" s="1"/>
  <c r="E218" i="6" s="1"/>
  <c r="E192" i="6"/>
  <c r="D197" i="6"/>
  <c r="C203" i="6"/>
  <c r="G203" i="6" s="1"/>
  <c r="E231" i="6"/>
  <c r="E243" i="6"/>
  <c r="D253" i="6"/>
  <c r="D264" i="6"/>
  <c r="X61" i="10"/>
  <c r="K66" i="10"/>
  <c r="W69" i="10"/>
  <c r="Y73" i="10"/>
  <c r="Z77" i="10"/>
  <c r="S82" i="10"/>
  <c r="I91" i="10"/>
  <c r="P108" i="10"/>
  <c r="W109" i="10"/>
  <c r="I112" i="10"/>
  <c r="P113" i="10"/>
  <c r="K116" i="10"/>
  <c r="J119" i="10"/>
  <c r="K122" i="10"/>
  <c r="R124" i="10"/>
  <c r="P127" i="10"/>
  <c r="P131" i="10"/>
  <c r="R133" i="10"/>
  <c r="Z136" i="10"/>
  <c r="Q142" i="10"/>
  <c r="J90" i="13"/>
  <c r="K113" i="13"/>
  <c r="S135" i="13"/>
  <c r="B143" i="13"/>
  <c r="B154" i="13"/>
  <c r="I165" i="13"/>
  <c r="R179" i="13"/>
  <c r="Y180" i="13"/>
  <c r="F185" i="13"/>
  <c r="F193" i="13"/>
  <c r="R195" i="13"/>
  <c r="C206" i="13"/>
  <c r="C266" i="13" s="1"/>
  <c r="Z205" i="13"/>
  <c r="J208" i="13"/>
  <c r="S210" i="13"/>
  <c r="F36" i="11"/>
  <c r="S173" i="10"/>
  <c r="S237" i="10" s="1"/>
  <c r="T153" i="10"/>
  <c r="L46" i="6"/>
  <c r="AV51" i="6"/>
  <c r="AV53" i="6" s="1"/>
  <c r="AV91" i="6" s="1"/>
  <c r="T54" i="6"/>
  <c r="T56" i="6" s="1"/>
  <c r="T92" i="6" s="1"/>
  <c r="BA55" i="6"/>
  <c r="AT58" i="6"/>
  <c r="AO61" i="6"/>
  <c r="X67" i="6"/>
  <c r="AL72" i="6"/>
  <c r="AG75" i="6"/>
  <c r="AZ81" i="6"/>
  <c r="E203" i="6"/>
  <c r="F243" i="6"/>
  <c r="D255" i="6"/>
  <c r="E266" i="6"/>
  <c r="P66" i="10"/>
  <c r="Y69" i="10"/>
  <c r="Z73" i="10"/>
  <c r="R78" i="10"/>
  <c r="W83" i="10"/>
  <c r="W91" i="10"/>
  <c r="Q108" i="10"/>
  <c r="X109" i="10"/>
  <c r="J112" i="10"/>
  <c r="Q113" i="10"/>
  <c r="L116" i="10"/>
  <c r="K119" i="10"/>
  <c r="L122" i="10"/>
  <c r="W124" i="10"/>
  <c r="Z127" i="10"/>
  <c r="R131" i="10"/>
  <c r="W133" i="10"/>
  <c r="K137" i="10"/>
  <c r="W143" i="10"/>
  <c r="I116" i="13"/>
  <c r="K165" i="13"/>
  <c r="S179" i="13"/>
  <c r="Y187" i="13"/>
  <c r="Z193" i="13"/>
  <c r="S195" i="13"/>
  <c r="D206" i="13"/>
  <c r="D266" i="13" s="1"/>
  <c r="K208" i="13"/>
  <c r="E41" i="11"/>
  <c r="P169" i="10"/>
  <c r="P236" i="10" s="1"/>
  <c r="S158" i="10"/>
  <c r="S233" i="10" s="1"/>
  <c r="F86" i="5"/>
  <c r="D96" i="5"/>
  <c r="D105" i="5"/>
  <c r="F110" i="5"/>
  <c r="D211" i="5"/>
  <c r="D232" i="5"/>
  <c r="Z45" i="6"/>
  <c r="M46" i="6"/>
  <c r="AE47" i="6"/>
  <c r="Y48" i="6"/>
  <c r="AZ51" i="6"/>
  <c r="X54" i="6"/>
  <c r="Q57" i="6"/>
  <c r="AU58" i="6"/>
  <c r="BG61" i="6"/>
  <c r="Y67" i="6"/>
  <c r="AM72" i="6"/>
  <c r="AH75" i="6"/>
  <c r="BI81" i="6"/>
  <c r="C109" i="6"/>
  <c r="D121" i="6"/>
  <c r="E131" i="6"/>
  <c r="C142" i="6"/>
  <c r="D188" i="6"/>
  <c r="C193" i="6"/>
  <c r="G193" i="6" s="1"/>
  <c r="C198" i="6"/>
  <c r="G198" i="6" s="1"/>
  <c r="D204" i="6"/>
  <c r="C233" i="6"/>
  <c r="G233" i="6" s="1"/>
  <c r="D246" i="6"/>
  <c r="F255" i="6"/>
  <c r="R62" i="10"/>
  <c r="X66" i="10"/>
  <c r="Z69" i="10"/>
  <c r="S74" i="10"/>
  <c r="W78" i="10"/>
  <c r="Y83" i="10"/>
  <c r="X91" i="10"/>
  <c r="J107" i="10"/>
  <c r="R108" i="10"/>
  <c r="Y109" i="10"/>
  <c r="K112" i="10"/>
  <c r="X113" i="10"/>
  <c r="P116" i="10"/>
  <c r="L119" i="10"/>
  <c r="P122" i="10"/>
  <c r="X124" i="10"/>
  <c r="R128" i="10"/>
  <c r="S131" i="10"/>
  <c r="Y133" i="10"/>
  <c r="Q137" i="10"/>
  <c r="I144" i="10"/>
  <c r="L91" i="13"/>
  <c r="L125" i="13"/>
  <c r="E137" i="13"/>
  <c r="I144" i="13"/>
  <c r="P154" i="13"/>
  <c r="J167" i="13"/>
  <c r="W179" i="13"/>
  <c r="F181" i="13"/>
  <c r="L182" i="13"/>
  <c r="Z187" i="13"/>
  <c r="P191" i="13"/>
  <c r="E206" i="13"/>
  <c r="E266" i="13" s="1"/>
  <c r="F207" i="13"/>
  <c r="F48" i="11"/>
  <c r="Q46" i="6"/>
  <c r="BB51" i="6"/>
  <c r="AM54" i="6"/>
  <c r="R57" i="6"/>
  <c r="AZ58" i="6"/>
  <c r="BH61" i="6"/>
  <c r="BG67" i="6"/>
  <c r="AN72" i="6"/>
  <c r="AT76" i="6"/>
  <c r="E121" i="6"/>
  <c r="D133" i="6"/>
  <c r="D142" i="6"/>
  <c r="C183" i="6"/>
  <c r="E188" i="6"/>
  <c r="D193" i="6"/>
  <c r="D198" i="6"/>
  <c r="E204" i="6"/>
  <c r="D233" i="6"/>
  <c r="F246" i="6"/>
  <c r="Y66" i="10"/>
  <c r="J71" i="10"/>
  <c r="W74" i="10"/>
  <c r="W79" i="10"/>
  <c r="P84" i="10"/>
  <c r="Y91" i="10"/>
  <c r="K107" i="10"/>
  <c r="S108" i="10"/>
  <c r="Z109" i="10"/>
  <c r="R112" i="10"/>
  <c r="Z113" i="10"/>
  <c r="X116" i="10"/>
  <c r="P119" i="10"/>
  <c r="X122" i="10"/>
  <c r="Y124" i="10"/>
  <c r="W128" i="10"/>
  <c r="W131" i="10"/>
  <c r="Z133" i="10"/>
  <c r="S137" i="10"/>
  <c r="J144" i="10"/>
  <c r="K156" i="13"/>
  <c r="L169" i="13"/>
  <c r="X179" i="13"/>
  <c r="P182" i="13"/>
  <c r="F188" i="13"/>
  <c r="R191" i="13"/>
  <c r="F204" i="13"/>
  <c r="L213" i="13"/>
  <c r="J215" i="13"/>
  <c r="F50" i="11"/>
  <c r="E81" i="5"/>
  <c r="E90" i="5"/>
  <c r="C100" i="5"/>
  <c r="F105" i="5"/>
  <c r="E114" i="5"/>
  <c r="C149" i="5"/>
  <c r="C213" i="5"/>
  <c r="C215" i="5" s="1"/>
  <c r="G215" i="5" s="1"/>
  <c r="Z46" i="6"/>
  <c r="AG47" i="6"/>
  <c r="AM48" i="6"/>
  <c r="AT49" i="6"/>
  <c r="Z52" i="6"/>
  <c r="AN54" i="6"/>
  <c r="AO57" i="6"/>
  <c r="BJ58" i="6"/>
  <c r="AV62" i="6"/>
  <c r="BH67" i="6"/>
  <c r="BA76" i="6"/>
  <c r="C113" i="6"/>
  <c r="C123" i="6"/>
  <c r="C171" i="6"/>
  <c r="G171" i="6" s="1"/>
  <c r="C178" i="6"/>
  <c r="G178" i="6" s="1"/>
  <c r="E183" i="6"/>
  <c r="E186" i="6" s="1"/>
  <c r="E217" i="6" s="1"/>
  <c r="F188" i="6"/>
  <c r="E193" i="6"/>
  <c r="F198" i="6"/>
  <c r="F204" i="6"/>
  <c r="E233" i="6"/>
  <c r="C247" i="6"/>
  <c r="G247" i="6" s="1"/>
  <c r="C258" i="6"/>
  <c r="G258" i="6" s="1"/>
  <c r="J60" i="10"/>
  <c r="W62" i="10"/>
  <c r="Z66" i="10"/>
  <c r="Y71" i="10"/>
  <c r="Y74" i="10"/>
  <c r="X79" i="10"/>
  <c r="X87" i="10"/>
  <c r="P92" i="10"/>
  <c r="J106" i="10"/>
  <c r="L107" i="10"/>
  <c r="J110" i="10"/>
  <c r="W112" i="10"/>
  <c r="I115" i="10"/>
  <c r="Z116" i="10"/>
  <c r="X119" i="10"/>
  <c r="Z122" i="10"/>
  <c r="Z124" i="10"/>
  <c r="X128" i="10"/>
  <c r="X131" i="10"/>
  <c r="I135" i="10"/>
  <c r="J138" i="10"/>
  <c r="W137" i="13"/>
  <c r="Y144" i="13"/>
  <c r="E158" i="13"/>
  <c r="Q182" i="13"/>
  <c r="I185" i="13"/>
  <c r="F203" i="13"/>
  <c r="B217" i="13"/>
  <c r="B268" i="13" s="1"/>
  <c r="K215" i="13"/>
  <c r="C51" i="11"/>
  <c r="AM94" i="2"/>
  <c r="AL76" i="2"/>
  <c r="AH80" i="2"/>
  <c r="AG89" i="2"/>
  <c r="AH91" i="2"/>
  <c r="AN94" i="2"/>
  <c r="J103" i="2"/>
  <c r="AH105" i="2"/>
  <c r="K108" i="2"/>
  <c r="AO109" i="2"/>
  <c r="AH83" i="2"/>
  <c r="AH89" i="2"/>
  <c r="AL91" i="2"/>
  <c r="L103" i="2"/>
  <c r="AO101" i="3"/>
  <c r="AN100" i="3"/>
  <c r="AL98" i="3"/>
  <c r="AO89" i="3"/>
  <c r="AM87" i="3"/>
  <c r="AL86" i="3"/>
  <c r="AN102" i="3"/>
  <c r="AO96" i="3"/>
  <c r="AO90" i="3"/>
  <c r="AM102" i="3"/>
  <c r="AN96" i="3"/>
  <c r="AL102" i="3"/>
  <c r="AM96" i="3"/>
  <c r="AM90" i="3"/>
  <c r="AN87" i="3"/>
  <c r="AN84" i="3"/>
  <c r="AO103" i="3"/>
  <c r="AL96" i="3"/>
  <c r="AL90" i="3"/>
  <c r="AL87" i="3"/>
  <c r="AM84" i="3"/>
  <c r="AM80" i="3"/>
  <c r="AL79" i="3"/>
  <c r="AO70" i="3"/>
  <c r="AN69" i="3"/>
  <c r="AM68" i="3"/>
  <c r="AL67" i="3"/>
  <c r="AN103" i="3"/>
  <c r="AO100" i="3"/>
  <c r="AO97" i="3"/>
  <c r="AO94" i="3"/>
  <c r="AO91" i="3"/>
  <c r="AM103" i="3"/>
  <c r="AM100" i="3"/>
  <c r="AN97" i="3"/>
  <c r="AN94" i="3"/>
  <c r="AN91" i="3"/>
  <c r="AO82" i="3"/>
  <c r="AN71" i="3"/>
  <c r="AM70" i="3"/>
  <c r="AL69" i="3"/>
  <c r="AL103" i="3"/>
  <c r="AL97" i="3"/>
  <c r="AL94" i="3"/>
  <c r="AL91" i="3"/>
  <c r="AM82" i="3"/>
  <c r="AL108" i="3"/>
  <c r="AN101" i="3"/>
  <c r="AO98" i="3"/>
  <c r="AO95" i="3"/>
  <c r="AO92" i="3"/>
  <c r="AL82" i="3"/>
  <c r="AL101" i="3"/>
  <c r="AN98" i="3"/>
  <c r="AL89" i="3"/>
  <c r="AM86" i="3"/>
  <c r="AM77" i="3"/>
  <c r="AN68" i="3"/>
  <c r="AL100" i="3"/>
  <c r="AM98" i="3"/>
  <c r="AL77" i="3"/>
  <c r="AN70" i="3"/>
  <c r="AL68" i="3"/>
  <c r="AO102" i="3"/>
  <c r="AM97" i="3"/>
  <c r="AO84" i="3"/>
  <c r="AO74" i="3"/>
  <c r="AL70" i="3"/>
  <c r="AN95" i="3"/>
  <c r="AN92" i="3"/>
  <c r="AL84" i="3"/>
  <c r="AO76" i="3"/>
  <c r="AN74" i="3"/>
  <c r="AM95" i="3"/>
  <c r="AM92" i="3"/>
  <c r="AO80" i="3"/>
  <c r="AN76" i="3"/>
  <c r="AM74" i="3"/>
  <c r="AO67" i="3"/>
  <c r="AM79" i="3"/>
  <c r="AO71" i="3"/>
  <c r="AM69" i="3"/>
  <c r="AN90" i="3"/>
  <c r="AO83" i="3"/>
  <c r="AO73" i="3"/>
  <c r="AM71" i="3"/>
  <c r="AN83" i="3"/>
  <c r="AN73" i="3"/>
  <c r="AL71" i="3"/>
  <c r="AN89" i="3"/>
  <c r="AO86" i="3"/>
  <c r="AM83" i="3"/>
  <c r="AM89" i="3"/>
  <c r="AN86" i="3"/>
  <c r="AL83" i="3"/>
  <c r="AO68" i="3"/>
  <c r="AL92" i="3"/>
  <c r="AO77" i="3"/>
  <c r="AN77" i="3"/>
  <c r="AL74" i="3"/>
  <c r="AN67" i="3"/>
  <c r="AM94" i="3"/>
  <c r="AO87" i="3"/>
  <c r="AM76" i="3"/>
  <c r="AM73" i="3"/>
  <c r="AM67" i="3"/>
  <c r="AN80" i="3"/>
  <c r="AO79" i="3"/>
  <c r="AL76" i="3"/>
  <c r="AL73" i="3"/>
  <c r="AM101" i="3"/>
  <c r="AL95" i="3"/>
  <c r="AM91" i="3"/>
  <c r="AO69" i="3"/>
  <c r="AE78" i="2"/>
  <c r="M105" i="2"/>
  <c r="L104" i="2"/>
  <c r="K103" i="2"/>
  <c r="J102" i="2"/>
  <c r="M93" i="2"/>
  <c r="K91" i="2"/>
  <c r="J90" i="2"/>
  <c r="M110" i="2"/>
  <c r="L110" i="2"/>
  <c r="L107" i="2"/>
  <c r="M104" i="2"/>
  <c r="M101" i="2"/>
  <c r="M98" i="2"/>
  <c r="J108" i="2"/>
  <c r="J105" i="2"/>
  <c r="K102" i="2"/>
  <c r="K99" i="2"/>
  <c r="K96" i="2"/>
  <c r="K93" i="2"/>
  <c r="L90" i="2"/>
  <c r="L87" i="2"/>
  <c r="L81" i="2"/>
  <c r="K80" i="2"/>
  <c r="L109" i="2"/>
  <c r="M103" i="2"/>
  <c r="M109" i="2"/>
  <c r="L97" i="2"/>
  <c r="M91" i="2"/>
  <c r="L89" i="2"/>
  <c r="J87" i="2"/>
  <c r="M83" i="2"/>
  <c r="J76" i="2"/>
  <c r="M74" i="2"/>
  <c r="J89" i="2"/>
  <c r="K83" i="2"/>
  <c r="K109" i="2"/>
  <c r="L101" i="2"/>
  <c r="K97" i="2"/>
  <c r="L91" i="2"/>
  <c r="K89" i="2"/>
  <c r="L83" i="2"/>
  <c r="M80" i="2"/>
  <c r="M77" i="2"/>
  <c r="L93" i="2"/>
  <c r="J91" i="2"/>
  <c r="L77" i="2"/>
  <c r="J109" i="2"/>
  <c r="K101" i="2"/>
  <c r="J97" i="2"/>
  <c r="M96" i="2"/>
  <c r="L80" i="2"/>
  <c r="K110" i="2"/>
  <c r="J101" i="2"/>
  <c r="L96" i="2"/>
  <c r="J93" i="2"/>
  <c r="M86" i="2"/>
  <c r="J83" i="2"/>
  <c r="J80" i="2"/>
  <c r="K77" i="2"/>
  <c r="K74" i="2"/>
  <c r="J110" i="2"/>
  <c r="J96" i="2"/>
  <c r="L86" i="2"/>
  <c r="M84" i="2"/>
  <c r="J77" i="2"/>
  <c r="J74" i="2"/>
  <c r="L99" i="2"/>
  <c r="M94" i="2"/>
  <c r="K90" i="2"/>
  <c r="J84" i="2"/>
  <c r="J81" i="2"/>
  <c r="K78" i="2"/>
  <c r="K75" i="2"/>
  <c r="J99" i="2"/>
  <c r="J78" i="2"/>
  <c r="M107" i="2"/>
  <c r="L94" i="2"/>
  <c r="J75" i="2"/>
  <c r="M108" i="2"/>
  <c r="M76" i="2"/>
  <c r="L98" i="2"/>
  <c r="K94" i="2"/>
  <c r="M75" i="2"/>
  <c r="AF78" i="2"/>
  <c r="AO80" i="2"/>
  <c r="AE81" i="2"/>
  <c r="AE86" i="2"/>
  <c r="AF87" i="2"/>
  <c r="AN89" i="2"/>
  <c r="AG90" i="2"/>
  <c r="AE98" i="2"/>
  <c r="AH99" i="2"/>
  <c r="L102" i="2"/>
  <c r="J107" i="2"/>
  <c r="AO81" i="2"/>
  <c r="AN84" i="2"/>
  <c r="AO87" i="2"/>
  <c r="J94" i="2"/>
  <c r="AL103" i="2"/>
  <c r="AN108" i="2"/>
  <c r="J115" i="2"/>
  <c r="AL80" i="3"/>
  <c r="AH108" i="2"/>
  <c r="AG107" i="2"/>
  <c r="AE105" i="2"/>
  <c r="AH96" i="2"/>
  <c r="AF94" i="2"/>
  <c r="AE93" i="2"/>
  <c r="AE115" i="2"/>
  <c r="AF110" i="2"/>
  <c r="AE110" i="2"/>
  <c r="AE107" i="2"/>
  <c r="AF104" i="2"/>
  <c r="AF101" i="2"/>
  <c r="AF98" i="2"/>
  <c r="AG109" i="2"/>
  <c r="AH103" i="2"/>
  <c r="AH97" i="2"/>
  <c r="AE90" i="2"/>
  <c r="AE87" i="2"/>
  <c r="AG84" i="2"/>
  <c r="AF83" i="2"/>
  <c r="AE109" i="2"/>
  <c r="AF103" i="2"/>
  <c r="AG108" i="2"/>
  <c r="AF107" i="2"/>
  <c r="AG105" i="2"/>
  <c r="AG104" i="2"/>
  <c r="AG103" i="2"/>
  <c r="AG102" i="2"/>
  <c r="AG97" i="2"/>
  <c r="AG91" i="2"/>
  <c r="AF89" i="2"/>
  <c r="AG83" i="2"/>
  <c r="AG80" i="2"/>
  <c r="AG77" i="2"/>
  <c r="AG74" i="2"/>
  <c r="AF80" i="2"/>
  <c r="AF77" i="2"/>
  <c r="AF74" i="2"/>
  <c r="AF108" i="2"/>
  <c r="AF105" i="2"/>
  <c r="AE104" i="2"/>
  <c r="AE103" i="2"/>
  <c r="AF102" i="2"/>
  <c r="AH101" i="2"/>
  <c r="AF97" i="2"/>
  <c r="AH93" i="2"/>
  <c r="AF91" i="2"/>
  <c r="AE89" i="2"/>
  <c r="AE83" i="2"/>
  <c r="AE97" i="2"/>
  <c r="AG93" i="2"/>
  <c r="AE91" i="2"/>
  <c r="AH86" i="2"/>
  <c r="AE77" i="2"/>
  <c r="AE108" i="2"/>
  <c r="AE102" i="2"/>
  <c r="AG101" i="2"/>
  <c r="AE80" i="2"/>
  <c r="AH109" i="2"/>
  <c r="AE101" i="2"/>
  <c r="AG96" i="2"/>
  <c r="AF93" i="2"/>
  <c r="AG86" i="2"/>
  <c r="AH84" i="2"/>
  <c r="AH81" i="2"/>
  <c r="AH78" i="2"/>
  <c r="AH75" i="2"/>
  <c r="AF109" i="2"/>
  <c r="AF96" i="2"/>
  <c r="AF86" i="2"/>
  <c r="AF84" i="2"/>
  <c r="AG81" i="2"/>
  <c r="AG78" i="2"/>
  <c r="AG75" i="2"/>
  <c r="AG99" i="2"/>
  <c r="AF90" i="2"/>
  <c r="AH76" i="2"/>
  <c r="AF99" i="2"/>
  <c r="AH94" i="2"/>
  <c r="AG76" i="2"/>
  <c r="AH87" i="2"/>
  <c r="AF76" i="2"/>
  <c r="AE99" i="2"/>
  <c r="AH98" i="2"/>
  <c r="AG94" i="2"/>
  <c r="AE96" i="2"/>
  <c r="AH102" i="2"/>
  <c r="AH107" i="2"/>
  <c r="AG110" i="2"/>
  <c r="AL115" i="2"/>
  <c r="AN79" i="3"/>
  <c r="AL74" i="2"/>
  <c r="AE75" i="2"/>
  <c r="AF75" i="2"/>
  <c r="AH110" i="2"/>
  <c r="D71" i="3"/>
  <c r="F73" i="3"/>
  <c r="F75" i="3" s="1"/>
  <c r="F113" i="3" s="1"/>
  <c r="D83" i="3"/>
  <c r="AL110" i="2"/>
  <c r="AO101" i="2"/>
  <c r="AM99" i="2"/>
  <c r="AL98" i="2"/>
  <c r="AO89" i="2"/>
  <c r="AM87" i="2"/>
  <c r="AL86" i="2"/>
  <c r="AM108" i="2"/>
  <c r="AL108" i="2"/>
  <c r="AL105" i="2"/>
  <c r="AL102" i="2"/>
  <c r="AL99" i="2"/>
  <c r="AM96" i="2"/>
  <c r="AN110" i="2"/>
  <c r="AN107" i="2"/>
  <c r="AN104" i="2"/>
  <c r="AN101" i="2"/>
  <c r="AO98" i="2"/>
  <c r="AO78" i="2"/>
  <c r="AN77" i="2"/>
  <c r="AM76" i="2"/>
  <c r="AL75" i="2"/>
  <c r="AL107" i="2"/>
  <c r="AL104" i="2"/>
  <c r="AN109" i="2"/>
  <c r="AN96" i="2"/>
  <c r="AO90" i="2"/>
  <c r="AM86" i="2"/>
  <c r="AM84" i="2"/>
  <c r="AM81" i="2"/>
  <c r="AM78" i="2"/>
  <c r="AN75" i="2"/>
  <c r="AM75" i="2"/>
  <c r="AM109" i="2"/>
  <c r="AL96" i="2"/>
  <c r="AN90" i="2"/>
  <c r="AL84" i="2"/>
  <c r="AL81" i="2"/>
  <c r="AL78" i="2"/>
  <c r="AM90" i="2"/>
  <c r="AL109" i="2"/>
  <c r="AO110" i="2"/>
  <c r="AO99" i="2"/>
  <c r="AL90" i="2"/>
  <c r="AO76" i="2"/>
  <c r="AN76" i="2"/>
  <c r="AM110" i="2"/>
  <c r="AN99" i="2"/>
  <c r="AO94" i="2"/>
  <c r="AO105" i="2"/>
  <c r="AO103" i="2"/>
  <c r="AO102" i="2"/>
  <c r="AM98" i="2"/>
  <c r="AL94" i="2"/>
  <c r="AO91" i="2"/>
  <c r="AM89" i="2"/>
  <c r="AL87" i="2"/>
  <c r="AN83" i="2"/>
  <c r="AN80" i="2"/>
  <c r="AO77" i="2"/>
  <c r="AO74" i="2"/>
  <c r="AO107" i="2"/>
  <c r="AN105" i="2"/>
  <c r="AN102" i="2"/>
  <c r="AO97" i="2"/>
  <c r="AN91" i="2"/>
  <c r="AL89" i="2"/>
  <c r="AM83" i="2"/>
  <c r="AM80" i="2"/>
  <c r="AM77" i="2"/>
  <c r="AN93" i="2"/>
  <c r="AO104" i="2"/>
  <c r="AN103" i="2"/>
  <c r="AO93" i="2"/>
  <c r="AN74" i="2"/>
  <c r="AM103" i="2"/>
  <c r="AN97" i="2"/>
  <c r="AL80" i="2"/>
  <c r="AL77" i="2"/>
  <c r="AM74" i="2"/>
  <c r="AO108" i="2"/>
  <c r="AM107" i="2"/>
  <c r="AM105" i="2"/>
  <c r="AM104" i="2"/>
  <c r="AM102" i="2"/>
  <c r="AM91" i="2"/>
  <c r="AL83" i="2"/>
  <c r="L78" i="2"/>
  <c r="K87" i="2"/>
  <c r="M89" i="2"/>
  <c r="AL101" i="2"/>
  <c r="K105" i="2"/>
  <c r="F100" i="3"/>
  <c r="D98" i="3"/>
  <c r="C97" i="3"/>
  <c r="E87" i="3"/>
  <c r="D86" i="3"/>
  <c r="D102" i="3"/>
  <c r="E96" i="3"/>
  <c r="E90" i="3"/>
  <c r="C102" i="3"/>
  <c r="D96" i="3"/>
  <c r="F103" i="3"/>
  <c r="C96" i="3"/>
  <c r="C90" i="3"/>
  <c r="C87" i="3"/>
  <c r="D84" i="3"/>
  <c r="E103" i="3"/>
  <c r="E100" i="3"/>
  <c r="F97" i="3"/>
  <c r="F94" i="3"/>
  <c r="F91" i="3"/>
  <c r="C84" i="3"/>
  <c r="E80" i="3"/>
  <c r="D79" i="3"/>
  <c r="F69" i="3"/>
  <c r="E68" i="3"/>
  <c r="D67" i="3"/>
  <c r="D103" i="3"/>
  <c r="D100" i="3"/>
  <c r="E97" i="3"/>
  <c r="E94" i="3"/>
  <c r="E91" i="3"/>
  <c r="C103" i="3"/>
  <c r="C100" i="3"/>
  <c r="D97" i="3"/>
  <c r="D94" i="3"/>
  <c r="D91" i="3"/>
  <c r="E82" i="3"/>
  <c r="C80" i="3"/>
  <c r="F71" i="3"/>
  <c r="E70" i="3"/>
  <c r="D69" i="3"/>
  <c r="C68" i="3"/>
  <c r="E101" i="3"/>
  <c r="F98" i="3"/>
  <c r="F95" i="3"/>
  <c r="F92" i="3"/>
  <c r="F89" i="3"/>
  <c r="C82" i="3"/>
  <c r="D101" i="3"/>
  <c r="E98" i="3"/>
  <c r="E95" i="3"/>
  <c r="E92" i="3"/>
  <c r="E89" i="3"/>
  <c r="F86" i="3"/>
  <c r="F83" i="3"/>
  <c r="C95" i="3"/>
  <c r="C92" i="3"/>
  <c r="E86" i="3"/>
  <c r="C83" i="3"/>
  <c r="F79" i="3"/>
  <c r="F76" i="3"/>
  <c r="E74" i="3"/>
  <c r="C94" i="3"/>
  <c r="C86" i="3"/>
  <c r="E79" i="3"/>
  <c r="E76" i="3"/>
  <c r="D74" i="3"/>
  <c r="F67" i="3"/>
  <c r="C79" i="3"/>
  <c r="D76" i="3"/>
  <c r="C74" i="3"/>
  <c r="C91" i="3"/>
  <c r="F84" i="3"/>
  <c r="C76" i="3"/>
  <c r="E69" i="3"/>
  <c r="C67" i="3"/>
  <c r="E84" i="3"/>
  <c r="E71" i="3"/>
  <c r="C69" i="3"/>
  <c r="F102" i="3"/>
  <c r="C101" i="3"/>
  <c r="F77" i="3"/>
  <c r="D73" i="3"/>
  <c r="E102" i="3"/>
  <c r="C98" i="3"/>
  <c r="D89" i="3"/>
  <c r="E77" i="3"/>
  <c r="C73" i="3"/>
  <c r="F68" i="3"/>
  <c r="C89" i="3"/>
  <c r="F82" i="3"/>
  <c r="F80" i="3"/>
  <c r="D77" i="3"/>
  <c r="F70" i="3"/>
  <c r="D68" i="3"/>
  <c r="D95" i="3"/>
  <c r="C77" i="3"/>
  <c r="E73" i="3"/>
  <c r="C71" i="3"/>
  <c r="D70" i="3"/>
  <c r="C70" i="3"/>
  <c r="D92" i="3"/>
  <c r="D82" i="3"/>
  <c r="E67" i="3"/>
  <c r="F96" i="3"/>
  <c r="E83" i="3"/>
  <c r="F90" i="3"/>
  <c r="F87" i="3"/>
  <c r="D90" i="3"/>
  <c r="D87" i="3"/>
  <c r="AH74" i="2"/>
  <c r="AO84" i="2"/>
  <c r="AO75" i="2"/>
  <c r="M78" i="2"/>
  <c r="K81" i="2"/>
  <c r="J86" i="2"/>
  <c r="M87" i="2"/>
  <c r="M90" i="2"/>
  <c r="AL93" i="2"/>
  <c r="J98" i="2"/>
  <c r="AM101" i="2"/>
  <c r="L105" i="2"/>
  <c r="AU90" i="2"/>
  <c r="R97" i="2"/>
  <c r="S101" i="2"/>
  <c r="Z110" i="2"/>
  <c r="AS115" i="2"/>
  <c r="T74" i="2"/>
  <c r="Z75" i="2"/>
  <c r="AS75" i="2"/>
  <c r="S77" i="2"/>
  <c r="Z78" i="2"/>
  <c r="Y84" i="2"/>
  <c r="X86" i="2"/>
  <c r="AS86" i="2"/>
  <c r="AA90" i="2"/>
  <c r="T93" i="2"/>
  <c r="X96" i="2"/>
  <c r="T109" i="2"/>
  <c r="AU109" i="2"/>
  <c r="AA75" i="2"/>
  <c r="AT75" i="2"/>
  <c r="T77" i="2"/>
  <c r="AA78" i="2"/>
  <c r="T83" i="2"/>
  <c r="Z84" i="2"/>
  <c r="AS84" i="2"/>
  <c r="Y96" i="2"/>
  <c r="T97" i="2"/>
  <c r="AS101" i="2"/>
  <c r="AU105" i="2"/>
  <c r="AT104" i="2"/>
  <c r="AS103" i="2"/>
  <c r="AV94" i="2"/>
  <c r="AU93" i="2"/>
  <c r="AS91" i="2"/>
  <c r="AS109" i="2"/>
  <c r="AV110" i="2"/>
  <c r="AV107" i="2"/>
  <c r="AS97" i="2"/>
  <c r="AS94" i="2"/>
  <c r="AT108" i="2"/>
  <c r="AT105" i="2"/>
  <c r="AU102" i="2"/>
  <c r="AU99" i="2"/>
  <c r="AU96" i="2"/>
  <c r="AV93" i="2"/>
  <c r="AV90" i="2"/>
  <c r="AV87" i="2"/>
  <c r="AV83" i="2"/>
  <c r="AT81" i="2"/>
  <c r="AS80" i="2"/>
  <c r="AV109" i="2"/>
  <c r="AS102" i="2"/>
  <c r="AS78" i="2"/>
  <c r="S80" i="2"/>
  <c r="Y81" i="2"/>
  <c r="S83" i="2"/>
  <c r="Q89" i="2"/>
  <c r="S91" i="2"/>
  <c r="AS96" i="2"/>
  <c r="AT78" i="2"/>
  <c r="T80" i="2"/>
  <c r="Z81" i="2"/>
  <c r="AS81" i="2"/>
  <c r="Z86" i="2"/>
  <c r="AT86" i="2"/>
  <c r="Q87" i="2"/>
  <c r="R89" i="2"/>
  <c r="T91" i="2"/>
  <c r="AT96" i="2"/>
  <c r="T101" i="2"/>
  <c r="Q102" i="2"/>
  <c r="R103" i="2"/>
  <c r="Q104" i="2"/>
  <c r="Q105" i="2"/>
  <c r="AA110" i="2"/>
  <c r="E74" i="2"/>
  <c r="X74" i="2"/>
  <c r="AU75" i="2"/>
  <c r="Q76" i="2"/>
  <c r="D77" i="2"/>
  <c r="AU78" i="2"/>
  <c r="D80" i="2"/>
  <c r="AA81" i="2"/>
  <c r="AU81" i="2"/>
  <c r="D83" i="2"/>
  <c r="AA84" i="2"/>
  <c r="AT84" i="2"/>
  <c r="AA86" i="2"/>
  <c r="AU86" i="2"/>
  <c r="R87" i="2"/>
  <c r="S89" i="2"/>
  <c r="C91" i="2"/>
  <c r="D93" i="2"/>
  <c r="X93" i="2"/>
  <c r="E96" i="2"/>
  <c r="Z96" i="2"/>
  <c r="AV96" i="2"/>
  <c r="Q98" i="2"/>
  <c r="X101" i="2"/>
  <c r="AT101" i="2"/>
  <c r="R102" i="2"/>
  <c r="S103" i="2"/>
  <c r="R104" i="2"/>
  <c r="R105" i="2"/>
  <c r="R107" i="2"/>
  <c r="Q108" i="2"/>
  <c r="AU108" i="2"/>
  <c r="X109" i="2"/>
  <c r="E110" i="2"/>
  <c r="D203" i="2"/>
  <c r="E209" i="2"/>
  <c r="F215" i="2"/>
  <c r="D222" i="2"/>
  <c r="F228" i="2"/>
  <c r="F234" i="2"/>
  <c r="AH96" i="3"/>
  <c r="AG95" i="3"/>
  <c r="AF94" i="3"/>
  <c r="AH84" i="3"/>
  <c r="AG83" i="3"/>
  <c r="AF82" i="3"/>
  <c r="AH101" i="3"/>
  <c r="AH98" i="3"/>
  <c r="AE91" i="3"/>
  <c r="AG101" i="3"/>
  <c r="AG98" i="3"/>
  <c r="AH95" i="3"/>
  <c r="AH92" i="3"/>
  <c r="AF101" i="3"/>
  <c r="AF98" i="3"/>
  <c r="AF95" i="3"/>
  <c r="AG92" i="3"/>
  <c r="AG89" i="3"/>
  <c r="AG86" i="3"/>
  <c r="AH83" i="3"/>
  <c r="AE101" i="3"/>
  <c r="AE98" i="3"/>
  <c r="AE95" i="3"/>
  <c r="AF92" i="3"/>
  <c r="AF89" i="3"/>
  <c r="AF86" i="3"/>
  <c r="AF83" i="3"/>
  <c r="AH77" i="3"/>
  <c r="AG76" i="3"/>
  <c r="AE74" i="3"/>
  <c r="AH102" i="3"/>
  <c r="AE92" i="3"/>
  <c r="AE89" i="3"/>
  <c r="AG102" i="3"/>
  <c r="AG96" i="3"/>
  <c r="AH90" i="3"/>
  <c r="AH87" i="3"/>
  <c r="AH79" i="3"/>
  <c r="AF77" i="3"/>
  <c r="AE76" i="3"/>
  <c r="AH67" i="3"/>
  <c r="AF102" i="3"/>
  <c r="AE102" i="3"/>
  <c r="AE96" i="3"/>
  <c r="AF90" i="3"/>
  <c r="AF87" i="3"/>
  <c r="AF84" i="3"/>
  <c r="AG80" i="3"/>
  <c r="AF79" i="3"/>
  <c r="AH103" i="3"/>
  <c r="AH100" i="3"/>
  <c r="AH97" i="3"/>
  <c r="AE90" i="3"/>
  <c r="AE87" i="3"/>
  <c r="AE84" i="3"/>
  <c r="AF80" i="3"/>
  <c r="AG71" i="3"/>
  <c r="AE69" i="3"/>
  <c r="AH89" i="3"/>
  <c r="AE83" i="3"/>
  <c r="AH73" i="3"/>
  <c r="AF71" i="3"/>
  <c r="AE108" i="3"/>
  <c r="AG100" i="3"/>
  <c r="AH86" i="3"/>
  <c r="AG73" i="3"/>
  <c r="AE71" i="3"/>
  <c r="AH68" i="3"/>
  <c r="AF100" i="3"/>
  <c r="AG97" i="3"/>
  <c r="AE86" i="3"/>
  <c r="AG77" i="3"/>
  <c r="AF73" i="3"/>
  <c r="AG68" i="3"/>
  <c r="AE100" i="3"/>
  <c r="AF97" i="3"/>
  <c r="AF96" i="3"/>
  <c r="AG84" i="3"/>
  <c r="AE77" i="3"/>
  <c r="AE73" i="3"/>
  <c r="AH70" i="3"/>
  <c r="AF68" i="3"/>
  <c r="AE103" i="3"/>
  <c r="AG94" i="3"/>
  <c r="AG91" i="3"/>
  <c r="AG87" i="3"/>
  <c r="AH80" i="3"/>
  <c r="AH74" i="3"/>
  <c r="AE70" i="3"/>
  <c r="AE94" i="3"/>
  <c r="AF91" i="3"/>
  <c r="AH82" i="3"/>
  <c r="AE80" i="3"/>
  <c r="AH76" i="3"/>
  <c r="AG74" i="3"/>
  <c r="AG67" i="3"/>
  <c r="AG90" i="3"/>
  <c r="AG82" i="3"/>
  <c r="AG79" i="3"/>
  <c r="AF76" i="3"/>
  <c r="AF74" i="3"/>
  <c r="AH69" i="3"/>
  <c r="AF67" i="3"/>
  <c r="AE79" i="3"/>
  <c r="AE97" i="3"/>
  <c r="AA74" i="2"/>
  <c r="AT74" i="2"/>
  <c r="T76" i="2"/>
  <c r="AA77" i="2"/>
  <c r="AT77" i="2"/>
  <c r="Z80" i="2"/>
  <c r="AT80" i="2"/>
  <c r="Z83" i="2"/>
  <c r="AS83" i="2"/>
  <c r="C87" i="2"/>
  <c r="X87" i="2"/>
  <c r="D89" i="2"/>
  <c r="Z89" i="2"/>
  <c r="AT89" i="2"/>
  <c r="Q90" i="2"/>
  <c r="F91" i="2"/>
  <c r="Z91" i="2"/>
  <c r="AU91" i="2"/>
  <c r="AA93" i="2"/>
  <c r="T94" i="2"/>
  <c r="E97" i="2"/>
  <c r="AA97" i="2"/>
  <c r="AV97" i="2"/>
  <c r="AS98" i="2"/>
  <c r="Q99" i="2"/>
  <c r="F101" i="2"/>
  <c r="C102" i="2"/>
  <c r="X102" i="2"/>
  <c r="X103" i="2"/>
  <c r="AV103" i="2"/>
  <c r="Y104" i="2"/>
  <c r="AV104" i="2"/>
  <c r="X105" i="2"/>
  <c r="Y107" i="2"/>
  <c r="AU107" i="2"/>
  <c r="Z108" i="2"/>
  <c r="C205" i="2"/>
  <c r="C211" i="2"/>
  <c r="F223" i="2"/>
  <c r="AH71" i="3"/>
  <c r="D110" i="2"/>
  <c r="C109" i="2"/>
  <c r="E99" i="2"/>
  <c r="D98" i="2"/>
  <c r="C97" i="2"/>
  <c r="E87" i="2"/>
  <c r="D86" i="2"/>
  <c r="F109" i="2"/>
  <c r="F103" i="2"/>
  <c r="C96" i="2"/>
  <c r="C110" i="2"/>
  <c r="D107" i="2"/>
  <c r="D104" i="2"/>
  <c r="D101" i="2"/>
  <c r="E98" i="2"/>
  <c r="E89" i="2"/>
  <c r="F86" i="2"/>
  <c r="F77" i="2"/>
  <c r="E76" i="2"/>
  <c r="D75" i="2"/>
  <c r="C74" i="2"/>
  <c r="F108" i="2"/>
  <c r="F105" i="2"/>
  <c r="AU74" i="2"/>
  <c r="Q75" i="2"/>
  <c r="D76" i="2"/>
  <c r="X76" i="2"/>
  <c r="AU77" i="2"/>
  <c r="Q78" i="2"/>
  <c r="AU80" i="2"/>
  <c r="Q81" i="2"/>
  <c r="AA83" i="2"/>
  <c r="AT83" i="2"/>
  <c r="D87" i="2"/>
  <c r="Y87" i="2"/>
  <c r="AS87" i="2"/>
  <c r="F89" i="2"/>
  <c r="AA89" i="2"/>
  <c r="AU89" i="2"/>
  <c r="R90" i="2"/>
  <c r="AV91" i="2"/>
  <c r="C94" i="2"/>
  <c r="F97" i="2"/>
  <c r="Y98" i="2"/>
  <c r="AT98" i="2"/>
  <c r="R99" i="2"/>
  <c r="D102" i="2"/>
  <c r="AA102" i="2"/>
  <c r="C103" i="2"/>
  <c r="Z103" i="2"/>
  <c r="C104" i="2"/>
  <c r="Z104" i="2"/>
  <c r="C105" i="2"/>
  <c r="Z105" i="2"/>
  <c r="C107" i="2"/>
  <c r="Z107" i="2"/>
  <c r="C108" i="2"/>
  <c r="E109" i="2"/>
  <c r="D235" i="2"/>
  <c r="E230" i="2"/>
  <c r="C228" i="2"/>
  <c r="D223" i="2"/>
  <c r="E218" i="2"/>
  <c r="C216" i="2"/>
  <c r="D211" i="2"/>
  <c r="E206" i="2"/>
  <c r="F201" i="2"/>
  <c r="D199" i="2"/>
  <c r="C235" i="2"/>
  <c r="E232" i="2"/>
  <c r="D227" i="2"/>
  <c r="F224" i="2"/>
  <c r="C222" i="2"/>
  <c r="E219" i="2"/>
  <c r="D214" i="2"/>
  <c r="F211" i="2"/>
  <c r="C209" i="2"/>
  <c r="D206" i="2"/>
  <c r="F203" i="2"/>
  <c r="C201" i="2"/>
  <c r="C240" i="2"/>
  <c r="D232" i="2"/>
  <c r="F229" i="2"/>
  <c r="C227" i="2"/>
  <c r="E224" i="2"/>
  <c r="D219" i="2"/>
  <c r="F216" i="2"/>
  <c r="C214" i="2"/>
  <c r="E211" i="2"/>
  <c r="F208" i="2"/>
  <c r="C206" i="2"/>
  <c r="E203" i="2"/>
  <c r="E234" i="2"/>
  <c r="D229" i="2"/>
  <c r="F226" i="2"/>
  <c r="C224" i="2"/>
  <c r="E221" i="2"/>
  <c r="D216" i="2"/>
  <c r="D208" i="2"/>
  <c r="F205" i="2"/>
  <c r="C203" i="2"/>
  <c r="E200" i="2"/>
  <c r="D234" i="2"/>
  <c r="C229" i="2"/>
  <c r="E226" i="2"/>
  <c r="D221" i="2"/>
  <c r="F218" i="2"/>
  <c r="C208" i="2"/>
  <c r="E205" i="2"/>
  <c r="D200" i="2"/>
  <c r="F233" i="2"/>
  <c r="E228" i="2"/>
  <c r="C223" i="2"/>
  <c r="D215" i="2"/>
  <c r="F212" i="2"/>
  <c r="D202" i="2"/>
  <c r="F199" i="2"/>
  <c r="E233" i="2"/>
  <c r="E212" i="2"/>
  <c r="C202" i="2"/>
  <c r="E199" i="2"/>
  <c r="D228" i="2"/>
  <c r="C215" i="2"/>
  <c r="D233" i="2"/>
  <c r="F230" i="2"/>
  <c r="F222" i="2"/>
  <c r="D212" i="2"/>
  <c r="F209" i="2"/>
  <c r="C199" i="2"/>
  <c r="D205" i="2"/>
  <c r="C218" i="2"/>
  <c r="D224" i="2"/>
  <c r="D230" i="2"/>
  <c r="T99" i="2"/>
  <c r="AA104" i="2"/>
  <c r="AA107" i="2"/>
  <c r="S78" i="2"/>
  <c r="S81" i="2"/>
  <c r="S84" i="2"/>
  <c r="Q86" i="2"/>
  <c r="T90" i="2"/>
  <c r="Y94" i="2"/>
  <c r="AU94" i="2"/>
  <c r="AA98" i="2"/>
  <c r="AV98" i="2"/>
  <c r="AS99" i="2"/>
  <c r="AS110" i="2"/>
  <c r="T110" i="2"/>
  <c r="S109" i="2"/>
  <c r="R108" i="2"/>
  <c r="Q107" i="2"/>
  <c r="T98" i="2"/>
  <c r="S97" i="2"/>
  <c r="R96" i="2"/>
  <c r="T86" i="2"/>
  <c r="T108" i="2"/>
  <c r="Q115" i="2"/>
  <c r="S108" i="2"/>
  <c r="S105" i="2"/>
  <c r="S102" i="2"/>
  <c r="S99" i="2"/>
  <c r="T96" i="2"/>
  <c r="Q103" i="2"/>
  <c r="Q97" i="2"/>
  <c r="R94" i="2"/>
  <c r="R91" i="2"/>
  <c r="Q84" i="2"/>
  <c r="T75" i="2"/>
  <c r="S74" i="2"/>
  <c r="R110" i="2"/>
  <c r="S107" i="2"/>
  <c r="S104" i="2"/>
  <c r="S75" i="2"/>
  <c r="X115" i="2"/>
  <c r="AA103" i="2"/>
  <c r="Z102" i="2"/>
  <c r="Y101" i="2"/>
  <c r="AA91" i="2"/>
  <c r="Z90" i="2"/>
  <c r="Y89" i="2"/>
  <c r="Z109" i="2"/>
  <c r="Y109" i="2"/>
  <c r="Y103" i="2"/>
  <c r="Z97" i="2"/>
  <c r="Z94" i="2"/>
  <c r="AA108" i="2"/>
  <c r="AA105" i="2"/>
  <c r="X98" i="2"/>
  <c r="X89" i="2"/>
  <c r="Y86" i="2"/>
  <c r="AA80" i="2"/>
  <c r="Y78" i="2"/>
  <c r="X77" i="2"/>
  <c r="Y108" i="2"/>
  <c r="Y105" i="2"/>
  <c r="Y102" i="2"/>
  <c r="AA76" i="2"/>
  <c r="AT76" i="2"/>
  <c r="T78" i="2"/>
  <c r="T81" i="2"/>
  <c r="T84" i="2"/>
  <c r="R86" i="2"/>
  <c r="Q93" i="2"/>
  <c r="AA94" i="2"/>
  <c r="Q96" i="2"/>
  <c r="Y99" i="2"/>
  <c r="AT99" i="2"/>
  <c r="S110" i="2"/>
  <c r="AT110" i="2"/>
  <c r="AE82" i="3"/>
  <c r="AF103" i="3"/>
  <c r="D263" i="2"/>
  <c r="E268" i="2"/>
  <c r="C271" i="2"/>
  <c r="E276" i="2"/>
  <c r="F281" i="2"/>
  <c r="D284" i="2"/>
  <c r="E289" i="2"/>
  <c r="C292" i="2"/>
  <c r="F294" i="2"/>
  <c r="K103" i="3"/>
  <c r="J102" i="3"/>
  <c r="L92" i="3"/>
  <c r="K91" i="3"/>
  <c r="J90" i="3"/>
  <c r="J108" i="3"/>
  <c r="J103" i="3"/>
  <c r="K100" i="3"/>
  <c r="K97" i="3"/>
  <c r="K94" i="3"/>
  <c r="L91" i="3"/>
  <c r="J100" i="3"/>
  <c r="J97" i="3"/>
  <c r="J94" i="3"/>
  <c r="M101" i="3"/>
  <c r="M98" i="3"/>
  <c r="M95" i="3"/>
  <c r="L101" i="3"/>
  <c r="L98" i="3"/>
  <c r="L95" i="3"/>
  <c r="M92" i="3"/>
  <c r="M89" i="3"/>
  <c r="M86" i="3"/>
  <c r="M83" i="3"/>
  <c r="M74" i="3"/>
  <c r="L73" i="3"/>
  <c r="J71" i="3"/>
  <c r="K101" i="3"/>
  <c r="K98" i="3"/>
  <c r="K95" i="3"/>
  <c r="K92" i="3"/>
  <c r="L89" i="3"/>
  <c r="J101" i="3"/>
  <c r="J98" i="3"/>
  <c r="J95" i="3"/>
  <c r="J92" i="3"/>
  <c r="K89" i="3"/>
  <c r="K86" i="3"/>
  <c r="K83" i="3"/>
  <c r="M76" i="3"/>
  <c r="K74" i="3"/>
  <c r="J73" i="3"/>
  <c r="M102" i="3"/>
  <c r="L102" i="3"/>
  <c r="L96" i="3"/>
  <c r="M90" i="3"/>
  <c r="M87" i="3"/>
  <c r="M84" i="3"/>
  <c r="K102" i="3"/>
  <c r="K96" i="3"/>
  <c r="L90" i="3"/>
  <c r="L87" i="3"/>
  <c r="L84" i="3"/>
  <c r="L67" i="3"/>
  <c r="R71" i="3"/>
  <c r="T73" i="3"/>
  <c r="J74" i="3"/>
  <c r="K76" i="3"/>
  <c r="X77" i="3"/>
  <c r="K79" i="3"/>
  <c r="J83" i="3"/>
  <c r="X84" i="3"/>
  <c r="Q86" i="3"/>
  <c r="S92" i="3"/>
  <c r="T94" i="3"/>
  <c r="J96" i="3"/>
  <c r="L97" i="3"/>
  <c r="M103" i="3"/>
  <c r="F297" i="2"/>
  <c r="D295" i="2"/>
  <c r="E290" i="2"/>
  <c r="C288" i="2"/>
  <c r="F285" i="2"/>
  <c r="D283" i="2"/>
  <c r="E278" i="2"/>
  <c r="C276" i="2"/>
  <c r="F273" i="2"/>
  <c r="F275" i="2" s="1"/>
  <c r="F309" i="2" s="1"/>
  <c r="D271" i="2"/>
  <c r="C264" i="2"/>
  <c r="F261" i="2"/>
  <c r="E263" i="2"/>
  <c r="F268" i="2"/>
  <c r="E271" i="2"/>
  <c r="C274" i="2"/>
  <c r="F276" i="2"/>
  <c r="E284" i="2"/>
  <c r="F289" i="2"/>
  <c r="D292" i="2"/>
  <c r="E297" i="2"/>
  <c r="T98" i="3"/>
  <c r="S97" i="3"/>
  <c r="R96" i="3"/>
  <c r="Q95" i="3"/>
  <c r="T86" i="3"/>
  <c r="R84" i="3"/>
  <c r="Q83" i="3"/>
  <c r="Q101" i="3"/>
  <c r="Q98" i="3"/>
  <c r="R95" i="3"/>
  <c r="R92" i="3"/>
  <c r="R89" i="3"/>
  <c r="T102" i="3"/>
  <c r="Q92" i="3"/>
  <c r="S102" i="3"/>
  <c r="T96" i="3"/>
  <c r="T90" i="3"/>
  <c r="T87" i="3"/>
  <c r="R102" i="3"/>
  <c r="S96" i="3"/>
  <c r="S90" i="3"/>
  <c r="S87" i="3"/>
  <c r="T84" i="3"/>
  <c r="T79" i="3"/>
  <c r="R77" i="3"/>
  <c r="R78" i="3" s="1"/>
  <c r="R114" i="3" s="1"/>
  <c r="Q76" i="3"/>
  <c r="T67" i="3"/>
  <c r="Q102" i="3"/>
  <c r="Q96" i="3"/>
  <c r="R90" i="3"/>
  <c r="R87" i="3"/>
  <c r="T103" i="3"/>
  <c r="T100" i="3"/>
  <c r="Q90" i="3"/>
  <c r="Q87" i="3"/>
  <c r="Q84" i="3"/>
  <c r="S80" i="3"/>
  <c r="R79" i="3"/>
  <c r="T69" i="3"/>
  <c r="S68" i="3"/>
  <c r="R67" i="3"/>
  <c r="S103" i="3"/>
  <c r="R103" i="3"/>
  <c r="R100" i="3"/>
  <c r="R97" i="3"/>
  <c r="S94" i="3"/>
  <c r="S91" i="3"/>
  <c r="T82" i="3"/>
  <c r="Q80" i="3"/>
  <c r="Q103" i="3"/>
  <c r="Q100" i="3"/>
  <c r="Q97" i="3"/>
  <c r="R94" i="3"/>
  <c r="R91" i="3"/>
  <c r="S82" i="3"/>
  <c r="Q69" i="3"/>
  <c r="S71" i="3"/>
  <c r="L74" i="3"/>
  <c r="L76" i="3"/>
  <c r="L79" i="3"/>
  <c r="L81" i="3" s="1"/>
  <c r="L115" i="3" s="1"/>
  <c r="J82" i="3"/>
  <c r="L83" i="3"/>
  <c r="R86" i="3"/>
  <c r="T92" i="3"/>
  <c r="T95" i="3"/>
  <c r="M96" i="3"/>
  <c r="M97" i="3"/>
  <c r="L100" i="3"/>
  <c r="C261" i="2"/>
  <c r="F263" i="2"/>
  <c r="F271" i="2"/>
  <c r="D274" i="2"/>
  <c r="F284" i="2"/>
  <c r="E292" i="2"/>
  <c r="C295" i="2"/>
  <c r="AA103" i="3"/>
  <c r="Z102" i="3"/>
  <c r="Y101" i="3"/>
  <c r="X100" i="3"/>
  <c r="AA91" i="3"/>
  <c r="Z90" i="3"/>
  <c r="Y89" i="3"/>
  <c r="X96" i="3"/>
  <c r="X90" i="3"/>
  <c r="Z103" i="3"/>
  <c r="AA100" i="3"/>
  <c r="AA97" i="3"/>
  <c r="AA94" i="3"/>
  <c r="Y103" i="3"/>
  <c r="Z100" i="3"/>
  <c r="Z97" i="3"/>
  <c r="Z94" i="3"/>
  <c r="Z91" i="3"/>
  <c r="X103" i="3"/>
  <c r="Y100" i="3"/>
  <c r="Y97" i="3"/>
  <c r="Y94" i="3"/>
  <c r="Y91" i="3"/>
  <c r="Z82" i="3"/>
  <c r="Z71" i="3"/>
  <c r="Y70" i="3"/>
  <c r="X69" i="3"/>
  <c r="X97" i="3"/>
  <c r="X94" i="3"/>
  <c r="X91" i="3"/>
  <c r="AA101" i="3"/>
  <c r="AA98" i="3"/>
  <c r="AA95" i="3"/>
  <c r="AA92" i="3"/>
  <c r="X82" i="3"/>
  <c r="AA74" i="3"/>
  <c r="Z73" i="3"/>
  <c r="Z75" i="3" s="1"/>
  <c r="Z113" i="3" s="1"/>
  <c r="X71" i="3"/>
  <c r="X101" i="3"/>
  <c r="Y98" i="3"/>
  <c r="Y95" i="3"/>
  <c r="Y92" i="3"/>
  <c r="Z89" i="3"/>
  <c r="Z86" i="3"/>
  <c r="Z83" i="3"/>
  <c r="X98" i="3"/>
  <c r="X95" i="3"/>
  <c r="X92" i="3"/>
  <c r="X89" i="3"/>
  <c r="Y86" i="3"/>
  <c r="Y83" i="3"/>
  <c r="AA68" i="3"/>
  <c r="R69" i="3"/>
  <c r="K70" i="3"/>
  <c r="T71" i="3"/>
  <c r="X73" i="3"/>
  <c r="Z77" i="3"/>
  <c r="M79" i="3"/>
  <c r="J80" i="3"/>
  <c r="K82" i="3"/>
  <c r="R83" i="3"/>
  <c r="Z84" i="3"/>
  <c r="S86" i="3"/>
  <c r="J89" i="3"/>
  <c r="Y96" i="3"/>
  <c r="M100" i="3"/>
  <c r="E264" i="2"/>
  <c r="C267" i="2"/>
  <c r="E277" i="2"/>
  <c r="C280" i="2"/>
  <c r="D285" i="2"/>
  <c r="F290" i="2"/>
  <c r="L68" i="3"/>
  <c r="S74" i="3"/>
  <c r="T76" i="3"/>
  <c r="K77" i="3"/>
  <c r="M80" i="3"/>
  <c r="Q82" i="3"/>
  <c r="AA86" i="3"/>
  <c r="AA88" i="3" s="1"/>
  <c r="AA117" i="3" s="1"/>
  <c r="T89" i="3"/>
  <c r="S101" i="3"/>
  <c r="Y102" i="3"/>
  <c r="Q108" i="3"/>
  <c r="C262" i="2"/>
  <c r="F264" i="2"/>
  <c r="D267" i="2"/>
  <c r="F277" i="2"/>
  <c r="D280" i="2"/>
  <c r="E285" i="2"/>
  <c r="D288" i="2"/>
  <c r="C296" i="2"/>
  <c r="M68" i="3"/>
  <c r="Q70" i="3"/>
  <c r="K73" i="3"/>
  <c r="T74" i="3"/>
  <c r="L77" i="3"/>
  <c r="X79" i="3"/>
  <c r="R80" i="3"/>
  <c r="R82" i="3"/>
  <c r="X83" i="3"/>
  <c r="J87" i="3"/>
  <c r="K90" i="3"/>
  <c r="Z98" i="3"/>
  <c r="T101" i="3"/>
  <c r="AA102" i="3"/>
  <c r="X108" i="3"/>
  <c r="T80" i="3"/>
  <c r="K87" i="3"/>
  <c r="J91" i="3"/>
  <c r="Z101" i="3"/>
  <c r="E262" i="2"/>
  <c r="C265" i="2"/>
  <c r="F267" i="2"/>
  <c r="D270" i="2"/>
  <c r="C278" i="2"/>
  <c r="F280" i="2"/>
  <c r="E283" i="2"/>
  <c r="C286" i="2"/>
  <c r="F288" i="2"/>
  <c r="D291" i="2"/>
  <c r="E296" i="2"/>
  <c r="Q68" i="3"/>
  <c r="J69" i="3"/>
  <c r="S70" i="3"/>
  <c r="L71" i="3"/>
  <c r="X74" i="3"/>
  <c r="Y76" i="3"/>
  <c r="Q77" i="3"/>
  <c r="Z79" i="3"/>
  <c r="X80" i="3"/>
  <c r="Y82" i="3"/>
  <c r="J84" i="3"/>
  <c r="M91" i="3"/>
  <c r="F262" i="2"/>
  <c r="D265" i="2"/>
  <c r="E270" i="2"/>
  <c r="C273" i="2"/>
  <c r="D278" i="2"/>
  <c r="C281" i="2"/>
  <c r="F283" i="2"/>
  <c r="D286" i="2"/>
  <c r="E291" i="2"/>
  <c r="C294" i="2"/>
  <c r="F296" i="2"/>
  <c r="R68" i="3"/>
  <c r="K69" i="3"/>
  <c r="T70" i="3"/>
  <c r="M71" i="3"/>
  <c r="Q73" i="3"/>
  <c r="S77" i="3"/>
  <c r="AA79" i="3"/>
  <c r="Y80" i="3"/>
  <c r="AA82" i="3"/>
  <c r="K84" i="3"/>
  <c r="X87" i="3"/>
  <c r="Y90" i="3"/>
  <c r="L94" i="3"/>
  <c r="F130" i="3"/>
  <c r="E133" i="3"/>
  <c r="C136" i="3"/>
  <c r="E146" i="3"/>
  <c r="C149" i="3"/>
  <c r="C152" i="3"/>
  <c r="E155" i="3"/>
  <c r="D159" i="3"/>
  <c r="F163" i="3"/>
  <c r="E53" i="5"/>
  <c r="D52" i="5"/>
  <c r="C51" i="5"/>
  <c r="D53" i="5"/>
  <c r="C52" i="5"/>
  <c r="C53" i="5"/>
  <c r="F47" i="5"/>
  <c r="E46" i="5"/>
  <c r="D45" i="5"/>
  <c r="C44" i="5"/>
  <c r="E34" i="5"/>
  <c r="D33" i="5"/>
  <c r="C32" i="5"/>
  <c r="F23" i="5"/>
  <c r="E52" i="5"/>
  <c r="D50" i="5"/>
  <c r="F46" i="5"/>
  <c r="F40" i="5"/>
  <c r="F37" i="5"/>
  <c r="C30" i="5"/>
  <c r="C27" i="5"/>
  <c r="C24" i="5"/>
  <c r="C25" i="5" s="1"/>
  <c r="F21" i="5"/>
  <c r="E20" i="5"/>
  <c r="D19" i="5"/>
  <c r="C18" i="5"/>
  <c r="C50" i="5"/>
  <c r="D46" i="5"/>
  <c r="E40" i="5"/>
  <c r="E37" i="5"/>
  <c r="F34" i="5"/>
  <c r="E21" i="5"/>
  <c r="D20" i="5"/>
  <c r="C19" i="5"/>
  <c r="C46" i="5"/>
  <c r="D40" i="5"/>
  <c r="D37" i="5"/>
  <c r="D34" i="5"/>
  <c r="D21" i="5"/>
  <c r="C20" i="5"/>
  <c r="F53" i="5"/>
  <c r="C40" i="5"/>
  <c r="C37" i="5"/>
  <c r="C34" i="5"/>
  <c r="C21" i="5"/>
  <c r="E47" i="5"/>
  <c r="F44" i="5"/>
  <c r="F41" i="5"/>
  <c r="D47" i="5"/>
  <c r="E44" i="5"/>
  <c r="E41" i="5"/>
  <c r="F32" i="5"/>
  <c r="F29" i="5"/>
  <c r="F26" i="5"/>
  <c r="C41" i="5"/>
  <c r="D32" i="5"/>
  <c r="D29" i="5"/>
  <c r="D26" i="5"/>
  <c r="D23" i="5"/>
  <c r="F51" i="5"/>
  <c r="F48" i="5"/>
  <c r="F45" i="5"/>
  <c r="F42" i="5"/>
  <c r="F39" i="5"/>
  <c r="F36" i="5"/>
  <c r="C29" i="5"/>
  <c r="C26" i="5"/>
  <c r="E51" i="5"/>
  <c r="E48" i="5"/>
  <c r="E45" i="5"/>
  <c r="E42" i="5"/>
  <c r="E39" i="5"/>
  <c r="E36" i="5"/>
  <c r="F33" i="5"/>
  <c r="F30" i="5"/>
  <c r="F27" i="5"/>
  <c r="F18" i="5"/>
  <c r="E23" i="5"/>
  <c r="E24" i="5"/>
  <c r="D30" i="5"/>
  <c r="C33" i="5"/>
  <c r="C36" i="5"/>
  <c r="C39" i="5"/>
  <c r="C42" i="5"/>
  <c r="C48" i="5"/>
  <c r="AV102" i="3"/>
  <c r="C131" i="3"/>
  <c r="F133" i="3"/>
  <c r="D136" i="3"/>
  <c r="F146" i="3"/>
  <c r="D149" i="3"/>
  <c r="D152" i="3"/>
  <c r="E159" i="3"/>
  <c r="E19" i="5"/>
  <c r="F24" i="5"/>
  <c r="E30" i="5"/>
  <c r="E33" i="5"/>
  <c r="D36" i="5"/>
  <c r="D39" i="5"/>
  <c r="D42" i="5"/>
  <c r="C45" i="5"/>
  <c r="D48" i="5"/>
  <c r="D139" i="2"/>
  <c r="F141" i="2"/>
  <c r="C144" i="2"/>
  <c r="E146" i="2"/>
  <c r="F153" i="2"/>
  <c r="C156" i="2"/>
  <c r="F165" i="2"/>
  <c r="C168" i="2"/>
  <c r="AS103" i="3"/>
  <c r="AV94" i="3"/>
  <c r="AT92" i="3"/>
  <c r="AS91" i="3"/>
  <c r="AV82" i="3"/>
  <c r="AS74" i="3"/>
  <c r="AU76" i="3"/>
  <c r="AV77" i="3"/>
  <c r="AU83" i="3"/>
  <c r="AU86" i="3"/>
  <c r="AU89" i="3"/>
  <c r="AU92" i="3"/>
  <c r="AT95" i="3"/>
  <c r="AT98" i="3"/>
  <c r="AT101" i="3"/>
  <c r="E131" i="3"/>
  <c r="C134" i="3"/>
  <c r="F136" i="3"/>
  <c r="D139" i="3"/>
  <c r="C147" i="3"/>
  <c r="F149" i="3"/>
  <c r="C153" i="3"/>
  <c r="D160" i="3"/>
  <c r="D164" i="3"/>
  <c r="E50" i="5"/>
  <c r="F52" i="5"/>
  <c r="F131" i="3"/>
  <c r="D134" i="3"/>
  <c r="E139" i="3"/>
  <c r="C142" i="3"/>
  <c r="D147" i="3"/>
  <c r="D153" i="3"/>
  <c r="F160" i="3"/>
  <c r="F164" i="3"/>
  <c r="C171" i="3"/>
  <c r="F50" i="5"/>
  <c r="AV101" i="3"/>
  <c r="E134" i="3"/>
  <c r="C137" i="3"/>
  <c r="F139" i="3"/>
  <c r="D142" i="3"/>
  <c r="E147" i="3"/>
  <c r="D150" i="3"/>
  <c r="E153" i="3"/>
  <c r="D161" i="3"/>
  <c r="C165" i="3"/>
  <c r="E29" i="5"/>
  <c r="E32" i="5"/>
  <c r="D41" i="5"/>
  <c r="D44" i="5"/>
  <c r="C47" i="5"/>
  <c r="C132" i="3"/>
  <c r="F134" i="3"/>
  <c r="D137" i="3"/>
  <c r="E142" i="3"/>
  <c r="C145" i="3"/>
  <c r="F150" i="3"/>
  <c r="F153" i="3"/>
  <c r="C157" i="3"/>
  <c r="E161" i="3"/>
  <c r="E165" i="3"/>
  <c r="D132" i="3"/>
  <c r="E137" i="3"/>
  <c r="C140" i="3"/>
  <c r="F142" i="3"/>
  <c r="E145" i="3"/>
  <c r="C154" i="3"/>
  <c r="E157" i="3"/>
  <c r="F161" i="3"/>
  <c r="E163" i="3"/>
  <c r="C161" i="3"/>
  <c r="F158" i="3"/>
  <c r="F165" i="3"/>
  <c r="D163" i="3"/>
  <c r="E158" i="3"/>
  <c r="D165" i="3"/>
  <c r="E160" i="3"/>
  <c r="C158" i="3"/>
  <c r="F155" i="3"/>
  <c r="C160" i="3"/>
  <c r="F157" i="3"/>
  <c r="D155" i="3"/>
  <c r="E150" i="3"/>
  <c r="E164" i="3"/>
  <c r="F159" i="3"/>
  <c r="D157" i="3"/>
  <c r="E152" i="3"/>
  <c r="C150" i="3"/>
  <c r="F147" i="3"/>
  <c r="D145" i="3"/>
  <c r="E140" i="3"/>
  <c r="D133" i="3"/>
  <c r="E132" i="3"/>
  <c r="F137" i="3"/>
  <c r="D140" i="3"/>
  <c r="C143" i="3"/>
  <c r="F145" i="3"/>
  <c r="D154" i="3"/>
  <c r="D166" i="3"/>
  <c r="S29" i="5"/>
  <c r="AL29" i="5"/>
  <c r="Y30" i="5"/>
  <c r="R32" i="5"/>
  <c r="AL32" i="5"/>
  <c r="Y33" i="5"/>
  <c r="L34" i="5"/>
  <c r="AE34" i="5"/>
  <c r="AI34" i="5" s="1"/>
  <c r="AV34" i="5"/>
  <c r="X36" i="5"/>
  <c r="L37" i="5"/>
  <c r="AE37" i="5"/>
  <c r="AI37" i="5" s="1"/>
  <c r="AV37" i="5"/>
  <c r="X39" i="5"/>
  <c r="AO39" i="5"/>
  <c r="K40" i="5"/>
  <c r="AV40" i="5"/>
  <c r="R41" i="5"/>
  <c r="X42" i="5"/>
  <c r="AO42" i="5"/>
  <c r="Q44" i="5"/>
  <c r="AH44" i="5"/>
  <c r="AH49" i="5" s="1"/>
  <c r="AH69" i="5" s="1"/>
  <c r="X45" i="5"/>
  <c r="AO45" i="5"/>
  <c r="K46" i="5"/>
  <c r="AU46" i="5"/>
  <c r="Q47" i="5"/>
  <c r="AH47" i="5"/>
  <c r="Z48" i="5"/>
  <c r="AU48" i="5"/>
  <c r="AA51" i="5"/>
  <c r="J52" i="5"/>
  <c r="AN52" i="5"/>
  <c r="Q53" i="5"/>
  <c r="AT53" i="5"/>
  <c r="T29" i="5"/>
  <c r="AM29" i="5"/>
  <c r="Z30" i="5"/>
  <c r="AS30" i="5"/>
  <c r="AW30" i="5" s="1"/>
  <c r="T32" i="5"/>
  <c r="AM32" i="5"/>
  <c r="Z33" i="5"/>
  <c r="AS33" i="5"/>
  <c r="AW33" i="5" s="1"/>
  <c r="M34" i="5"/>
  <c r="AF34" i="5"/>
  <c r="Z36" i="5"/>
  <c r="AS36" i="5"/>
  <c r="M37" i="5"/>
  <c r="AF37" i="5"/>
  <c r="Y39" i="5"/>
  <c r="L40" i="5"/>
  <c r="AF40" i="5"/>
  <c r="S41" i="5"/>
  <c r="AL41" i="5"/>
  <c r="Y42" i="5"/>
  <c r="R44" i="5"/>
  <c r="AL44" i="5"/>
  <c r="Y45" i="5"/>
  <c r="L46" i="5"/>
  <c r="AE46" i="5"/>
  <c r="AI46" i="5" s="1"/>
  <c r="AV46" i="5"/>
  <c r="R47" i="5"/>
  <c r="AA48" i="5"/>
  <c r="AV48" i="5"/>
  <c r="J50" i="5"/>
  <c r="AG50" i="5"/>
  <c r="AG54" i="5" s="1"/>
  <c r="AG70" i="5" s="1"/>
  <c r="AE51" i="5"/>
  <c r="AI51" i="5" s="1"/>
  <c r="K52" i="5"/>
  <c r="AO52" i="5"/>
  <c r="X53" i="5"/>
  <c r="AU53" i="5"/>
  <c r="D193" i="3"/>
  <c r="F195" i="3"/>
  <c r="C198" i="3"/>
  <c r="D205" i="3"/>
  <c r="F207" i="3"/>
  <c r="E212" i="3"/>
  <c r="D217" i="3"/>
  <c r="F219" i="3"/>
  <c r="C222" i="3"/>
  <c r="F255" i="3"/>
  <c r="C258" i="3"/>
  <c r="E260" i="3"/>
  <c r="F267" i="3"/>
  <c r="C270" i="3"/>
  <c r="D277" i="3"/>
  <c r="F279" i="3"/>
  <c r="C282" i="3"/>
  <c r="E284" i="3"/>
  <c r="D289" i="3"/>
  <c r="Y17" i="5"/>
  <c r="AO17" i="5"/>
  <c r="J18" i="5"/>
  <c r="Z18" i="5"/>
  <c r="K19" i="5"/>
  <c r="AA19" i="5"/>
  <c r="AS19" i="5"/>
  <c r="AW19" i="5" s="1"/>
  <c r="L20" i="5"/>
  <c r="AT20" i="5"/>
  <c r="M21" i="5"/>
  <c r="AE21" i="5"/>
  <c r="AI21" i="5" s="1"/>
  <c r="AU21" i="5"/>
  <c r="AO23" i="5"/>
  <c r="K24" i="5"/>
  <c r="AU24" i="5"/>
  <c r="AN26" i="5"/>
  <c r="J27" i="5"/>
  <c r="AA27" i="5"/>
  <c r="AU27" i="5"/>
  <c r="AN29" i="5"/>
  <c r="AN31" i="5" s="1"/>
  <c r="AN65" i="5" s="1"/>
  <c r="J30" i="5"/>
  <c r="AA30" i="5"/>
  <c r="AT30" i="5"/>
  <c r="AN32" i="5"/>
  <c r="J33" i="5"/>
  <c r="AA33" i="5"/>
  <c r="AT33" i="5"/>
  <c r="AG34" i="5"/>
  <c r="J36" i="5"/>
  <c r="AA36" i="5"/>
  <c r="AT36" i="5"/>
  <c r="AT38" i="5" s="1"/>
  <c r="AT67" i="5" s="1"/>
  <c r="AG37" i="5"/>
  <c r="Z39" i="5"/>
  <c r="AS39" i="5"/>
  <c r="AG40" i="5"/>
  <c r="T41" i="5"/>
  <c r="AM41" i="5"/>
  <c r="Z42" i="5"/>
  <c r="AS42" i="5"/>
  <c r="AW42" i="5" s="1"/>
  <c r="T44" i="5"/>
  <c r="AM44" i="5"/>
  <c r="Z45" i="5"/>
  <c r="AS45" i="5"/>
  <c r="AW45" i="5" s="1"/>
  <c r="M46" i="5"/>
  <c r="AF46" i="5"/>
  <c r="S47" i="5"/>
  <c r="AL47" i="5"/>
  <c r="J48" i="5"/>
  <c r="AE48" i="5"/>
  <c r="AI48" i="5" s="1"/>
  <c r="L50" i="5"/>
  <c r="AH50" i="5"/>
  <c r="AH54" i="5" s="1"/>
  <c r="AH70" i="5" s="1"/>
  <c r="AL51" i="5"/>
  <c r="Y53" i="5"/>
  <c r="F193" i="3"/>
  <c r="C196" i="3"/>
  <c r="E198" i="3"/>
  <c r="F205" i="3"/>
  <c r="C208" i="3"/>
  <c r="D215" i="3"/>
  <c r="F217" i="3"/>
  <c r="C220" i="3"/>
  <c r="E222" i="3"/>
  <c r="D227" i="3"/>
  <c r="C256" i="3"/>
  <c r="E258" i="3"/>
  <c r="D263" i="3"/>
  <c r="E270" i="3"/>
  <c r="F277" i="3"/>
  <c r="E282" i="3"/>
  <c r="D287" i="3"/>
  <c r="F289" i="3"/>
  <c r="L48" i="5"/>
  <c r="J58" i="5"/>
  <c r="M52" i="5"/>
  <c r="L51" i="5"/>
  <c r="K50" i="5"/>
  <c r="M40" i="5"/>
  <c r="L39" i="5"/>
  <c r="J37" i="5"/>
  <c r="L27" i="5"/>
  <c r="K26" i="5"/>
  <c r="K17" i="5"/>
  <c r="AA17" i="5"/>
  <c r="AS17" i="5"/>
  <c r="L18" i="5"/>
  <c r="AT18" i="5"/>
  <c r="M19" i="5"/>
  <c r="AE19" i="5"/>
  <c r="AI19" i="5" s="1"/>
  <c r="AU19" i="5"/>
  <c r="AF20" i="5"/>
  <c r="AV20" i="5"/>
  <c r="Q21" i="5"/>
  <c r="AG21" i="5"/>
  <c r="Z23" i="5"/>
  <c r="AS23" i="5"/>
  <c r="M24" i="5"/>
  <c r="AF24" i="5"/>
  <c r="Y26" i="5"/>
  <c r="M27" i="5"/>
  <c r="AF27" i="5"/>
  <c r="Y29" i="5"/>
  <c r="L30" i="5"/>
  <c r="AE30" i="5"/>
  <c r="AI30" i="5" s="1"/>
  <c r="AV30" i="5"/>
  <c r="Y32" i="5"/>
  <c r="L33" i="5"/>
  <c r="AE33" i="5"/>
  <c r="AI33" i="5" s="1"/>
  <c r="AV33" i="5"/>
  <c r="R34" i="5"/>
  <c r="L36" i="5"/>
  <c r="AE36" i="5"/>
  <c r="AV36" i="5"/>
  <c r="AV38" i="5" s="1"/>
  <c r="AV67" i="5" s="1"/>
  <c r="R37" i="5"/>
  <c r="K39" i="5"/>
  <c r="AE39" i="5"/>
  <c r="AV39" i="5"/>
  <c r="AV43" i="5" s="1"/>
  <c r="AV68" i="5" s="1"/>
  <c r="R40" i="5"/>
  <c r="X41" i="5"/>
  <c r="AO41" i="5"/>
  <c r="K42" i="5"/>
  <c r="AU42" i="5"/>
  <c r="X44" i="5"/>
  <c r="AO44" i="5"/>
  <c r="K45" i="5"/>
  <c r="AU45" i="5"/>
  <c r="Q46" i="5"/>
  <c r="AH46" i="5"/>
  <c r="AO47" i="5"/>
  <c r="M48" i="5"/>
  <c r="AG48" i="5"/>
  <c r="AL50" i="5"/>
  <c r="K51" i="5"/>
  <c r="AN51" i="5"/>
  <c r="AT52" i="5"/>
  <c r="AA53" i="5"/>
  <c r="D208" i="3"/>
  <c r="E215" i="3"/>
  <c r="D220" i="3"/>
  <c r="F222" i="3"/>
  <c r="C225" i="3"/>
  <c r="E227" i="3"/>
  <c r="D256" i="3"/>
  <c r="F258" i="3"/>
  <c r="C261" i="3"/>
  <c r="E263" i="3"/>
  <c r="E265" i="3" s="1"/>
  <c r="E301" i="3" s="1"/>
  <c r="F270" i="3"/>
  <c r="C273" i="3"/>
  <c r="F282" i="3"/>
  <c r="C285" i="3"/>
  <c r="E287" i="3"/>
  <c r="T52" i="5"/>
  <c r="S51" i="5"/>
  <c r="T53" i="5"/>
  <c r="S52" i="5"/>
  <c r="Q58" i="5"/>
  <c r="S53" i="5"/>
  <c r="R52" i="5"/>
  <c r="Q51" i="5"/>
  <c r="R53" i="5"/>
  <c r="Q52" i="5"/>
  <c r="T45" i="5"/>
  <c r="S44" i="5"/>
  <c r="Q42" i="5"/>
  <c r="T33" i="5"/>
  <c r="S32" i="5"/>
  <c r="Q30" i="5"/>
  <c r="L17" i="5"/>
  <c r="AT17" i="5"/>
  <c r="AT22" i="5" s="1"/>
  <c r="AT62" i="5" s="1"/>
  <c r="M18" i="5"/>
  <c r="AE18" i="5"/>
  <c r="AI18" i="5" s="1"/>
  <c r="AU18" i="5"/>
  <c r="AF19" i="5"/>
  <c r="AV19" i="5"/>
  <c r="Q20" i="5"/>
  <c r="AG20" i="5"/>
  <c r="R21" i="5"/>
  <c r="AH21" i="5"/>
  <c r="J23" i="5"/>
  <c r="AA23" i="5"/>
  <c r="AT23" i="5"/>
  <c r="AT25" i="5" s="1"/>
  <c r="AT63" i="5" s="1"/>
  <c r="AG24" i="5"/>
  <c r="Z26" i="5"/>
  <c r="AT26" i="5"/>
  <c r="AT28" i="5" s="1"/>
  <c r="AT64" i="5" s="1"/>
  <c r="AG27" i="5"/>
  <c r="Z29" i="5"/>
  <c r="AS29" i="5"/>
  <c r="M30" i="5"/>
  <c r="AF30" i="5"/>
  <c r="Z32" i="5"/>
  <c r="AS32" i="5"/>
  <c r="M33" i="5"/>
  <c r="AF33" i="5"/>
  <c r="S34" i="5"/>
  <c r="AL34" i="5"/>
  <c r="M36" i="5"/>
  <c r="AF36" i="5"/>
  <c r="AF38" i="5" s="1"/>
  <c r="AF67" i="5" s="1"/>
  <c r="S37" i="5"/>
  <c r="AL37" i="5"/>
  <c r="M39" i="5"/>
  <c r="AF39" i="5"/>
  <c r="AF43" i="5" s="1"/>
  <c r="AF68" i="5" s="1"/>
  <c r="S40" i="5"/>
  <c r="AL40" i="5"/>
  <c r="Y41" i="5"/>
  <c r="L42" i="5"/>
  <c r="AE42" i="5"/>
  <c r="AI42" i="5" s="1"/>
  <c r="AV42" i="5"/>
  <c r="Y44" i="5"/>
  <c r="L45" i="5"/>
  <c r="AE45" i="5"/>
  <c r="AI45" i="5" s="1"/>
  <c r="AV45" i="5"/>
  <c r="R46" i="5"/>
  <c r="Y47" i="5"/>
  <c r="AH48" i="5"/>
  <c r="R50" i="5"/>
  <c r="AM50" i="5"/>
  <c r="M51" i="5"/>
  <c r="AO51" i="5"/>
  <c r="AV52" i="5"/>
  <c r="C194" i="3"/>
  <c r="E196" i="3"/>
  <c r="D201" i="3"/>
  <c r="E208" i="3"/>
  <c r="F215" i="3"/>
  <c r="E220" i="3"/>
  <c r="D225" i="3"/>
  <c r="F227" i="3"/>
  <c r="C254" i="3"/>
  <c r="E256" i="3"/>
  <c r="D261" i="3"/>
  <c r="F263" i="3"/>
  <c r="C266" i="3"/>
  <c r="D273" i="3"/>
  <c r="C278" i="3"/>
  <c r="D285" i="3"/>
  <c r="F287" i="3"/>
  <c r="C290" i="3"/>
  <c r="C295" i="3"/>
  <c r="X58" i="5"/>
  <c r="AA50" i="5"/>
  <c r="Y48" i="5"/>
  <c r="X47" i="5"/>
  <c r="Z37" i="5"/>
  <c r="Y36" i="5"/>
  <c r="AA26" i="5"/>
  <c r="Y24" i="5"/>
  <c r="X23" i="5"/>
  <c r="M17" i="5"/>
  <c r="AE17" i="5"/>
  <c r="AU17" i="5"/>
  <c r="AU22" i="5" s="1"/>
  <c r="AU62" i="5" s="1"/>
  <c r="AF18" i="5"/>
  <c r="AV18" i="5"/>
  <c r="Q19" i="5"/>
  <c r="AG19" i="5"/>
  <c r="R20" i="5"/>
  <c r="AH20" i="5"/>
  <c r="S21" i="5"/>
  <c r="K23" i="5"/>
  <c r="AU23" i="5"/>
  <c r="AU25" i="5" s="1"/>
  <c r="AU63" i="5" s="1"/>
  <c r="Q24" i="5"/>
  <c r="AH24" i="5"/>
  <c r="J26" i="5"/>
  <c r="AU26" i="5"/>
  <c r="AU28" i="5" s="1"/>
  <c r="AU64" i="5" s="1"/>
  <c r="Q27" i="5"/>
  <c r="AH27" i="5"/>
  <c r="J29" i="5"/>
  <c r="AA29" i="5"/>
  <c r="AT29" i="5"/>
  <c r="AT31" i="5" s="1"/>
  <c r="AT65" i="5" s="1"/>
  <c r="AH30" i="5"/>
  <c r="J32" i="5"/>
  <c r="AA32" i="5"/>
  <c r="AT32" i="5"/>
  <c r="AT35" i="5" s="1"/>
  <c r="AT66" i="5" s="1"/>
  <c r="AG33" i="5"/>
  <c r="T34" i="5"/>
  <c r="AN34" i="5"/>
  <c r="AG36" i="5"/>
  <c r="AG38" i="5" s="1"/>
  <c r="AG67" i="5" s="1"/>
  <c r="T37" i="5"/>
  <c r="AM37" i="5"/>
  <c r="AG39" i="5"/>
  <c r="AG43" i="5" s="1"/>
  <c r="AG68" i="5" s="1"/>
  <c r="T40" i="5"/>
  <c r="AM40" i="5"/>
  <c r="Z41" i="5"/>
  <c r="AS41" i="5"/>
  <c r="AW41" i="5" s="1"/>
  <c r="M42" i="5"/>
  <c r="AF42" i="5"/>
  <c r="Z44" i="5"/>
  <c r="AS44" i="5"/>
  <c r="M45" i="5"/>
  <c r="AF45" i="5"/>
  <c r="S46" i="5"/>
  <c r="AL46" i="5"/>
  <c r="Z47" i="5"/>
  <c r="AT47" i="5"/>
  <c r="Q48" i="5"/>
  <c r="S50" i="5"/>
  <c r="AN50" i="5"/>
  <c r="R51" i="5"/>
  <c r="Y52" i="5"/>
  <c r="D194" i="3"/>
  <c r="F196" i="3"/>
  <c r="C199" i="3"/>
  <c r="E201" i="3"/>
  <c r="F208" i="3"/>
  <c r="C211" i="3"/>
  <c r="F220" i="3"/>
  <c r="C223" i="3"/>
  <c r="E225" i="3"/>
  <c r="D254" i="3"/>
  <c r="F256" i="3"/>
  <c r="E261" i="3"/>
  <c r="D266" i="3"/>
  <c r="C271" i="3"/>
  <c r="E273" i="3"/>
  <c r="D278" i="3"/>
  <c r="C283" i="3"/>
  <c r="E285" i="3"/>
  <c r="D290" i="3"/>
  <c r="AE58" i="5"/>
  <c r="AH51" i="5"/>
  <c r="AH52" i="5"/>
  <c r="AG51" i="5"/>
  <c r="AF50" i="5"/>
  <c r="AF54" i="5" s="1"/>
  <c r="AF70" i="5" s="1"/>
  <c r="AH53" i="5"/>
  <c r="AG52" i="5"/>
  <c r="AF51" i="5"/>
  <c r="AE50" i="5"/>
  <c r="AF53" i="5"/>
  <c r="AE52" i="5"/>
  <c r="AI52" i="5" s="1"/>
  <c r="AG42" i="5"/>
  <c r="AF41" i="5"/>
  <c r="AE40" i="5"/>
  <c r="AI40" i="5" s="1"/>
  <c r="AG30" i="5"/>
  <c r="AF29" i="5"/>
  <c r="AF31" i="5" s="1"/>
  <c r="AF65" i="5" s="1"/>
  <c r="AF17" i="5"/>
  <c r="AF22" i="5" s="1"/>
  <c r="AF62" i="5" s="1"/>
  <c r="AV17" i="5"/>
  <c r="AV22" i="5" s="1"/>
  <c r="AV62" i="5" s="1"/>
  <c r="Q18" i="5"/>
  <c r="AG18" i="5"/>
  <c r="R19" i="5"/>
  <c r="AH19" i="5"/>
  <c r="S20" i="5"/>
  <c r="T21" i="5"/>
  <c r="AL21" i="5"/>
  <c r="L23" i="5"/>
  <c r="L25" i="5" s="1"/>
  <c r="L63" i="5" s="1"/>
  <c r="AE23" i="5"/>
  <c r="AV23" i="5"/>
  <c r="AV25" i="5" s="1"/>
  <c r="AV63" i="5" s="1"/>
  <c r="R24" i="5"/>
  <c r="L26" i="5"/>
  <c r="AE26" i="5"/>
  <c r="AV26" i="5"/>
  <c r="AV28" i="5" s="1"/>
  <c r="AV64" i="5" s="1"/>
  <c r="R27" i="5"/>
  <c r="K29" i="5"/>
  <c r="AU29" i="5"/>
  <c r="AU31" i="5" s="1"/>
  <c r="AU65" i="5" s="1"/>
  <c r="R30" i="5"/>
  <c r="R31" i="5" s="1"/>
  <c r="R65" i="5" s="1"/>
  <c r="K32" i="5"/>
  <c r="AU32" i="5"/>
  <c r="AU35" i="5" s="1"/>
  <c r="AU66" i="5" s="1"/>
  <c r="Q33" i="5"/>
  <c r="AH33" i="5"/>
  <c r="X34" i="5"/>
  <c r="AO34" i="5"/>
  <c r="Q36" i="5"/>
  <c r="AH36" i="5"/>
  <c r="AH38" i="5" s="1"/>
  <c r="AH67" i="5" s="1"/>
  <c r="AN37" i="5"/>
  <c r="Q39" i="5"/>
  <c r="AH39" i="5"/>
  <c r="AH43" i="5" s="1"/>
  <c r="AH68" i="5" s="1"/>
  <c r="AN40" i="5"/>
  <c r="J41" i="5"/>
  <c r="AA41" i="5"/>
  <c r="AT41" i="5"/>
  <c r="AH42" i="5"/>
  <c r="J44" i="5"/>
  <c r="AA44" i="5"/>
  <c r="AT44" i="5"/>
  <c r="AT49" i="5" s="1"/>
  <c r="AT69" i="5" s="1"/>
  <c r="AG45" i="5"/>
  <c r="T46" i="5"/>
  <c r="AN46" i="5"/>
  <c r="J47" i="5"/>
  <c r="AA47" i="5"/>
  <c r="AU47" i="5"/>
  <c r="R48" i="5"/>
  <c r="AL48" i="5"/>
  <c r="T50" i="5"/>
  <c r="T51" i="5"/>
  <c r="AS51" i="5"/>
  <c r="AW51" i="5" s="1"/>
  <c r="Z52" i="5"/>
  <c r="AG53" i="5"/>
  <c r="C192" i="3"/>
  <c r="E194" i="3"/>
  <c r="D199" i="3"/>
  <c r="F201" i="3"/>
  <c r="C204" i="3"/>
  <c r="D211" i="3"/>
  <c r="C216" i="3"/>
  <c r="D223" i="3"/>
  <c r="F225" i="3"/>
  <c r="C228" i="3"/>
  <c r="C233" i="3"/>
  <c r="E254" i="3"/>
  <c r="F261" i="3"/>
  <c r="C264" i="3"/>
  <c r="E266" i="3"/>
  <c r="D271" i="3"/>
  <c r="F273" i="3"/>
  <c r="C276" i="3"/>
  <c r="E278" i="3"/>
  <c r="D283" i="3"/>
  <c r="F285" i="3"/>
  <c r="C288" i="3"/>
  <c r="E290" i="3"/>
  <c r="AM53" i="5"/>
  <c r="AL52" i="5"/>
  <c r="AL53" i="5"/>
  <c r="AO48" i="5"/>
  <c r="AN47" i="5"/>
  <c r="AM46" i="5"/>
  <c r="AL45" i="5"/>
  <c r="AO36" i="5"/>
  <c r="AM34" i="5"/>
  <c r="AL33" i="5"/>
  <c r="AO24" i="5"/>
  <c r="AN23" i="5"/>
  <c r="Q17" i="5"/>
  <c r="AG17" i="5"/>
  <c r="AG22" i="5" s="1"/>
  <c r="AG62" i="5" s="1"/>
  <c r="R18" i="5"/>
  <c r="AH18" i="5"/>
  <c r="S19" i="5"/>
  <c r="T20" i="5"/>
  <c r="AL20" i="5"/>
  <c r="AM21" i="5"/>
  <c r="M23" i="5"/>
  <c r="AF23" i="5"/>
  <c r="AF25" i="5" s="1"/>
  <c r="AF63" i="5" s="1"/>
  <c r="S24" i="5"/>
  <c r="AL24" i="5"/>
  <c r="M26" i="5"/>
  <c r="AF26" i="5"/>
  <c r="AF28" i="5" s="1"/>
  <c r="AF64" i="5" s="1"/>
  <c r="S27" i="5"/>
  <c r="AL27" i="5"/>
  <c r="L29" i="5"/>
  <c r="AE29" i="5"/>
  <c r="S30" i="5"/>
  <c r="AL30" i="5"/>
  <c r="L32" i="5"/>
  <c r="AE32" i="5"/>
  <c r="AV32" i="5"/>
  <c r="AV35" i="5" s="1"/>
  <c r="AV66" i="5" s="1"/>
  <c r="R33" i="5"/>
  <c r="Y34" i="5"/>
  <c r="R36" i="5"/>
  <c r="X37" i="5"/>
  <c r="AO37" i="5"/>
  <c r="R39" i="5"/>
  <c r="X40" i="5"/>
  <c r="AO40" i="5"/>
  <c r="K41" i="5"/>
  <c r="AU41" i="5"/>
  <c r="R42" i="5"/>
  <c r="K44" i="5"/>
  <c r="AU44" i="5"/>
  <c r="AU49" i="5" s="1"/>
  <c r="AU69" i="5" s="1"/>
  <c r="Q45" i="5"/>
  <c r="AH45" i="5"/>
  <c r="X46" i="5"/>
  <c r="AO46" i="5"/>
  <c r="K47" i="5"/>
  <c r="AV47" i="5"/>
  <c r="S48" i="5"/>
  <c r="AM48" i="5"/>
  <c r="AA52" i="5"/>
  <c r="J53" i="5"/>
  <c r="AN53" i="5"/>
  <c r="D192" i="3"/>
  <c r="F194" i="3"/>
  <c r="E199" i="3"/>
  <c r="D204" i="3"/>
  <c r="C209" i="3"/>
  <c r="E211" i="3"/>
  <c r="D216" i="3"/>
  <c r="C221" i="3"/>
  <c r="E223" i="3"/>
  <c r="F254" i="3"/>
  <c r="C257" i="3"/>
  <c r="D264" i="3"/>
  <c r="F266" i="3"/>
  <c r="C269" i="3"/>
  <c r="E271" i="3"/>
  <c r="D276" i="3"/>
  <c r="F278" i="3"/>
  <c r="C281" i="3"/>
  <c r="E283" i="3"/>
  <c r="D288" i="3"/>
  <c r="AV50" i="5"/>
  <c r="AV54" i="5" s="1"/>
  <c r="AV70" i="5" s="1"/>
  <c r="AT48" i="5"/>
  <c r="AS47" i="5"/>
  <c r="AW47" i="5" s="1"/>
  <c r="AV51" i="5"/>
  <c r="AU50" i="5"/>
  <c r="AU54" i="5" s="1"/>
  <c r="AU70" i="5" s="1"/>
  <c r="AV53" i="5"/>
  <c r="AU52" i="5"/>
  <c r="AT51" i="5"/>
  <c r="AS50" i="5"/>
  <c r="AV41" i="5"/>
  <c r="AU40" i="5"/>
  <c r="AT39" i="5"/>
  <c r="AT43" i="5" s="1"/>
  <c r="AT68" i="5" s="1"/>
  <c r="AV29" i="5"/>
  <c r="AV31" i="5" s="1"/>
  <c r="AV65" i="5" s="1"/>
  <c r="AT27" i="5"/>
  <c r="AS26" i="5"/>
  <c r="R17" i="5"/>
  <c r="AH17" i="5"/>
  <c r="AH22" i="5" s="1"/>
  <c r="AH62" i="5" s="1"/>
  <c r="S18" i="5"/>
  <c r="T19" i="5"/>
  <c r="AL19" i="5"/>
  <c r="AM20" i="5"/>
  <c r="X21" i="5"/>
  <c r="AN21" i="5"/>
  <c r="AG23" i="5"/>
  <c r="AG25" i="5" s="1"/>
  <c r="AG63" i="5" s="1"/>
  <c r="T24" i="5"/>
  <c r="AM24" i="5"/>
  <c r="AG26" i="5"/>
  <c r="AG28" i="5" s="1"/>
  <c r="AG64" i="5" s="1"/>
  <c r="T27" i="5"/>
  <c r="AM27" i="5"/>
  <c r="M29" i="5"/>
  <c r="AG29" i="5"/>
  <c r="AG31" i="5" s="1"/>
  <c r="AG65" i="5" s="1"/>
  <c r="T30" i="5"/>
  <c r="AM30" i="5"/>
  <c r="M32" i="5"/>
  <c r="AF32" i="5"/>
  <c r="AF35" i="5" s="1"/>
  <c r="AF66" i="5" s="1"/>
  <c r="S33" i="5"/>
  <c r="AM33" i="5"/>
  <c r="Z34" i="5"/>
  <c r="AS34" i="5"/>
  <c r="AW34" i="5" s="1"/>
  <c r="S36" i="5"/>
  <c r="AL36" i="5"/>
  <c r="Y37" i="5"/>
  <c r="AS37" i="5"/>
  <c r="AW37" i="5" s="1"/>
  <c r="S39" i="5"/>
  <c r="AL39" i="5"/>
  <c r="Y40" i="5"/>
  <c r="L41" i="5"/>
  <c r="AE41" i="5"/>
  <c r="AI41" i="5" s="1"/>
  <c r="S42" i="5"/>
  <c r="AL42" i="5"/>
  <c r="L44" i="5"/>
  <c r="AE44" i="5"/>
  <c r="AV44" i="5"/>
  <c r="AV49" i="5" s="1"/>
  <c r="AV69" i="5" s="1"/>
  <c r="R45" i="5"/>
  <c r="Y46" i="5"/>
  <c r="L47" i="5"/>
  <c r="AE47" i="5"/>
  <c r="AI47" i="5" s="1"/>
  <c r="T48" i="5"/>
  <c r="AN48" i="5"/>
  <c r="X50" i="5"/>
  <c r="AT50" i="5"/>
  <c r="AT54" i="5" s="1"/>
  <c r="AT70" i="5" s="1"/>
  <c r="X51" i="5"/>
  <c r="K53" i="5"/>
  <c r="AO53" i="5"/>
  <c r="E81" i="6"/>
  <c r="E73" i="6"/>
  <c r="E69" i="6"/>
  <c r="E65" i="6"/>
  <c r="E61" i="6"/>
  <c r="E57" i="6"/>
  <c r="D81" i="6"/>
  <c r="F81" i="6"/>
  <c r="E78" i="6"/>
  <c r="D76" i="6"/>
  <c r="D69" i="6"/>
  <c r="C67" i="6"/>
  <c r="C81" i="6"/>
  <c r="F80" i="6"/>
  <c r="D78" i="6"/>
  <c r="C76" i="6"/>
  <c r="C69" i="6"/>
  <c r="F64" i="6"/>
  <c r="E80" i="6"/>
  <c r="C78" i="6"/>
  <c r="F73" i="6"/>
  <c r="E64" i="6"/>
  <c r="D80" i="6"/>
  <c r="F75" i="6"/>
  <c r="D73" i="6"/>
  <c r="D75" i="6"/>
  <c r="F70" i="6"/>
  <c r="E68" i="6"/>
  <c r="F79" i="6"/>
  <c r="C75" i="6"/>
  <c r="E70" i="6"/>
  <c r="D68" i="6"/>
  <c r="E79" i="6"/>
  <c r="D79" i="6"/>
  <c r="E76" i="6"/>
  <c r="C73" i="6"/>
  <c r="F65" i="6"/>
  <c r="E58" i="6"/>
  <c r="D49" i="6"/>
  <c r="D45" i="6"/>
  <c r="F78" i="6"/>
  <c r="D70" i="6"/>
  <c r="D65" i="6"/>
  <c r="F60" i="6"/>
  <c r="D58" i="6"/>
  <c r="C49" i="6"/>
  <c r="F46" i="6"/>
  <c r="C45" i="6"/>
  <c r="F74" i="6"/>
  <c r="C70" i="6"/>
  <c r="C65" i="6"/>
  <c r="F62" i="6"/>
  <c r="E60" i="6"/>
  <c r="C58" i="6"/>
  <c r="E46" i="6"/>
  <c r="E74" i="6"/>
  <c r="F67" i="6"/>
  <c r="E62" i="6"/>
  <c r="D60" i="6"/>
  <c r="F55" i="6"/>
  <c r="D46" i="6"/>
  <c r="D74" i="6"/>
  <c r="E67" i="6"/>
  <c r="D62" i="6"/>
  <c r="C60" i="6"/>
  <c r="E55" i="6"/>
  <c r="F51" i="6"/>
  <c r="F47" i="6"/>
  <c r="C46" i="6"/>
  <c r="C74" i="6"/>
  <c r="D67" i="6"/>
  <c r="C62" i="6"/>
  <c r="F57" i="6"/>
  <c r="D55" i="6"/>
  <c r="E51" i="6"/>
  <c r="E47" i="6"/>
  <c r="E75" i="6"/>
  <c r="F68" i="6"/>
  <c r="D64" i="6"/>
  <c r="D57" i="6"/>
  <c r="F72" i="6"/>
  <c r="C68" i="6"/>
  <c r="C64" i="6"/>
  <c r="C57" i="6"/>
  <c r="F52" i="6"/>
  <c r="C51" i="6"/>
  <c r="F48" i="6"/>
  <c r="C47" i="6"/>
  <c r="E72" i="6"/>
  <c r="F61" i="6"/>
  <c r="F54" i="6"/>
  <c r="E52" i="6"/>
  <c r="AH47" i="6"/>
  <c r="D51" i="6"/>
  <c r="Q55" i="6"/>
  <c r="AG57" i="6"/>
  <c r="F69" i="6"/>
  <c r="F76" i="6"/>
  <c r="M79" i="6"/>
  <c r="J78" i="6"/>
  <c r="M75" i="6"/>
  <c r="J74" i="6"/>
  <c r="J70" i="6"/>
  <c r="M67" i="6"/>
  <c r="J62" i="6"/>
  <c r="J58" i="6"/>
  <c r="M55" i="6"/>
  <c r="J54" i="6"/>
  <c r="J86" i="6"/>
  <c r="K75" i="6"/>
  <c r="J73" i="6"/>
  <c r="L68" i="6"/>
  <c r="J75" i="6"/>
  <c r="M70" i="6"/>
  <c r="K68" i="6"/>
  <c r="L79" i="6"/>
  <c r="M72" i="6"/>
  <c r="L70" i="6"/>
  <c r="J68" i="6"/>
  <c r="K79" i="6"/>
  <c r="L72" i="6"/>
  <c r="K70" i="6"/>
  <c r="M76" i="6"/>
  <c r="L74" i="6"/>
  <c r="J72" i="6"/>
  <c r="L67" i="6"/>
  <c r="K65" i="6"/>
  <c r="L76" i="6"/>
  <c r="K74" i="6"/>
  <c r="M69" i="6"/>
  <c r="K67" i="6"/>
  <c r="M81" i="6"/>
  <c r="M78" i="6"/>
  <c r="K76" i="6"/>
  <c r="L81" i="6"/>
  <c r="M80" i="6"/>
  <c r="M74" i="6"/>
  <c r="K62" i="6"/>
  <c r="M57" i="6"/>
  <c r="K55" i="6"/>
  <c r="L51" i="6"/>
  <c r="L47" i="6"/>
  <c r="J67" i="6"/>
  <c r="L57" i="6"/>
  <c r="J55" i="6"/>
  <c r="K51" i="6"/>
  <c r="K47" i="6"/>
  <c r="M64" i="6"/>
  <c r="K57" i="6"/>
  <c r="M52" i="6"/>
  <c r="J51" i="6"/>
  <c r="M48" i="6"/>
  <c r="J47" i="6"/>
  <c r="L64" i="6"/>
  <c r="M61" i="6"/>
  <c r="J57" i="6"/>
  <c r="L52" i="6"/>
  <c r="L48" i="6"/>
  <c r="K64" i="6"/>
  <c r="L61" i="6"/>
  <c r="M54" i="6"/>
  <c r="K52" i="6"/>
  <c r="K48" i="6"/>
  <c r="L75" i="6"/>
  <c r="M68" i="6"/>
  <c r="J64" i="6"/>
  <c r="K61" i="6"/>
  <c r="L54" i="6"/>
  <c r="J52" i="6"/>
  <c r="M49" i="6"/>
  <c r="J48" i="6"/>
  <c r="M45" i="6"/>
  <c r="K81" i="6"/>
  <c r="L80" i="6"/>
  <c r="K72" i="6"/>
  <c r="J61" i="6"/>
  <c r="J81" i="6"/>
  <c r="K80" i="6"/>
  <c r="L69" i="6"/>
  <c r="M58" i="6"/>
  <c r="K49" i="6"/>
  <c r="K45" i="6"/>
  <c r="J80" i="6"/>
  <c r="K69" i="6"/>
  <c r="M65" i="6"/>
  <c r="M60" i="6"/>
  <c r="L58" i="6"/>
  <c r="J49" i="6"/>
  <c r="L45" i="6"/>
  <c r="R48" i="6"/>
  <c r="M51" i="6"/>
  <c r="AH57" i="6"/>
  <c r="C79" i="6"/>
  <c r="D146" i="5"/>
  <c r="C151" i="5"/>
  <c r="E165" i="5"/>
  <c r="D170" i="5"/>
  <c r="C175" i="5"/>
  <c r="C239" i="5"/>
  <c r="G239" i="5" s="1"/>
  <c r="D234" i="5"/>
  <c r="E229" i="5"/>
  <c r="C227" i="5"/>
  <c r="G227" i="5" s="1"/>
  <c r="F224" i="5"/>
  <c r="E217" i="5"/>
  <c r="D210" i="5"/>
  <c r="D212" i="5" s="1"/>
  <c r="D250" i="5" s="1"/>
  <c r="E205" i="5"/>
  <c r="C234" i="5"/>
  <c r="G234" i="5" s="1"/>
  <c r="F231" i="5"/>
  <c r="F236" i="5" s="1"/>
  <c r="F256" i="5" s="1"/>
  <c r="D229" i="5"/>
  <c r="E224" i="5"/>
  <c r="F219" i="5"/>
  <c r="F222" i="5" s="1"/>
  <c r="F253" i="5" s="1"/>
  <c r="D217" i="5"/>
  <c r="C210" i="5"/>
  <c r="F207" i="5"/>
  <c r="D205" i="5"/>
  <c r="F238" i="5"/>
  <c r="E231" i="5"/>
  <c r="E236" i="5" s="1"/>
  <c r="E256" i="5" s="1"/>
  <c r="C229" i="5"/>
  <c r="G229" i="5" s="1"/>
  <c r="F226" i="5"/>
  <c r="F230" i="5" s="1"/>
  <c r="F255" i="5" s="1"/>
  <c r="D224" i="5"/>
  <c r="E219" i="5"/>
  <c r="E222" i="5" s="1"/>
  <c r="E253" i="5" s="1"/>
  <c r="C217" i="5"/>
  <c r="G217" i="5" s="1"/>
  <c r="F214" i="5"/>
  <c r="E207" i="5"/>
  <c r="C205" i="5"/>
  <c r="G205" i="5" s="1"/>
  <c r="E238" i="5"/>
  <c r="F233" i="5"/>
  <c r="D231" i="5"/>
  <c r="D236" i="5" s="1"/>
  <c r="D256" i="5" s="1"/>
  <c r="E226" i="5"/>
  <c r="E230" i="5" s="1"/>
  <c r="E255" i="5" s="1"/>
  <c r="C224" i="5"/>
  <c r="G224" i="5" s="1"/>
  <c r="F221" i="5"/>
  <c r="D219" i="5"/>
  <c r="D222" i="5" s="1"/>
  <c r="D253" i="5" s="1"/>
  <c r="E214" i="5"/>
  <c r="D207" i="5"/>
  <c r="F240" i="5"/>
  <c r="D238" i="5"/>
  <c r="E233" i="5"/>
  <c r="C231" i="5"/>
  <c r="F228" i="5"/>
  <c r="D226" i="5"/>
  <c r="D230" i="5" s="1"/>
  <c r="D255" i="5" s="1"/>
  <c r="E221" i="5"/>
  <c r="C219" i="5"/>
  <c r="F216" i="5"/>
  <c r="F218" i="5" s="1"/>
  <c r="F252" i="5" s="1"/>
  <c r="D214" i="5"/>
  <c r="C207" i="5"/>
  <c r="G207" i="5" s="1"/>
  <c r="F204" i="5"/>
  <c r="F209" i="5" s="1"/>
  <c r="F249" i="5" s="1"/>
  <c r="E240" i="5"/>
  <c r="C238" i="5"/>
  <c r="G238" i="5" s="1"/>
  <c r="F235" i="5"/>
  <c r="D233" i="5"/>
  <c r="E228" i="5"/>
  <c r="C226" i="5"/>
  <c r="F223" i="5"/>
  <c r="F225" i="5" s="1"/>
  <c r="F254" i="5" s="1"/>
  <c r="D221" i="5"/>
  <c r="E216" i="5"/>
  <c r="E218" i="5" s="1"/>
  <c r="E252" i="5" s="1"/>
  <c r="C214" i="5"/>
  <c r="G214" i="5" s="1"/>
  <c r="F211" i="5"/>
  <c r="E204" i="5"/>
  <c r="E209" i="5" s="1"/>
  <c r="E249" i="5" s="1"/>
  <c r="F208" i="5"/>
  <c r="E213" i="5"/>
  <c r="E215" i="5" s="1"/>
  <c r="E251" i="5" s="1"/>
  <c r="C223" i="5"/>
  <c r="F232" i="5"/>
  <c r="E237" i="5"/>
  <c r="E241" i="5" s="1"/>
  <c r="E257" i="5" s="1"/>
  <c r="R80" i="6"/>
  <c r="R76" i="6"/>
  <c r="R72" i="6"/>
  <c r="R68" i="6"/>
  <c r="R64" i="6"/>
  <c r="R60" i="6"/>
  <c r="R52" i="6"/>
  <c r="T81" i="6"/>
  <c r="Q80" i="6"/>
  <c r="Q86" i="6"/>
  <c r="Q79" i="6"/>
  <c r="S74" i="6"/>
  <c r="Q72" i="6"/>
  <c r="T67" i="6"/>
  <c r="R65" i="6"/>
  <c r="T76" i="6"/>
  <c r="R74" i="6"/>
  <c r="T69" i="6"/>
  <c r="S67" i="6"/>
  <c r="Q65" i="6"/>
  <c r="T78" i="6"/>
  <c r="S76" i="6"/>
  <c r="Q74" i="6"/>
  <c r="S69" i="6"/>
  <c r="R67" i="6"/>
  <c r="S81" i="6"/>
  <c r="S78" i="6"/>
  <c r="Q76" i="6"/>
  <c r="R69" i="6"/>
  <c r="Q67" i="6"/>
  <c r="Q81" i="6"/>
  <c r="T80" i="6"/>
  <c r="Q78" i="6"/>
  <c r="S73" i="6"/>
  <c r="S80" i="6"/>
  <c r="T75" i="6"/>
  <c r="R73" i="6"/>
  <c r="Q64" i="6"/>
  <c r="R61" i="6"/>
  <c r="S54" i="6"/>
  <c r="Q52" i="6"/>
  <c r="T49" i="6"/>
  <c r="Q48" i="6"/>
  <c r="T45" i="6"/>
  <c r="S75" i="6"/>
  <c r="T68" i="6"/>
  <c r="Q61" i="6"/>
  <c r="R54" i="6"/>
  <c r="S49" i="6"/>
  <c r="S45" i="6"/>
  <c r="R75" i="6"/>
  <c r="S68" i="6"/>
  <c r="T58" i="6"/>
  <c r="Q54" i="6"/>
  <c r="R49" i="6"/>
  <c r="R45" i="6"/>
  <c r="Q75" i="6"/>
  <c r="Q68" i="6"/>
  <c r="S58" i="6"/>
  <c r="Q49" i="6"/>
  <c r="T46" i="6"/>
  <c r="Q45" i="6"/>
  <c r="T72" i="6"/>
  <c r="T60" i="6"/>
  <c r="R58" i="6"/>
  <c r="S46" i="6"/>
  <c r="R81" i="6"/>
  <c r="S72" i="6"/>
  <c r="T62" i="6"/>
  <c r="S60" i="6"/>
  <c r="Q58" i="6"/>
  <c r="R46" i="6"/>
  <c r="T79" i="6"/>
  <c r="T73" i="6"/>
  <c r="Q69" i="6"/>
  <c r="T65" i="6"/>
  <c r="S62" i="6"/>
  <c r="Q60" i="6"/>
  <c r="S79" i="6"/>
  <c r="Q73" i="6"/>
  <c r="S65" i="6"/>
  <c r="R62" i="6"/>
  <c r="T57" i="6"/>
  <c r="S55" i="6"/>
  <c r="S51" i="6"/>
  <c r="S47" i="6"/>
  <c r="R79" i="6"/>
  <c r="T70" i="6"/>
  <c r="Q62" i="6"/>
  <c r="S57" i="6"/>
  <c r="R55" i="6"/>
  <c r="R51" i="6"/>
  <c r="S48" i="6"/>
  <c r="AF55" i="6"/>
  <c r="J69" i="6"/>
  <c r="J76" i="6"/>
  <c r="J79" i="6"/>
  <c r="E146" i="5"/>
  <c r="D151" i="5"/>
  <c r="F165" i="5"/>
  <c r="E170" i="5"/>
  <c r="C204" i="5"/>
  <c r="F213" i="5"/>
  <c r="F215" i="5" s="1"/>
  <c r="F251" i="5" s="1"/>
  <c r="D223" i="5"/>
  <c r="D225" i="5" s="1"/>
  <c r="D254" i="5" s="1"/>
  <c r="C228" i="5"/>
  <c r="G228" i="5" s="1"/>
  <c r="F237" i="5"/>
  <c r="F241" i="5" s="1"/>
  <c r="F257" i="5" s="1"/>
  <c r="C245" i="5"/>
  <c r="AE46" i="6"/>
  <c r="D47" i="6"/>
  <c r="T48" i="6"/>
  <c r="Q51" i="6"/>
  <c r="C52" i="6"/>
  <c r="L62" i="6"/>
  <c r="T74" i="6"/>
  <c r="F176" i="5"/>
  <c r="E169" i="5"/>
  <c r="C167" i="5"/>
  <c r="F164" i="5"/>
  <c r="D162" i="5"/>
  <c r="E157" i="5"/>
  <c r="C155" i="5"/>
  <c r="F152" i="5"/>
  <c r="E145" i="5"/>
  <c r="C143" i="5"/>
  <c r="E176" i="5"/>
  <c r="F171" i="5"/>
  <c r="D169" i="5"/>
  <c r="E164" i="5"/>
  <c r="C162" i="5"/>
  <c r="F159" i="5"/>
  <c r="D157" i="5"/>
  <c r="E152" i="5"/>
  <c r="D145" i="5"/>
  <c r="F178" i="5"/>
  <c r="D176" i="5"/>
  <c r="E171" i="5"/>
  <c r="C169" i="5"/>
  <c r="F166" i="5"/>
  <c r="D164" i="5"/>
  <c r="E159" i="5"/>
  <c r="C157" i="5"/>
  <c r="F154" i="5"/>
  <c r="D152" i="5"/>
  <c r="C145" i="5"/>
  <c r="F142" i="5"/>
  <c r="E178" i="5"/>
  <c r="C176" i="5"/>
  <c r="F173" i="5"/>
  <c r="D171" i="5"/>
  <c r="E166" i="5"/>
  <c r="C164" i="5"/>
  <c r="F161" i="5"/>
  <c r="D159" i="5"/>
  <c r="E154" i="5"/>
  <c r="C152" i="5"/>
  <c r="F149" i="5"/>
  <c r="E142" i="5"/>
  <c r="D178" i="5"/>
  <c r="E173" i="5"/>
  <c r="C171" i="5"/>
  <c r="D166" i="5"/>
  <c r="E161" i="5"/>
  <c r="C159" i="5"/>
  <c r="D154" i="5"/>
  <c r="E149" i="5"/>
  <c r="F144" i="5"/>
  <c r="D142" i="5"/>
  <c r="C183" i="5"/>
  <c r="C178" i="5"/>
  <c r="F175" i="5"/>
  <c r="D173" i="5"/>
  <c r="C166" i="5"/>
  <c r="D161" i="5"/>
  <c r="C154" i="5"/>
  <c r="F151" i="5"/>
  <c r="D149" i="5"/>
  <c r="E144" i="5"/>
  <c r="C142" i="5"/>
  <c r="F146" i="5"/>
  <c r="E151" i="5"/>
  <c r="C161" i="5"/>
  <c r="F170" i="5"/>
  <c r="E175" i="5"/>
  <c r="E223" i="5"/>
  <c r="E225" i="5" s="1"/>
  <c r="E254" i="5" s="1"/>
  <c r="D228" i="5"/>
  <c r="C233" i="5"/>
  <c r="G233" i="5" s="1"/>
  <c r="AE86" i="6"/>
  <c r="AH80" i="6"/>
  <c r="AE79" i="6"/>
  <c r="AH76" i="6"/>
  <c r="AE75" i="6"/>
  <c r="AH72" i="6"/>
  <c r="AH68" i="6"/>
  <c r="AE67" i="6"/>
  <c r="AH64" i="6"/>
  <c r="AH60" i="6"/>
  <c r="AE55" i="6"/>
  <c r="AH52" i="6"/>
  <c r="AG80" i="6"/>
  <c r="AH79" i="6"/>
  <c r="AG70" i="6"/>
  <c r="AE68" i="6"/>
  <c r="AG79" i="6"/>
  <c r="AG72" i="6"/>
  <c r="AF70" i="6"/>
  <c r="AH65" i="6"/>
  <c r="AF79" i="6"/>
  <c r="AH74" i="6"/>
  <c r="AF72" i="6"/>
  <c r="AE70" i="6"/>
  <c r="AG65" i="6"/>
  <c r="AG74" i="6"/>
  <c r="AE72" i="6"/>
  <c r="AH67" i="6"/>
  <c r="AH78" i="6"/>
  <c r="AF76" i="6"/>
  <c r="AE74" i="6"/>
  <c r="AG69" i="6"/>
  <c r="AF67" i="6"/>
  <c r="AH81" i="6"/>
  <c r="AG78" i="6"/>
  <c r="AE76" i="6"/>
  <c r="AF69" i="6"/>
  <c r="AG81" i="6"/>
  <c r="AF78" i="6"/>
  <c r="AF81" i="6"/>
  <c r="AE78" i="6"/>
  <c r="AH69" i="6"/>
  <c r="AF57" i="6"/>
  <c r="AG48" i="6"/>
  <c r="AH73" i="6"/>
  <c r="AE69" i="6"/>
  <c r="AF65" i="6"/>
  <c r="AH61" i="6"/>
  <c r="AE57" i="6"/>
  <c r="AG52" i="6"/>
  <c r="AF48" i="6"/>
  <c r="AE81" i="6"/>
  <c r="AF80" i="6"/>
  <c r="AG73" i="6"/>
  <c r="AE65" i="6"/>
  <c r="AG61" i="6"/>
  <c r="AH54" i="6"/>
  <c r="AF52" i="6"/>
  <c r="AH49" i="6"/>
  <c r="AE48" i="6"/>
  <c r="AH45" i="6"/>
  <c r="AE80" i="6"/>
  <c r="AG76" i="6"/>
  <c r="AF73" i="6"/>
  <c r="AF61" i="6"/>
  <c r="AG54" i="6"/>
  <c r="AG56" i="6" s="1"/>
  <c r="AG92" i="6" s="1"/>
  <c r="AE52" i="6"/>
  <c r="AG49" i="6"/>
  <c r="AG45" i="6"/>
  <c r="AE73" i="6"/>
  <c r="AG64" i="6"/>
  <c r="AE61" i="6"/>
  <c r="AF54" i="6"/>
  <c r="AF49" i="6"/>
  <c r="AF45" i="6"/>
  <c r="AH70" i="6"/>
  <c r="AF64" i="6"/>
  <c r="AH58" i="6"/>
  <c r="AE54" i="6"/>
  <c r="AE49" i="6"/>
  <c r="AH46" i="6"/>
  <c r="AE45" i="6"/>
  <c r="AF74" i="6"/>
  <c r="AG67" i="6"/>
  <c r="AE64" i="6"/>
  <c r="AG58" i="6"/>
  <c r="AG60" i="6"/>
  <c r="AF58" i="6"/>
  <c r="AF46" i="6"/>
  <c r="AH62" i="6"/>
  <c r="AF60" i="6"/>
  <c r="AE58" i="6"/>
  <c r="AH51" i="6"/>
  <c r="AG46" i="6"/>
  <c r="M47" i="6"/>
  <c r="E49" i="6"/>
  <c r="T51" i="6"/>
  <c r="D52" i="6"/>
  <c r="AH55" i="6"/>
  <c r="C61" i="6"/>
  <c r="M62" i="6"/>
  <c r="J65" i="6"/>
  <c r="C72" i="6"/>
  <c r="D143" i="5"/>
  <c r="C148" i="5"/>
  <c r="F157" i="5"/>
  <c r="E162" i="5"/>
  <c r="D167" i="5"/>
  <c r="C172" i="5"/>
  <c r="F205" i="5"/>
  <c r="E210" i="5"/>
  <c r="E212" i="5" s="1"/>
  <c r="E250" i="5" s="1"/>
  <c r="C220" i="5"/>
  <c r="G220" i="5" s="1"/>
  <c r="F229" i="5"/>
  <c r="E234" i="5"/>
  <c r="D239" i="5"/>
  <c r="F49" i="6"/>
  <c r="AE51" i="6"/>
  <c r="D61" i="6"/>
  <c r="L65" i="6"/>
  <c r="D72" i="6"/>
  <c r="C80" i="6"/>
  <c r="E143" i="5"/>
  <c r="D148" i="5"/>
  <c r="F162" i="5"/>
  <c r="E167" i="5"/>
  <c r="D172" i="5"/>
  <c r="C177" i="5"/>
  <c r="F210" i="5"/>
  <c r="F212" i="5" s="1"/>
  <c r="F250" i="5" s="1"/>
  <c r="D220" i="5"/>
  <c r="F234" i="5"/>
  <c r="E239" i="5"/>
  <c r="Q47" i="6"/>
  <c r="AH48" i="6"/>
  <c r="AF51" i="6"/>
  <c r="S52" i="6"/>
  <c r="C54" i="6"/>
  <c r="J60" i="6"/>
  <c r="S61" i="6"/>
  <c r="AE62" i="6"/>
  <c r="Q70" i="6"/>
  <c r="F143" i="5"/>
  <c r="E148" i="5"/>
  <c r="C158" i="5"/>
  <c r="F167" i="5"/>
  <c r="E172" i="5"/>
  <c r="D177" i="5"/>
  <c r="C206" i="5"/>
  <c r="G206" i="5" s="1"/>
  <c r="E220" i="5"/>
  <c r="F239" i="5"/>
  <c r="J46" i="6"/>
  <c r="R47" i="6"/>
  <c r="L49" i="6"/>
  <c r="AG51" i="6"/>
  <c r="T52" i="6"/>
  <c r="D54" i="6"/>
  <c r="K60" i="6"/>
  <c r="T61" i="6"/>
  <c r="AF62" i="6"/>
  <c r="R70" i="6"/>
  <c r="F148" i="5"/>
  <c r="D158" i="5"/>
  <c r="F172" i="5"/>
  <c r="E177" i="5"/>
  <c r="C211" i="5"/>
  <c r="G211" i="5" s="1"/>
  <c r="F220" i="5"/>
  <c r="C235" i="5"/>
  <c r="G235" i="5" s="1"/>
  <c r="K46" i="6"/>
  <c r="T47" i="6"/>
  <c r="E54" i="6"/>
  <c r="F58" i="6"/>
  <c r="L60" i="6"/>
  <c r="AG62" i="6"/>
  <c r="S70" i="6"/>
  <c r="Z49" i="6"/>
  <c r="X52" i="6"/>
  <c r="AO52" i="6"/>
  <c r="BH52" i="6"/>
  <c r="Y54" i="6"/>
  <c r="AS54" i="6"/>
  <c r="BJ54" i="6"/>
  <c r="BB55" i="6"/>
  <c r="AL57" i="6"/>
  <c r="AV58" i="6"/>
  <c r="Y61" i="6"/>
  <c r="BI61" i="6"/>
  <c r="BA62" i="6"/>
  <c r="AA64" i="6"/>
  <c r="AS65" i="6"/>
  <c r="AW65" i="6" s="1"/>
  <c r="Z67" i="6"/>
  <c r="BJ67" i="6"/>
  <c r="AL68" i="6"/>
  <c r="AU69" i="6"/>
  <c r="AO72" i="6"/>
  <c r="AZ73" i="6"/>
  <c r="Y74" i="6"/>
  <c r="BJ74" i="6"/>
  <c r="BI76" i="6"/>
  <c r="Z78" i="6"/>
  <c r="Z74" i="6"/>
  <c r="Z70" i="6"/>
  <c r="Z62" i="6"/>
  <c r="Z58" i="6"/>
  <c r="Z54" i="6"/>
  <c r="X86" i="6"/>
  <c r="Z81" i="6"/>
  <c r="AA80" i="6"/>
  <c r="X78" i="6"/>
  <c r="AA73" i="6"/>
  <c r="X69" i="6"/>
  <c r="Z64" i="6"/>
  <c r="Y81" i="6"/>
  <c r="Z80" i="6"/>
  <c r="AA75" i="6"/>
  <c r="Z73" i="6"/>
  <c r="Y64" i="6"/>
  <c r="X81" i="6"/>
  <c r="Y80" i="6"/>
  <c r="Z75" i="6"/>
  <c r="Y73" i="6"/>
  <c r="AA68" i="6"/>
  <c r="X64" i="6"/>
  <c r="X80" i="6"/>
  <c r="Y75" i="6"/>
  <c r="X73" i="6"/>
  <c r="Z68" i="6"/>
  <c r="Z79" i="6"/>
  <c r="AA72" i="6"/>
  <c r="Y70" i="6"/>
  <c r="X68" i="6"/>
  <c r="Y79" i="6"/>
  <c r="Z72" i="6"/>
  <c r="X70" i="6"/>
  <c r="AA65" i="6"/>
  <c r="X79" i="6"/>
  <c r="AA45" i="6"/>
  <c r="X48" i="6"/>
  <c r="AN48" i="6"/>
  <c r="AA49" i="6"/>
  <c r="AS49" i="6"/>
  <c r="AW49" i="6" s="1"/>
  <c r="BI49" i="6"/>
  <c r="BA51" i="6"/>
  <c r="Y52" i="6"/>
  <c r="BI52" i="6"/>
  <c r="AA54" i="6"/>
  <c r="AT54" i="6"/>
  <c r="AT56" i="6" s="1"/>
  <c r="AT92" i="6" s="1"/>
  <c r="AL55" i="6"/>
  <c r="BC55" i="6"/>
  <c r="AN57" i="6"/>
  <c r="BG57" i="6"/>
  <c r="BA60" i="6"/>
  <c r="Z61" i="6"/>
  <c r="AS61" i="6"/>
  <c r="AW61" i="6" s="1"/>
  <c r="BJ61" i="6"/>
  <c r="BB62" i="6"/>
  <c r="BA64" i="6"/>
  <c r="AV65" i="6"/>
  <c r="AA67" i="6"/>
  <c r="AM68" i="6"/>
  <c r="AV69" i="6"/>
  <c r="BG70" i="6"/>
  <c r="BA73" i="6"/>
  <c r="AA74" i="6"/>
  <c r="AL75" i="6"/>
  <c r="X76" i="6"/>
  <c r="BJ76" i="6"/>
  <c r="AA78" i="6"/>
  <c r="X57" i="6"/>
  <c r="BB60" i="6"/>
  <c r="AA61" i="6"/>
  <c r="AT61" i="6"/>
  <c r="AL62" i="6"/>
  <c r="BC62" i="6"/>
  <c r="BB64" i="6"/>
  <c r="BA69" i="6"/>
  <c r="AA70" i="6"/>
  <c r="AU72" i="6"/>
  <c r="AU77" i="6" s="1"/>
  <c r="BG73" i="6"/>
  <c r="Y76" i="6"/>
  <c r="C82" i="5"/>
  <c r="E84" i="5"/>
  <c r="D89" i="5"/>
  <c r="E96" i="5"/>
  <c r="F103" i="5"/>
  <c r="E108" i="5"/>
  <c r="D113" i="5"/>
  <c r="F115" i="5"/>
  <c r="AM81" i="6"/>
  <c r="AM73" i="6"/>
  <c r="AM69" i="6"/>
  <c r="AM65" i="6"/>
  <c r="AM61" i="6"/>
  <c r="AM57" i="6"/>
  <c r="AL81" i="6"/>
  <c r="AO78" i="6"/>
  <c r="AN76" i="6"/>
  <c r="AL74" i="6"/>
  <c r="AO69" i="6"/>
  <c r="AM67" i="6"/>
  <c r="AN78" i="6"/>
  <c r="AM76" i="6"/>
  <c r="AN69" i="6"/>
  <c r="AL67" i="6"/>
  <c r="AM78" i="6"/>
  <c r="AL76" i="6"/>
  <c r="AL69" i="6"/>
  <c r="AO64" i="6"/>
  <c r="AO81" i="6"/>
  <c r="AL78" i="6"/>
  <c r="AO73" i="6"/>
  <c r="AN80" i="6"/>
  <c r="AN75" i="6"/>
  <c r="AL73" i="6"/>
  <c r="AO68" i="6"/>
  <c r="AM80" i="6"/>
  <c r="AM75" i="6"/>
  <c r="AO70" i="6"/>
  <c r="AN68" i="6"/>
  <c r="AL80" i="6"/>
  <c r="AO79" i="6"/>
  <c r="AN79" i="6"/>
  <c r="AU45" i="6"/>
  <c r="AU50" i="6" s="1"/>
  <c r="AU90" i="6" s="1"/>
  <c r="AZ46" i="6"/>
  <c r="AM47" i="6"/>
  <c r="BC47" i="6"/>
  <c r="Z48" i="6"/>
  <c r="BH48" i="6"/>
  <c r="AU49" i="6"/>
  <c r="AM51" i="6"/>
  <c r="BC51" i="6"/>
  <c r="AA52" i="6"/>
  <c r="AT52" i="6"/>
  <c r="AV54" i="6"/>
  <c r="AV56" i="6" s="1"/>
  <c r="AV92" i="6" s="1"/>
  <c r="AN55" i="6"/>
  <c r="BG55" i="6"/>
  <c r="Y57" i="6"/>
  <c r="BI57" i="6"/>
  <c r="BA58" i="6"/>
  <c r="AL60" i="6"/>
  <c r="BC60" i="6"/>
  <c r="AM62" i="6"/>
  <c r="BJ62" i="6"/>
  <c r="X65" i="6"/>
  <c r="AN67" i="6"/>
  <c r="Y69" i="6"/>
  <c r="BI69" i="6"/>
  <c r="BC72" i="6"/>
  <c r="AM74" i="6"/>
  <c r="Z76" i="6"/>
  <c r="AA79" i="6"/>
  <c r="D82" i="5"/>
  <c r="F84" i="5"/>
  <c r="C87" i="5"/>
  <c r="E89" i="5"/>
  <c r="F96" i="5"/>
  <c r="C99" i="5"/>
  <c r="F108" i="5"/>
  <c r="C111" i="5"/>
  <c r="E113" i="5"/>
  <c r="AU81" i="6"/>
  <c r="AU79" i="6"/>
  <c r="AU75" i="6"/>
  <c r="AU67" i="6"/>
  <c r="AU71" i="6" s="1"/>
  <c r="AU96" i="6" s="1"/>
  <c r="AU55" i="6"/>
  <c r="AT81" i="6"/>
  <c r="AU80" i="6"/>
  <c r="AV75" i="6"/>
  <c r="AT73" i="6"/>
  <c r="AV68" i="6"/>
  <c r="AS64" i="6"/>
  <c r="AS81" i="6"/>
  <c r="AW81" i="6" s="1"/>
  <c r="AT80" i="6"/>
  <c r="AT75" i="6"/>
  <c r="AS73" i="6"/>
  <c r="AW73" i="6" s="1"/>
  <c r="AU68" i="6"/>
  <c r="AS80" i="6"/>
  <c r="AW80" i="6" s="1"/>
  <c r="AS75" i="6"/>
  <c r="AW75" i="6" s="1"/>
  <c r="AV70" i="6"/>
  <c r="AT68" i="6"/>
  <c r="AV79" i="6"/>
  <c r="AV72" i="6"/>
  <c r="AV77" i="6" s="1"/>
  <c r="AU70" i="6"/>
  <c r="AS68" i="6"/>
  <c r="AW68" i="6" s="1"/>
  <c r="AS79" i="6"/>
  <c r="AW79" i="6" s="1"/>
  <c r="AV74" i="6"/>
  <c r="AT72" i="6"/>
  <c r="AT77" i="6" s="1"/>
  <c r="AS70" i="6"/>
  <c r="AW70" i="6" s="1"/>
  <c r="AU65" i="6"/>
  <c r="AV76" i="6"/>
  <c r="AU74" i="6"/>
  <c r="AS72" i="6"/>
  <c r="AV67" i="6"/>
  <c r="AV71" i="6" s="1"/>
  <c r="AV96" i="6" s="1"/>
  <c r="AT65" i="6"/>
  <c r="AU76" i="6"/>
  <c r="AV78" i="6"/>
  <c r="AV82" i="6" s="1"/>
  <c r="AV45" i="6"/>
  <c r="AV50" i="6" s="1"/>
  <c r="AV90" i="6" s="1"/>
  <c r="BA46" i="6"/>
  <c r="X47" i="6"/>
  <c r="AN47" i="6"/>
  <c r="AA48" i="6"/>
  <c r="AS48" i="6"/>
  <c r="AW48" i="6" s="1"/>
  <c r="BI48" i="6"/>
  <c r="AV49" i="6"/>
  <c r="X51" i="6"/>
  <c r="AN51" i="6"/>
  <c r="AU52" i="6"/>
  <c r="X55" i="6"/>
  <c r="AO55" i="6"/>
  <c r="BH55" i="6"/>
  <c r="Z57" i="6"/>
  <c r="AS57" i="6"/>
  <c r="BJ57" i="6"/>
  <c r="BB58" i="6"/>
  <c r="AM60" i="6"/>
  <c r="AV61" i="6"/>
  <c r="AN62" i="6"/>
  <c r="BG64" i="6"/>
  <c r="Y65" i="6"/>
  <c r="BG65" i="6"/>
  <c r="AO67" i="6"/>
  <c r="BA68" i="6"/>
  <c r="Z69" i="6"/>
  <c r="BJ69" i="6"/>
  <c r="AN74" i="6"/>
  <c r="AA76" i="6"/>
  <c r="AS78" i="6"/>
  <c r="AA81" i="6"/>
  <c r="AL86" i="6"/>
  <c r="C80" i="5"/>
  <c r="E82" i="5"/>
  <c r="D87" i="5"/>
  <c r="F89" i="5"/>
  <c r="C92" i="5"/>
  <c r="D99" i="5"/>
  <c r="C104" i="5"/>
  <c r="D111" i="5"/>
  <c r="F113" i="5"/>
  <c r="C116" i="5"/>
  <c r="C121" i="5"/>
  <c r="BC81" i="6"/>
  <c r="AZ80" i="6"/>
  <c r="AZ76" i="6"/>
  <c r="BC73" i="6"/>
  <c r="AZ72" i="6"/>
  <c r="BC69" i="6"/>
  <c r="AZ68" i="6"/>
  <c r="BC65" i="6"/>
  <c r="AZ64" i="6"/>
  <c r="BC61" i="6"/>
  <c r="AZ60" i="6"/>
  <c r="BC57" i="6"/>
  <c r="AZ52" i="6"/>
  <c r="BB81" i="6"/>
  <c r="BA79" i="6"/>
  <c r="BC74" i="6"/>
  <c r="BB72" i="6"/>
  <c r="AZ70" i="6"/>
  <c r="BB65" i="6"/>
  <c r="AZ79" i="6"/>
  <c r="BB74" i="6"/>
  <c r="BA72" i="6"/>
  <c r="BC67" i="6"/>
  <c r="BA65" i="6"/>
  <c r="BC76" i="6"/>
  <c r="BA74" i="6"/>
  <c r="BB67" i="6"/>
  <c r="AZ65" i="6"/>
  <c r="BC78" i="6"/>
  <c r="BB76" i="6"/>
  <c r="AZ74" i="6"/>
  <c r="BB69" i="6"/>
  <c r="BA67" i="6"/>
  <c r="BA78" i="6"/>
  <c r="AZ69" i="6"/>
  <c r="BC64" i="6"/>
  <c r="AZ78" i="6"/>
  <c r="BB73" i="6"/>
  <c r="BC75" i="6"/>
  <c r="BA81" i="6"/>
  <c r="BC80" i="6"/>
  <c r="AL46" i="6"/>
  <c r="BB46" i="6"/>
  <c r="Y47" i="6"/>
  <c r="AO47" i="6"/>
  <c r="BG47" i="6"/>
  <c r="AT48" i="6"/>
  <c r="BJ48" i="6"/>
  <c r="Y51" i="6"/>
  <c r="AO51" i="6"/>
  <c r="BG51" i="6"/>
  <c r="AV52" i="6"/>
  <c r="AZ54" i="6"/>
  <c r="Y55" i="6"/>
  <c r="BI55" i="6"/>
  <c r="AA57" i="6"/>
  <c r="AT57" i="6"/>
  <c r="AT59" i="6" s="1"/>
  <c r="AT93" i="6" s="1"/>
  <c r="AL58" i="6"/>
  <c r="BC58" i="6"/>
  <c r="AN60" i="6"/>
  <c r="BG60" i="6"/>
  <c r="X62" i="6"/>
  <c r="AO62" i="6"/>
  <c r="Z65" i="6"/>
  <c r="BH65" i="6"/>
  <c r="BB68" i="6"/>
  <c r="AA69" i="6"/>
  <c r="AL70" i="6"/>
  <c r="AO74" i="6"/>
  <c r="BA75" i="6"/>
  <c r="AT78" i="6"/>
  <c r="AT82" i="6" s="1"/>
  <c r="AL79" i="6"/>
  <c r="AS86" i="6"/>
  <c r="F82" i="5"/>
  <c r="E87" i="5"/>
  <c r="D92" i="5"/>
  <c r="C97" i="5"/>
  <c r="E99" i="5"/>
  <c r="D104" i="5"/>
  <c r="C109" i="5"/>
  <c r="E111" i="5"/>
  <c r="D116" i="5"/>
  <c r="BH78" i="6"/>
  <c r="BH74" i="6"/>
  <c r="BH70" i="6"/>
  <c r="BH62" i="6"/>
  <c r="BH58" i="6"/>
  <c r="BH54" i="6"/>
  <c r="BI78" i="6"/>
  <c r="BG76" i="6"/>
  <c r="BH69" i="6"/>
  <c r="BJ64" i="6"/>
  <c r="BI62" i="6"/>
  <c r="BG78" i="6"/>
  <c r="BJ73" i="6"/>
  <c r="BG69" i="6"/>
  <c r="BI64" i="6"/>
  <c r="BG62" i="6"/>
  <c r="BJ75" i="6"/>
  <c r="BI73" i="6"/>
  <c r="BH64" i="6"/>
  <c r="BJ81" i="6"/>
  <c r="BJ80" i="6"/>
  <c r="BI75" i="6"/>
  <c r="BH73" i="6"/>
  <c r="BJ68" i="6"/>
  <c r="BH81" i="6"/>
  <c r="BH80" i="6"/>
  <c r="BJ79" i="6"/>
  <c r="BG75" i="6"/>
  <c r="BJ70" i="6"/>
  <c r="BH68" i="6"/>
  <c r="BG81" i="6"/>
  <c r="BG80" i="6"/>
  <c r="BI79" i="6"/>
  <c r="BJ72" i="6"/>
  <c r="BI70" i="6"/>
  <c r="BG68" i="6"/>
  <c r="BH79" i="6"/>
  <c r="BG86" i="6"/>
  <c r="BG79" i="6"/>
  <c r="AZ45" i="6"/>
  <c r="AM46" i="6"/>
  <c r="BC46" i="6"/>
  <c r="Z47" i="6"/>
  <c r="BH47" i="6"/>
  <c r="AU48" i="6"/>
  <c r="AZ49" i="6"/>
  <c r="Z51" i="6"/>
  <c r="BH51" i="6"/>
  <c r="BA54" i="6"/>
  <c r="Z55" i="6"/>
  <c r="AS55" i="6"/>
  <c r="AW55" i="6" s="1"/>
  <c r="BJ55" i="6"/>
  <c r="AU57" i="6"/>
  <c r="AU59" i="6" s="1"/>
  <c r="AU93" i="6" s="1"/>
  <c r="AM58" i="6"/>
  <c r="X60" i="6"/>
  <c r="AO60" i="6"/>
  <c r="BH60" i="6"/>
  <c r="AZ61" i="6"/>
  <c r="Y62" i="6"/>
  <c r="AS62" i="6"/>
  <c r="AW62" i="6" s="1"/>
  <c r="AL64" i="6"/>
  <c r="BI65" i="6"/>
  <c r="AS67" i="6"/>
  <c r="BC68" i="6"/>
  <c r="AM70" i="6"/>
  <c r="X72" i="6"/>
  <c r="BH72" i="6"/>
  <c r="AS74" i="6"/>
  <c r="AW74" i="6" s="1"/>
  <c r="BB75" i="6"/>
  <c r="AO76" i="6"/>
  <c r="AU78" i="6"/>
  <c r="AU82" i="6" s="1"/>
  <c r="AM79" i="6"/>
  <c r="AZ86" i="6"/>
  <c r="E80" i="5"/>
  <c r="F87" i="5"/>
  <c r="C90" i="5"/>
  <c r="E92" i="5"/>
  <c r="D97" i="5"/>
  <c r="F99" i="5"/>
  <c r="C102" i="5"/>
  <c r="E104" i="5"/>
  <c r="D109" i="5"/>
  <c r="F111" i="5"/>
  <c r="C114" i="5"/>
  <c r="E116" i="5"/>
  <c r="BA45" i="6"/>
  <c r="X46" i="6"/>
  <c r="AN46" i="6"/>
  <c r="AA47" i="6"/>
  <c r="AS47" i="6"/>
  <c r="AW47" i="6" s="1"/>
  <c r="BI47" i="6"/>
  <c r="AV48" i="6"/>
  <c r="BA49" i="6"/>
  <c r="AA51" i="6"/>
  <c r="AS51" i="6"/>
  <c r="BI51" i="6"/>
  <c r="BA52" i="6"/>
  <c r="BB54" i="6"/>
  <c r="AA55" i="6"/>
  <c r="AT55" i="6"/>
  <c r="AV57" i="6"/>
  <c r="AV59" i="6" s="1"/>
  <c r="AV93" i="6" s="1"/>
  <c r="AN58" i="6"/>
  <c r="BG58" i="6"/>
  <c r="Y60" i="6"/>
  <c r="BI60" i="6"/>
  <c r="BA61" i="6"/>
  <c r="AA62" i="6"/>
  <c r="AT62" i="6"/>
  <c r="AM64" i="6"/>
  <c r="BJ65" i="6"/>
  <c r="AT67" i="6"/>
  <c r="AT71" i="6" s="1"/>
  <c r="AT96" i="6" s="1"/>
  <c r="AN70" i="6"/>
  <c r="Y72" i="6"/>
  <c r="BI72" i="6"/>
  <c r="AT74" i="6"/>
  <c r="BH75" i="6"/>
  <c r="BB78" i="6"/>
  <c r="AT79" i="6"/>
  <c r="AO80" i="6"/>
  <c r="AN81" i="6"/>
  <c r="F80" i="5"/>
  <c r="C83" i="5"/>
  <c r="D90" i="5"/>
  <c r="F92" i="5"/>
  <c r="C95" i="5"/>
  <c r="E97" i="5"/>
  <c r="D102" i="5"/>
  <c r="F104" i="5"/>
  <c r="C107" i="5"/>
  <c r="E109" i="5"/>
  <c r="D114" i="5"/>
  <c r="AL45" i="6"/>
  <c r="BB45" i="6"/>
  <c r="Y46" i="6"/>
  <c r="AO46" i="6"/>
  <c r="BG46" i="6"/>
  <c r="AT47" i="6"/>
  <c r="BJ47" i="6"/>
  <c r="AL49" i="6"/>
  <c r="BB49" i="6"/>
  <c r="AT51" i="6"/>
  <c r="AT53" i="6" s="1"/>
  <c r="AT91" i="6" s="1"/>
  <c r="BJ51" i="6"/>
  <c r="BB52" i="6"/>
  <c r="AL54" i="6"/>
  <c r="BC54" i="6"/>
  <c r="AV55" i="6"/>
  <c r="X58" i="6"/>
  <c r="AO58" i="6"/>
  <c r="BI58" i="6"/>
  <c r="Z60" i="6"/>
  <c r="AS60" i="6"/>
  <c r="BJ60" i="6"/>
  <c r="BB61" i="6"/>
  <c r="AU62" i="6"/>
  <c r="AN64" i="6"/>
  <c r="AL65" i="6"/>
  <c r="AZ67" i="6"/>
  <c r="Y68" i="6"/>
  <c r="BI68" i="6"/>
  <c r="AT70" i="6"/>
  <c r="AN73" i="6"/>
  <c r="X75" i="6"/>
  <c r="AS76" i="6"/>
  <c r="AW76" i="6" s="1"/>
  <c r="BJ78" i="6"/>
  <c r="BB79" i="6"/>
  <c r="AV80" i="6"/>
  <c r="AV81" i="6"/>
  <c r="F141" i="6"/>
  <c r="D139" i="6"/>
  <c r="E134" i="6"/>
  <c r="F129" i="6"/>
  <c r="E122" i="6"/>
  <c r="D115" i="6"/>
  <c r="E110" i="6"/>
  <c r="C108" i="6"/>
  <c r="E141" i="6"/>
  <c r="C139" i="6"/>
  <c r="F136" i="6"/>
  <c r="D134" i="6"/>
  <c r="E129" i="6"/>
  <c r="D122" i="6"/>
  <c r="C115" i="6"/>
  <c r="F112" i="6"/>
  <c r="D110" i="6"/>
  <c r="D141" i="6"/>
  <c r="E136" i="6"/>
  <c r="C134" i="6"/>
  <c r="F131" i="6"/>
  <c r="D129" i="6"/>
  <c r="C122" i="6"/>
  <c r="F119" i="6"/>
  <c r="E112" i="6"/>
  <c r="C110" i="6"/>
  <c r="F107" i="6"/>
  <c r="C136" i="6"/>
  <c r="F133" i="6"/>
  <c r="D131" i="6"/>
  <c r="E126" i="6"/>
  <c r="F121" i="6"/>
  <c r="D119" i="6"/>
  <c r="C112" i="6"/>
  <c r="F109" i="6"/>
  <c r="D107" i="6"/>
  <c r="E142" i="6"/>
  <c r="C140" i="6"/>
  <c r="F137" i="6"/>
  <c r="D135" i="6"/>
  <c r="E130" i="6"/>
  <c r="C128" i="6"/>
  <c r="F125" i="6"/>
  <c r="D123" i="6"/>
  <c r="E118" i="6"/>
  <c r="C116" i="6"/>
  <c r="F113" i="6"/>
  <c r="E106" i="6"/>
  <c r="E109" i="6"/>
  <c r="C118" i="6"/>
  <c r="C126" i="6"/>
  <c r="D130" i="6"/>
  <c r="F134" i="6"/>
  <c r="F142" i="6"/>
  <c r="C106" i="6"/>
  <c r="D118" i="6"/>
  <c r="F122" i="6"/>
  <c r="D126" i="6"/>
  <c r="F130" i="6"/>
  <c r="D106" i="6"/>
  <c r="F110" i="6"/>
  <c r="F118" i="6"/>
  <c r="F126" i="6"/>
  <c r="C135" i="6"/>
  <c r="E139" i="6"/>
  <c r="E108" i="6"/>
  <c r="D112" i="6"/>
  <c r="E116" i="6"/>
  <c r="C125" i="6"/>
  <c r="F128" i="6"/>
  <c r="C133" i="6"/>
  <c r="D137" i="6"/>
  <c r="C141" i="6"/>
  <c r="D171" i="6"/>
  <c r="E178" i="6"/>
  <c r="D183" i="6"/>
  <c r="D186" i="6" s="1"/>
  <c r="D217" i="6" s="1"/>
  <c r="F185" i="6"/>
  <c r="C188" i="6"/>
  <c r="G188" i="6" s="1"/>
  <c r="E190" i="6"/>
  <c r="E194" i="6" s="1"/>
  <c r="E219" i="6" s="1"/>
  <c r="D195" i="6"/>
  <c r="D200" i="6" s="1"/>
  <c r="D220" i="6" s="1"/>
  <c r="F197" i="6"/>
  <c r="E202" i="6"/>
  <c r="D231" i="6"/>
  <c r="F233" i="6"/>
  <c r="C236" i="6"/>
  <c r="F249" i="6"/>
  <c r="F251" i="6" s="1"/>
  <c r="F280" i="6" s="1"/>
  <c r="E252" i="6"/>
  <c r="E256" i="6" s="1"/>
  <c r="E281" i="6" s="1"/>
  <c r="E255" i="6"/>
  <c r="D258" i="6"/>
  <c r="D261" i="6"/>
  <c r="C264" i="6"/>
  <c r="G264" i="6" s="1"/>
  <c r="S61" i="10"/>
  <c r="R68" i="10"/>
  <c r="K81" i="10"/>
  <c r="K87" i="10"/>
  <c r="Q98" i="10"/>
  <c r="I66" i="10"/>
  <c r="S68" i="10"/>
  <c r="P72" i="10"/>
  <c r="J84" i="10"/>
  <c r="L87" i="10"/>
  <c r="C234" i="6"/>
  <c r="G234" i="6" s="1"/>
  <c r="E236" i="6"/>
  <c r="E238" i="6" s="1"/>
  <c r="E276" i="6" s="1"/>
  <c r="D247" i="6"/>
  <c r="C250" i="6"/>
  <c r="G250" i="6" s="1"/>
  <c r="C253" i="6"/>
  <c r="G253" i="6" s="1"/>
  <c r="F261" i="6"/>
  <c r="E264" i="6"/>
  <c r="J66" i="10"/>
  <c r="I71" i="10"/>
  <c r="Q72" i="10"/>
  <c r="P76" i="10"/>
  <c r="K84" i="10"/>
  <c r="I93" i="10"/>
  <c r="I96" i="10"/>
  <c r="F169" i="6"/>
  <c r="C172" i="6"/>
  <c r="G172" i="6" s="1"/>
  <c r="E174" i="6"/>
  <c r="E176" i="6" s="1"/>
  <c r="E214" i="6" s="1"/>
  <c r="F181" i="6"/>
  <c r="C184" i="6"/>
  <c r="G184" i="6" s="1"/>
  <c r="D191" i="6"/>
  <c r="F193" i="6"/>
  <c r="C196" i="6"/>
  <c r="G196" i="6" s="1"/>
  <c r="E198" i="6"/>
  <c r="D203" i="6"/>
  <c r="C232" i="6"/>
  <c r="G232" i="6" s="1"/>
  <c r="E234" i="6"/>
  <c r="E239" i="6"/>
  <c r="E241" i="6" s="1"/>
  <c r="E277" i="6" s="1"/>
  <c r="C242" i="6"/>
  <c r="F247" i="6"/>
  <c r="F250" i="6"/>
  <c r="E253" i="6"/>
  <c r="D259" i="6"/>
  <c r="E83" i="8"/>
  <c r="F66" i="8"/>
  <c r="F82" i="8"/>
  <c r="F58" i="8"/>
  <c r="D78" i="8"/>
  <c r="C53" i="8"/>
  <c r="BP52" i="8"/>
  <c r="L64" i="10"/>
  <c r="I65" i="10"/>
  <c r="K71" i="10"/>
  <c r="S72" i="10"/>
  <c r="S76" i="10"/>
  <c r="I79" i="10"/>
  <c r="S84" i="10"/>
  <c r="S93" i="10"/>
  <c r="R96" i="10"/>
  <c r="Q99" i="10"/>
  <c r="F264" i="6"/>
  <c r="E257" i="6"/>
  <c r="E262" i="6" s="1"/>
  <c r="E282" i="6" s="1"/>
  <c r="C255" i="6"/>
  <c r="G255" i="6" s="1"/>
  <c r="F252" i="6"/>
  <c r="F256" i="6" s="1"/>
  <c r="F281" i="6" s="1"/>
  <c r="D250" i="6"/>
  <c r="E245" i="6"/>
  <c r="E248" i="6" s="1"/>
  <c r="E279" i="6" s="1"/>
  <c r="C243" i="6"/>
  <c r="G243" i="6" s="1"/>
  <c r="F266" i="6"/>
  <c r="F265" i="6"/>
  <c r="D263" i="6"/>
  <c r="D267" i="6" s="1"/>
  <c r="D283" i="6" s="1"/>
  <c r="E258" i="6"/>
  <c r="F253" i="6"/>
  <c r="E246" i="6"/>
  <c r="D239" i="6"/>
  <c r="D241" i="6" s="1"/>
  <c r="D277" i="6" s="1"/>
  <c r="D232" i="6"/>
  <c r="F234" i="6"/>
  <c r="C237" i="6"/>
  <c r="G237" i="6" s="1"/>
  <c r="F239" i="6"/>
  <c r="F241" i="6" s="1"/>
  <c r="F277" i="6" s="1"/>
  <c r="D242" i="6"/>
  <c r="D244" i="6" s="1"/>
  <c r="D278" i="6" s="1"/>
  <c r="C245" i="6"/>
  <c r="E259" i="6"/>
  <c r="D265" i="6"/>
  <c r="I194" i="10"/>
  <c r="L97" i="10"/>
  <c r="L94" i="10"/>
  <c r="L91" i="10"/>
  <c r="L88" i="10"/>
  <c r="I92" i="10"/>
  <c r="J90" i="10"/>
  <c r="J88" i="10"/>
  <c r="J99" i="10"/>
  <c r="J97" i="10"/>
  <c r="L93" i="10"/>
  <c r="J93" i="10"/>
  <c r="J91" i="10"/>
  <c r="I86" i="10"/>
  <c r="L84" i="10"/>
  <c r="L81" i="10"/>
  <c r="L78" i="10"/>
  <c r="K72" i="10"/>
  <c r="K69" i="10"/>
  <c r="L92" i="10"/>
  <c r="J86" i="10"/>
  <c r="I84" i="10"/>
  <c r="J82" i="10"/>
  <c r="K78" i="10"/>
  <c r="L76" i="10"/>
  <c r="L74" i="10"/>
  <c r="K64" i="10"/>
  <c r="K61" i="10"/>
  <c r="K92" i="10"/>
  <c r="I82" i="10"/>
  <c r="J78" i="10"/>
  <c r="K76" i="10"/>
  <c r="K74" i="10"/>
  <c r="L72" i="10"/>
  <c r="J64" i="10"/>
  <c r="J61" i="10"/>
  <c r="J92" i="10"/>
  <c r="K88" i="10"/>
  <c r="I78" i="10"/>
  <c r="J76" i="10"/>
  <c r="J74" i="10"/>
  <c r="J72" i="10"/>
  <c r="I64" i="10"/>
  <c r="I61" i="10"/>
  <c r="I88" i="10"/>
  <c r="I76" i="10"/>
  <c r="I74" i="10"/>
  <c r="I72" i="10"/>
  <c r="L68" i="10"/>
  <c r="L65" i="10"/>
  <c r="L62" i="10"/>
  <c r="K91" i="10"/>
  <c r="L83" i="10"/>
  <c r="K68" i="10"/>
  <c r="K65" i="10"/>
  <c r="K62" i="10"/>
  <c r="L98" i="10"/>
  <c r="L90" i="10"/>
  <c r="J87" i="10"/>
  <c r="I83" i="10"/>
  <c r="I81" i="10"/>
  <c r="J79" i="10"/>
  <c r="K77" i="10"/>
  <c r="K73" i="10"/>
  <c r="L71" i="10"/>
  <c r="L66" i="10"/>
  <c r="L60" i="10"/>
  <c r="B58" i="10"/>
  <c r="B194" i="10" s="1"/>
  <c r="L99" i="10"/>
  <c r="K98" i="10"/>
  <c r="L96" i="10"/>
  <c r="K90" i="10"/>
  <c r="I87" i="10"/>
  <c r="K99" i="10"/>
  <c r="J98" i="10"/>
  <c r="K97" i="10"/>
  <c r="K96" i="10"/>
  <c r="K94" i="10"/>
  <c r="J65" i="10"/>
  <c r="K79" i="10"/>
  <c r="J83" i="10"/>
  <c r="L86" i="10"/>
  <c r="C170" i="6"/>
  <c r="G170" i="6" s="1"/>
  <c r="E172" i="6"/>
  <c r="D177" i="6"/>
  <c r="D179" i="6" s="1"/>
  <c r="D215" i="6" s="1"/>
  <c r="E184" i="6"/>
  <c r="F191" i="6"/>
  <c r="E196" i="6"/>
  <c r="D201" i="6"/>
  <c r="D205" i="6" s="1"/>
  <c r="D221" i="6" s="1"/>
  <c r="F203" i="6"/>
  <c r="C230" i="6"/>
  <c r="E232" i="6"/>
  <c r="D237" i="6"/>
  <c r="E242" i="6"/>
  <c r="E244" i="6" s="1"/>
  <c r="E278" i="6" s="1"/>
  <c r="D245" i="6"/>
  <c r="D248" i="6" s="1"/>
  <c r="D279" i="6" s="1"/>
  <c r="C254" i="6"/>
  <c r="G254" i="6" s="1"/>
  <c r="F259" i="6"/>
  <c r="E265" i="6"/>
  <c r="C271" i="6"/>
  <c r="E58" i="8"/>
  <c r="P194" i="10"/>
  <c r="R98" i="10"/>
  <c r="R92" i="10"/>
  <c r="P97" i="10"/>
  <c r="Q93" i="10"/>
  <c r="R91" i="10"/>
  <c r="P86" i="10"/>
  <c r="S98" i="10"/>
  <c r="S96" i="10"/>
  <c r="P98" i="10"/>
  <c r="Q96" i="10"/>
  <c r="R94" i="10"/>
  <c r="S92" i="10"/>
  <c r="S90" i="10"/>
  <c r="R82" i="10"/>
  <c r="R79" i="10"/>
  <c r="R76" i="10"/>
  <c r="Q73" i="10"/>
  <c r="P96" i="10"/>
  <c r="Q94" i="10"/>
  <c r="S91" i="10"/>
  <c r="P88" i="10"/>
  <c r="R83" i="10"/>
  <c r="S81" i="10"/>
  <c r="Q68" i="10"/>
  <c r="Q65" i="10"/>
  <c r="Q62" i="10"/>
  <c r="Q91" i="10"/>
  <c r="S87" i="10"/>
  <c r="Q83" i="10"/>
  <c r="R81" i="10"/>
  <c r="S79" i="10"/>
  <c r="S77" i="10"/>
  <c r="P68" i="10"/>
  <c r="P65" i="10"/>
  <c r="P62" i="10"/>
  <c r="P91" i="10"/>
  <c r="R87" i="10"/>
  <c r="P83" i="10"/>
  <c r="Q81" i="10"/>
  <c r="Q79" i="10"/>
  <c r="R77" i="10"/>
  <c r="S73" i="10"/>
  <c r="S71" i="10"/>
  <c r="S66" i="10"/>
  <c r="S60" i="10"/>
  <c r="R90" i="10"/>
  <c r="Q87" i="10"/>
  <c r="P81" i="10"/>
  <c r="P79" i="10"/>
  <c r="Q77" i="10"/>
  <c r="R73" i="10"/>
  <c r="R71" i="10"/>
  <c r="S69" i="10"/>
  <c r="R66" i="10"/>
  <c r="R60" i="10"/>
  <c r="S99" i="10"/>
  <c r="Q90" i="10"/>
  <c r="P87" i="10"/>
  <c r="P77" i="10"/>
  <c r="P73" i="10"/>
  <c r="Q71" i="10"/>
  <c r="R69" i="10"/>
  <c r="Q66" i="10"/>
  <c r="Q60" i="10"/>
  <c r="P99" i="10"/>
  <c r="Q97" i="10"/>
  <c r="P94" i="10"/>
  <c r="R93" i="10"/>
  <c r="R86" i="10"/>
  <c r="R84" i="10"/>
  <c r="Q82" i="10"/>
  <c r="S78" i="10"/>
  <c r="R64" i="10"/>
  <c r="R61" i="10"/>
  <c r="P93" i="10"/>
  <c r="Q86" i="10"/>
  <c r="Q84" i="10"/>
  <c r="Q92" i="10"/>
  <c r="P64" i="10"/>
  <c r="R65" i="10"/>
  <c r="P71" i="10"/>
  <c r="L79" i="10"/>
  <c r="K83" i="10"/>
  <c r="I94" i="10"/>
  <c r="D170" i="6"/>
  <c r="F172" i="6"/>
  <c r="C175" i="6"/>
  <c r="G175" i="6" s="1"/>
  <c r="E177" i="6"/>
  <c r="E179" i="6" s="1"/>
  <c r="E215" i="6" s="1"/>
  <c r="F184" i="6"/>
  <c r="C187" i="6"/>
  <c r="F196" i="6"/>
  <c r="C199" i="6"/>
  <c r="G199" i="6" s="1"/>
  <c r="E201" i="6"/>
  <c r="E205" i="6" s="1"/>
  <c r="E221" i="6" s="1"/>
  <c r="D230" i="6"/>
  <c r="D235" i="6" s="1"/>
  <c r="D275" i="6" s="1"/>
  <c r="F232" i="6"/>
  <c r="E237" i="6"/>
  <c r="C240" i="6"/>
  <c r="G240" i="6" s="1"/>
  <c r="F242" i="6"/>
  <c r="F244" i="6" s="1"/>
  <c r="F278" i="6" s="1"/>
  <c r="F245" i="6"/>
  <c r="F248" i="6" s="1"/>
  <c r="F279" i="6" s="1"/>
  <c r="D254" i="6"/>
  <c r="C257" i="6"/>
  <c r="C260" i="6"/>
  <c r="G260" i="6" s="1"/>
  <c r="C62" i="8"/>
  <c r="D207" i="8"/>
  <c r="D211" i="8" s="1"/>
  <c r="D227" i="8" s="1"/>
  <c r="D197" i="8"/>
  <c r="Q64" i="10"/>
  <c r="S65" i="10"/>
  <c r="I69" i="10"/>
  <c r="P74" i="10"/>
  <c r="K82" i="10"/>
  <c r="S83" i="10"/>
  <c r="S86" i="10"/>
  <c r="Q88" i="10"/>
  <c r="J94" i="10"/>
  <c r="I97" i="10"/>
  <c r="C168" i="6"/>
  <c r="E170" i="6"/>
  <c r="D175" i="6"/>
  <c r="F177" i="6"/>
  <c r="F179" i="6" s="1"/>
  <c r="F215" i="6" s="1"/>
  <c r="C180" i="6"/>
  <c r="D187" i="6"/>
  <c r="D189" i="6" s="1"/>
  <c r="D218" i="6" s="1"/>
  <c r="C192" i="6"/>
  <c r="G192" i="6" s="1"/>
  <c r="D199" i="6"/>
  <c r="F201" i="6"/>
  <c r="F205" i="6" s="1"/>
  <c r="F221" i="6" s="1"/>
  <c r="C204" i="6"/>
  <c r="G204" i="6" s="1"/>
  <c r="E230" i="6"/>
  <c r="E235" i="6" s="1"/>
  <c r="E275" i="6" s="1"/>
  <c r="F237" i="6"/>
  <c r="D240" i="6"/>
  <c r="E254" i="6"/>
  <c r="D257" i="6"/>
  <c r="D262" i="6" s="1"/>
  <c r="D282" i="6" s="1"/>
  <c r="D260" i="6"/>
  <c r="C263" i="6"/>
  <c r="C266" i="6"/>
  <c r="G266" i="6" s="1"/>
  <c r="D66" i="8"/>
  <c r="L61" i="10"/>
  <c r="I62" i="10"/>
  <c r="S64" i="10"/>
  <c r="J69" i="10"/>
  <c r="Q74" i="10"/>
  <c r="P78" i="10"/>
  <c r="L82" i="10"/>
  <c r="R88" i="10"/>
  <c r="I90" i="10"/>
  <c r="S94" i="10"/>
  <c r="R97" i="10"/>
  <c r="E240" i="6"/>
  <c r="D243" i="6"/>
  <c r="C246" i="6"/>
  <c r="G246" i="6" s="1"/>
  <c r="C249" i="6"/>
  <c r="F254" i="6"/>
  <c r="F257" i="6"/>
  <c r="F262" i="6" s="1"/>
  <c r="F282" i="6" s="1"/>
  <c r="E260" i="6"/>
  <c r="E263" i="6"/>
  <c r="E267" i="6" s="1"/>
  <c r="E283" i="6" s="1"/>
  <c r="D266" i="6"/>
  <c r="I60" i="10"/>
  <c r="J62" i="10"/>
  <c r="L69" i="10"/>
  <c r="I73" i="10"/>
  <c r="R74" i="10"/>
  <c r="I77" i="10"/>
  <c r="Q78" i="10"/>
  <c r="S88" i="10"/>
  <c r="S97" i="10"/>
  <c r="X62" i="10"/>
  <c r="X65" i="10"/>
  <c r="X68" i="10"/>
  <c r="Z81" i="10"/>
  <c r="Z83" i="10"/>
  <c r="X88" i="10"/>
  <c r="Z91" i="10"/>
  <c r="W194" i="10"/>
  <c r="X99" i="10"/>
  <c r="X96" i="10"/>
  <c r="X93" i="10"/>
  <c r="X90" i="10"/>
  <c r="X98" i="10"/>
  <c r="Y96" i="10"/>
  <c r="Y94" i="10"/>
  <c r="Z92" i="10"/>
  <c r="Y99" i="10"/>
  <c r="Y97" i="10"/>
  <c r="Y86" i="10"/>
  <c r="X83" i="10"/>
  <c r="X77" i="10"/>
  <c r="X74" i="10"/>
  <c r="W71" i="10"/>
  <c r="W99" i="10"/>
  <c r="X97" i="10"/>
  <c r="Z93" i="10"/>
  <c r="W61" i="10"/>
  <c r="W64" i="10"/>
  <c r="Y72" i="10"/>
  <c r="Z74" i="10"/>
  <c r="Y76" i="10"/>
  <c r="X78" i="10"/>
  <c r="W82" i="10"/>
  <c r="W84" i="10"/>
  <c r="W86" i="10"/>
  <c r="W93" i="10"/>
  <c r="X94" i="10"/>
  <c r="W96" i="10"/>
  <c r="W98" i="10"/>
  <c r="Z72" i="10"/>
  <c r="Z76" i="10"/>
  <c r="Y78" i="10"/>
  <c r="X82" i="10"/>
  <c r="X84" i="10"/>
  <c r="X86" i="10"/>
  <c r="Y93" i="10"/>
  <c r="Z94" i="10"/>
  <c r="Z96" i="10"/>
  <c r="W97" i="10"/>
  <c r="Y98" i="10"/>
  <c r="P222" i="13"/>
  <c r="P127" i="13"/>
  <c r="P124" i="13"/>
  <c r="P121" i="13"/>
  <c r="P118" i="13"/>
  <c r="P115" i="13"/>
  <c r="S125" i="13"/>
  <c r="S122" i="13"/>
  <c r="S119" i="13"/>
  <c r="S116" i="13"/>
  <c r="R125" i="13"/>
  <c r="R122" i="13"/>
  <c r="P126" i="13"/>
  <c r="P120" i="13"/>
  <c r="S127" i="13"/>
  <c r="S120" i="13"/>
  <c r="R116" i="13"/>
  <c r="S113" i="13"/>
  <c r="S110" i="13"/>
  <c r="S107" i="13"/>
  <c r="S104" i="13"/>
  <c r="S101" i="13"/>
  <c r="S98" i="13"/>
  <c r="S95" i="13"/>
  <c r="R127" i="13"/>
  <c r="S126" i="13"/>
  <c r="R120" i="13"/>
  <c r="Q116" i="13"/>
  <c r="R113" i="13"/>
  <c r="R110" i="13"/>
  <c r="R107" i="13"/>
  <c r="R104" i="13"/>
  <c r="R101" i="13"/>
  <c r="R98" i="13"/>
  <c r="R95" i="13"/>
  <c r="Q127" i="13"/>
  <c r="R126" i="13"/>
  <c r="Q120" i="13"/>
  <c r="P116" i="13"/>
  <c r="Q113" i="13"/>
  <c r="Q110" i="13"/>
  <c r="Q107" i="13"/>
  <c r="Q104" i="13"/>
  <c r="Q101" i="13"/>
  <c r="Q98" i="13"/>
  <c r="Q95" i="13"/>
  <c r="Q126" i="13"/>
  <c r="Q125" i="13"/>
  <c r="R119" i="13"/>
  <c r="S115" i="13"/>
  <c r="P113" i="13"/>
  <c r="P110" i="13"/>
  <c r="P107" i="13"/>
  <c r="P104" i="13"/>
  <c r="P101" i="13"/>
  <c r="P98" i="13"/>
  <c r="P95" i="13"/>
  <c r="Q122" i="13"/>
  <c r="R118" i="13"/>
  <c r="S121" i="13"/>
  <c r="P114" i="13"/>
  <c r="R109" i="13"/>
  <c r="R106" i="13"/>
  <c r="Q121" i="13"/>
  <c r="P109" i="13"/>
  <c r="P106" i="13"/>
  <c r="P100" i="13"/>
  <c r="P97" i="13"/>
  <c r="P94" i="13"/>
  <c r="Q115" i="13"/>
  <c r="R111" i="13"/>
  <c r="R105" i="13"/>
  <c r="Q89" i="13"/>
  <c r="Q111" i="13"/>
  <c r="Q105" i="13"/>
  <c r="S94" i="13"/>
  <c r="P89" i="13"/>
  <c r="S124" i="13"/>
  <c r="P111" i="13"/>
  <c r="P105" i="13"/>
  <c r="S97" i="13"/>
  <c r="R94" i="13"/>
  <c r="S90" i="13"/>
  <c r="R124" i="13"/>
  <c r="P122" i="13"/>
  <c r="S118" i="13"/>
  <c r="S106" i="13"/>
  <c r="S100" i="13"/>
  <c r="R97" i="13"/>
  <c r="Q94" i="13"/>
  <c r="R90" i="13"/>
  <c r="Q124" i="13"/>
  <c r="Q118" i="13"/>
  <c r="Q106" i="13"/>
  <c r="R100" i="13"/>
  <c r="Q97" i="13"/>
  <c r="S93" i="13"/>
  <c r="Q90" i="13"/>
  <c r="S102" i="13"/>
  <c r="Q100" i="13"/>
  <c r="R93" i="13"/>
  <c r="P90" i="13"/>
  <c r="Q119" i="13"/>
  <c r="Q88" i="13"/>
  <c r="P119" i="13"/>
  <c r="P88" i="13"/>
  <c r="S89" i="13"/>
  <c r="R115" i="13"/>
  <c r="S105" i="13"/>
  <c r="R89" i="13"/>
  <c r="R102" i="13"/>
  <c r="S91" i="13"/>
  <c r="S114" i="13"/>
  <c r="Q102" i="13"/>
  <c r="R91" i="13"/>
  <c r="Q109" i="13"/>
  <c r="Q93" i="13"/>
  <c r="S88" i="13"/>
  <c r="B86" i="13"/>
  <c r="R114" i="13"/>
  <c r="P125" i="13"/>
  <c r="Q114" i="13"/>
  <c r="P93" i="13"/>
  <c r="R121" i="13"/>
  <c r="R88" i="13"/>
  <c r="P102" i="13"/>
  <c r="Q91" i="13"/>
  <c r="AV65" i="8"/>
  <c r="C248" i="8"/>
  <c r="Y61" i="10"/>
  <c r="Y64" i="10"/>
  <c r="Z78" i="10"/>
  <c r="Y82" i="10"/>
  <c r="Y84" i="10"/>
  <c r="Z86" i="10"/>
  <c r="Z97" i="10"/>
  <c r="Z98" i="10"/>
  <c r="Z99" i="10"/>
  <c r="Z82" i="10"/>
  <c r="Z84" i="10"/>
  <c r="W90" i="10"/>
  <c r="F264" i="8"/>
  <c r="W60" i="10"/>
  <c r="W66" i="10"/>
  <c r="X69" i="10"/>
  <c r="X71" i="10"/>
  <c r="W73" i="10"/>
  <c r="W87" i="10"/>
  <c r="Y90" i="10"/>
  <c r="W222" i="13"/>
  <c r="Z126" i="13"/>
  <c r="Z120" i="13"/>
  <c r="Z114" i="13"/>
  <c r="Y126" i="13"/>
  <c r="Y120" i="13"/>
  <c r="Y114" i="13"/>
  <c r="X126" i="13"/>
  <c r="Z125" i="13"/>
  <c r="Z122" i="13"/>
  <c r="Z119" i="13"/>
  <c r="Z116" i="13"/>
  <c r="Y125" i="13"/>
  <c r="Z124" i="13"/>
  <c r="Y119" i="13"/>
  <c r="Y115" i="13"/>
  <c r="Y111" i="13"/>
  <c r="Y105" i="13"/>
  <c r="Y102" i="13"/>
  <c r="X125" i="13"/>
  <c r="Y124" i="13"/>
  <c r="X119" i="13"/>
  <c r="X115" i="13"/>
  <c r="X111" i="13"/>
  <c r="X105" i="13"/>
  <c r="X102" i="13"/>
  <c r="W125" i="13"/>
  <c r="X124" i="13"/>
  <c r="W119" i="13"/>
  <c r="Z118" i="13"/>
  <c r="W115" i="13"/>
  <c r="W111" i="13"/>
  <c r="W105" i="13"/>
  <c r="W102" i="13"/>
  <c r="W124" i="13"/>
  <c r="Y118" i="13"/>
  <c r="X114" i="13"/>
  <c r="Z109" i="13"/>
  <c r="Z106" i="13"/>
  <c r="Z100" i="13"/>
  <c r="Z97" i="13"/>
  <c r="Z94" i="13"/>
  <c r="X121" i="13"/>
  <c r="Y127" i="13"/>
  <c r="X120" i="13"/>
  <c r="Y116" i="13"/>
  <c r="X113" i="13"/>
  <c r="X110" i="13"/>
  <c r="X107" i="13"/>
  <c r="X104" i="13"/>
  <c r="X101" i="13"/>
  <c r="W127" i="13"/>
  <c r="W126" i="13"/>
  <c r="W116" i="13"/>
  <c r="Z115" i="13"/>
  <c r="Z111" i="13"/>
  <c r="Z105" i="13"/>
  <c r="Z102" i="13"/>
  <c r="Z93" i="13"/>
  <c r="Y122" i="13"/>
  <c r="X106" i="13"/>
  <c r="X100" i="13"/>
  <c r="Y98" i="13"/>
  <c r="W97" i="13"/>
  <c r="X95" i="13"/>
  <c r="Y93" i="13"/>
  <c r="W90" i="13"/>
  <c r="X122" i="13"/>
  <c r="X118" i="13"/>
  <c r="W106" i="13"/>
  <c r="W100" i="13"/>
  <c r="X98" i="13"/>
  <c r="W95" i="13"/>
  <c r="X93" i="13"/>
  <c r="Z91" i="13"/>
  <c r="Z88" i="13"/>
  <c r="W122" i="13"/>
  <c r="W120" i="13"/>
  <c r="W118" i="13"/>
  <c r="Z113" i="13"/>
  <c r="Z107" i="13"/>
  <c r="Z101" i="13"/>
  <c r="W98" i="13"/>
  <c r="W93" i="13"/>
  <c r="Y91" i="13"/>
  <c r="Y88" i="13"/>
  <c r="Y113" i="13"/>
  <c r="Y107" i="13"/>
  <c r="Y101" i="13"/>
  <c r="X91" i="13"/>
  <c r="X88" i="13"/>
  <c r="X116" i="13"/>
  <c r="W113" i="13"/>
  <c r="W107" i="13"/>
  <c r="W101" i="13"/>
  <c r="W91" i="13"/>
  <c r="W88" i="13"/>
  <c r="W114" i="13"/>
  <c r="Y109" i="13"/>
  <c r="Z89" i="13"/>
  <c r="Z110" i="13"/>
  <c r="W89" i="13"/>
  <c r="Z127" i="13"/>
  <c r="Y110" i="13"/>
  <c r="Y94" i="13"/>
  <c r="Z90" i="13"/>
  <c r="X127" i="13"/>
  <c r="W110" i="13"/>
  <c r="X94" i="13"/>
  <c r="Y90" i="13"/>
  <c r="Y100" i="13"/>
  <c r="Z98" i="13"/>
  <c r="W94" i="13"/>
  <c r="X90" i="13"/>
  <c r="Z121" i="13"/>
  <c r="X109" i="13"/>
  <c r="Y121" i="13"/>
  <c r="W109" i="13"/>
  <c r="W104" i="13"/>
  <c r="Y97" i="13"/>
  <c r="Z95" i="13"/>
  <c r="Y89" i="13"/>
  <c r="Y104" i="13"/>
  <c r="Z104" i="13"/>
  <c r="W121" i="13"/>
  <c r="X89" i="13"/>
  <c r="Y106" i="13"/>
  <c r="I110" i="10"/>
  <c r="Y110" i="10"/>
  <c r="S112" i="10"/>
  <c r="I113" i="10"/>
  <c r="Y113" i="10"/>
  <c r="S115" i="10"/>
  <c r="I116" i="10"/>
  <c r="Y116" i="10"/>
  <c r="S118" i="10"/>
  <c r="I119" i="10"/>
  <c r="Y119" i="10"/>
  <c r="I122" i="10"/>
  <c r="Y122" i="10"/>
  <c r="S124" i="10"/>
  <c r="Q126" i="10"/>
  <c r="I127" i="10"/>
  <c r="S128" i="10"/>
  <c r="Y130" i="10"/>
  <c r="Q131" i="10"/>
  <c r="I132" i="10"/>
  <c r="S133" i="10"/>
  <c r="Y135" i="10"/>
  <c r="R136" i="10"/>
  <c r="P137" i="10"/>
  <c r="I138" i="10"/>
  <c r="Z139" i="10"/>
  <c r="Z142" i="10"/>
  <c r="I95" i="13"/>
  <c r="L101" i="13"/>
  <c r="L113" i="13"/>
  <c r="W136" i="10"/>
  <c r="R137" i="10"/>
  <c r="K138" i="10"/>
  <c r="X141" i="10"/>
  <c r="I222" i="13"/>
  <c r="J126" i="13"/>
  <c r="J120" i="13"/>
  <c r="J114" i="13"/>
  <c r="I126" i="13"/>
  <c r="I120" i="13"/>
  <c r="I114" i="13"/>
  <c r="L127" i="13"/>
  <c r="L124" i="13"/>
  <c r="J125" i="13"/>
  <c r="J122" i="13"/>
  <c r="J119" i="13"/>
  <c r="J116" i="13"/>
  <c r="I122" i="13"/>
  <c r="L121" i="13"/>
  <c r="I118" i="13"/>
  <c r="K114" i="13"/>
  <c r="I111" i="13"/>
  <c r="I105" i="13"/>
  <c r="I102" i="13"/>
  <c r="K121" i="13"/>
  <c r="L109" i="13"/>
  <c r="L106" i="13"/>
  <c r="L100" i="13"/>
  <c r="L97" i="13"/>
  <c r="L94" i="13"/>
  <c r="J121" i="13"/>
  <c r="K109" i="13"/>
  <c r="K106" i="13"/>
  <c r="K100" i="13"/>
  <c r="K97" i="13"/>
  <c r="K94" i="13"/>
  <c r="K127" i="13"/>
  <c r="I121" i="13"/>
  <c r="J109" i="13"/>
  <c r="J106" i="13"/>
  <c r="J100" i="13"/>
  <c r="J97" i="13"/>
  <c r="K125" i="13"/>
  <c r="K124" i="13"/>
  <c r="L119" i="13"/>
  <c r="I124" i="13"/>
  <c r="I119" i="13"/>
  <c r="L118" i="13"/>
  <c r="I115" i="13"/>
  <c r="L111" i="13"/>
  <c r="L105" i="13"/>
  <c r="L102" i="13"/>
  <c r="K122" i="13"/>
  <c r="J118" i="13"/>
  <c r="L114" i="13"/>
  <c r="J111" i="13"/>
  <c r="J105" i="13"/>
  <c r="J102" i="13"/>
  <c r="J93" i="13"/>
  <c r="I127" i="13"/>
  <c r="I125" i="13"/>
  <c r="L110" i="13"/>
  <c r="L104" i="13"/>
  <c r="K91" i="13"/>
  <c r="K88" i="13"/>
  <c r="L115" i="13"/>
  <c r="K110" i="13"/>
  <c r="K104" i="13"/>
  <c r="J91" i="13"/>
  <c r="J88" i="13"/>
  <c r="K115" i="13"/>
  <c r="J110" i="13"/>
  <c r="J104" i="13"/>
  <c r="I91" i="13"/>
  <c r="I88" i="13"/>
  <c r="L120" i="13"/>
  <c r="J115" i="13"/>
  <c r="I110" i="13"/>
  <c r="I104" i="13"/>
  <c r="L95" i="13"/>
  <c r="L89" i="13"/>
  <c r="L122" i="13"/>
  <c r="K120" i="13"/>
  <c r="K111" i="13"/>
  <c r="K105" i="13"/>
  <c r="L98" i="13"/>
  <c r="K95" i="13"/>
  <c r="J94" i="13"/>
  <c r="K89" i="13"/>
  <c r="L126" i="13"/>
  <c r="J124" i="13"/>
  <c r="K118" i="13"/>
  <c r="L116" i="13"/>
  <c r="I106" i="13"/>
  <c r="K98" i="13"/>
  <c r="I97" i="13"/>
  <c r="J95" i="13"/>
  <c r="I94" i="13"/>
  <c r="J89" i="13"/>
  <c r="I90" i="13"/>
  <c r="K102" i="13"/>
  <c r="W137" i="10"/>
  <c r="Q138" i="10"/>
  <c r="L139" i="10"/>
  <c r="K144" i="10"/>
  <c r="L90" i="13"/>
  <c r="I98" i="13"/>
  <c r="K107" i="13"/>
  <c r="K115" i="10"/>
  <c r="Q116" i="10"/>
  <c r="K118" i="10"/>
  <c r="Q119" i="10"/>
  <c r="W120" i="10"/>
  <c r="Q122" i="10"/>
  <c r="W123" i="10"/>
  <c r="K124" i="10"/>
  <c r="Y126" i="10"/>
  <c r="Q127" i="10"/>
  <c r="I128" i="10"/>
  <c r="Y131" i="10"/>
  <c r="S132" i="10"/>
  <c r="K133" i="10"/>
  <c r="J136" i="10"/>
  <c r="X137" i="10"/>
  <c r="J142" i="10"/>
  <c r="P143" i="10"/>
  <c r="I89" i="13"/>
  <c r="J98" i="13"/>
  <c r="I100" i="13"/>
  <c r="L107" i="13"/>
  <c r="K126" i="13"/>
  <c r="B104" i="10"/>
  <c r="L106" i="10"/>
  <c r="R107" i="10"/>
  <c r="X108" i="10"/>
  <c r="L109" i="10"/>
  <c r="R110" i="10"/>
  <c r="L112" i="10"/>
  <c r="R113" i="10"/>
  <c r="L115" i="10"/>
  <c r="R116" i="10"/>
  <c r="L118" i="10"/>
  <c r="R119" i="10"/>
  <c r="X120" i="10"/>
  <c r="R122" i="10"/>
  <c r="X123" i="10"/>
  <c r="L124" i="10"/>
  <c r="I126" i="10"/>
  <c r="Z126" i="10"/>
  <c r="R127" i="10"/>
  <c r="K128" i="10"/>
  <c r="P130" i="10"/>
  <c r="L133" i="10"/>
  <c r="Q135" i="10"/>
  <c r="K136" i="10"/>
  <c r="Y137" i="10"/>
  <c r="W138" i="10"/>
  <c r="P139" i="10"/>
  <c r="Q143" i="10"/>
  <c r="W144" i="10"/>
  <c r="L88" i="13"/>
  <c r="I93" i="13"/>
  <c r="K119" i="13"/>
  <c r="J127" i="13"/>
  <c r="I142" i="10"/>
  <c r="I139" i="10"/>
  <c r="I136" i="10"/>
  <c r="L143" i="10"/>
  <c r="L137" i="10"/>
  <c r="L131" i="10"/>
  <c r="L128" i="10"/>
  <c r="K143" i="10"/>
  <c r="J143" i="10"/>
  <c r="J137" i="10"/>
  <c r="J131" i="10"/>
  <c r="J128" i="10"/>
  <c r="I211" i="10"/>
  <c r="I143" i="10"/>
  <c r="L144" i="10"/>
  <c r="L141" i="10"/>
  <c r="S107" i="10"/>
  <c r="I108" i="10"/>
  <c r="Y108" i="10"/>
  <c r="S110" i="10"/>
  <c r="S113" i="10"/>
  <c r="S116" i="10"/>
  <c r="S119" i="10"/>
  <c r="I120" i="10"/>
  <c r="Y120" i="10"/>
  <c r="S122" i="10"/>
  <c r="I123" i="10"/>
  <c r="Y123" i="10"/>
  <c r="J126" i="10"/>
  <c r="S127" i="10"/>
  <c r="Q130" i="10"/>
  <c r="I131" i="10"/>
  <c r="W132" i="10"/>
  <c r="S135" i="10"/>
  <c r="L136" i="10"/>
  <c r="X138" i="10"/>
  <c r="Q139" i="10"/>
  <c r="I141" i="10"/>
  <c r="L142" i="10"/>
  <c r="X144" i="10"/>
  <c r="K93" i="13"/>
  <c r="P211" i="10"/>
  <c r="S144" i="10"/>
  <c r="S141" i="10"/>
  <c r="S138" i="10"/>
  <c r="R144" i="10"/>
  <c r="R141" i="10"/>
  <c r="R138" i="10"/>
  <c r="R135" i="10"/>
  <c r="R132" i="10"/>
  <c r="Q144" i="10"/>
  <c r="Q141" i="10"/>
  <c r="P144" i="10"/>
  <c r="P141" i="10"/>
  <c r="P138" i="10"/>
  <c r="P135" i="10"/>
  <c r="P132" i="10"/>
  <c r="P126" i="10"/>
  <c r="S142" i="10"/>
  <c r="R142" i="10"/>
  <c r="P106" i="10"/>
  <c r="J108" i="10"/>
  <c r="Z108" i="10"/>
  <c r="P109" i="10"/>
  <c r="P112" i="10"/>
  <c r="P115" i="10"/>
  <c r="P118" i="10"/>
  <c r="J120" i="10"/>
  <c r="Z120" i="10"/>
  <c r="J123" i="10"/>
  <c r="Z123" i="10"/>
  <c r="P124" i="10"/>
  <c r="K126" i="10"/>
  <c r="W127" i="10"/>
  <c r="P128" i="10"/>
  <c r="R130" i="10"/>
  <c r="K131" i="10"/>
  <c r="X132" i="10"/>
  <c r="P133" i="10"/>
  <c r="Y138" i="10"/>
  <c r="R139" i="10"/>
  <c r="J141" i="10"/>
  <c r="S143" i="10"/>
  <c r="L93" i="13"/>
  <c r="I101" i="13"/>
  <c r="I113" i="13"/>
  <c r="W211" i="10"/>
  <c r="Y142" i="10"/>
  <c r="Y139" i="10"/>
  <c r="Y136" i="10"/>
  <c r="X142" i="10"/>
  <c r="X139" i="10"/>
  <c r="X136" i="10"/>
  <c r="X133" i="10"/>
  <c r="X130" i="10"/>
  <c r="X127" i="10"/>
  <c r="W142" i="10"/>
  <c r="Z143" i="10"/>
  <c r="Z137" i="10"/>
  <c r="Z131" i="10"/>
  <c r="Z128" i="10"/>
  <c r="Y143" i="10"/>
  <c r="X143" i="10"/>
  <c r="Q106" i="10"/>
  <c r="W107" i="10"/>
  <c r="K108" i="10"/>
  <c r="Q109" i="10"/>
  <c r="W110" i="10"/>
  <c r="Q112" i="10"/>
  <c r="W113" i="10"/>
  <c r="Q115" i="10"/>
  <c r="W116" i="10"/>
  <c r="Q118" i="10"/>
  <c r="W119" i="10"/>
  <c r="K120" i="10"/>
  <c r="W122" i="10"/>
  <c r="K123" i="10"/>
  <c r="Q124" i="10"/>
  <c r="L126" i="10"/>
  <c r="Y127" i="10"/>
  <c r="Q128" i="10"/>
  <c r="S130" i="10"/>
  <c r="Y132" i="10"/>
  <c r="Q133" i="10"/>
  <c r="W135" i="10"/>
  <c r="P136" i="10"/>
  <c r="I137" i="10"/>
  <c r="Z138" i="10"/>
  <c r="S139" i="10"/>
  <c r="K141" i="10"/>
  <c r="P142" i="10"/>
  <c r="Z144" i="10"/>
  <c r="J101" i="13"/>
  <c r="J113" i="13"/>
  <c r="S164" i="13"/>
  <c r="P150" i="13"/>
  <c r="W164" i="13"/>
  <c r="R169" i="13"/>
  <c r="T181" i="10"/>
  <c r="S184" i="10"/>
  <c r="S239" i="10" s="1"/>
  <c r="B239" i="13"/>
  <c r="C170" i="13"/>
  <c r="B172" i="13"/>
  <c r="B170" i="13"/>
  <c r="D165" i="13"/>
  <c r="D159" i="13"/>
  <c r="D156" i="13"/>
  <c r="D150" i="13"/>
  <c r="D147" i="13"/>
  <c r="D144" i="13"/>
  <c r="C165" i="13"/>
  <c r="C159" i="13"/>
  <c r="C156" i="13"/>
  <c r="C150" i="13"/>
  <c r="C147" i="13"/>
  <c r="C144" i="13"/>
  <c r="B165" i="13"/>
  <c r="B159" i="13"/>
  <c r="B156" i="13"/>
  <c r="B150" i="13"/>
  <c r="B147" i="13"/>
  <c r="B144" i="13"/>
  <c r="E171" i="13"/>
  <c r="E166" i="13"/>
  <c r="E163" i="13"/>
  <c r="E160" i="13"/>
  <c r="E154" i="13"/>
  <c r="D172" i="13"/>
  <c r="E170" i="13"/>
  <c r="B167" i="13"/>
  <c r="B164" i="13"/>
  <c r="B161" i="13"/>
  <c r="B158" i="13"/>
  <c r="B155" i="13"/>
  <c r="B152" i="13"/>
  <c r="B146" i="13"/>
  <c r="E169" i="13"/>
  <c r="E167" i="13"/>
  <c r="C166" i="13"/>
  <c r="E165" i="13"/>
  <c r="D164" i="13"/>
  <c r="B163" i="13"/>
  <c r="C161" i="13"/>
  <c r="B151" i="13"/>
  <c r="E150" i="13"/>
  <c r="E143" i="13"/>
  <c r="D140" i="13"/>
  <c r="D137" i="13"/>
  <c r="D134" i="13"/>
  <c r="D169" i="13"/>
  <c r="D167" i="13"/>
  <c r="B166" i="13"/>
  <c r="C164" i="13"/>
  <c r="E148" i="13"/>
  <c r="D143" i="13"/>
  <c r="C140" i="13"/>
  <c r="C137" i="13"/>
  <c r="C134" i="13"/>
  <c r="C169" i="13"/>
  <c r="C167" i="13"/>
  <c r="D148" i="13"/>
  <c r="C143" i="13"/>
  <c r="B140" i="13"/>
  <c r="B137" i="13"/>
  <c r="B134" i="13"/>
  <c r="D171" i="13"/>
  <c r="B169" i="13"/>
  <c r="C172" i="13"/>
  <c r="E155" i="13"/>
  <c r="C154" i="13"/>
  <c r="D136" i="13"/>
  <c r="D163" i="13"/>
  <c r="E161" i="13"/>
  <c r="C160" i="13"/>
  <c r="E159" i="13"/>
  <c r="D158" i="13"/>
  <c r="C155" i="13"/>
  <c r="D152" i="13"/>
  <c r="D151" i="13"/>
  <c r="B136" i="13"/>
  <c r="D170" i="13"/>
  <c r="C148" i="13"/>
  <c r="E172" i="13"/>
  <c r="B148" i="13"/>
  <c r="E135" i="13"/>
  <c r="B171" i="13"/>
  <c r="D146" i="13"/>
  <c r="C141" i="13"/>
  <c r="B138" i="13"/>
  <c r="D154" i="13"/>
  <c r="D166" i="13"/>
  <c r="E164" i="13"/>
  <c r="B160" i="13"/>
  <c r="C158" i="13"/>
  <c r="C152" i="13"/>
  <c r="E144" i="13"/>
  <c r="C136" i="13"/>
  <c r="E138" i="13"/>
  <c r="B141" i="13"/>
  <c r="P143" i="13"/>
  <c r="E147" i="13"/>
  <c r="W150" i="13"/>
  <c r="D155" i="13"/>
  <c r="P160" i="13"/>
  <c r="W170" i="13"/>
  <c r="E136" i="13"/>
  <c r="D141" i="13"/>
  <c r="Q143" i="13"/>
  <c r="C151" i="13"/>
  <c r="E156" i="13"/>
  <c r="P239" i="13"/>
  <c r="S170" i="13"/>
  <c r="S172" i="13"/>
  <c r="P167" i="13"/>
  <c r="P164" i="13"/>
  <c r="P161" i="13"/>
  <c r="P158" i="13"/>
  <c r="P155" i="13"/>
  <c r="P152" i="13"/>
  <c r="P146" i="13"/>
  <c r="R172" i="13"/>
  <c r="R170" i="13"/>
  <c r="S165" i="13"/>
  <c r="S159" i="13"/>
  <c r="S156" i="13"/>
  <c r="S150" i="13"/>
  <c r="S147" i="13"/>
  <c r="S144" i="13"/>
  <c r="Q172" i="13"/>
  <c r="Q170" i="13"/>
  <c r="R165" i="13"/>
  <c r="R159" i="13"/>
  <c r="R156" i="13"/>
  <c r="R150" i="13"/>
  <c r="R147" i="13"/>
  <c r="R144" i="13"/>
  <c r="P172" i="13"/>
  <c r="P170" i="13"/>
  <c r="Q165" i="13"/>
  <c r="Q159" i="13"/>
  <c r="Q156" i="13"/>
  <c r="P169" i="13"/>
  <c r="R167" i="13"/>
  <c r="R164" i="13"/>
  <c r="R161" i="13"/>
  <c r="R158" i="13"/>
  <c r="R155" i="13"/>
  <c r="R152" i="13"/>
  <c r="R146" i="13"/>
  <c r="Q171" i="13"/>
  <c r="Q146" i="13"/>
  <c r="P136" i="13"/>
  <c r="P171" i="13"/>
  <c r="S154" i="13"/>
  <c r="Q144" i="13"/>
  <c r="S140" i="13"/>
  <c r="S137" i="13"/>
  <c r="S134" i="13"/>
  <c r="R154" i="13"/>
  <c r="P144" i="13"/>
  <c r="R140" i="13"/>
  <c r="R137" i="13"/>
  <c r="R134" i="13"/>
  <c r="S160" i="13"/>
  <c r="P156" i="13"/>
  <c r="S155" i="13"/>
  <c r="Q154" i="13"/>
  <c r="S152" i="13"/>
  <c r="S151" i="13"/>
  <c r="S169" i="13"/>
  <c r="Q167" i="13"/>
  <c r="P166" i="13"/>
  <c r="R148" i="13"/>
  <c r="P141" i="13"/>
  <c r="P138" i="13"/>
  <c r="P135" i="13"/>
  <c r="S171" i="13"/>
  <c r="Q169" i="13"/>
  <c r="P148" i="13"/>
  <c r="P147" i="13"/>
  <c r="R136" i="13"/>
  <c r="S163" i="13"/>
  <c r="P159" i="13"/>
  <c r="Q155" i="13"/>
  <c r="R151" i="13"/>
  <c r="Q148" i="13"/>
  <c r="S141" i="13"/>
  <c r="Q140" i="13"/>
  <c r="R138" i="13"/>
  <c r="P137" i="13"/>
  <c r="Q136" i="13"/>
  <c r="Q135" i="13"/>
  <c r="R163" i="13"/>
  <c r="S161" i="13"/>
  <c r="Q151" i="13"/>
  <c r="R141" i="13"/>
  <c r="P140" i="13"/>
  <c r="Q138" i="13"/>
  <c r="P165" i="13"/>
  <c r="Q163" i="13"/>
  <c r="Q161" i="13"/>
  <c r="P151" i="13"/>
  <c r="S143" i="13"/>
  <c r="Q141" i="13"/>
  <c r="S167" i="13"/>
  <c r="P163" i="13"/>
  <c r="S146" i="13"/>
  <c r="R143" i="13"/>
  <c r="S166" i="13"/>
  <c r="Q160" i="13"/>
  <c r="Q158" i="13"/>
  <c r="Q150" i="13"/>
  <c r="Q147" i="13"/>
  <c r="Q166" i="13"/>
  <c r="Q164" i="13"/>
  <c r="S148" i="13"/>
  <c r="S138" i="13"/>
  <c r="Q137" i="13"/>
  <c r="S136" i="13"/>
  <c r="R135" i="13"/>
  <c r="P134" i="13"/>
  <c r="E141" i="13"/>
  <c r="E151" i="13"/>
  <c r="D161" i="13"/>
  <c r="C171" i="13"/>
  <c r="F184" i="13"/>
  <c r="F209" i="13"/>
  <c r="B212" i="13"/>
  <c r="W239" i="13"/>
  <c r="Y171" i="13"/>
  <c r="Z166" i="13"/>
  <c r="Z163" i="13"/>
  <c r="Z160" i="13"/>
  <c r="Z154" i="13"/>
  <c r="Z151" i="13"/>
  <c r="Z148" i="13"/>
  <c r="Y166" i="13"/>
  <c r="Y163" i="13"/>
  <c r="Y160" i="13"/>
  <c r="Y154" i="13"/>
  <c r="Y151" i="13"/>
  <c r="Y148" i="13"/>
  <c r="Z171" i="13"/>
  <c r="Z169" i="13"/>
  <c r="X166" i="13"/>
  <c r="X163" i="13"/>
  <c r="X160" i="13"/>
  <c r="X154" i="13"/>
  <c r="X151" i="13"/>
  <c r="X148" i="13"/>
  <c r="X171" i="13"/>
  <c r="Y169" i="13"/>
  <c r="W166" i="13"/>
  <c r="W163" i="13"/>
  <c r="W160" i="13"/>
  <c r="W154" i="13"/>
  <c r="W171" i="13"/>
  <c r="W172" i="13"/>
  <c r="X170" i="13"/>
  <c r="X165" i="13"/>
  <c r="X159" i="13"/>
  <c r="X156" i="13"/>
  <c r="X150" i="13"/>
  <c r="X147" i="13"/>
  <c r="X144" i="13"/>
  <c r="Y172" i="13"/>
  <c r="Z161" i="13"/>
  <c r="Y158" i="13"/>
  <c r="Z156" i="13"/>
  <c r="X155" i="13"/>
  <c r="X152" i="13"/>
  <c r="W144" i="13"/>
  <c r="Y143" i="13"/>
  <c r="Z141" i="13"/>
  <c r="Z138" i="13"/>
  <c r="Z135" i="13"/>
  <c r="X172" i="13"/>
  <c r="Z164" i="13"/>
  <c r="Y161" i="13"/>
  <c r="Z159" i="13"/>
  <c r="X158" i="13"/>
  <c r="Y156" i="13"/>
  <c r="W155" i="13"/>
  <c r="W152" i="13"/>
  <c r="W151" i="13"/>
  <c r="X143" i="13"/>
  <c r="Y141" i="13"/>
  <c r="Y138" i="13"/>
  <c r="Y135" i="13"/>
  <c r="Z167" i="13"/>
  <c r="Y164" i="13"/>
  <c r="X161" i="13"/>
  <c r="Y159" i="13"/>
  <c r="W158" i="13"/>
  <c r="W156" i="13"/>
  <c r="Z150" i="13"/>
  <c r="W143" i="13"/>
  <c r="X141" i="13"/>
  <c r="X138" i="13"/>
  <c r="X135" i="13"/>
  <c r="Y167" i="13"/>
  <c r="Z165" i="13"/>
  <c r="X164" i="13"/>
  <c r="W161" i="13"/>
  <c r="W159" i="13"/>
  <c r="Y150" i="13"/>
  <c r="Y170" i="13"/>
  <c r="W147" i="13"/>
  <c r="X146" i="13"/>
  <c r="Z140" i="13"/>
  <c r="Z137" i="13"/>
  <c r="Z134" i="13"/>
  <c r="Z155" i="13"/>
  <c r="Z152" i="13"/>
  <c r="Z144" i="13"/>
  <c r="X140" i="13"/>
  <c r="X137" i="13"/>
  <c r="X134" i="13"/>
  <c r="X167" i="13"/>
  <c r="Y165" i="13"/>
  <c r="Z146" i="13"/>
  <c r="Z143" i="13"/>
  <c r="X169" i="13"/>
  <c r="W167" i="13"/>
  <c r="W165" i="13"/>
  <c r="Y146" i="13"/>
  <c r="W169" i="13"/>
  <c r="W146" i="13"/>
  <c r="Z136" i="13"/>
  <c r="Z170" i="13"/>
  <c r="W148" i="13"/>
  <c r="W138" i="13"/>
  <c r="Y137" i="13"/>
  <c r="X136" i="13"/>
  <c r="W134" i="13"/>
  <c r="Z172" i="13"/>
  <c r="Y155" i="13"/>
  <c r="W140" i="13"/>
  <c r="W136" i="13"/>
  <c r="Z147" i="13"/>
  <c r="E152" i="13"/>
  <c r="R166" i="13"/>
  <c r="R171" i="13"/>
  <c r="E134" i="13"/>
  <c r="Y136" i="13"/>
  <c r="W141" i="13"/>
  <c r="I150" i="13"/>
  <c r="L170" i="13"/>
  <c r="J144" i="13"/>
  <c r="I147" i="13"/>
  <c r="I152" i="13"/>
  <c r="J156" i="13"/>
  <c r="F198" i="13"/>
  <c r="B201" i="13"/>
  <c r="R169" i="10"/>
  <c r="R236" i="10" s="1"/>
  <c r="I239" i="13"/>
  <c r="I171" i="13"/>
  <c r="K171" i="13"/>
  <c r="K169" i="13"/>
  <c r="J166" i="13"/>
  <c r="J163" i="13"/>
  <c r="J160" i="13"/>
  <c r="J154" i="13"/>
  <c r="J151" i="13"/>
  <c r="J148" i="13"/>
  <c r="J171" i="13"/>
  <c r="J169" i="13"/>
  <c r="I166" i="13"/>
  <c r="I163" i="13"/>
  <c r="I160" i="13"/>
  <c r="I154" i="13"/>
  <c r="I151" i="13"/>
  <c r="I148" i="13"/>
  <c r="I169" i="13"/>
  <c r="L167" i="13"/>
  <c r="L164" i="13"/>
  <c r="L161" i="13"/>
  <c r="L158" i="13"/>
  <c r="L155" i="13"/>
  <c r="L152" i="13"/>
  <c r="L146" i="13"/>
  <c r="L143" i="13"/>
  <c r="K167" i="13"/>
  <c r="K164" i="13"/>
  <c r="K161" i="13"/>
  <c r="K158" i="13"/>
  <c r="K155" i="13"/>
  <c r="L172" i="13"/>
  <c r="L166" i="13"/>
  <c r="L163" i="13"/>
  <c r="L160" i="13"/>
  <c r="L154" i="13"/>
  <c r="L151" i="13"/>
  <c r="L148" i="13"/>
  <c r="K170" i="13"/>
  <c r="K148" i="13"/>
  <c r="L147" i="13"/>
  <c r="J141" i="13"/>
  <c r="J138" i="13"/>
  <c r="J135" i="13"/>
  <c r="J170" i="13"/>
  <c r="K147" i="13"/>
  <c r="K146" i="13"/>
  <c r="I141" i="13"/>
  <c r="I138" i="13"/>
  <c r="I135" i="13"/>
  <c r="L171" i="13"/>
  <c r="I170" i="13"/>
  <c r="J147" i="13"/>
  <c r="J146" i="13"/>
  <c r="L136" i="13"/>
  <c r="K172" i="13"/>
  <c r="L165" i="13"/>
  <c r="J164" i="13"/>
  <c r="I161" i="13"/>
  <c r="K160" i="13"/>
  <c r="J159" i="13"/>
  <c r="I156" i="13"/>
  <c r="K151" i="13"/>
  <c r="L150" i="13"/>
  <c r="K143" i="13"/>
  <c r="J140" i="13"/>
  <c r="J137" i="13"/>
  <c r="J134" i="13"/>
  <c r="I167" i="13"/>
  <c r="K166" i="13"/>
  <c r="J165" i="13"/>
  <c r="J150" i="13"/>
  <c r="I143" i="13"/>
  <c r="L141" i="13"/>
  <c r="L138" i="13"/>
  <c r="L135" i="13"/>
  <c r="L144" i="13"/>
  <c r="K152" i="13"/>
  <c r="L156" i="13"/>
  <c r="I134" i="13"/>
  <c r="I136" i="13"/>
  <c r="K137" i="13"/>
  <c r="K138" i="13"/>
  <c r="L140" i="13"/>
  <c r="K159" i="13"/>
  <c r="J161" i="13"/>
  <c r="C189" i="13"/>
  <c r="C262" i="13" s="1"/>
  <c r="F187" i="13"/>
  <c r="K134" i="13"/>
  <c r="K135" i="13"/>
  <c r="J136" i="13"/>
  <c r="L137" i="13"/>
  <c r="I155" i="13"/>
  <c r="L159" i="13"/>
  <c r="B183" i="13"/>
  <c r="F179" i="13"/>
  <c r="L134" i="13"/>
  <c r="K136" i="13"/>
  <c r="J155" i="13"/>
  <c r="I172" i="13"/>
  <c r="E212" i="13"/>
  <c r="E267" i="13" s="1"/>
  <c r="F210" i="13"/>
  <c r="J172" i="13"/>
  <c r="F180" i="13"/>
  <c r="C183" i="13"/>
  <c r="C260" i="13" s="1"/>
  <c r="I193" i="13"/>
  <c r="Y205" i="13"/>
  <c r="I180" i="13"/>
  <c r="L181" i="13"/>
  <c r="J185" i="13"/>
  <c r="F194" i="13"/>
  <c r="B197" i="13"/>
  <c r="Y199" i="13"/>
  <c r="W204" i="13"/>
  <c r="L184" i="13"/>
  <c r="K214" i="13"/>
  <c r="J214" i="13"/>
  <c r="I256" i="13"/>
  <c r="I214" i="13"/>
  <c r="I211" i="13"/>
  <c r="L215" i="13"/>
  <c r="K216" i="13"/>
  <c r="I213" i="13"/>
  <c r="I209" i="13"/>
  <c r="I203" i="13"/>
  <c r="I200" i="13"/>
  <c r="I194" i="13"/>
  <c r="I191" i="13"/>
  <c r="L210" i="13"/>
  <c r="L207" i="13"/>
  <c r="L204" i="13"/>
  <c r="L198" i="13"/>
  <c r="L195" i="13"/>
  <c r="K210" i="13"/>
  <c r="K207" i="13"/>
  <c r="K204" i="13"/>
  <c r="K198" i="13"/>
  <c r="K195" i="13"/>
  <c r="J210" i="13"/>
  <c r="J207" i="13"/>
  <c r="J204" i="13"/>
  <c r="J198" i="13"/>
  <c r="J195" i="13"/>
  <c r="J180" i="13"/>
  <c r="L216" i="13"/>
  <c r="I210" i="13"/>
  <c r="I207" i="13"/>
  <c r="I204" i="13"/>
  <c r="I198" i="13"/>
  <c r="I195" i="13"/>
  <c r="K213" i="13"/>
  <c r="K209" i="13"/>
  <c r="K203" i="13"/>
  <c r="K200" i="13"/>
  <c r="K194" i="13"/>
  <c r="K191" i="13"/>
  <c r="K188" i="13"/>
  <c r="K185" i="13"/>
  <c r="K182" i="13"/>
  <c r="J213" i="13"/>
  <c r="J209" i="13"/>
  <c r="J203" i="13"/>
  <c r="J200" i="13"/>
  <c r="J194" i="13"/>
  <c r="J191" i="13"/>
  <c r="J216" i="13"/>
  <c r="I205" i="13"/>
  <c r="J190" i="13"/>
  <c r="L188" i="13"/>
  <c r="K181" i="13"/>
  <c r="L179" i="13"/>
  <c r="I216" i="13"/>
  <c r="L199" i="13"/>
  <c r="L191" i="13"/>
  <c r="I190" i="13"/>
  <c r="J188" i="13"/>
  <c r="L187" i="13"/>
  <c r="J181" i="13"/>
  <c r="K179" i="13"/>
  <c r="K199" i="13"/>
  <c r="L193" i="13"/>
  <c r="I188" i="13"/>
  <c r="K187" i="13"/>
  <c r="I181" i="13"/>
  <c r="J179" i="13"/>
  <c r="J199" i="13"/>
  <c r="K193" i="13"/>
  <c r="J187" i="13"/>
  <c r="I179" i="13"/>
  <c r="L208" i="13"/>
  <c r="L200" i="13"/>
  <c r="I199" i="13"/>
  <c r="J193" i="13"/>
  <c r="I187" i="13"/>
  <c r="L185" i="13"/>
  <c r="I215" i="13"/>
  <c r="K211" i="13"/>
  <c r="K205" i="13"/>
  <c r="L190" i="13"/>
  <c r="I182" i="13"/>
  <c r="I196" i="13"/>
  <c r="W198" i="13"/>
  <c r="J202" i="13"/>
  <c r="W210" i="13"/>
  <c r="L214" i="13"/>
  <c r="J196" i="13"/>
  <c r="K202" i="13"/>
  <c r="J205" i="13"/>
  <c r="W256" i="13"/>
  <c r="W216" i="13"/>
  <c r="W213" i="13"/>
  <c r="Z214" i="13"/>
  <c r="Z211" i="13"/>
  <c r="Y214" i="13"/>
  <c r="Y211" i="13"/>
  <c r="X214" i="13"/>
  <c r="X211" i="13"/>
  <c r="Z215" i="13"/>
  <c r="W215" i="13"/>
  <c r="Y216" i="13"/>
  <c r="Y209" i="13"/>
  <c r="Y203" i="13"/>
  <c r="Y200" i="13"/>
  <c r="Y194" i="13"/>
  <c r="Y191" i="13"/>
  <c r="X216" i="13"/>
  <c r="Y215" i="13"/>
  <c r="X209" i="13"/>
  <c r="X203" i="13"/>
  <c r="X200" i="13"/>
  <c r="X194" i="13"/>
  <c r="X191" i="13"/>
  <c r="X188" i="13"/>
  <c r="X185" i="13"/>
  <c r="X182" i="13"/>
  <c r="X215" i="13"/>
  <c r="W214" i="13"/>
  <c r="W209" i="13"/>
  <c r="W203" i="13"/>
  <c r="W200" i="13"/>
  <c r="W194" i="13"/>
  <c r="W191" i="13"/>
  <c r="W188" i="13"/>
  <c r="W185" i="13"/>
  <c r="W182" i="13"/>
  <c r="Z213" i="13"/>
  <c r="Z210" i="13"/>
  <c r="Z207" i="13"/>
  <c r="Z204" i="13"/>
  <c r="Z198" i="13"/>
  <c r="Z195" i="13"/>
  <c r="Z180" i="13"/>
  <c r="Y213" i="13"/>
  <c r="Y210" i="13"/>
  <c r="Y207" i="13"/>
  <c r="Y204" i="13"/>
  <c r="Y198" i="13"/>
  <c r="Y195" i="13"/>
  <c r="W208" i="13"/>
  <c r="W205" i="13"/>
  <c r="W202" i="13"/>
  <c r="W199" i="13"/>
  <c r="W196" i="13"/>
  <c r="W193" i="13"/>
  <c r="W190" i="13"/>
  <c r="W187" i="13"/>
  <c r="W184" i="13"/>
  <c r="W181" i="13"/>
  <c r="Z216" i="13"/>
  <c r="W211" i="13"/>
  <c r="Z209" i="13"/>
  <c r="Z203" i="13"/>
  <c r="Z200" i="13"/>
  <c r="Z194" i="13"/>
  <c r="Z191" i="13"/>
  <c r="X199" i="13"/>
  <c r="Y193" i="13"/>
  <c r="Z184" i="13"/>
  <c r="X213" i="13"/>
  <c r="Z208" i="13"/>
  <c r="X207" i="13"/>
  <c r="X193" i="13"/>
  <c r="Y184" i="13"/>
  <c r="Y208" i="13"/>
  <c r="W207" i="13"/>
  <c r="Z202" i="13"/>
  <c r="X184" i="13"/>
  <c r="Z182" i="13"/>
  <c r="X208" i="13"/>
  <c r="Y202" i="13"/>
  <c r="Z196" i="13"/>
  <c r="X195" i="13"/>
  <c r="Y182" i="13"/>
  <c r="Z179" i="13"/>
  <c r="X202" i="13"/>
  <c r="Y196" i="13"/>
  <c r="W195" i="13"/>
  <c r="Z181" i="13"/>
  <c r="Y179" i="13"/>
  <c r="Z199" i="13"/>
  <c r="X198" i="13"/>
  <c r="X187" i="13"/>
  <c r="Z185" i="13"/>
  <c r="X180" i="13"/>
  <c r="K196" i="13"/>
  <c r="L202" i="13"/>
  <c r="L205" i="13"/>
  <c r="L209" i="13"/>
  <c r="Q215" i="13"/>
  <c r="P256" i="13"/>
  <c r="P215" i="13"/>
  <c r="S216" i="13"/>
  <c r="S213" i="13"/>
  <c r="R216" i="13"/>
  <c r="R213" i="13"/>
  <c r="P216" i="13"/>
  <c r="S208" i="13"/>
  <c r="S205" i="13"/>
  <c r="S202" i="13"/>
  <c r="S199" i="13"/>
  <c r="S196" i="13"/>
  <c r="S193" i="13"/>
  <c r="S190" i="13"/>
  <c r="S211" i="13"/>
  <c r="R208" i="13"/>
  <c r="R205" i="13"/>
  <c r="R202" i="13"/>
  <c r="R199" i="13"/>
  <c r="R196" i="13"/>
  <c r="R193" i="13"/>
  <c r="R190" i="13"/>
  <c r="R187" i="13"/>
  <c r="R184" i="13"/>
  <c r="R181" i="13"/>
  <c r="Q216" i="13"/>
  <c r="R211" i="13"/>
  <c r="Q208" i="13"/>
  <c r="Q205" i="13"/>
  <c r="Q202" i="13"/>
  <c r="Q199" i="13"/>
  <c r="Q196" i="13"/>
  <c r="Q193" i="13"/>
  <c r="Q190" i="13"/>
  <c r="Q187" i="13"/>
  <c r="Q184" i="13"/>
  <c r="Q211" i="13"/>
  <c r="P208" i="13"/>
  <c r="P205" i="13"/>
  <c r="P202" i="13"/>
  <c r="P199" i="13"/>
  <c r="P196" i="13"/>
  <c r="P193" i="13"/>
  <c r="P190" i="13"/>
  <c r="P187" i="13"/>
  <c r="P184" i="13"/>
  <c r="P181" i="13"/>
  <c r="S215" i="13"/>
  <c r="S214" i="13"/>
  <c r="P211" i="13"/>
  <c r="S209" i="13"/>
  <c r="S203" i="13"/>
  <c r="S200" i="13"/>
  <c r="S194" i="13"/>
  <c r="S191" i="13"/>
  <c r="S188" i="13"/>
  <c r="S185" i="13"/>
  <c r="S182" i="13"/>
  <c r="Q210" i="13"/>
  <c r="Q207" i="13"/>
  <c r="Q204" i="13"/>
  <c r="Q198" i="13"/>
  <c r="Q195" i="13"/>
  <c r="P210" i="13"/>
  <c r="P207" i="13"/>
  <c r="P204" i="13"/>
  <c r="P198" i="13"/>
  <c r="P195" i="13"/>
  <c r="P188" i="13"/>
  <c r="Q191" i="13"/>
  <c r="R204" i="13"/>
  <c r="P180" i="13"/>
  <c r="R182" i="13"/>
  <c r="S184" i="13"/>
  <c r="R203" i="13"/>
  <c r="S207" i="13"/>
  <c r="Q209" i="13"/>
  <c r="R214" i="13"/>
  <c r="P194" i="13"/>
  <c r="R209" i="13"/>
  <c r="P213" i="13"/>
  <c r="R180" i="13"/>
  <c r="P185" i="13"/>
  <c r="Q194" i="13"/>
  <c r="R198" i="13"/>
  <c r="P200" i="13"/>
  <c r="Q213" i="13"/>
  <c r="S180" i="13"/>
  <c r="Q185" i="13"/>
  <c r="R194" i="13"/>
  <c r="S198" i="13"/>
  <c r="Q200" i="13"/>
  <c r="R185" i="13"/>
  <c r="S187" i="13"/>
  <c r="R200" i="13"/>
  <c r="F39" i="11"/>
  <c r="C54" i="11"/>
  <c r="E68" i="11"/>
  <c r="C41" i="11"/>
  <c r="D48" i="11"/>
  <c r="E55" i="11"/>
  <c r="F69" i="11"/>
  <c r="E62" i="11"/>
  <c r="C60" i="11"/>
  <c r="F57" i="11"/>
  <c r="D55" i="11"/>
  <c r="E50" i="11"/>
  <c r="C48" i="11"/>
  <c r="F45" i="11"/>
  <c r="E38" i="11"/>
  <c r="C36" i="11"/>
  <c r="E69" i="11"/>
  <c r="F64" i="11"/>
  <c r="D62" i="11"/>
  <c r="E57" i="11"/>
  <c r="C55" i="11"/>
  <c r="F52" i="11"/>
  <c r="D50" i="11"/>
  <c r="E45" i="11"/>
  <c r="D38" i="11"/>
  <c r="F71" i="11"/>
  <c r="D69" i="11"/>
  <c r="E64" i="11"/>
  <c r="C62" i="11"/>
  <c r="F59" i="11"/>
  <c r="D57" i="11"/>
  <c r="E52" i="11"/>
  <c r="C50" i="11"/>
  <c r="F47" i="11"/>
  <c r="D45" i="11"/>
  <c r="C38" i="11"/>
  <c r="F35" i="11"/>
  <c r="E71" i="11"/>
  <c r="C69" i="11"/>
  <c r="F66" i="11"/>
  <c r="D64" i="11"/>
  <c r="E59" i="11"/>
  <c r="C57" i="11"/>
  <c r="F54" i="11"/>
  <c r="D52" i="11"/>
  <c r="E47" i="11"/>
  <c r="C45" i="11"/>
  <c r="F42" i="11"/>
  <c r="E35" i="11"/>
  <c r="D71" i="11"/>
  <c r="E66" i="11"/>
  <c r="C64" i="11"/>
  <c r="D59" i="11"/>
  <c r="E54" i="11"/>
  <c r="C52" i="11"/>
  <c r="D47" i="11"/>
  <c r="E42" i="11"/>
  <c r="F37" i="11"/>
  <c r="D35" i="11"/>
  <c r="C71" i="11"/>
  <c r="F68" i="11"/>
  <c r="D66" i="11"/>
  <c r="C59" i="11"/>
  <c r="D54" i="11"/>
  <c r="C47" i="11"/>
  <c r="F44" i="11"/>
  <c r="D42" i="11"/>
  <c r="E37" i="11"/>
  <c r="C35" i="11"/>
  <c r="E70" i="11"/>
  <c r="C68" i="11"/>
  <c r="F65" i="11"/>
  <c r="D63" i="11"/>
  <c r="E58" i="11"/>
  <c r="D51" i="11"/>
  <c r="C44" i="11"/>
  <c r="F41" i="11"/>
  <c r="D39" i="11"/>
  <c r="C70" i="11"/>
  <c r="D65" i="11"/>
  <c r="E60" i="11"/>
  <c r="C58" i="11"/>
  <c r="F55" i="11"/>
  <c r="E48" i="11"/>
  <c r="D41" i="11"/>
  <c r="E36" i="11"/>
  <c r="C42" i="11"/>
  <c r="F63" i="11"/>
  <c r="P189" i="10"/>
  <c r="P240" i="10" s="1"/>
  <c r="T186" i="10"/>
  <c r="C37" i="11"/>
  <c r="D44" i="11"/>
  <c r="E51" i="11"/>
  <c r="F58" i="11"/>
  <c r="C76" i="11"/>
  <c r="D37" i="11"/>
  <c r="E44" i="11"/>
  <c r="F51" i="11"/>
  <c r="C66" i="11"/>
  <c r="T187" i="10"/>
  <c r="T183" i="10"/>
  <c r="P184" i="10"/>
  <c r="P239" i="10" s="1"/>
  <c r="F38" i="11"/>
  <c r="D60" i="11"/>
  <c r="T171" i="10"/>
  <c r="P173" i="10"/>
  <c r="F214" i="13"/>
  <c r="C39" i="11"/>
  <c r="F60" i="11"/>
  <c r="T176" i="10"/>
  <c r="P178" i="10"/>
  <c r="P238" i="10" s="1"/>
  <c r="E39" i="11"/>
  <c r="D68" i="11"/>
  <c r="Q184" i="10"/>
  <c r="Q239" i="10" s="1"/>
  <c r="T180" i="10"/>
  <c r="T172" i="10"/>
  <c r="R178" i="10"/>
  <c r="R238" i="10" s="1"/>
  <c r="R155" i="10"/>
  <c r="R232" i="10" s="1"/>
  <c r="T182" i="10"/>
  <c r="T170" i="10"/>
  <c r="R173" i="10"/>
  <c r="R237" i="10" s="1"/>
  <c r="T165" i="10"/>
  <c r="S164" i="10"/>
  <c r="S189" i="10"/>
  <c r="S240" i="10" s="1"/>
  <c r="T160" i="10"/>
  <c r="R158" i="10"/>
  <c r="R233" i="10" s="1"/>
  <c r="T162" i="10"/>
  <c r="F271" i="8"/>
  <c r="AT58" i="8"/>
  <c r="D238" i="8"/>
  <c r="AS49" i="8"/>
  <c r="AU58" i="8"/>
  <c r="C72" i="8"/>
  <c r="E238" i="8"/>
  <c r="F255" i="8"/>
  <c r="F257" i="8" s="1"/>
  <c r="F286" i="8" s="1"/>
  <c r="E252" i="8"/>
  <c r="E236" i="8"/>
  <c r="E241" i="8" s="1"/>
  <c r="E281" i="8" s="1"/>
  <c r="E291" i="8" s="1"/>
  <c r="AS58" i="8"/>
  <c r="C272" i="8"/>
  <c r="G272" i="8" s="1"/>
  <c r="AO49" i="8"/>
  <c r="AT71" i="8"/>
  <c r="E255" i="8"/>
  <c r="E257" i="8" s="1"/>
  <c r="E286" i="8" s="1"/>
  <c r="AT49" i="8"/>
  <c r="E72" i="8"/>
  <c r="D239" i="8"/>
  <c r="C258" i="8"/>
  <c r="G258" i="8" s="1"/>
  <c r="E239" i="8"/>
  <c r="F261" i="8"/>
  <c r="F236" i="8"/>
  <c r="F241" i="8" s="1"/>
  <c r="F281" i="8" s="1"/>
  <c r="F291" i="8" s="1"/>
  <c r="D52" i="8"/>
  <c r="F62" i="8"/>
  <c r="E77" i="8"/>
  <c r="E245" i="8"/>
  <c r="E247" i="8" s="1"/>
  <c r="E283" i="8" s="1"/>
  <c r="F263" i="8"/>
  <c r="F268" i="8" s="1"/>
  <c r="F288" i="8" s="1"/>
  <c r="C271" i="8"/>
  <c r="G271" i="8" s="1"/>
  <c r="F253" i="8"/>
  <c r="D255" i="8"/>
  <c r="D257" i="8" s="1"/>
  <c r="D286" i="8" s="1"/>
  <c r="E52" i="8"/>
  <c r="F64" i="8"/>
  <c r="AU77" i="8"/>
  <c r="F175" i="8"/>
  <c r="F245" i="8"/>
  <c r="F247" i="8" s="1"/>
  <c r="F283" i="8" s="1"/>
  <c r="E264" i="8"/>
  <c r="C52" i="8"/>
  <c r="K56" i="8"/>
  <c r="F61" i="8"/>
  <c r="AT65" i="8"/>
  <c r="C71" i="8"/>
  <c r="D76" i="8"/>
  <c r="D80" i="8"/>
  <c r="C196" i="8"/>
  <c r="G196" i="8" s="1"/>
  <c r="D236" i="8"/>
  <c r="D241" i="8" s="1"/>
  <c r="D281" i="8" s="1"/>
  <c r="D291" i="8" s="1"/>
  <c r="D252" i="8"/>
  <c r="C261" i="8"/>
  <c r="G261" i="8" s="1"/>
  <c r="E269" i="8"/>
  <c r="E273" i="8" s="1"/>
  <c r="E289" i="8" s="1"/>
  <c r="E198" i="8"/>
  <c r="R58" i="8"/>
  <c r="D62" i="8"/>
  <c r="E66" i="8"/>
  <c r="F77" i="8"/>
  <c r="E82" i="8"/>
  <c r="E175" i="8"/>
  <c r="F202" i="8"/>
  <c r="D203" i="8"/>
  <c r="D50" i="8"/>
  <c r="E53" i="8"/>
  <c r="E64" i="8"/>
  <c r="D68" i="8"/>
  <c r="D72" i="8"/>
  <c r="C78" i="8"/>
  <c r="F83" i="8"/>
  <c r="C178" i="8"/>
  <c r="G178" i="8" s="1"/>
  <c r="C205" i="8"/>
  <c r="G205" i="8" s="1"/>
  <c r="D208" i="8"/>
  <c r="F50" i="8"/>
  <c r="AF53" i="8"/>
  <c r="J64" i="8"/>
  <c r="F68" i="8"/>
  <c r="F73" i="8"/>
  <c r="E78" i="8"/>
  <c r="E84" i="8"/>
  <c r="F184" i="8"/>
  <c r="E208" i="8"/>
  <c r="F239" i="8"/>
  <c r="D258" i="8"/>
  <c r="D262" i="8" s="1"/>
  <c r="D287" i="8" s="1"/>
  <c r="D266" i="8"/>
  <c r="C277" i="8"/>
  <c r="J50" i="8"/>
  <c r="C55" i="8"/>
  <c r="AG59" i="8"/>
  <c r="C65" i="8"/>
  <c r="C74" i="8"/>
  <c r="C79" i="8"/>
  <c r="F84" i="8"/>
  <c r="D186" i="8"/>
  <c r="D188" i="8" s="1"/>
  <c r="D222" i="8" s="1"/>
  <c r="F210" i="8"/>
  <c r="C249" i="8"/>
  <c r="G249" i="8" s="1"/>
  <c r="C259" i="8"/>
  <c r="G259" i="8" s="1"/>
  <c r="D51" i="8"/>
  <c r="C56" i="8"/>
  <c r="C61" i="8"/>
  <c r="D65" i="8"/>
  <c r="C69" i="8"/>
  <c r="D74" i="8"/>
  <c r="D79" i="8"/>
  <c r="C85" i="8"/>
  <c r="C189" i="8"/>
  <c r="G189" i="8" s="1"/>
  <c r="E242" i="8"/>
  <c r="E244" i="8" s="1"/>
  <c r="E282" i="8" s="1"/>
  <c r="D251" i="8"/>
  <c r="D254" i="8" s="1"/>
  <c r="D285" i="8" s="1"/>
  <c r="D259" i="8"/>
  <c r="C267" i="8"/>
  <c r="G267" i="8" s="1"/>
  <c r="E51" i="8"/>
  <c r="D56" i="8"/>
  <c r="D61" i="8"/>
  <c r="E65" i="8"/>
  <c r="D69" i="8"/>
  <c r="F74" i="8"/>
  <c r="E79" i="8"/>
  <c r="D189" i="8"/>
  <c r="D192" i="8" s="1"/>
  <c r="D223" i="8" s="1"/>
  <c r="F242" i="8"/>
  <c r="F244" i="8" s="1"/>
  <c r="F282" i="8" s="1"/>
  <c r="E251" i="8"/>
  <c r="E254" i="8" s="1"/>
  <c r="E285" i="8" s="1"/>
  <c r="E259" i="8"/>
  <c r="D267" i="8"/>
  <c r="F181" i="8"/>
  <c r="F51" i="8"/>
  <c r="E56" i="8"/>
  <c r="E61" i="8"/>
  <c r="AS65" i="8"/>
  <c r="E69" i="8"/>
  <c r="C76" i="8"/>
  <c r="C80" i="8"/>
  <c r="E194" i="8"/>
  <c r="C243" i="8"/>
  <c r="G243" i="8" s="1"/>
  <c r="C252" i="8"/>
  <c r="G252" i="8" s="1"/>
  <c r="F260" i="8"/>
  <c r="D269" i="8"/>
  <c r="D273" i="8" s="1"/>
  <c r="D289" i="8" s="1"/>
  <c r="Y79" i="8"/>
  <c r="X78" i="8"/>
  <c r="Z50" i="8"/>
  <c r="Z77" i="8"/>
  <c r="Z64" i="8"/>
  <c r="Z58" i="8"/>
  <c r="Z60" i="8" s="1"/>
  <c r="Z96" i="8" s="1"/>
  <c r="BB62" i="8"/>
  <c r="BC66" i="8"/>
  <c r="BI79" i="8"/>
  <c r="C180" i="8"/>
  <c r="E186" i="8"/>
  <c r="E188" i="8" s="1"/>
  <c r="E222" i="8" s="1"/>
  <c r="F194" i="8"/>
  <c r="C201" i="8"/>
  <c r="E209" i="8"/>
  <c r="C207" i="8"/>
  <c r="F204" i="8"/>
  <c r="D202" i="8"/>
  <c r="F199" i="8"/>
  <c r="C197" i="8"/>
  <c r="G197" i="8" s="1"/>
  <c r="D194" i="8"/>
  <c r="F190" i="8"/>
  <c r="E187" i="8"/>
  <c r="E184" i="8"/>
  <c r="D181" i="8"/>
  <c r="F177" i="8"/>
  <c r="C175" i="8"/>
  <c r="G175" i="8" s="1"/>
  <c r="F189" i="8"/>
  <c r="F192" i="8" s="1"/>
  <c r="F223" i="8" s="1"/>
  <c r="F176" i="8"/>
  <c r="D209" i="8"/>
  <c r="E204" i="8"/>
  <c r="C202" i="8"/>
  <c r="G202" i="8" s="1"/>
  <c r="E199" i="8"/>
  <c r="C194" i="8"/>
  <c r="G194" i="8" s="1"/>
  <c r="E190" i="8"/>
  <c r="D187" i="8"/>
  <c r="D184" i="8"/>
  <c r="C181" i="8"/>
  <c r="G181" i="8" s="1"/>
  <c r="E177" i="8"/>
  <c r="F174" i="8"/>
  <c r="F179" i="8" s="1"/>
  <c r="F219" i="8" s="1"/>
  <c r="F228" i="8" s="1"/>
  <c r="F198" i="8"/>
  <c r="F186" i="8"/>
  <c r="F188" i="8" s="1"/>
  <c r="F222" i="8" s="1"/>
  <c r="C174" i="8"/>
  <c r="C209" i="8"/>
  <c r="G209" i="8" s="1"/>
  <c r="D204" i="8"/>
  <c r="D199" i="8"/>
  <c r="F196" i="8"/>
  <c r="F200" i="8" s="1"/>
  <c r="F225" i="8" s="1"/>
  <c r="F193" i="8"/>
  <c r="F195" i="8" s="1"/>
  <c r="F224" i="8" s="1"/>
  <c r="D190" i="8"/>
  <c r="C187" i="8"/>
  <c r="G187" i="8" s="1"/>
  <c r="C184" i="8"/>
  <c r="G184" i="8" s="1"/>
  <c r="D177" i="8"/>
  <c r="E174" i="8"/>
  <c r="E179" i="8" s="1"/>
  <c r="E219" i="8" s="1"/>
  <c r="E229" i="8" s="1"/>
  <c r="F208" i="8"/>
  <c r="E201" i="8"/>
  <c r="E206" i="8" s="1"/>
  <c r="E226" i="8" s="1"/>
  <c r="D193" i="8"/>
  <c r="D195" i="8" s="1"/>
  <c r="D224" i="8" s="1"/>
  <c r="E180" i="8"/>
  <c r="E182" i="8" s="1"/>
  <c r="E220" i="8" s="1"/>
  <c r="C204" i="8"/>
  <c r="G204" i="8" s="1"/>
  <c r="F201" i="8"/>
  <c r="F206" i="8" s="1"/>
  <c r="F226" i="8" s="1"/>
  <c r="C199" i="8"/>
  <c r="G199" i="8" s="1"/>
  <c r="E196" i="8"/>
  <c r="E200" i="8" s="1"/>
  <c r="E225" i="8" s="1"/>
  <c r="E193" i="8"/>
  <c r="E195" i="8" s="1"/>
  <c r="E224" i="8" s="1"/>
  <c r="C190" i="8"/>
  <c r="G190" i="8" s="1"/>
  <c r="F183" i="8"/>
  <c r="F185" i="8" s="1"/>
  <c r="F221" i="8" s="1"/>
  <c r="F180" i="8"/>
  <c r="F182" i="8" s="1"/>
  <c r="F220" i="8" s="1"/>
  <c r="C177" i="8"/>
  <c r="G177" i="8" s="1"/>
  <c r="D174" i="8"/>
  <c r="D179" i="8" s="1"/>
  <c r="D219" i="8" s="1"/>
  <c r="D228" i="8" s="1"/>
  <c r="D196" i="8"/>
  <c r="D200" i="8" s="1"/>
  <c r="D225" i="8" s="1"/>
  <c r="E183" i="8"/>
  <c r="E185" i="8" s="1"/>
  <c r="E221" i="8" s="1"/>
  <c r="D210" i="8"/>
  <c r="E205" i="8"/>
  <c r="C203" i="8"/>
  <c r="G203" i="8" s="1"/>
  <c r="F191" i="8"/>
  <c r="F178" i="8"/>
  <c r="C215" i="8"/>
  <c r="C210" i="8"/>
  <c r="G210" i="8" s="1"/>
  <c r="F207" i="8"/>
  <c r="F211" i="8" s="1"/>
  <c r="F227" i="8" s="1"/>
  <c r="D205" i="8"/>
  <c r="F197" i="8"/>
  <c r="E191" i="8"/>
  <c r="D180" i="8"/>
  <c r="D182" i="8" s="1"/>
  <c r="D220" i="8" s="1"/>
  <c r="F187" i="8"/>
  <c r="D201" i="8"/>
  <c r="D206" i="8" s="1"/>
  <c r="D226" i="8" s="1"/>
  <c r="E207" i="8"/>
  <c r="E211" i="8" s="1"/>
  <c r="E227" i="8" s="1"/>
  <c r="BO59" i="8"/>
  <c r="BO69" i="8"/>
  <c r="BN69" i="8"/>
  <c r="AG51" i="8"/>
  <c r="X59" i="8"/>
  <c r="Y62" i="8"/>
  <c r="D175" i="8"/>
  <c r="E181" i="8"/>
  <c r="E202" i="8"/>
  <c r="C208" i="8"/>
  <c r="G208" i="8" s="1"/>
  <c r="BH85" i="8"/>
  <c r="C176" i="8"/>
  <c r="G176" i="8" s="1"/>
  <c r="E189" i="8"/>
  <c r="E192" i="8" s="1"/>
  <c r="E223" i="8" s="1"/>
  <c r="E197" i="8"/>
  <c r="E203" i="8"/>
  <c r="F209" i="8"/>
  <c r="Y56" i="8"/>
  <c r="BO52" i="8"/>
  <c r="AA56" i="8"/>
  <c r="D176" i="8"/>
  <c r="C183" i="8"/>
  <c r="C185" i="8" s="1"/>
  <c r="C221" i="8" s="1"/>
  <c r="C191" i="8"/>
  <c r="G191" i="8" s="1"/>
  <c r="C198" i="8"/>
  <c r="G198" i="8" s="1"/>
  <c r="F203" i="8"/>
  <c r="E176" i="8"/>
  <c r="D183" i="8"/>
  <c r="D185" i="8" s="1"/>
  <c r="D221" i="8" s="1"/>
  <c r="D191" i="8"/>
  <c r="D198" i="8"/>
  <c r="E210" i="8"/>
  <c r="AH76" i="8"/>
  <c r="AH55" i="8"/>
  <c r="AG52" i="8"/>
  <c r="AE52" i="8"/>
  <c r="AG56" i="8"/>
  <c r="D178" i="8"/>
  <c r="F205" i="8"/>
  <c r="AO72" i="8"/>
  <c r="AL80" i="8"/>
  <c r="AL65" i="8"/>
  <c r="AM49" i="8"/>
  <c r="AM50" i="8"/>
  <c r="AO62" i="8"/>
  <c r="AN58" i="8"/>
  <c r="E178" i="8"/>
  <c r="C186" i="8"/>
  <c r="C193" i="8"/>
  <c r="C195" i="8" s="1"/>
  <c r="G195" i="8" s="1"/>
  <c r="F238" i="8"/>
  <c r="C242" i="8"/>
  <c r="C245" i="8"/>
  <c r="G245" i="8" s="1"/>
  <c r="D248" i="8"/>
  <c r="D250" i="8" s="1"/>
  <c r="D284" i="8" s="1"/>
  <c r="F251" i="8"/>
  <c r="F254" i="8" s="1"/>
  <c r="F285" i="8" s="1"/>
  <c r="E258" i="8"/>
  <c r="E262" i="8" s="1"/>
  <c r="E287" i="8" s="1"/>
  <c r="D261" i="8"/>
  <c r="C264" i="8"/>
  <c r="G264" i="8" s="1"/>
  <c r="E266" i="8"/>
  <c r="D271" i="8"/>
  <c r="C50" i="8"/>
  <c r="Q51" i="8"/>
  <c r="D53" i="8"/>
  <c r="F56" i="8"/>
  <c r="AV59" i="8"/>
  <c r="E62" i="8"/>
  <c r="C66" i="8"/>
  <c r="M68" i="8"/>
  <c r="F71" i="8"/>
  <c r="E74" i="8"/>
  <c r="F79" i="8"/>
  <c r="D84" i="8"/>
  <c r="C236" i="8"/>
  <c r="C241" i="8" s="1"/>
  <c r="C281" i="8" s="1"/>
  <c r="C239" i="8"/>
  <c r="G239" i="8" s="1"/>
  <c r="D242" i="8"/>
  <c r="D244" i="8" s="1"/>
  <c r="D282" i="8" s="1"/>
  <c r="D245" i="8"/>
  <c r="D247" i="8" s="1"/>
  <c r="D283" i="8" s="1"/>
  <c r="E248" i="8"/>
  <c r="E250" i="8" s="1"/>
  <c r="E284" i="8" s="1"/>
  <c r="C255" i="8"/>
  <c r="C257" i="8" s="1"/>
  <c r="C286" i="8" s="1"/>
  <c r="F258" i="8"/>
  <c r="F262" i="8" s="1"/>
  <c r="F287" i="8" s="1"/>
  <c r="E261" i="8"/>
  <c r="D264" i="8"/>
  <c r="F266" i="8"/>
  <c r="C269" i="8"/>
  <c r="E271" i="8"/>
  <c r="D243" i="8"/>
  <c r="F252" i="8"/>
  <c r="C265" i="8"/>
  <c r="G265" i="8" s="1"/>
  <c r="D49" i="8"/>
  <c r="S50" i="8"/>
  <c r="F52" i="8"/>
  <c r="D55" i="8"/>
  <c r="AT56" i="8"/>
  <c r="C59" i="8"/>
  <c r="J61" i="8"/>
  <c r="AS62" i="8"/>
  <c r="F65" i="8"/>
  <c r="F69" i="8"/>
  <c r="F72" i="8"/>
  <c r="F76" i="8"/>
  <c r="F78" i="8"/>
  <c r="E80" i="8"/>
  <c r="D85" i="8"/>
  <c r="D237" i="8"/>
  <c r="C240" i="8"/>
  <c r="G240" i="8" s="1"/>
  <c r="E243" i="8"/>
  <c r="E246" i="8"/>
  <c r="E249" i="8"/>
  <c r="D256" i="8"/>
  <c r="D265" i="8"/>
  <c r="F267" i="8"/>
  <c r="C270" i="8"/>
  <c r="G270" i="8" s="1"/>
  <c r="E272" i="8"/>
  <c r="C237" i="8"/>
  <c r="G237" i="8" s="1"/>
  <c r="C256" i="8"/>
  <c r="G256" i="8" s="1"/>
  <c r="E49" i="8"/>
  <c r="M52" i="8"/>
  <c r="E55" i="8"/>
  <c r="AV56" i="8"/>
  <c r="D59" i="8"/>
  <c r="AS61" i="8"/>
  <c r="AT62" i="8"/>
  <c r="K65" i="8"/>
  <c r="C73" i="8"/>
  <c r="F80" i="8"/>
  <c r="C83" i="8"/>
  <c r="E85" i="8"/>
  <c r="E237" i="8"/>
  <c r="D240" i="8"/>
  <c r="F243" i="8"/>
  <c r="F246" i="8"/>
  <c r="F249" i="8"/>
  <c r="C253" i="8"/>
  <c r="G253" i="8" s="1"/>
  <c r="E256" i="8"/>
  <c r="C260" i="8"/>
  <c r="G260" i="8" s="1"/>
  <c r="C263" i="8"/>
  <c r="E265" i="8"/>
  <c r="D270" i="8"/>
  <c r="F272" i="8"/>
  <c r="D246" i="8"/>
  <c r="F259" i="8"/>
  <c r="E267" i="8"/>
  <c r="D272" i="8"/>
  <c r="F49" i="8"/>
  <c r="F55" i="8"/>
  <c r="C58" i="8"/>
  <c r="E59" i="8"/>
  <c r="AU61" i="8"/>
  <c r="C64" i="8"/>
  <c r="L65" i="8"/>
  <c r="D73" i="8"/>
  <c r="C77" i="8"/>
  <c r="D83" i="8"/>
  <c r="F85" i="8"/>
  <c r="F237" i="8"/>
  <c r="E240" i="8"/>
  <c r="D253" i="8"/>
  <c r="F256" i="8"/>
  <c r="D260" i="8"/>
  <c r="D263" i="8"/>
  <c r="D268" i="8" s="1"/>
  <c r="D288" i="8" s="1"/>
  <c r="F265" i="8"/>
  <c r="E270" i="8"/>
  <c r="D249" i="8"/>
  <c r="C51" i="8"/>
  <c r="D58" i="8"/>
  <c r="F59" i="8"/>
  <c r="AV61" i="8"/>
  <c r="D64" i="8"/>
  <c r="C68" i="8"/>
  <c r="E73" i="8"/>
  <c r="D77" i="8"/>
  <c r="AS78" i="8"/>
  <c r="C238" i="8"/>
  <c r="G238" i="8" s="1"/>
  <c r="F240" i="8"/>
  <c r="C251" i="8"/>
  <c r="E253" i="8"/>
  <c r="E260" i="8"/>
  <c r="E263" i="8"/>
  <c r="E268" i="8" s="1"/>
  <c r="E288" i="8" s="1"/>
  <c r="BG53" i="8"/>
  <c r="BA55" i="8"/>
  <c r="BJ66" i="8"/>
  <c r="BA74" i="8"/>
  <c r="BQ52" i="8"/>
  <c r="BP53" i="8"/>
  <c r="BB55" i="8"/>
  <c r="BP66" i="8"/>
  <c r="BA68" i="8"/>
  <c r="BH78" i="8"/>
  <c r="BC49" i="8"/>
  <c r="X51" i="8"/>
  <c r="BQ53" i="8"/>
  <c r="BG55" i="8"/>
  <c r="AZ64" i="8"/>
  <c r="BQ66" i="8"/>
  <c r="BB68" i="8"/>
  <c r="L72" i="8"/>
  <c r="BI78" i="8"/>
  <c r="BA50" i="8"/>
  <c r="BH68" i="8"/>
  <c r="BB50" i="8"/>
  <c r="BI55" i="8"/>
  <c r="AZ62" i="8"/>
  <c r="BI49" i="8"/>
  <c r="BJ55" i="8"/>
  <c r="AZ56" i="8"/>
  <c r="BC59" i="8"/>
  <c r="BP61" i="8"/>
  <c r="BA62" i="8"/>
  <c r="BI64" i="8"/>
  <c r="BO65" i="8"/>
  <c r="BO77" i="8"/>
  <c r="J49" i="8"/>
  <c r="BJ49" i="8"/>
  <c r="BG50" i="8"/>
  <c r="BB51" i="8"/>
  <c r="M53" i="8"/>
  <c r="BC56" i="8"/>
  <c r="AZ58" i="8"/>
  <c r="BI59" i="8"/>
  <c r="BQ61" i="8"/>
  <c r="BQ62" i="8"/>
  <c r="BJ64" i="8"/>
  <c r="AH71" i="8"/>
  <c r="BG80" i="8"/>
  <c r="BB53" i="8"/>
  <c r="BG49" i="8"/>
  <c r="BH55" i="8"/>
  <c r="BH57" i="8" s="1"/>
  <c r="BH95" i="8" s="1"/>
  <c r="BA51" i="8"/>
  <c r="BQ80" i="8"/>
  <c r="AE66" i="8"/>
  <c r="AH72" i="8"/>
  <c r="AE68" i="8"/>
  <c r="AG72" i="8"/>
  <c r="AF72" i="8"/>
  <c r="AE72" i="8"/>
  <c r="L49" i="8"/>
  <c r="BQ50" i="8"/>
  <c r="BO51" i="8"/>
  <c r="BA52" i="8"/>
  <c r="AH53" i="8"/>
  <c r="L55" i="8"/>
  <c r="BH71" i="8"/>
  <c r="BA76" i="8"/>
  <c r="X79" i="8"/>
  <c r="BA64" i="8"/>
  <c r="BB59" i="8"/>
  <c r="BH64" i="8"/>
  <c r="BI68" i="8"/>
  <c r="BC51" i="8"/>
  <c r="AZ52" i="8"/>
  <c r="BP56" i="8"/>
  <c r="AZ76" i="8"/>
  <c r="Y49" i="8"/>
  <c r="BP51" i="8"/>
  <c r="BB52" i="8"/>
  <c r="AZ53" i="8"/>
  <c r="M55" i="8"/>
  <c r="L69" i="8"/>
  <c r="BI71" i="8"/>
  <c r="BP76" i="8"/>
  <c r="AN79" i="8"/>
  <c r="AM85" i="8"/>
  <c r="BH49" i="8"/>
  <c r="AZ51" i="8"/>
  <c r="BO61" i="8"/>
  <c r="BC50" i="8"/>
  <c r="BH50" i="8"/>
  <c r="J55" i="8"/>
  <c r="BN58" i="8"/>
  <c r="BI73" i="8"/>
  <c r="BQ51" i="8"/>
  <c r="BC52" i="8"/>
  <c r="BA53" i="8"/>
  <c r="AE55" i="8"/>
  <c r="J56" i="8"/>
  <c r="X66" i="8"/>
  <c r="J68" i="8"/>
  <c r="BG69" i="8"/>
  <c r="BC79" i="8"/>
  <c r="BG85" i="8"/>
  <c r="K82" i="8"/>
  <c r="K76" i="8"/>
  <c r="J90" i="8"/>
  <c r="J82" i="8"/>
  <c r="J76" i="8"/>
  <c r="M80" i="8"/>
  <c r="M74" i="8"/>
  <c r="L80" i="8"/>
  <c r="L74" i="8"/>
  <c r="M85" i="8"/>
  <c r="K80" i="8"/>
  <c r="M79" i="8"/>
  <c r="K74" i="8"/>
  <c r="M73" i="8"/>
  <c r="L85" i="8"/>
  <c r="J80" i="8"/>
  <c r="L79" i="8"/>
  <c r="J74" i="8"/>
  <c r="L73" i="8"/>
  <c r="J79" i="8"/>
  <c r="M78" i="8"/>
  <c r="M76" i="8"/>
  <c r="K73" i="8"/>
  <c r="L68" i="8"/>
  <c r="L78" i="8"/>
  <c r="L76" i="8"/>
  <c r="J73" i="8"/>
  <c r="K68" i="8"/>
  <c r="J62" i="8"/>
  <c r="L61" i="8"/>
  <c r="J85" i="8"/>
  <c r="M84" i="8"/>
  <c r="M82" i="8"/>
  <c r="L84" i="8"/>
  <c r="L82" i="8"/>
  <c r="M69" i="8"/>
  <c r="K66" i="8"/>
  <c r="M65" i="8"/>
  <c r="M59" i="8"/>
  <c r="J84" i="8"/>
  <c r="J72" i="8"/>
  <c r="K69" i="8"/>
  <c r="M66" i="8"/>
  <c r="J69" i="8"/>
  <c r="L66" i="8"/>
  <c r="M58" i="8"/>
  <c r="M77" i="8"/>
  <c r="K85" i="8"/>
  <c r="L77" i="8"/>
  <c r="M71" i="8"/>
  <c r="K61" i="8"/>
  <c r="K59" i="8"/>
  <c r="M56" i="8"/>
  <c r="K83" i="8"/>
  <c r="J78" i="8"/>
  <c r="J71" i="8"/>
  <c r="J83" i="8"/>
  <c r="M72" i="8"/>
  <c r="X49" i="8"/>
  <c r="AN49" i="8"/>
  <c r="T50" i="8"/>
  <c r="AL50" i="8"/>
  <c r="R51" i="8"/>
  <c r="AH51" i="8"/>
  <c r="AF52" i="8"/>
  <c r="AG53" i="8"/>
  <c r="K55" i="8"/>
  <c r="AF55" i="8"/>
  <c r="Z56" i="8"/>
  <c r="S58" i="8"/>
  <c r="AO58" i="8"/>
  <c r="Y59" i="8"/>
  <c r="M61" i="8"/>
  <c r="AN61" i="8"/>
  <c r="Q62" i="8"/>
  <c r="AA64" i="8"/>
  <c r="J65" i="8"/>
  <c r="AO65" i="8"/>
  <c r="Y66" i="8"/>
  <c r="BH66" i="8"/>
  <c r="BH69" i="8"/>
  <c r="AL71" i="8"/>
  <c r="K72" i="8"/>
  <c r="BO73" i="8"/>
  <c r="BG74" i="8"/>
  <c r="AG77" i="8"/>
  <c r="T58" i="8"/>
  <c r="Y83" i="8"/>
  <c r="AA82" i="8"/>
  <c r="Y77" i="8"/>
  <c r="AA76" i="8"/>
  <c r="Y71" i="8"/>
  <c r="X83" i="8"/>
  <c r="Z82" i="8"/>
  <c r="X77" i="8"/>
  <c r="Z76" i="8"/>
  <c r="Y82" i="8"/>
  <c r="Y76" i="8"/>
  <c r="X82" i="8"/>
  <c r="X76" i="8"/>
  <c r="AA80" i="8"/>
  <c r="AA74" i="8"/>
  <c r="Z80" i="8"/>
  <c r="Z74" i="8"/>
  <c r="Z84" i="8"/>
  <c r="AA72" i="8"/>
  <c r="AA71" i="8"/>
  <c r="Y84" i="8"/>
  <c r="AA77" i="8"/>
  <c r="Z72" i="8"/>
  <c r="Z71" i="8"/>
  <c r="Z62" i="8"/>
  <c r="AA83" i="8"/>
  <c r="Z68" i="8"/>
  <c r="AA66" i="8"/>
  <c r="Y61" i="8"/>
  <c r="X90" i="8"/>
  <c r="X71" i="8"/>
  <c r="Y64" i="8"/>
  <c r="X55" i="8"/>
  <c r="AA85" i="8"/>
  <c r="X64" i="8"/>
  <c r="AA62" i="8"/>
  <c r="Z85" i="8"/>
  <c r="Y85" i="8"/>
  <c r="Z83" i="8"/>
  <c r="AA78" i="8"/>
  <c r="X85" i="8"/>
  <c r="AA79" i="8"/>
  <c r="Z78" i="8"/>
  <c r="Z69" i="8"/>
  <c r="X68" i="8"/>
  <c r="Z79" i="8"/>
  <c r="Y78" i="8"/>
  <c r="AA73" i="8"/>
  <c r="Y69" i="8"/>
  <c r="Z66" i="8"/>
  <c r="Y58" i="8"/>
  <c r="Y80" i="8"/>
  <c r="Y74" i="8"/>
  <c r="X73" i="8"/>
  <c r="X72" i="8"/>
  <c r="AA84" i="8"/>
  <c r="X80" i="8"/>
  <c r="X74" i="8"/>
  <c r="Z49" i="8"/>
  <c r="X50" i="8"/>
  <c r="AN50" i="8"/>
  <c r="T51" i="8"/>
  <c r="AL51" i="8"/>
  <c r="R52" i="8"/>
  <c r="AH52" i="8"/>
  <c r="R53" i="8"/>
  <c r="AA59" i="8"/>
  <c r="Q61" i="8"/>
  <c r="T62" i="8"/>
  <c r="AE64" i="8"/>
  <c r="X69" i="8"/>
  <c r="Y72" i="8"/>
  <c r="AN85" i="8"/>
  <c r="S51" i="8"/>
  <c r="R62" i="8"/>
  <c r="AG80" i="8"/>
  <c r="AG74" i="8"/>
  <c r="AH85" i="8"/>
  <c r="AF80" i="8"/>
  <c r="AH79" i="8"/>
  <c r="AF74" i="8"/>
  <c r="AH73" i="8"/>
  <c r="AG85" i="8"/>
  <c r="AE80" i="8"/>
  <c r="AG79" i="8"/>
  <c r="AE74" i="8"/>
  <c r="AF85" i="8"/>
  <c r="AH84" i="8"/>
  <c r="AF79" i="8"/>
  <c r="AH78" i="8"/>
  <c r="AF73" i="8"/>
  <c r="AE85" i="8"/>
  <c r="AG84" i="8"/>
  <c r="AE79" i="8"/>
  <c r="AG78" i="8"/>
  <c r="AE73" i="8"/>
  <c r="AF84" i="8"/>
  <c r="AH83" i="8"/>
  <c r="AF78" i="8"/>
  <c r="AH77" i="8"/>
  <c r="AG83" i="8"/>
  <c r="AG68" i="8"/>
  <c r="AG66" i="8"/>
  <c r="AF83" i="8"/>
  <c r="AH74" i="8"/>
  <c r="AH69" i="8"/>
  <c r="AF68" i="8"/>
  <c r="AF66" i="8"/>
  <c r="AH65" i="8"/>
  <c r="AH59" i="8"/>
  <c r="AH80" i="8"/>
  <c r="AG76" i="8"/>
  <c r="AG73" i="8"/>
  <c r="AE69" i="8"/>
  <c r="AE65" i="8"/>
  <c r="AG64" i="8"/>
  <c r="AE59" i="8"/>
  <c r="AH82" i="8"/>
  <c r="AF77" i="8"/>
  <c r="AF76" i="8"/>
  <c r="AG69" i="8"/>
  <c r="AH68" i="8"/>
  <c r="AF58" i="8"/>
  <c r="AG82" i="8"/>
  <c r="AE78" i="8"/>
  <c r="AE77" i="8"/>
  <c r="AE76" i="8"/>
  <c r="AF69" i="8"/>
  <c r="AE58" i="8"/>
  <c r="AE83" i="8"/>
  <c r="AF82" i="8"/>
  <c r="AE82" i="8"/>
  <c r="AF61" i="8"/>
  <c r="AF59" i="8"/>
  <c r="AE56" i="8"/>
  <c r="AG55" i="8"/>
  <c r="AG71" i="8"/>
  <c r="AF71" i="8"/>
  <c r="AA49" i="8"/>
  <c r="Y50" i="8"/>
  <c r="AO50" i="8"/>
  <c r="AM51" i="8"/>
  <c r="S52" i="8"/>
  <c r="S53" i="8"/>
  <c r="AL53" i="8"/>
  <c r="AL55" i="8"/>
  <c r="AF56" i="8"/>
  <c r="X58" i="8"/>
  <c r="T61" i="8"/>
  <c r="X62" i="8"/>
  <c r="AF64" i="8"/>
  <c r="T65" i="8"/>
  <c r="AH66" i="8"/>
  <c r="AA69" i="8"/>
  <c r="Q73" i="8"/>
  <c r="K84" i="8"/>
  <c r="AN53" i="8"/>
  <c r="AS82" i="8"/>
  <c r="AS76" i="8"/>
  <c r="AV80" i="8"/>
  <c r="AV74" i="8"/>
  <c r="AU80" i="8"/>
  <c r="AU74" i="8"/>
  <c r="AV85" i="8"/>
  <c r="AT80" i="8"/>
  <c r="AV79" i="8"/>
  <c r="AT74" i="8"/>
  <c r="AV73" i="8"/>
  <c r="AU85" i="8"/>
  <c r="AS80" i="8"/>
  <c r="AU79" i="8"/>
  <c r="AS74" i="8"/>
  <c r="AU73" i="8"/>
  <c r="AT85" i="8"/>
  <c r="AV84" i="8"/>
  <c r="AT79" i="8"/>
  <c r="AV78" i="8"/>
  <c r="AT73" i="8"/>
  <c r="AV72" i="8"/>
  <c r="AU78" i="8"/>
  <c r="AU76" i="8"/>
  <c r="AV71" i="8"/>
  <c r="AT78" i="8"/>
  <c r="AT76" i="8"/>
  <c r="AU71" i="8"/>
  <c r="AV68" i="8"/>
  <c r="AV66" i="8"/>
  <c r="AT61" i="8"/>
  <c r="AU84" i="8"/>
  <c r="AU82" i="8"/>
  <c r="AT84" i="8"/>
  <c r="AT82" i="8"/>
  <c r="AV77" i="8"/>
  <c r="AT72" i="8"/>
  <c r="AU69" i="8"/>
  <c r="AS68" i="8"/>
  <c r="AS66" i="8"/>
  <c r="AU65" i="8"/>
  <c r="AU59" i="8"/>
  <c r="AS83" i="8"/>
  <c r="AS72" i="8"/>
  <c r="AS64" i="8"/>
  <c r="AV62" i="8"/>
  <c r="AS79" i="8"/>
  <c r="AS73" i="8"/>
  <c r="AU62" i="8"/>
  <c r="AV58" i="8"/>
  <c r="AS84" i="8"/>
  <c r="AS71" i="8"/>
  <c r="AV69" i="8"/>
  <c r="AU68" i="8"/>
  <c r="AT69" i="8"/>
  <c r="AT68" i="8"/>
  <c r="AU56" i="8"/>
  <c r="AT77" i="8"/>
  <c r="AS90" i="8"/>
  <c r="AS85" i="8"/>
  <c r="AV83" i="8"/>
  <c r="AS77" i="8"/>
  <c r="AV76" i="8"/>
  <c r="M49" i="8"/>
  <c r="AE49" i="8"/>
  <c r="AU49" i="8"/>
  <c r="AA50" i="8"/>
  <c r="AS50" i="8"/>
  <c r="BI50" i="8"/>
  <c r="Y51" i="8"/>
  <c r="AO51" i="8"/>
  <c r="BG51" i="8"/>
  <c r="AM52" i="8"/>
  <c r="X53" i="8"/>
  <c r="AO53" i="8"/>
  <c r="BH53" i="8"/>
  <c r="S55" i="8"/>
  <c r="L56" i="8"/>
  <c r="AH56" i="8"/>
  <c r="BG56" i="8"/>
  <c r="AA58" i="8"/>
  <c r="BA58" i="8"/>
  <c r="BJ59" i="8"/>
  <c r="X61" i="8"/>
  <c r="AE62" i="8"/>
  <c r="K64" i="8"/>
  <c r="AM64" i="8"/>
  <c r="BP64" i="8"/>
  <c r="X65" i="8"/>
  <c r="AN66" i="8"/>
  <c r="R68" i="8"/>
  <c r="BP68" i="8"/>
  <c r="AL69" i="8"/>
  <c r="K71" i="8"/>
  <c r="BO71" i="8"/>
  <c r="Y73" i="8"/>
  <c r="M83" i="8"/>
  <c r="AE84" i="8"/>
  <c r="AM84" i="8"/>
  <c r="AO83" i="8"/>
  <c r="AM78" i="8"/>
  <c r="AO77" i="8"/>
  <c r="AM72" i="8"/>
  <c r="AO71" i="8"/>
  <c r="AL84" i="8"/>
  <c r="AN83" i="8"/>
  <c r="AL78" i="8"/>
  <c r="AN77" i="8"/>
  <c r="AL72" i="8"/>
  <c r="AN71" i="8"/>
  <c r="AM83" i="8"/>
  <c r="AO82" i="8"/>
  <c r="AM77" i="8"/>
  <c r="AO76" i="8"/>
  <c r="AL83" i="8"/>
  <c r="AN82" i="8"/>
  <c r="AL77" i="8"/>
  <c r="AN76" i="8"/>
  <c r="AM82" i="8"/>
  <c r="AM76" i="8"/>
  <c r="AL82" i="8"/>
  <c r="AL76" i="8"/>
  <c r="AN80" i="8"/>
  <c r="AO73" i="8"/>
  <c r="AM80" i="8"/>
  <c r="AO79" i="8"/>
  <c r="AN73" i="8"/>
  <c r="AL64" i="8"/>
  <c r="AL58" i="8"/>
  <c r="AO85" i="8"/>
  <c r="AL79" i="8"/>
  <c r="AO78" i="8"/>
  <c r="AM62" i="8"/>
  <c r="AO61" i="8"/>
  <c r="AL85" i="8"/>
  <c r="AN78" i="8"/>
  <c r="AL66" i="8"/>
  <c r="AN65" i="8"/>
  <c r="AM61" i="8"/>
  <c r="AN59" i="8"/>
  <c r="AL56" i="8"/>
  <c r="AN55" i="8"/>
  <c r="AM65" i="8"/>
  <c r="AL61" i="8"/>
  <c r="AM59" i="8"/>
  <c r="AM55" i="8"/>
  <c r="AM79" i="8"/>
  <c r="AO74" i="8"/>
  <c r="AL73" i="8"/>
  <c r="AO84" i="8"/>
  <c r="AO80" i="8"/>
  <c r="AN74" i="8"/>
  <c r="AM71" i="8"/>
  <c r="AN62" i="8"/>
  <c r="AM53" i="8"/>
  <c r="AO52" i="8"/>
  <c r="AO69" i="8"/>
  <c r="AO70" i="8" s="1"/>
  <c r="AO99" i="8" s="1"/>
  <c r="AN68" i="8"/>
  <c r="AN69" i="8"/>
  <c r="AM68" i="8"/>
  <c r="AM66" i="8"/>
  <c r="Q68" i="8"/>
  <c r="X84" i="8"/>
  <c r="BA85" i="8"/>
  <c r="BC84" i="8"/>
  <c r="BA79" i="8"/>
  <c r="BC78" i="8"/>
  <c r="BA73" i="8"/>
  <c r="BC72" i="8"/>
  <c r="AZ85" i="8"/>
  <c r="BB84" i="8"/>
  <c r="AZ79" i="8"/>
  <c r="BB78" i="8"/>
  <c r="AZ73" i="8"/>
  <c r="BB72" i="8"/>
  <c r="BA84" i="8"/>
  <c r="BC83" i="8"/>
  <c r="BA78" i="8"/>
  <c r="BC77" i="8"/>
  <c r="AZ84" i="8"/>
  <c r="BB83" i="8"/>
  <c r="AZ78" i="8"/>
  <c r="BB77" i="8"/>
  <c r="AZ72" i="8"/>
  <c r="BB71" i="8"/>
  <c r="BA83" i="8"/>
  <c r="BC82" i="8"/>
  <c r="BA77" i="8"/>
  <c r="BC76" i="8"/>
  <c r="BA71" i="8"/>
  <c r="AZ83" i="8"/>
  <c r="BB82" i="8"/>
  <c r="AZ77" i="8"/>
  <c r="BB76" i="8"/>
  <c r="BC85" i="8"/>
  <c r="AZ82" i="8"/>
  <c r="BA69" i="8"/>
  <c r="AZ68" i="8"/>
  <c r="BA65" i="8"/>
  <c r="BC64" i="8"/>
  <c r="BB85" i="8"/>
  <c r="AZ69" i="8"/>
  <c r="AZ65" i="8"/>
  <c r="BB64" i="8"/>
  <c r="AZ59" i="8"/>
  <c r="BB58" i="8"/>
  <c r="BC74" i="8"/>
  <c r="BC62" i="8"/>
  <c r="BB79" i="8"/>
  <c r="BC71" i="8"/>
  <c r="BB56" i="8"/>
  <c r="BC80" i="8"/>
  <c r="BB74" i="8"/>
  <c r="AZ71" i="8"/>
  <c r="BC69" i="8"/>
  <c r="BC68" i="8"/>
  <c r="BA56" i="8"/>
  <c r="BC55" i="8"/>
  <c r="BB80" i="8"/>
  <c r="BA80" i="8"/>
  <c r="AZ80" i="8"/>
  <c r="BA66" i="8"/>
  <c r="AZ66" i="8"/>
  <c r="BB65" i="8"/>
  <c r="AZ61" i="8"/>
  <c r="BA59" i="8"/>
  <c r="BC53" i="8"/>
  <c r="AZ90" i="8"/>
  <c r="BA82" i="8"/>
  <c r="AF49" i="8"/>
  <c r="AV49" i="8"/>
  <c r="BN49" i="8"/>
  <c r="L50" i="8"/>
  <c r="AT50" i="8"/>
  <c r="BJ50" i="8"/>
  <c r="J51" i="8"/>
  <c r="Z51" i="8"/>
  <c r="BH51" i="8"/>
  <c r="X52" i="8"/>
  <c r="AN52" i="8"/>
  <c r="BH52" i="8"/>
  <c r="Y53" i="8"/>
  <c r="BI53" i="8"/>
  <c r="T55" i="8"/>
  <c r="AS55" i="8"/>
  <c r="BN55" i="8"/>
  <c r="AM56" i="8"/>
  <c r="BC58" i="8"/>
  <c r="J59" i="8"/>
  <c r="AL59" i="8"/>
  <c r="BN59" i="8"/>
  <c r="Z61" i="8"/>
  <c r="BA61" i="8"/>
  <c r="AF62" i="8"/>
  <c r="L64" i="8"/>
  <c r="AN64" i="8"/>
  <c r="BQ64" i="8"/>
  <c r="Y65" i="8"/>
  <c r="BC65" i="8"/>
  <c r="J66" i="8"/>
  <c r="AO66" i="8"/>
  <c r="S68" i="8"/>
  <c r="AM69" i="8"/>
  <c r="L71" i="8"/>
  <c r="BP71" i="8"/>
  <c r="AU72" i="8"/>
  <c r="Z73" i="8"/>
  <c r="S74" i="8"/>
  <c r="AT83" i="8"/>
  <c r="AN84" i="8"/>
  <c r="Q53" i="8"/>
  <c r="BG83" i="8"/>
  <c r="BI82" i="8"/>
  <c r="BG77" i="8"/>
  <c r="BI76" i="8"/>
  <c r="BG71" i="8"/>
  <c r="BH82" i="8"/>
  <c r="BH76" i="8"/>
  <c r="BG82" i="8"/>
  <c r="BG76" i="8"/>
  <c r="BJ80" i="8"/>
  <c r="BJ74" i="8"/>
  <c r="BI80" i="8"/>
  <c r="BI74" i="8"/>
  <c r="BJ85" i="8"/>
  <c r="BH80" i="8"/>
  <c r="BJ79" i="8"/>
  <c r="BH74" i="8"/>
  <c r="BJ73" i="8"/>
  <c r="BH84" i="8"/>
  <c r="BJ77" i="8"/>
  <c r="BG72" i="8"/>
  <c r="BG84" i="8"/>
  <c r="BI77" i="8"/>
  <c r="BH62" i="8"/>
  <c r="BJ61" i="8"/>
  <c r="BJ83" i="8"/>
  <c r="BG90" i="8"/>
  <c r="BI83" i="8"/>
  <c r="BH73" i="8"/>
  <c r="BI66" i="8"/>
  <c r="BG61" i="8"/>
  <c r="BJ84" i="8"/>
  <c r="BG68" i="8"/>
  <c r="BG66" i="8"/>
  <c r="BI65" i="8"/>
  <c r="BH61" i="8"/>
  <c r="BH59" i="8"/>
  <c r="BI84" i="8"/>
  <c r="BH65" i="8"/>
  <c r="BG59" i="8"/>
  <c r="BI85" i="8"/>
  <c r="BJ78" i="8"/>
  <c r="BH77" i="8"/>
  <c r="BJ76" i="8"/>
  <c r="BG64" i="8"/>
  <c r="BI62" i="8"/>
  <c r="BI58" i="8"/>
  <c r="BG52" i="8"/>
  <c r="BJ82" i="8"/>
  <c r="BH79" i="8"/>
  <c r="BG78" i="8"/>
  <c r="BG73" i="8"/>
  <c r="BI72" i="8"/>
  <c r="BJ69" i="8"/>
  <c r="BG79" i="8"/>
  <c r="BH72" i="8"/>
  <c r="BJ71" i="8"/>
  <c r="BI69" i="8"/>
  <c r="BJ68" i="8"/>
  <c r="Q49" i="8"/>
  <c r="AG49" i="8"/>
  <c r="BO49" i="8"/>
  <c r="M50" i="8"/>
  <c r="AE50" i="8"/>
  <c r="AU50" i="8"/>
  <c r="AA51" i="8"/>
  <c r="AS51" i="8"/>
  <c r="BI51" i="8"/>
  <c r="Y52" i="8"/>
  <c r="BI52" i="8"/>
  <c r="Z53" i="8"/>
  <c r="AS53" i="8"/>
  <c r="BJ53" i="8"/>
  <c r="Y55" i="8"/>
  <c r="AT55" i="8"/>
  <c r="BP55" i="8"/>
  <c r="Q56" i="8"/>
  <c r="AN56" i="8"/>
  <c r="BI56" i="8"/>
  <c r="J58" i="8"/>
  <c r="AG58" i="8"/>
  <c r="L59" i="8"/>
  <c r="AO59" i="8"/>
  <c r="AA61" i="8"/>
  <c r="BB61" i="8"/>
  <c r="AG62" i="8"/>
  <c r="BG62" i="8"/>
  <c r="M64" i="8"/>
  <c r="AO64" i="8"/>
  <c r="Z65" i="8"/>
  <c r="R66" i="8"/>
  <c r="Y68" i="8"/>
  <c r="Q71" i="8"/>
  <c r="BA72" i="8"/>
  <c r="AM73" i="8"/>
  <c r="T74" i="8"/>
  <c r="AU83" i="8"/>
  <c r="T52" i="8"/>
  <c r="AL52" i="8"/>
  <c r="T53" i="8"/>
  <c r="BQ85" i="8"/>
  <c r="BO80" i="8"/>
  <c r="BQ79" i="8"/>
  <c r="BO74" i="8"/>
  <c r="BQ73" i="8"/>
  <c r="BP85" i="8"/>
  <c r="BN80" i="8"/>
  <c r="BP79" i="8"/>
  <c r="BN74" i="8"/>
  <c r="BP73" i="8"/>
  <c r="BO85" i="8"/>
  <c r="BQ84" i="8"/>
  <c r="BO79" i="8"/>
  <c r="BQ78" i="8"/>
  <c r="BN85" i="8"/>
  <c r="BP84" i="8"/>
  <c r="BN79" i="8"/>
  <c r="BP78" i="8"/>
  <c r="BN73" i="8"/>
  <c r="BP72" i="8"/>
  <c r="BO84" i="8"/>
  <c r="BQ83" i="8"/>
  <c r="BO78" i="8"/>
  <c r="BQ77" i="8"/>
  <c r="BO72" i="8"/>
  <c r="BQ71" i="8"/>
  <c r="BN90" i="8"/>
  <c r="BU90" i="8" s="1"/>
  <c r="BN84" i="8"/>
  <c r="BP83" i="8"/>
  <c r="BN78" i="8"/>
  <c r="BP77" i="8"/>
  <c r="BN72" i="8"/>
  <c r="BO83" i="8"/>
  <c r="BQ74" i="8"/>
  <c r="BQ69" i="8"/>
  <c r="BO66" i="8"/>
  <c r="BQ65" i="8"/>
  <c r="BN83" i="8"/>
  <c r="BP74" i="8"/>
  <c r="BP69" i="8"/>
  <c r="BQ68" i="8"/>
  <c r="BN66" i="8"/>
  <c r="BP65" i="8"/>
  <c r="BP59" i="8"/>
  <c r="BP80" i="8"/>
  <c r="BO76" i="8"/>
  <c r="BN71" i="8"/>
  <c r="BN68" i="8"/>
  <c r="BO64" i="8"/>
  <c r="BO58" i="8"/>
  <c r="BN64" i="8"/>
  <c r="BP62" i="8"/>
  <c r="BQ58" i="8"/>
  <c r="BQ76" i="8"/>
  <c r="BO62" i="8"/>
  <c r="BP58" i="8"/>
  <c r="BQ56" i="8"/>
  <c r="BQ82" i="8"/>
  <c r="BN77" i="8"/>
  <c r="BN76" i="8"/>
  <c r="BP82" i="8"/>
  <c r="BO82" i="8"/>
  <c r="BQ72" i="8"/>
  <c r="BO55" i="8"/>
  <c r="BO68" i="8"/>
  <c r="R49" i="8"/>
  <c r="AH49" i="8"/>
  <c r="AZ49" i="8"/>
  <c r="BP49" i="8"/>
  <c r="AF50" i="8"/>
  <c r="AV50" i="8"/>
  <c r="BN50" i="8"/>
  <c r="L51" i="8"/>
  <c r="AT51" i="8"/>
  <c r="BJ51" i="8"/>
  <c r="J52" i="8"/>
  <c r="Z52" i="8"/>
  <c r="AS52" i="8"/>
  <c r="BJ52" i="8"/>
  <c r="J53" i="8"/>
  <c r="AA53" i="8"/>
  <c r="AT53" i="8"/>
  <c r="Z55" i="8"/>
  <c r="AU55" i="8"/>
  <c r="BQ55" i="8"/>
  <c r="R56" i="8"/>
  <c r="AO56" i="8"/>
  <c r="BJ56" i="8"/>
  <c r="K58" i="8"/>
  <c r="AH58" i="8"/>
  <c r="BG58" i="8"/>
  <c r="BQ59" i="8"/>
  <c r="AE61" i="8"/>
  <c r="BC61" i="8"/>
  <c r="K62" i="8"/>
  <c r="AH62" i="8"/>
  <c r="BJ62" i="8"/>
  <c r="R64" i="8"/>
  <c r="AT64" i="8"/>
  <c r="AA65" i="8"/>
  <c r="BG65" i="8"/>
  <c r="S66" i="8"/>
  <c r="AT66" i="8"/>
  <c r="AA68" i="8"/>
  <c r="AS69" i="8"/>
  <c r="BJ72" i="8"/>
  <c r="AL74" i="8"/>
  <c r="AV82" i="8"/>
  <c r="BH83" i="8"/>
  <c r="Q90" i="8"/>
  <c r="S85" i="8"/>
  <c r="Q80" i="8"/>
  <c r="S79" i="8"/>
  <c r="Q74" i="8"/>
  <c r="S73" i="8"/>
  <c r="R85" i="8"/>
  <c r="T84" i="8"/>
  <c r="R79" i="8"/>
  <c r="T78" i="8"/>
  <c r="R73" i="8"/>
  <c r="T72" i="8"/>
  <c r="Q85" i="8"/>
  <c r="S84" i="8"/>
  <c r="Q79" i="8"/>
  <c r="S78" i="8"/>
  <c r="R84" i="8"/>
  <c r="T83" i="8"/>
  <c r="R78" i="8"/>
  <c r="T77" i="8"/>
  <c r="R72" i="8"/>
  <c r="Q84" i="8"/>
  <c r="S83" i="8"/>
  <c r="Q78" i="8"/>
  <c r="S77" i="8"/>
  <c r="Q72" i="8"/>
  <c r="S71" i="8"/>
  <c r="R83" i="8"/>
  <c r="T82" i="8"/>
  <c r="R77" i="8"/>
  <c r="T76" i="8"/>
  <c r="R82" i="8"/>
  <c r="S69" i="8"/>
  <c r="Q66" i="8"/>
  <c r="S65" i="8"/>
  <c r="T85" i="8"/>
  <c r="Q82" i="8"/>
  <c r="R69" i="8"/>
  <c r="R65" i="8"/>
  <c r="T64" i="8"/>
  <c r="R59" i="8"/>
  <c r="S72" i="8"/>
  <c r="T71" i="8"/>
  <c r="Q64" i="8"/>
  <c r="S80" i="8"/>
  <c r="R74" i="8"/>
  <c r="Q65" i="8"/>
  <c r="S61" i="8"/>
  <c r="T59" i="8"/>
  <c r="T56" i="8"/>
  <c r="R80" i="8"/>
  <c r="R61" i="8"/>
  <c r="S59" i="8"/>
  <c r="S56" i="8"/>
  <c r="Q77" i="8"/>
  <c r="Q83" i="8"/>
  <c r="R76" i="8"/>
  <c r="S82" i="8"/>
  <c r="Q76" i="8"/>
  <c r="T68" i="8"/>
  <c r="S62" i="8"/>
  <c r="Q55" i="8"/>
  <c r="T69" i="8"/>
  <c r="T79" i="8"/>
  <c r="Q69" i="8"/>
  <c r="R55" i="8"/>
  <c r="AO55" i="8"/>
  <c r="AN72" i="8"/>
  <c r="T73" i="8"/>
  <c r="S49" i="8"/>
  <c r="BA49" i="8"/>
  <c r="BQ49" i="8"/>
  <c r="Q50" i="8"/>
  <c r="AG50" i="8"/>
  <c r="BO50" i="8"/>
  <c r="M51" i="8"/>
  <c r="AE51" i="8"/>
  <c r="AU51" i="8"/>
  <c r="AA52" i="8"/>
  <c r="AT52" i="8"/>
  <c r="AU53" i="8"/>
  <c r="BN53" i="8"/>
  <c r="AA55" i="8"/>
  <c r="AV55" i="8"/>
  <c r="BN56" i="8"/>
  <c r="L58" i="8"/>
  <c r="BH58" i="8"/>
  <c r="Q59" i="8"/>
  <c r="AS59" i="8"/>
  <c r="AG61" i="8"/>
  <c r="BI61" i="8"/>
  <c r="L62" i="8"/>
  <c r="S64" i="8"/>
  <c r="AU64" i="8"/>
  <c r="AF65" i="8"/>
  <c r="BJ65" i="8"/>
  <c r="T66" i="8"/>
  <c r="AU66" i="8"/>
  <c r="BB73" i="8"/>
  <c r="AM74" i="8"/>
  <c r="S76" i="8"/>
  <c r="J77" i="8"/>
  <c r="Q52" i="8"/>
  <c r="AN51" i="8"/>
  <c r="T49" i="8"/>
  <c r="AL49" i="8"/>
  <c r="BB49" i="8"/>
  <c r="R50" i="8"/>
  <c r="AH50" i="8"/>
  <c r="AZ50" i="8"/>
  <c r="BP50" i="8"/>
  <c r="AF51" i="8"/>
  <c r="AV51" i="8"/>
  <c r="BN51" i="8"/>
  <c r="L52" i="8"/>
  <c r="AU52" i="8"/>
  <c r="BN52" i="8"/>
  <c r="L53" i="8"/>
  <c r="AE53" i="8"/>
  <c r="AV53" i="8"/>
  <c r="BO53" i="8"/>
  <c r="AZ55" i="8"/>
  <c r="X56" i="8"/>
  <c r="AS56" i="8"/>
  <c r="BO56" i="8"/>
  <c r="Q58" i="8"/>
  <c r="AM58" i="8"/>
  <c r="BJ58" i="8"/>
  <c r="AT59" i="8"/>
  <c r="AH61" i="8"/>
  <c r="M62" i="8"/>
  <c r="AL62" i="8"/>
  <c r="BN62" i="8"/>
  <c r="BN63" i="8" s="1"/>
  <c r="AV64" i="8"/>
  <c r="AG65" i="8"/>
  <c r="BN65" i="8"/>
  <c r="BB66" i="8"/>
  <c r="AL68" i="8"/>
  <c r="BB69" i="8"/>
  <c r="AE71" i="8"/>
  <c r="BC73" i="8"/>
  <c r="AZ74" i="8"/>
  <c r="K77" i="8"/>
  <c r="K78" i="8"/>
  <c r="K79" i="8"/>
  <c r="T80" i="8"/>
  <c r="BN82" i="8"/>
  <c r="AE90" i="8"/>
  <c r="B238" i="10"/>
  <c r="F178" i="10"/>
  <c r="B235" i="10"/>
  <c r="F164" i="10"/>
  <c r="B236" i="10"/>
  <c r="F169" i="10"/>
  <c r="B237" i="10"/>
  <c r="F173" i="10"/>
  <c r="F155" i="10"/>
  <c r="C241" i="10"/>
  <c r="C242" i="10"/>
  <c r="F184" i="10"/>
  <c r="B239" i="10"/>
  <c r="B240" i="10"/>
  <c r="F189" i="10"/>
  <c r="D241" i="10"/>
  <c r="D242" i="10"/>
  <c r="F158" i="10"/>
  <c r="B233" i="10"/>
  <c r="E241" i="10"/>
  <c r="E242" i="10"/>
  <c r="B161" i="10"/>
  <c r="F162" i="10"/>
  <c r="F180" i="10"/>
  <c r="F156" i="10"/>
  <c r="F170" i="10"/>
  <c r="C10" i="16" l="1"/>
  <c r="E10" i="16"/>
  <c r="H10" i="16"/>
  <c r="G10" i="16"/>
  <c r="B10" i="16"/>
  <c r="D10" i="16"/>
  <c r="F10" i="16"/>
  <c r="D250" i="15"/>
  <c r="E249" i="15"/>
  <c r="D249" i="15"/>
  <c r="B233" i="15"/>
  <c r="B232" i="15"/>
  <c r="E250" i="15"/>
  <c r="C249" i="15"/>
  <c r="BH66" i="6"/>
  <c r="BH95" i="6" s="1"/>
  <c r="C250" i="15"/>
  <c r="D115" i="8"/>
  <c r="F118" i="8"/>
  <c r="B250" i="15"/>
  <c r="B249" i="15"/>
  <c r="AV82" i="2"/>
  <c r="AV120" i="2" s="1"/>
  <c r="E56" i="11"/>
  <c r="E85" i="11" s="1"/>
  <c r="C155" i="2"/>
  <c r="C186" i="2" s="1"/>
  <c r="Y149" i="13"/>
  <c r="Y246" i="13" s="1"/>
  <c r="E75" i="3"/>
  <c r="E113" i="3" s="1"/>
  <c r="E147" i="8"/>
  <c r="R145" i="13"/>
  <c r="R245" i="13" s="1"/>
  <c r="BP60" i="8"/>
  <c r="BP96" i="8" s="1"/>
  <c r="J189" i="13"/>
  <c r="J262" i="13" s="1"/>
  <c r="E153" i="5"/>
  <c r="E189" i="5" s="1"/>
  <c r="AE60" i="8"/>
  <c r="K142" i="13"/>
  <c r="K244" i="13" s="1"/>
  <c r="D66" i="6"/>
  <c r="D95" i="6" s="1"/>
  <c r="E129" i="8"/>
  <c r="E141" i="8"/>
  <c r="BJ59" i="6"/>
  <c r="BJ93" i="6" s="1"/>
  <c r="R117" i="10"/>
  <c r="R217" i="10" s="1"/>
  <c r="F88" i="5"/>
  <c r="F126" i="5" s="1"/>
  <c r="I117" i="10"/>
  <c r="I217" i="10" s="1"/>
  <c r="C251" i="5"/>
  <c r="M161" i="10"/>
  <c r="Y67" i="10"/>
  <c r="Y199" i="10" s="1"/>
  <c r="Y142" i="13"/>
  <c r="Y244" i="13" s="1"/>
  <c r="BJ53" i="6"/>
  <c r="BJ91" i="6" s="1"/>
  <c r="E210" i="3"/>
  <c r="E241" i="3" s="1"/>
  <c r="E138" i="3"/>
  <c r="E176" i="3" s="1"/>
  <c r="E43" i="11"/>
  <c r="E81" i="11" s="1"/>
  <c r="R114" i="10"/>
  <c r="R216" i="10" s="1"/>
  <c r="D114" i="6"/>
  <c r="D152" i="6" s="1"/>
  <c r="D262" i="3"/>
  <c r="D300" i="3" s="1"/>
  <c r="J186" i="13"/>
  <c r="J261" i="13" s="1"/>
  <c r="Z142" i="13"/>
  <c r="Z244" i="13" s="1"/>
  <c r="AW67" i="3"/>
  <c r="C124" i="10"/>
  <c r="R59" i="6"/>
  <c r="R93" i="6" s="1"/>
  <c r="BH59" i="6"/>
  <c r="BH93" i="6" s="1"/>
  <c r="K186" i="13"/>
  <c r="K261" i="13" s="1"/>
  <c r="Z78" i="3"/>
  <c r="Z114" i="3" s="1"/>
  <c r="E73" i="10"/>
  <c r="S25" i="5"/>
  <c r="S63" i="5" s="1"/>
  <c r="BI53" i="6"/>
  <c r="BI91" i="6" s="1"/>
  <c r="K56" i="6"/>
  <c r="K92" i="6" s="1"/>
  <c r="Y59" i="6"/>
  <c r="Y93" i="6" s="1"/>
  <c r="E70" i="8"/>
  <c r="E99" i="8" s="1"/>
  <c r="M178" i="10"/>
  <c r="Q189" i="13"/>
  <c r="Q262" i="13" s="1"/>
  <c r="R189" i="13"/>
  <c r="R262" i="13" s="1"/>
  <c r="AN56" i="6"/>
  <c r="AN92" i="6" s="1"/>
  <c r="E110" i="10"/>
  <c r="G213" i="5"/>
  <c r="C265" i="3"/>
  <c r="C301" i="3" s="1"/>
  <c r="AO66" i="6"/>
  <c r="AO95" i="6" s="1"/>
  <c r="D25" i="5"/>
  <c r="D63" i="5" s="1"/>
  <c r="E203" i="3"/>
  <c r="E239" i="3" s="1"/>
  <c r="E223" i="6"/>
  <c r="G113" i="6"/>
  <c r="BB53" i="6"/>
  <c r="BB91" i="6" s="1"/>
  <c r="Q59" i="6"/>
  <c r="Q93" i="6" s="1"/>
  <c r="AA87" i="10"/>
  <c r="AA73" i="10"/>
  <c r="Y81" i="3"/>
  <c r="Y115" i="3" s="1"/>
  <c r="E136" i="10"/>
  <c r="C127" i="8"/>
  <c r="E115" i="8"/>
  <c r="BH53" i="6"/>
  <c r="BH91" i="6" s="1"/>
  <c r="E145" i="8"/>
  <c r="C139" i="8"/>
  <c r="D142" i="8"/>
  <c r="D145" i="8"/>
  <c r="E132" i="8"/>
  <c r="D148" i="8"/>
  <c r="C136" i="8"/>
  <c r="F112" i="8"/>
  <c r="E143" i="8"/>
  <c r="E113" i="8"/>
  <c r="C143" i="8"/>
  <c r="E269" i="2"/>
  <c r="E307" i="2" s="1"/>
  <c r="C153" i="8"/>
  <c r="F125" i="8"/>
  <c r="F140" i="8"/>
  <c r="E142" i="8"/>
  <c r="D112" i="8"/>
  <c r="E112" i="8"/>
  <c r="F131" i="8"/>
  <c r="E148" i="8"/>
  <c r="F115" i="8"/>
  <c r="F116" i="8"/>
  <c r="D139" i="8"/>
  <c r="E136" i="8"/>
  <c r="D125" i="8"/>
  <c r="C146" i="8"/>
  <c r="F146" i="8"/>
  <c r="C113" i="8"/>
  <c r="C125" i="8"/>
  <c r="E114" i="8"/>
  <c r="C124" i="8"/>
  <c r="E139" i="8"/>
  <c r="D210" i="2"/>
  <c r="D246" i="2" s="1"/>
  <c r="Y63" i="10"/>
  <c r="Y198" i="10" s="1"/>
  <c r="F223" i="6"/>
  <c r="F275" i="3"/>
  <c r="F304" i="3" s="1"/>
  <c r="D203" i="3"/>
  <c r="D239" i="3" s="1"/>
  <c r="K192" i="13"/>
  <c r="K263" i="13" s="1"/>
  <c r="B115" i="10"/>
  <c r="E127" i="10"/>
  <c r="K59" i="6"/>
  <c r="K93" i="6" s="1"/>
  <c r="L31" i="5"/>
  <c r="L65" i="5" s="1"/>
  <c r="AA28" i="5"/>
  <c r="AA64" i="5" s="1"/>
  <c r="D275" i="3"/>
  <c r="D304" i="3" s="1"/>
  <c r="D133" i="10"/>
  <c r="C73" i="10"/>
  <c r="AS81" i="3"/>
  <c r="AS115" i="3" s="1"/>
  <c r="K31" i="5"/>
  <c r="K65" i="5" s="1"/>
  <c r="Z28" i="5"/>
  <c r="Z64" i="5" s="1"/>
  <c r="F220" i="2"/>
  <c r="F249" i="2" s="1"/>
  <c r="E77" i="10"/>
  <c r="D62" i="10"/>
  <c r="S81" i="3"/>
  <c r="S115" i="3" s="1"/>
  <c r="E142" i="13"/>
  <c r="E244" i="13" s="1"/>
  <c r="D275" i="2"/>
  <c r="D309" i="2" s="1"/>
  <c r="AU88" i="2"/>
  <c r="AU122" i="2" s="1"/>
  <c r="AA118" i="10"/>
  <c r="Y186" i="13"/>
  <c r="Y261" i="13" s="1"/>
  <c r="M184" i="13"/>
  <c r="E114" i="6"/>
  <c r="E152" i="6" s="1"/>
  <c r="F94" i="5"/>
  <c r="F128" i="5" s="1"/>
  <c r="AZ59" i="6"/>
  <c r="AZ93" i="6" s="1"/>
  <c r="E155" i="2"/>
  <c r="E186" i="2" s="1"/>
  <c r="AA78" i="3"/>
  <c r="AA114" i="3" s="1"/>
  <c r="Z89" i="10"/>
  <c r="Z204" i="10" s="1"/>
  <c r="G284" i="3"/>
  <c r="Z88" i="3"/>
  <c r="Z117" i="3" s="1"/>
  <c r="D220" i="2"/>
  <c r="D249" i="2" s="1"/>
  <c r="AS63" i="8"/>
  <c r="AS97" i="8" s="1"/>
  <c r="AA53" i="6"/>
  <c r="AA91" i="6" s="1"/>
  <c r="F88" i="2"/>
  <c r="F122" i="2" s="1"/>
  <c r="D101" i="5"/>
  <c r="D130" i="5" s="1"/>
  <c r="AO56" i="6"/>
  <c r="AO92" i="6" s="1"/>
  <c r="D94" i="5"/>
  <c r="D128" i="5" s="1"/>
  <c r="AL28" i="5"/>
  <c r="AL64" i="5" s="1"/>
  <c r="AA75" i="3"/>
  <c r="AA113" i="3" s="1"/>
  <c r="K38" i="5"/>
  <c r="K67" i="5" s="1"/>
  <c r="C135" i="8"/>
  <c r="F143" i="8"/>
  <c r="C141" i="8"/>
  <c r="F121" i="8"/>
  <c r="D132" i="8"/>
  <c r="E135" i="8"/>
  <c r="D140" i="8"/>
  <c r="C115" i="8"/>
  <c r="F142" i="8"/>
  <c r="C114" i="8"/>
  <c r="D113" i="8"/>
  <c r="F148" i="8"/>
  <c r="F206" i="3"/>
  <c r="F240" i="3" s="1"/>
  <c r="M78" i="3"/>
  <c r="M114" i="3" s="1"/>
  <c r="AT88" i="2"/>
  <c r="AT122" i="2" s="1"/>
  <c r="D131" i="8"/>
  <c r="D141" i="8"/>
  <c r="E137" i="8"/>
  <c r="E118" i="8"/>
  <c r="D128" i="8"/>
  <c r="E128" i="8"/>
  <c r="D134" i="8"/>
  <c r="C112" i="8"/>
  <c r="E131" i="8"/>
  <c r="BA59" i="6"/>
  <c r="BA93" i="6" s="1"/>
  <c r="F144" i="3"/>
  <c r="F178" i="3" s="1"/>
  <c r="D127" i="8"/>
  <c r="F137" i="8"/>
  <c r="F134" i="8"/>
  <c r="F114" i="8"/>
  <c r="E124" i="8"/>
  <c r="E121" i="8"/>
  <c r="F127" i="8"/>
  <c r="C137" i="8"/>
  <c r="D129" i="8"/>
  <c r="C145" i="8"/>
  <c r="E101" i="5"/>
  <c r="E130" i="5" s="1"/>
  <c r="E210" i="2"/>
  <c r="E246" i="2" s="1"/>
  <c r="Z189" i="13"/>
  <c r="Z262" i="13" s="1"/>
  <c r="E122" i="8"/>
  <c r="C131" i="8"/>
  <c r="F129" i="8"/>
  <c r="E116" i="8"/>
  <c r="C116" i="8"/>
  <c r="C121" i="8"/>
  <c r="F124" i="8"/>
  <c r="F101" i="5"/>
  <c r="F130" i="5" s="1"/>
  <c r="D213" i="3"/>
  <c r="D242" i="3" s="1"/>
  <c r="G166" i="3"/>
  <c r="W70" i="10"/>
  <c r="W200" i="10" s="1"/>
  <c r="C151" i="2"/>
  <c r="C185" i="2" s="1"/>
  <c r="AO31" i="5"/>
  <c r="AO65" i="5" s="1"/>
  <c r="AT85" i="3"/>
  <c r="AT116" i="3" s="1"/>
  <c r="F148" i="2"/>
  <c r="F184" i="2" s="1"/>
  <c r="M189" i="10"/>
  <c r="D122" i="8"/>
  <c r="C148" i="8"/>
  <c r="G84" i="8"/>
  <c r="F147" i="8"/>
  <c r="D147" i="8"/>
  <c r="F136" i="8"/>
  <c r="F132" i="8"/>
  <c r="AV85" i="2"/>
  <c r="AV121" i="2" s="1"/>
  <c r="F49" i="11"/>
  <c r="F83" i="11" s="1"/>
  <c r="C119" i="8"/>
  <c r="C120" i="8" s="1"/>
  <c r="F145" i="8"/>
  <c r="F141" i="8"/>
  <c r="E140" i="8"/>
  <c r="E146" i="8"/>
  <c r="C142" i="8"/>
  <c r="E119" i="8"/>
  <c r="D124" i="8"/>
  <c r="C122" i="8"/>
  <c r="AA92" i="10"/>
  <c r="BK46" i="6"/>
  <c r="C91" i="5"/>
  <c r="C127" i="5" s="1"/>
  <c r="AN53" i="6"/>
  <c r="AN91" i="6" s="1"/>
  <c r="AP52" i="6"/>
  <c r="G255" i="3"/>
  <c r="G219" i="2"/>
  <c r="D143" i="8"/>
  <c r="F135" i="8"/>
  <c r="D135" i="8"/>
  <c r="C140" i="8"/>
  <c r="D136" i="8"/>
  <c r="D114" i="8"/>
  <c r="F113" i="8"/>
  <c r="D128" i="10"/>
  <c r="F139" i="8"/>
  <c r="S28" i="5"/>
  <c r="S64" i="5" s="1"/>
  <c r="E225" i="2"/>
  <c r="E250" i="2" s="1"/>
  <c r="D82" i="2"/>
  <c r="D120" i="2" s="1"/>
  <c r="L85" i="2"/>
  <c r="L121" i="2" s="1"/>
  <c r="K114" i="10"/>
  <c r="K216" i="10" s="1"/>
  <c r="G170" i="2"/>
  <c r="E217" i="2"/>
  <c r="E248" i="2" s="1"/>
  <c r="U26" i="5"/>
  <c r="AO85" i="2"/>
  <c r="AO121" i="2" s="1"/>
  <c r="D137" i="8"/>
  <c r="F128" i="8"/>
  <c r="C128" i="8"/>
  <c r="C134" i="8"/>
  <c r="C129" i="8"/>
  <c r="D119" i="8"/>
  <c r="D120" i="8" s="1"/>
  <c r="D158" i="8" s="1"/>
  <c r="F119" i="8"/>
  <c r="C132" i="8"/>
  <c r="B107" i="10"/>
  <c r="E113" i="10"/>
  <c r="AN38" i="5"/>
  <c r="AN67" i="5" s="1"/>
  <c r="AM38" i="5"/>
  <c r="AM67" i="5" s="1"/>
  <c r="AT81" i="3"/>
  <c r="AT115" i="3" s="1"/>
  <c r="S95" i="2"/>
  <c r="S124" i="2" s="1"/>
  <c r="C63" i="8"/>
  <c r="C97" i="8" s="1"/>
  <c r="D146" i="8"/>
  <c r="E134" i="8"/>
  <c r="C147" i="8"/>
  <c r="D121" i="8"/>
  <c r="E127" i="8"/>
  <c r="F122" i="8"/>
  <c r="AM66" i="6"/>
  <c r="AM95" i="6" s="1"/>
  <c r="BC53" i="6"/>
  <c r="BC91" i="6" s="1"/>
  <c r="E275" i="3"/>
  <c r="E304" i="3" s="1"/>
  <c r="AA82" i="2"/>
  <c r="AA120" i="2" s="1"/>
  <c r="M169" i="10"/>
  <c r="AP49" i="6"/>
  <c r="T28" i="5"/>
  <c r="T64" i="5" s="1"/>
  <c r="G217" i="3"/>
  <c r="AN82" i="2"/>
  <c r="AN120" i="2" s="1"/>
  <c r="G81" i="2"/>
  <c r="R157" i="13"/>
  <c r="R248" i="13" s="1"/>
  <c r="G237" i="5"/>
  <c r="E156" i="5"/>
  <c r="E190" i="5" s="1"/>
  <c r="R25" i="5"/>
  <c r="R63" i="5" s="1"/>
  <c r="E148" i="2"/>
  <c r="E184" i="2" s="1"/>
  <c r="AA85" i="3"/>
  <c r="AA116" i="3" s="1"/>
  <c r="Z81" i="3"/>
  <c r="Z115" i="3" s="1"/>
  <c r="AB90" i="2"/>
  <c r="T88" i="2"/>
  <c r="T122" i="2" s="1"/>
  <c r="AF82" i="2"/>
  <c r="AF120" i="2" s="1"/>
  <c r="Z75" i="10"/>
  <c r="Z201" i="10" s="1"/>
  <c r="D28" i="5"/>
  <c r="D64" i="5" s="1"/>
  <c r="F282" i="2"/>
  <c r="F311" i="2" s="1"/>
  <c r="Y88" i="2"/>
  <c r="Y122" i="2" s="1"/>
  <c r="Y85" i="2"/>
  <c r="Y121" i="2" s="1"/>
  <c r="G202" i="3"/>
  <c r="T25" i="5"/>
  <c r="T63" i="5" s="1"/>
  <c r="G279" i="3"/>
  <c r="R95" i="2"/>
  <c r="R124" i="2" s="1"/>
  <c r="D144" i="3"/>
  <c r="D178" i="3" s="1"/>
  <c r="M158" i="10"/>
  <c r="AT85" i="2"/>
  <c r="AT121" i="2" s="1"/>
  <c r="G78" i="2"/>
  <c r="AN50" i="6"/>
  <c r="AN90" i="6" s="1"/>
  <c r="D258" i="5"/>
  <c r="AA38" i="5"/>
  <c r="AA67" i="5" s="1"/>
  <c r="AB19" i="5"/>
  <c r="X85" i="2"/>
  <c r="X121" i="2" s="1"/>
  <c r="T66" i="6"/>
  <c r="T95" i="6" s="1"/>
  <c r="N73" i="6"/>
  <c r="D200" i="3"/>
  <c r="D238" i="3" s="1"/>
  <c r="AT98" i="6"/>
  <c r="M75" i="3"/>
  <c r="M113" i="3" s="1"/>
  <c r="F100" i="2"/>
  <c r="F125" i="2" s="1"/>
  <c r="M173" i="10"/>
  <c r="Y117" i="10"/>
  <c r="Y217" i="10" s="1"/>
  <c r="E117" i="6"/>
  <c r="E153" i="6" s="1"/>
  <c r="F272" i="3"/>
  <c r="F303" i="3" s="1"/>
  <c r="X112" i="13"/>
  <c r="X231" i="13" s="1"/>
  <c r="E60" i="8"/>
  <c r="E96" i="8" s="1"/>
  <c r="E120" i="6"/>
  <c r="E154" i="6" s="1"/>
  <c r="F262" i="3"/>
  <c r="F300" i="3" s="1"/>
  <c r="R28" i="5"/>
  <c r="R64" i="5" s="1"/>
  <c r="R75" i="10"/>
  <c r="R201" i="10" s="1"/>
  <c r="G241" i="5"/>
  <c r="E151" i="3"/>
  <c r="E180" i="3" s="1"/>
  <c r="D298" i="2"/>
  <c r="D314" i="2" s="1"/>
  <c r="AG88" i="2"/>
  <c r="AG122" i="2" s="1"/>
  <c r="AO28" i="5"/>
  <c r="AO64" i="5" s="1"/>
  <c r="AW84" i="3"/>
  <c r="G157" i="2"/>
  <c r="L241" i="10"/>
  <c r="G257" i="3"/>
  <c r="C179" i="6"/>
  <c r="R129" i="10"/>
  <c r="R220" i="10" s="1"/>
  <c r="M164" i="10"/>
  <c r="Z192" i="13"/>
  <c r="Z263" i="13" s="1"/>
  <c r="L35" i="5"/>
  <c r="L66" i="5" s="1"/>
  <c r="Y92" i="2"/>
  <c r="Y123" i="2" s="1"/>
  <c r="R85" i="2"/>
  <c r="R121" i="2" s="1"/>
  <c r="G103" i="5"/>
  <c r="AN85" i="3"/>
  <c r="AN116" i="3" s="1"/>
  <c r="E218" i="3"/>
  <c r="E243" i="3" s="1"/>
  <c r="AV85" i="3"/>
  <c r="AV116" i="3" s="1"/>
  <c r="S134" i="10"/>
  <c r="S221" i="10" s="1"/>
  <c r="W114" i="10"/>
  <c r="W216" i="10" s="1"/>
  <c r="T131" i="10"/>
  <c r="X108" i="13"/>
  <c r="X230" i="13" s="1"/>
  <c r="T84" i="10"/>
  <c r="D127" i="6"/>
  <c r="D156" i="6" s="1"/>
  <c r="D279" i="2"/>
  <c r="D310" i="2" s="1"/>
  <c r="C124" i="6"/>
  <c r="C155" i="6" s="1"/>
  <c r="Y31" i="5"/>
  <c r="Y65" i="5" s="1"/>
  <c r="D81" i="3"/>
  <c r="D115" i="3" s="1"/>
  <c r="D269" i="13"/>
  <c r="AA115" i="10"/>
  <c r="G226" i="3"/>
  <c r="D155" i="2"/>
  <c r="D186" i="2" s="1"/>
  <c r="U23" i="5"/>
  <c r="K241" i="10"/>
  <c r="R121" i="10"/>
  <c r="R218" i="10" s="1"/>
  <c r="C81" i="10"/>
  <c r="AP61" i="6"/>
  <c r="J88" i="3"/>
  <c r="J117" i="3" s="1"/>
  <c r="N70" i="3"/>
  <c r="C82" i="2"/>
  <c r="C120" i="2" s="1"/>
  <c r="AV88" i="3"/>
  <c r="AV117" i="3" s="1"/>
  <c r="AA59" i="6"/>
  <c r="AA93" i="6" s="1"/>
  <c r="D92" i="2"/>
  <c r="D123" i="2" s="1"/>
  <c r="AO88" i="2"/>
  <c r="AO122" i="2" s="1"/>
  <c r="E56" i="6"/>
  <c r="E92" i="6" s="1"/>
  <c r="M31" i="5"/>
  <c r="M65" i="5" s="1"/>
  <c r="T38" i="5"/>
  <c r="T67" i="5" s="1"/>
  <c r="D169" i="2"/>
  <c r="D189" i="2" s="1"/>
  <c r="X82" i="2"/>
  <c r="X120" i="2" s="1"/>
  <c r="D148" i="2"/>
  <c r="D184" i="2" s="1"/>
  <c r="BD47" i="6"/>
  <c r="BK49" i="6"/>
  <c r="AA25" i="5"/>
  <c r="AA63" i="5" s="1"/>
  <c r="Y22" i="5"/>
  <c r="Y62" i="5" s="1"/>
  <c r="E31" i="5"/>
  <c r="E65" i="5" s="1"/>
  <c r="Z88" i="2"/>
  <c r="Z122" i="2" s="1"/>
  <c r="E95" i="2"/>
  <c r="E124" i="2" s="1"/>
  <c r="L28" i="5"/>
  <c r="L64" i="5" s="1"/>
  <c r="D268" i="3"/>
  <c r="D302" i="3" s="1"/>
  <c r="U50" i="5"/>
  <c r="F117" i="6"/>
  <c r="F153" i="6" s="1"/>
  <c r="D270" i="13"/>
  <c r="D223" i="6"/>
  <c r="AA65" i="10"/>
  <c r="E106" i="5"/>
  <c r="E131" i="5" s="1"/>
  <c r="BI56" i="6"/>
  <c r="BI92" i="6" s="1"/>
  <c r="L38" i="5"/>
  <c r="L67" i="5" s="1"/>
  <c r="C236" i="2"/>
  <c r="C252" i="2" s="1"/>
  <c r="AF81" i="3"/>
  <c r="AF115" i="3" s="1"/>
  <c r="K157" i="13"/>
  <c r="K248" i="13" s="1"/>
  <c r="E124" i="10"/>
  <c r="S63" i="10"/>
  <c r="S198" i="10" s="1"/>
  <c r="Z54" i="5"/>
  <c r="Z70" i="5" s="1"/>
  <c r="Q28" i="5"/>
  <c r="Q64" i="5" s="1"/>
  <c r="AW76" i="2"/>
  <c r="AA85" i="2"/>
  <c r="AA121" i="2" s="1"/>
  <c r="J78" i="3"/>
  <c r="J114" i="3" s="1"/>
  <c r="D88" i="5"/>
  <c r="D126" i="5" s="1"/>
  <c r="C167" i="3"/>
  <c r="C183" i="3" s="1"/>
  <c r="Z63" i="10"/>
  <c r="Z198" i="10" s="1"/>
  <c r="M155" i="10"/>
  <c r="T78" i="3"/>
  <c r="T114" i="3" s="1"/>
  <c r="X114" i="10"/>
  <c r="X216" i="10" s="1"/>
  <c r="M135" i="10"/>
  <c r="E169" i="2"/>
  <c r="E189" i="2" s="1"/>
  <c r="G214" i="3"/>
  <c r="AS78" i="3"/>
  <c r="AS114" i="3" s="1"/>
  <c r="G160" i="2"/>
  <c r="I241" i="10"/>
  <c r="G232" i="2"/>
  <c r="AO59" i="6"/>
  <c r="AO93" i="6" s="1"/>
  <c r="F207" i="2"/>
  <c r="F245" i="2" s="1"/>
  <c r="AB20" i="5"/>
  <c r="AW70" i="3"/>
  <c r="G86" i="5"/>
  <c r="F192" i="13"/>
  <c r="B124" i="10"/>
  <c r="C135" i="10"/>
  <c r="L121" i="10"/>
  <c r="L218" i="10" s="1"/>
  <c r="G119" i="6"/>
  <c r="N20" i="5"/>
  <c r="Z72" i="3"/>
  <c r="Z112" i="3" s="1"/>
  <c r="G99" i="2"/>
  <c r="F98" i="5"/>
  <c r="F129" i="5" s="1"/>
  <c r="AA124" i="10"/>
  <c r="AB67" i="3"/>
  <c r="BA56" i="6"/>
  <c r="BA92" i="6" s="1"/>
  <c r="AM63" i="6"/>
  <c r="AM94" i="6" s="1"/>
  <c r="E91" i="5"/>
  <c r="E127" i="5" s="1"/>
  <c r="AN43" i="5"/>
  <c r="AN68" i="5" s="1"/>
  <c r="D142" i="2"/>
  <c r="D182" i="2" s="1"/>
  <c r="C107" i="10"/>
  <c r="G171" i="2"/>
  <c r="AA81" i="3"/>
  <c r="AA115" i="3" s="1"/>
  <c r="R88" i="2"/>
  <c r="R122" i="2" s="1"/>
  <c r="G137" i="2"/>
  <c r="AW100" i="3"/>
  <c r="X28" i="5"/>
  <c r="X64" i="5" s="1"/>
  <c r="X31" i="5"/>
  <c r="X65" i="5" s="1"/>
  <c r="G150" i="2"/>
  <c r="G138" i="2"/>
  <c r="K242" i="10"/>
  <c r="J242" i="10"/>
  <c r="G209" i="3"/>
  <c r="AP19" i="5"/>
  <c r="L242" i="10"/>
  <c r="C192" i="8"/>
  <c r="C223" i="8" s="1"/>
  <c r="T158" i="10"/>
  <c r="AA69" i="10"/>
  <c r="P63" i="10"/>
  <c r="P198" i="10" s="1"/>
  <c r="F285" i="6"/>
  <c r="R38" i="5"/>
  <c r="R67" i="5" s="1"/>
  <c r="L88" i="3"/>
  <c r="L117" i="3" s="1"/>
  <c r="C110" i="10"/>
  <c r="G110" i="5"/>
  <c r="E149" i="13"/>
  <c r="E246" i="13" s="1"/>
  <c r="L197" i="13"/>
  <c r="L264" i="13" s="1"/>
  <c r="E269" i="13"/>
  <c r="X75" i="10"/>
  <c r="X201" i="10" s="1"/>
  <c r="AA81" i="10"/>
  <c r="C220" i="6"/>
  <c r="D106" i="5"/>
  <c r="D131" i="5" s="1"/>
  <c r="BK72" i="6"/>
  <c r="Z50" i="6"/>
  <c r="Z90" i="6" s="1"/>
  <c r="F91" i="5"/>
  <c r="F127" i="5" s="1"/>
  <c r="D56" i="6"/>
  <c r="D92" i="6" s="1"/>
  <c r="G158" i="5"/>
  <c r="G155" i="5"/>
  <c r="E259" i="3"/>
  <c r="E299" i="3" s="1"/>
  <c r="AW101" i="3"/>
  <c r="K75" i="3"/>
  <c r="K113" i="3" s="1"/>
  <c r="G285" i="2"/>
  <c r="AB99" i="2"/>
  <c r="F79" i="2"/>
  <c r="F119" i="2" s="1"/>
  <c r="E88" i="2"/>
  <c r="E122" i="2" s="1"/>
  <c r="AB87" i="2"/>
  <c r="K85" i="2"/>
  <c r="K121" i="2" s="1"/>
  <c r="I186" i="13"/>
  <c r="I261" i="13" s="1"/>
  <c r="AA109" i="10"/>
  <c r="M208" i="13"/>
  <c r="W80" i="10"/>
  <c r="W202" i="10" s="1"/>
  <c r="M130" i="10"/>
  <c r="D106" i="10"/>
  <c r="D163" i="2"/>
  <c r="D188" i="2" s="1"/>
  <c r="AV81" i="3"/>
  <c r="AV115" i="3" s="1"/>
  <c r="F158" i="2"/>
  <c r="F187" i="2" s="1"/>
  <c r="G200" i="2"/>
  <c r="L134" i="10"/>
  <c r="L221" i="10" s="1"/>
  <c r="E109" i="10"/>
  <c r="Y85" i="10"/>
  <c r="Y203" i="10" s="1"/>
  <c r="G109" i="6"/>
  <c r="BC50" i="6"/>
  <c r="BC90" i="6" s="1"/>
  <c r="BH56" i="6"/>
  <c r="BH92" i="6" s="1"/>
  <c r="G115" i="5"/>
  <c r="BK67" i="6"/>
  <c r="AM28" i="5"/>
  <c r="AM64" i="5" s="1"/>
  <c r="S78" i="3"/>
  <c r="S114" i="3" s="1"/>
  <c r="G105" i="2"/>
  <c r="F217" i="13"/>
  <c r="E107" i="10"/>
  <c r="AA66" i="10"/>
  <c r="G107" i="6"/>
  <c r="E88" i="5"/>
  <c r="E126" i="5" s="1"/>
  <c r="AP48" i="6"/>
  <c r="G228" i="3"/>
  <c r="G143" i="3"/>
  <c r="Y79" i="2"/>
  <c r="Y119" i="2" s="1"/>
  <c r="F236" i="2"/>
  <c r="F252" i="2" s="1"/>
  <c r="G98" i="2"/>
  <c r="Y75" i="3"/>
  <c r="Y113" i="3" s="1"/>
  <c r="F145" i="2"/>
  <c r="F183" i="2" s="1"/>
  <c r="AL53" i="6"/>
  <c r="AL91" i="6" s="1"/>
  <c r="G82" i="8"/>
  <c r="G130" i="3"/>
  <c r="Z85" i="2"/>
  <c r="Z121" i="2" s="1"/>
  <c r="BO70" i="8"/>
  <c r="BO99" i="8" s="1"/>
  <c r="BA70" i="8"/>
  <c r="BA99" i="8" s="1"/>
  <c r="F70" i="8"/>
  <c r="F99" i="8" s="1"/>
  <c r="G71" i="8"/>
  <c r="L189" i="13"/>
  <c r="L262" i="13" s="1"/>
  <c r="L96" i="13"/>
  <c r="L227" i="13" s="1"/>
  <c r="R125" i="10"/>
  <c r="R219" i="10" s="1"/>
  <c r="E132" i="10"/>
  <c r="G195" i="6"/>
  <c r="C176" i="6"/>
  <c r="G176" i="6" s="1"/>
  <c r="Y53" i="6"/>
  <c r="Y91" i="6" s="1"/>
  <c r="S66" i="6"/>
  <c r="S95" i="6" s="1"/>
  <c r="AB51" i="5"/>
  <c r="Z25" i="5"/>
  <c r="Z63" i="5" s="1"/>
  <c r="N21" i="5"/>
  <c r="AW89" i="3"/>
  <c r="AT106" i="2"/>
  <c r="AT126" i="2" s="1"/>
  <c r="AA88" i="2"/>
  <c r="AA122" i="2" s="1"/>
  <c r="G90" i="2"/>
  <c r="D158" i="2"/>
  <c r="D187" i="2" s="1"/>
  <c r="X63" i="10"/>
  <c r="X198" i="10" s="1"/>
  <c r="Y145" i="13"/>
  <c r="Y245" i="13" s="1"/>
  <c r="F186" i="13"/>
  <c r="X121" i="10"/>
  <c r="X218" i="10" s="1"/>
  <c r="D86" i="10"/>
  <c r="G83" i="5"/>
  <c r="D156" i="5"/>
  <c r="D190" i="5" s="1"/>
  <c r="E280" i="3"/>
  <c r="E305" i="3" s="1"/>
  <c r="K28" i="5"/>
  <c r="K64" i="5" s="1"/>
  <c r="Q114" i="10"/>
  <c r="Q216" i="10" s="1"/>
  <c r="J241" i="10"/>
  <c r="B106" i="10"/>
  <c r="Y114" i="10"/>
  <c r="Y216" i="10" s="1"/>
  <c r="C241" i="6"/>
  <c r="G241" i="6" s="1"/>
  <c r="F85" i="5"/>
  <c r="F125" i="5" s="1"/>
  <c r="BK61" i="6"/>
  <c r="G221" i="3"/>
  <c r="AA43" i="5"/>
  <c r="AA68" i="5" s="1"/>
  <c r="E298" i="2"/>
  <c r="E314" i="2" s="1"/>
  <c r="E151" i="2"/>
  <c r="E185" i="2" s="1"/>
  <c r="G216" i="5"/>
  <c r="AO100" i="2"/>
  <c r="AO125" i="2" s="1"/>
  <c r="F85" i="2"/>
  <c r="F121" i="2" s="1"/>
  <c r="Q242" i="10"/>
  <c r="F156" i="5"/>
  <c r="F190" i="5" s="1"/>
  <c r="AI47" i="6"/>
  <c r="Y54" i="5"/>
  <c r="Y70" i="5" s="1"/>
  <c r="F206" i="13"/>
  <c r="W85" i="10"/>
  <c r="W203" i="10" s="1"/>
  <c r="E127" i="6"/>
  <c r="E156" i="6" s="1"/>
  <c r="BD75" i="6"/>
  <c r="BB59" i="6"/>
  <c r="BB93" i="6" s="1"/>
  <c r="AM53" i="6"/>
  <c r="AM91" i="6" s="1"/>
  <c r="M56" i="6"/>
  <c r="M92" i="6" s="1"/>
  <c r="K35" i="5"/>
  <c r="K66" i="5" s="1"/>
  <c r="Y25" i="5"/>
  <c r="Y63" i="5" s="1"/>
  <c r="E144" i="3"/>
  <c r="E178" i="3" s="1"/>
  <c r="N77" i="3"/>
  <c r="AI70" i="3"/>
  <c r="D85" i="2"/>
  <c r="D121" i="2" s="1"/>
  <c r="AM95" i="2"/>
  <c r="AM124" i="2" s="1"/>
  <c r="G17" i="5"/>
  <c r="F82" i="2"/>
  <c r="F120" i="2" s="1"/>
  <c r="F272" i="2"/>
  <c r="F308" i="2" s="1"/>
  <c r="M167" i="13"/>
  <c r="Z125" i="10"/>
  <c r="Z219" i="10" s="1"/>
  <c r="D66" i="10"/>
  <c r="D272" i="3"/>
  <c r="D303" i="3" s="1"/>
  <c r="F203" i="3"/>
  <c r="F239" i="3" s="1"/>
  <c r="AM43" i="5"/>
  <c r="AM68" i="5" s="1"/>
  <c r="D210" i="3"/>
  <c r="D241" i="3" s="1"/>
  <c r="AB27" i="5"/>
  <c r="G267" i="3"/>
  <c r="D269" i="2"/>
  <c r="D307" i="2" s="1"/>
  <c r="AB69" i="3"/>
  <c r="S85" i="3"/>
  <c r="S116" i="3" s="1"/>
  <c r="K81" i="3"/>
  <c r="K115" i="3" s="1"/>
  <c r="AB108" i="2"/>
  <c r="D85" i="3"/>
  <c r="D116" i="3" s="1"/>
  <c r="F85" i="3"/>
  <c r="F116" i="3" s="1"/>
  <c r="AI103" i="2"/>
  <c r="G167" i="2"/>
  <c r="S88" i="2"/>
  <c r="S122" i="2" s="1"/>
  <c r="F135" i="13"/>
  <c r="D124" i="10"/>
  <c r="E124" i="6"/>
  <c r="E155" i="6" s="1"/>
  <c r="D112" i="5"/>
  <c r="D132" i="5" s="1"/>
  <c r="E268" i="3"/>
  <c r="E302" i="3" s="1"/>
  <c r="G260" i="3"/>
  <c r="F142" i="2"/>
  <c r="F182" i="2" s="1"/>
  <c r="Z95" i="2"/>
  <c r="Z124" i="2" s="1"/>
  <c r="Y189" i="13"/>
  <c r="Y262" i="13" s="1"/>
  <c r="BH63" i="8"/>
  <c r="BH97" i="8" s="1"/>
  <c r="G257" i="8"/>
  <c r="E57" i="8"/>
  <c r="E95" i="8" s="1"/>
  <c r="E139" i="13"/>
  <c r="E243" i="13" s="1"/>
  <c r="C109" i="10"/>
  <c r="AA127" i="10"/>
  <c r="C108" i="10"/>
  <c r="M106" i="10"/>
  <c r="AF53" i="6"/>
  <c r="AF91" i="6" s="1"/>
  <c r="C22" i="5"/>
  <c r="C62" i="5" s="1"/>
  <c r="AB80" i="3"/>
  <c r="C224" i="8"/>
  <c r="T214" i="13"/>
  <c r="AA180" i="13"/>
  <c r="AA185" i="13"/>
  <c r="X192" i="13"/>
  <c r="X263" i="13" s="1"/>
  <c r="D108" i="10"/>
  <c r="D135" i="10"/>
  <c r="S125" i="10"/>
  <c r="S219" i="10" s="1"/>
  <c r="M107" i="13"/>
  <c r="Q96" i="13"/>
  <c r="Q227" i="13" s="1"/>
  <c r="S99" i="13"/>
  <c r="S228" i="13" s="1"/>
  <c r="Y63" i="6"/>
  <c r="Y94" i="6" s="1"/>
  <c r="AO63" i="6"/>
  <c r="AO94" i="6" s="1"/>
  <c r="BH50" i="6"/>
  <c r="BH90" i="6" s="1"/>
  <c r="BD70" i="6"/>
  <c r="K63" i="6"/>
  <c r="K94" i="6" s="1"/>
  <c r="D153" i="5"/>
  <c r="D189" i="5" s="1"/>
  <c r="S43" i="5"/>
  <c r="S68" i="5" s="1"/>
  <c r="D280" i="3"/>
  <c r="D305" i="3" s="1"/>
  <c r="D206" i="3"/>
  <c r="D240" i="3" s="1"/>
  <c r="AA31" i="5"/>
  <c r="AA65" i="5" s="1"/>
  <c r="Z22" i="5"/>
  <c r="Z62" i="5" s="1"/>
  <c r="G105" i="5"/>
  <c r="AT72" i="3"/>
  <c r="AT112" i="3" s="1"/>
  <c r="D98" i="5"/>
  <c r="D129" i="5" s="1"/>
  <c r="D77" i="6"/>
  <c r="M28" i="5"/>
  <c r="M64" i="5" s="1"/>
  <c r="L54" i="5"/>
  <c r="L70" i="5" s="1"/>
  <c r="G281" i="2"/>
  <c r="U109" i="2"/>
  <c r="X111" i="2"/>
  <c r="X127" i="2" s="1"/>
  <c r="G183" i="8"/>
  <c r="R142" i="13"/>
  <c r="R244" i="13" s="1"/>
  <c r="AA77" i="10"/>
  <c r="G219" i="3"/>
  <c r="AW98" i="3"/>
  <c r="AB97" i="2"/>
  <c r="AT92" i="2"/>
  <c r="AT123" i="2" s="1"/>
  <c r="AA112" i="10"/>
  <c r="AT95" i="2"/>
  <c r="AT124" i="2" s="1"/>
  <c r="G149" i="2"/>
  <c r="G185" i="8"/>
  <c r="E116" i="10"/>
  <c r="B130" i="10"/>
  <c r="X99" i="13"/>
  <c r="X228" i="13" s="1"/>
  <c r="AA78" i="10"/>
  <c r="AA83" i="10"/>
  <c r="AO35" i="5"/>
  <c r="AO66" i="5" s="1"/>
  <c r="G227" i="3"/>
  <c r="AW95" i="3"/>
  <c r="AV88" i="2"/>
  <c r="AV122" i="2" s="1"/>
  <c r="M111" i="2"/>
  <c r="M127" i="2" s="1"/>
  <c r="G147" i="2"/>
  <c r="C85" i="2"/>
  <c r="C121" i="2" s="1"/>
  <c r="C142" i="2"/>
  <c r="C182" i="2" s="1"/>
  <c r="E111" i="2"/>
  <c r="E127" i="2" s="1"/>
  <c r="K145" i="13"/>
  <c r="K245" i="13" s="1"/>
  <c r="AA160" i="13"/>
  <c r="W134" i="10"/>
  <c r="W221" i="10" s="1"/>
  <c r="AB58" i="6"/>
  <c r="BH71" i="6"/>
  <c r="BH96" i="6" s="1"/>
  <c r="AE63" i="6"/>
  <c r="AE94" i="6" s="1"/>
  <c r="AI48" i="6"/>
  <c r="G212" i="3"/>
  <c r="AU82" i="2"/>
  <c r="AU120" i="2" s="1"/>
  <c r="AH75" i="3"/>
  <c r="AH113" i="3" s="1"/>
  <c r="AO81" i="3"/>
  <c r="AO115" i="3" s="1"/>
  <c r="AV75" i="3"/>
  <c r="AV113" i="3" s="1"/>
  <c r="AT104" i="3"/>
  <c r="AT120" i="3" s="1"/>
  <c r="AW90" i="3"/>
  <c r="Q241" i="10"/>
  <c r="G143" i="2"/>
  <c r="BK45" i="6"/>
  <c r="F174" i="2"/>
  <c r="F190" i="2" s="1"/>
  <c r="G159" i="2"/>
  <c r="D67" i="8"/>
  <c r="D98" i="8" s="1"/>
  <c r="L153" i="13"/>
  <c r="L247" i="13" s="1"/>
  <c r="I242" i="10"/>
  <c r="C122" i="10"/>
  <c r="G123" i="6"/>
  <c r="AG66" i="6"/>
  <c r="AG95" i="6" s="1"/>
  <c r="AP42" i="5"/>
  <c r="AM25" i="5"/>
  <c r="AM63" i="5" s="1"/>
  <c r="G165" i="2"/>
  <c r="J72" i="3"/>
  <c r="J112" i="3" s="1"/>
  <c r="E266" i="2"/>
  <c r="E306" i="2" s="1"/>
  <c r="G297" i="2"/>
  <c r="Y192" i="13"/>
  <c r="Y263" i="13" s="1"/>
  <c r="BC56" i="6"/>
  <c r="BC92" i="6" s="1"/>
  <c r="AW102" i="3"/>
  <c r="E92" i="2"/>
  <c r="E123" i="2" s="1"/>
  <c r="S92" i="2"/>
  <c r="S123" i="2" s="1"/>
  <c r="U83" i="2"/>
  <c r="G71" i="3"/>
  <c r="M184" i="10"/>
  <c r="D290" i="8"/>
  <c r="E61" i="10"/>
  <c r="F143" i="6"/>
  <c r="F159" i="6" s="1"/>
  <c r="D117" i="6"/>
  <c r="D153" i="6" s="1"/>
  <c r="AP65" i="6"/>
  <c r="E291" i="3"/>
  <c r="E307" i="3" s="1"/>
  <c r="AW83" i="3"/>
  <c r="F155" i="2"/>
  <c r="F186" i="2" s="1"/>
  <c r="E38" i="5"/>
  <c r="E67" i="5" s="1"/>
  <c r="D282" i="2"/>
  <c r="D311" i="2" s="1"/>
  <c r="Q93" i="3"/>
  <c r="Q118" i="3" s="1"/>
  <c r="AI97" i="3"/>
  <c r="AH78" i="3"/>
  <c r="AH114" i="3" s="1"/>
  <c r="Y82" i="2"/>
  <c r="Y120" i="2" s="1"/>
  <c r="G81" i="5"/>
  <c r="G172" i="2"/>
  <c r="D72" i="11"/>
  <c r="D88" i="11" s="1"/>
  <c r="R192" i="13"/>
  <c r="R263" i="13" s="1"/>
  <c r="E270" i="13"/>
  <c r="X111" i="10"/>
  <c r="X215" i="10" s="1"/>
  <c r="AA68" i="10"/>
  <c r="G130" i="6"/>
  <c r="AN66" i="6"/>
  <c r="AN95" i="6" s="1"/>
  <c r="AN22" i="5"/>
  <c r="AN62" i="5" s="1"/>
  <c r="G155" i="3"/>
  <c r="G154" i="3"/>
  <c r="AW77" i="3"/>
  <c r="U91" i="2"/>
  <c r="G230" i="2"/>
  <c r="C225" i="2"/>
  <c r="C250" i="2" s="1"/>
  <c r="C231" i="2"/>
  <c r="C251" i="2" s="1"/>
  <c r="D106" i="2"/>
  <c r="D126" i="2" s="1"/>
  <c r="N109" i="2"/>
  <c r="AM81" i="3"/>
  <c r="AM115" i="3" s="1"/>
  <c r="AA79" i="10"/>
  <c r="C132" i="10"/>
  <c r="J117" i="10"/>
  <c r="J217" i="10" s="1"/>
  <c r="F200" i="3"/>
  <c r="F238" i="3" s="1"/>
  <c r="G173" i="2"/>
  <c r="AP18" i="5"/>
  <c r="AS88" i="3"/>
  <c r="AS117" i="3" s="1"/>
  <c r="X145" i="13"/>
  <c r="X245" i="13" s="1"/>
  <c r="F148" i="13"/>
  <c r="Z111" i="10"/>
  <c r="Z215" i="10" s="1"/>
  <c r="X125" i="10"/>
  <c r="X219" i="10" s="1"/>
  <c r="T107" i="10"/>
  <c r="D85" i="5"/>
  <c r="D125" i="5" s="1"/>
  <c r="D163" i="5"/>
  <c r="D192" i="5" s="1"/>
  <c r="AB21" i="5"/>
  <c r="E148" i="3"/>
  <c r="E179" i="3" s="1"/>
  <c r="AU78" i="3"/>
  <c r="AU114" i="3" s="1"/>
  <c r="N83" i="3"/>
  <c r="F92" i="2"/>
  <c r="F123" i="2" s="1"/>
  <c r="Q79" i="2"/>
  <c r="Q119" i="2" s="1"/>
  <c r="AT82" i="2"/>
  <c r="AT120" i="2" s="1"/>
  <c r="AW105" i="2"/>
  <c r="AP80" i="3"/>
  <c r="AP97" i="3"/>
  <c r="K111" i="2"/>
  <c r="K127" i="2" s="1"/>
  <c r="Z145" i="13"/>
  <c r="Z245" i="13" s="1"/>
  <c r="P157" i="13"/>
  <c r="P248" i="13" s="1"/>
  <c r="X129" i="10"/>
  <c r="X220" i="10" s="1"/>
  <c r="E62" i="10"/>
  <c r="BK76" i="6"/>
  <c r="N65" i="6"/>
  <c r="AI65" i="6"/>
  <c r="N37" i="5"/>
  <c r="E272" i="3"/>
  <c r="E303" i="3" s="1"/>
  <c r="G195" i="3"/>
  <c r="AW103" i="3"/>
  <c r="M72" i="3"/>
  <c r="M112" i="3" s="1"/>
  <c r="Y88" i="3"/>
  <c r="Y117" i="3" s="1"/>
  <c r="Y72" i="3"/>
  <c r="Y112" i="3" s="1"/>
  <c r="AB77" i="2"/>
  <c r="AU72" i="3"/>
  <c r="AU112" i="3" s="1"/>
  <c r="AA133" i="10"/>
  <c r="E142" i="10"/>
  <c r="I140" i="10"/>
  <c r="I222" i="10" s="1"/>
  <c r="X85" i="10"/>
  <c r="X203" i="10" s="1"/>
  <c r="Y89" i="10"/>
  <c r="Y204" i="10" s="1"/>
  <c r="AA91" i="10"/>
  <c r="AF66" i="6"/>
  <c r="AF95" i="6" s="1"/>
  <c r="AI75" i="6"/>
  <c r="G173" i="5"/>
  <c r="G48" i="6"/>
  <c r="T43" i="5"/>
  <c r="T68" i="5" s="1"/>
  <c r="Y38" i="5"/>
  <c r="Y67" i="5" s="1"/>
  <c r="M38" i="5"/>
  <c r="M67" i="5" s="1"/>
  <c r="U37" i="5"/>
  <c r="D148" i="3"/>
  <c r="D179" i="3" s="1"/>
  <c r="G158" i="3"/>
  <c r="E174" i="2"/>
  <c r="E190" i="2" s="1"/>
  <c r="F225" i="2"/>
  <c r="F250" i="2" s="1"/>
  <c r="AI99" i="2"/>
  <c r="M79" i="2"/>
  <c r="M119" i="2" s="1"/>
  <c r="C174" i="2"/>
  <c r="C190" i="2" s="1"/>
  <c r="E28" i="5"/>
  <c r="E64" i="5" s="1"/>
  <c r="D123" i="10"/>
  <c r="AA88" i="10"/>
  <c r="C61" i="10"/>
  <c r="E94" i="5"/>
  <c r="E128" i="5" s="1"/>
  <c r="AM50" i="6"/>
  <c r="AM90" i="6" s="1"/>
  <c r="N45" i="6"/>
  <c r="AB46" i="5"/>
  <c r="E197" i="3"/>
  <c r="E237" i="3" s="1"/>
  <c r="AN49" i="5"/>
  <c r="AN69" i="5" s="1"/>
  <c r="F265" i="3"/>
  <c r="F301" i="3" s="1"/>
  <c r="AW87" i="3"/>
  <c r="AH104" i="3"/>
  <c r="AH120" i="3" s="1"/>
  <c r="G92" i="3"/>
  <c r="AN88" i="2"/>
  <c r="AN122" i="2" s="1"/>
  <c r="C142" i="13"/>
  <c r="C244" i="13" s="1"/>
  <c r="AA139" i="10"/>
  <c r="T125" i="13"/>
  <c r="T99" i="10"/>
  <c r="J85" i="10"/>
  <c r="J203" i="10" s="1"/>
  <c r="E112" i="5"/>
  <c r="E132" i="5" s="1"/>
  <c r="E150" i="5"/>
  <c r="E188" i="5" s="1"/>
  <c r="F59" i="6"/>
  <c r="F93" i="6" s="1"/>
  <c r="AO54" i="5"/>
  <c r="AO70" i="5" s="1"/>
  <c r="F151" i="3"/>
  <c r="F180" i="3" s="1"/>
  <c r="D22" i="5"/>
  <c r="D62" i="5" s="1"/>
  <c r="S100" i="2"/>
  <c r="S125" i="2" s="1"/>
  <c r="AB110" i="2"/>
  <c r="K88" i="2"/>
  <c r="K122" i="2" s="1"/>
  <c r="AP97" i="2"/>
  <c r="AN75" i="3"/>
  <c r="AN113" i="3" s="1"/>
  <c r="E163" i="2"/>
  <c r="E188" i="2" s="1"/>
  <c r="J197" i="13"/>
  <c r="J264" i="13" s="1"/>
  <c r="D145" i="13"/>
  <c r="D245" i="13" s="1"/>
  <c r="G108" i="6"/>
  <c r="AO50" i="6"/>
  <c r="AO90" i="6" s="1"/>
  <c r="BK79" i="6"/>
  <c r="AH59" i="6"/>
  <c r="AH93" i="6" s="1"/>
  <c r="L56" i="6"/>
  <c r="L92" i="6" s="1"/>
  <c r="K82" i="6"/>
  <c r="AB48" i="5"/>
  <c r="Y28" i="5"/>
  <c r="Y64" i="5" s="1"/>
  <c r="N24" i="5"/>
  <c r="AB87" i="3"/>
  <c r="N84" i="3"/>
  <c r="G291" i="2"/>
  <c r="R88" i="3"/>
  <c r="R117" i="3" s="1"/>
  <c r="G284" i="2"/>
  <c r="T106" i="2"/>
  <c r="T126" i="2" s="1"/>
  <c r="M82" i="2"/>
  <c r="M120" i="2" s="1"/>
  <c r="C113" i="10"/>
  <c r="T184" i="10"/>
  <c r="F67" i="8"/>
  <c r="F98" i="8" s="1"/>
  <c r="T172" i="13"/>
  <c r="C127" i="10"/>
  <c r="F60" i="8"/>
  <c r="F96" i="8" s="1"/>
  <c r="C57" i="8"/>
  <c r="C95" i="8" s="1"/>
  <c r="T182" i="13"/>
  <c r="S192" i="13"/>
  <c r="S263" i="13" s="1"/>
  <c r="AA179" i="13"/>
  <c r="X186" i="13"/>
  <c r="X261" i="13" s="1"/>
  <c r="M202" i="13"/>
  <c r="L201" i="13"/>
  <c r="L265" i="13" s="1"/>
  <c r="M211" i="13"/>
  <c r="M146" i="13"/>
  <c r="M158" i="13"/>
  <c r="T136" i="10"/>
  <c r="AA119" i="10"/>
  <c r="D139" i="10"/>
  <c r="T132" i="10"/>
  <c r="E138" i="10"/>
  <c r="C131" i="10"/>
  <c r="E133" i="10"/>
  <c r="Y129" i="10"/>
  <c r="Y220" i="10" s="1"/>
  <c r="M144" i="10"/>
  <c r="K117" i="13"/>
  <c r="K232" i="13" s="1"/>
  <c r="M126" i="13"/>
  <c r="Z145" i="10"/>
  <c r="Z223" i="10" s="1"/>
  <c r="S114" i="10"/>
  <c r="S216" i="10" s="1"/>
  <c r="E69" i="10"/>
  <c r="D79" i="10"/>
  <c r="F127" i="6"/>
  <c r="F156" i="6" s="1"/>
  <c r="E85" i="5"/>
  <c r="E125" i="5" s="1"/>
  <c r="BK74" i="6"/>
  <c r="AN63" i="6"/>
  <c r="AN94" i="6" s="1"/>
  <c r="U46" i="6"/>
  <c r="N34" i="5"/>
  <c r="D162" i="3"/>
  <c r="D182" i="3" s="1"/>
  <c r="Y85" i="3"/>
  <c r="Y116" i="3" s="1"/>
  <c r="T92" i="2"/>
  <c r="T123" i="2" s="1"/>
  <c r="G104" i="2"/>
  <c r="AG72" i="3"/>
  <c r="AG112" i="3" s="1"/>
  <c r="AP78" i="2"/>
  <c r="AN111" i="2"/>
  <c r="AN127" i="2" s="1"/>
  <c r="L92" i="2"/>
  <c r="L123" i="2" s="1"/>
  <c r="M95" i="2"/>
  <c r="M124" i="2" s="1"/>
  <c r="AA128" i="10"/>
  <c r="J121" i="10"/>
  <c r="J218" i="10" s="1"/>
  <c r="B135" i="10"/>
  <c r="J114" i="10"/>
  <c r="J216" i="10" s="1"/>
  <c r="T61" i="10"/>
  <c r="T69" i="10"/>
  <c r="AG71" i="6"/>
  <c r="AG96" i="6" s="1"/>
  <c r="AI76" i="6"/>
  <c r="U41" i="5"/>
  <c r="T100" i="2"/>
  <c r="T125" i="2" s="1"/>
  <c r="Z134" i="10"/>
  <c r="Z221" i="10" s="1"/>
  <c r="X103" i="13"/>
  <c r="X229" i="13" s="1"/>
  <c r="T94" i="13"/>
  <c r="T95" i="13"/>
  <c r="D65" i="10"/>
  <c r="AB34" i="5"/>
  <c r="AA22" i="5"/>
  <c r="AA62" i="5" s="1"/>
  <c r="G289" i="3"/>
  <c r="F141" i="3"/>
  <c r="F177" i="3" s="1"/>
  <c r="AE72" i="3"/>
  <c r="AE112" i="3" s="1"/>
  <c r="R92" i="2"/>
  <c r="R123" i="2" s="1"/>
  <c r="U77" i="2"/>
  <c r="C163" i="2"/>
  <c r="C188" i="2" s="1"/>
  <c r="G140" i="2"/>
  <c r="D174" i="2"/>
  <c r="D190" i="2" s="1"/>
  <c r="R79" i="2"/>
  <c r="R119" i="2" s="1"/>
  <c r="BB63" i="8"/>
  <c r="BB97" i="8" s="1"/>
  <c r="S189" i="13"/>
  <c r="S262" i="13" s="1"/>
  <c r="T191" i="13"/>
  <c r="AA205" i="13"/>
  <c r="X183" i="13"/>
  <c r="X260" i="13" s="1"/>
  <c r="AA165" i="13"/>
  <c r="I134" i="10"/>
  <c r="I221" i="10" s="1"/>
  <c r="Q112" i="13"/>
  <c r="Q231" i="13" s="1"/>
  <c r="Q92" i="13"/>
  <c r="Q226" i="13" s="1"/>
  <c r="Q128" i="13"/>
  <c r="Q234" i="13" s="1"/>
  <c r="T105" i="13"/>
  <c r="R108" i="13"/>
  <c r="R230" i="13" s="1"/>
  <c r="C72" i="10"/>
  <c r="F114" i="6"/>
  <c r="F152" i="6" s="1"/>
  <c r="Z53" i="6"/>
  <c r="Z91" i="6" s="1"/>
  <c r="AB74" i="6"/>
  <c r="L82" i="6"/>
  <c r="M71" i="6"/>
  <c r="M96" i="6" s="1"/>
  <c r="K22" i="5"/>
  <c r="K62" i="5" s="1"/>
  <c r="G34" i="5"/>
  <c r="F287" i="2"/>
  <c r="F312" i="2" s="1"/>
  <c r="AA93" i="3"/>
  <c r="AA118" i="3" s="1"/>
  <c r="N76" i="3"/>
  <c r="D111" i="2"/>
  <c r="D127" i="2" s="1"/>
  <c r="AB104" i="2"/>
  <c r="F217" i="2"/>
  <c r="F248" i="2" s="1"/>
  <c r="AU106" i="2"/>
  <c r="AU126" i="2" s="1"/>
  <c r="AP84" i="3"/>
  <c r="AW69" i="3"/>
  <c r="Q117" i="13"/>
  <c r="Q232" i="13" s="1"/>
  <c r="G53" i="8"/>
  <c r="T161" i="10"/>
  <c r="T188" i="13"/>
  <c r="M182" i="13"/>
  <c r="K212" i="13"/>
  <c r="K267" i="13" s="1"/>
  <c r="M156" i="13"/>
  <c r="M135" i="13"/>
  <c r="L145" i="13"/>
  <c r="L245" i="13" s="1"/>
  <c r="M160" i="13"/>
  <c r="K96" i="13"/>
  <c r="K227" i="13" s="1"/>
  <c r="Y111" i="10"/>
  <c r="Y215" i="10" s="1"/>
  <c r="C142" i="10"/>
  <c r="Y99" i="13"/>
  <c r="Y228" i="13" s="1"/>
  <c r="E122" i="10"/>
  <c r="S112" i="13"/>
  <c r="S231" i="13" s="1"/>
  <c r="F150" i="5"/>
  <c r="F188" i="5" s="1"/>
  <c r="K77" i="6"/>
  <c r="M59" i="6"/>
  <c r="M93" i="6" s="1"/>
  <c r="N70" i="6"/>
  <c r="AO38" i="5"/>
  <c r="AO67" i="5" s="1"/>
  <c r="Q35" i="5"/>
  <c r="Q66" i="5" s="1"/>
  <c r="D259" i="3"/>
  <c r="D299" i="3" s="1"/>
  <c r="F291" i="3"/>
  <c r="F307" i="3" s="1"/>
  <c r="AB32" i="5"/>
  <c r="AB68" i="3"/>
  <c r="S99" i="3"/>
  <c r="S119" i="3" s="1"/>
  <c r="AV106" i="2"/>
  <c r="AV126" i="2" s="1"/>
  <c r="Z82" i="2"/>
  <c r="Z120" i="2" s="1"/>
  <c r="AH85" i="3"/>
  <c r="AH116" i="3" s="1"/>
  <c r="Z79" i="2"/>
  <c r="Z119" i="2" s="1"/>
  <c r="N97" i="2"/>
  <c r="AN88" i="3"/>
  <c r="AN117" i="3" s="1"/>
  <c r="AH92" i="2"/>
  <c r="AH123" i="2" s="1"/>
  <c r="E142" i="2"/>
  <c r="E182" i="2" s="1"/>
  <c r="AW96" i="3"/>
  <c r="E85" i="2"/>
  <c r="E121" i="2" s="1"/>
  <c r="F95" i="2"/>
  <c r="F124" i="2" s="1"/>
  <c r="AV72" i="3"/>
  <c r="AV112" i="3" s="1"/>
  <c r="E275" i="2"/>
  <c r="E309" i="2" s="1"/>
  <c r="T169" i="10"/>
  <c r="G70" i="11"/>
  <c r="L192" i="13"/>
  <c r="L263" i="13" s="1"/>
  <c r="K197" i="13"/>
  <c r="K264" i="13" s="1"/>
  <c r="S145" i="13"/>
  <c r="S245" i="13" s="1"/>
  <c r="T152" i="13"/>
  <c r="M101" i="13"/>
  <c r="R134" i="10"/>
  <c r="R221" i="10" s="1"/>
  <c r="Q145" i="10"/>
  <c r="Q223" i="10" s="1"/>
  <c r="I111" i="10"/>
  <c r="I215" i="10" s="1"/>
  <c r="AA144" i="10"/>
  <c r="T119" i="10"/>
  <c r="Y95" i="10"/>
  <c r="Y205" i="10" s="1"/>
  <c r="T90" i="13"/>
  <c r="D93" i="10"/>
  <c r="Q67" i="10"/>
  <c r="Q199" i="10" s="1"/>
  <c r="E79" i="10"/>
  <c r="D73" i="10"/>
  <c r="G140" i="6"/>
  <c r="Z59" i="6"/>
  <c r="Z93" i="6" s="1"/>
  <c r="BG77" i="6"/>
  <c r="BD51" i="6"/>
  <c r="BD55" i="6"/>
  <c r="AP45" i="5"/>
  <c r="S54" i="5"/>
  <c r="S70" i="5" s="1"/>
  <c r="AP37" i="5"/>
  <c r="D224" i="3"/>
  <c r="D244" i="3" s="1"/>
  <c r="F28" i="5"/>
  <c r="F64" i="5" s="1"/>
  <c r="AB74" i="3"/>
  <c r="U110" i="2"/>
  <c r="G226" i="2"/>
  <c r="G235" i="2"/>
  <c r="F111" i="2"/>
  <c r="F127" i="2" s="1"/>
  <c r="AB91" i="2"/>
  <c r="G80" i="2"/>
  <c r="F78" i="3"/>
  <c r="F114" i="3" s="1"/>
  <c r="AM111" i="2"/>
  <c r="AM127" i="2" s="1"/>
  <c r="AN85" i="2"/>
  <c r="AN121" i="2" s="1"/>
  <c r="AM75" i="3"/>
  <c r="AM113" i="3" s="1"/>
  <c r="AM56" i="6"/>
  <c r="AM92" i="6" s="1"/>
  <c r="AW97" i="3"/>
  <c r="E125" i="8"/>
  <c r="D116" i="8"/>
  <c r="F43" i="11"/>
  <c r="F81" i="11" s="1"/>
  <c r="M133" i="10"/>
  <c r="X128" i="13"/>
  <c r="X234" i="13" s="1"/>
  <c r="Q80" i="10"/>
  <c r="Q202" i="10" s="1"/>
  <c r="F120" i="6"/>
  <c r="F154" i="6" s="1"/>
  <c r="BG50" i="6"/>
  <c r="BG90" i="6" s="1"/>
  <c r="U49" i="6"/>
  <c r="F286" i="3"/>
  <c r="F306" i="3" s="1"/>
  <c r="Y43" i="5"/>
  <c r="Y68" i="5" s="1"/>
  <c r="G23" i="5"/>
  <c r="AN79" i="2"/>
  <c r="AN119" i="2" s="1"/>
  <c r="AG106" i="2"/>
  <c r="AG126" i="2" s="1"/>
  <c r="N91" i="2"/>
  <c r="AO99" i="3"/>
  <c r="AO119" i="3" s="1"/>
  <c r="AP90" i="3"/>
  <c r="AW45" i="6"/>
  <c r="AS50" i="6"/>
  <c r="AU85" i="2"/>
  <c r="AU121" i="2" s="1"/>
  <c r="BB60" i="8"/>
  <c r="BB96" i="8" s="1"/>
  <c r="F53" i="11"/>
  <c r="F84" i="11" s="1"/>
  <c r="T209" i="13"/>
  <c r="AA215" i="13"/>
  <c r="M181" i="13"/>
  <c r="I212" i="13"/>
  <c r="I267" i="13" s="1"/>
  <c r="S168" i="13"/>
  <c r="S250" i="13" s="1"/>
  <c r="S173" i="13"/>
  <c r="S251" i="13" s="1"/>
  <c r="S139" i="13"/>
  <c r="S243" i="13" s="1"/>
  <c r="R162" i="13"/>
  <c r="R249" i="13" s="1"/>
  <c r="R153" i="13"/>
  <c r="R247" i="13" s="1"/>
  <c r="S145" i="10"/>
  <c r="S223" i="10" s="1"/>
  <c r="E139" i="10"/>
  <c r="R128" i="13"/>
  <c r="R234" i="13" s="1"/>
  <c r="Q75" i="10"/>
  <c r="Q201" i="10" s="1"/>
  <c r="G137" i="6"/>
  <c r="J75" i="10"/>
  <c r="J201" i="10" s="1"/>
  <c r="D132" i="6"/>
  <c r="D157" i="6" s="1"/>
  <c r="D138" i="6"/>
  <c r="D158" i="6" s="1"/>
  <c r="G136" i="6"/>
  <c r="AM77" i="6"/>
  <c r="AB76" i="6"/>
  <c r="AB81" i="6"/>
  <c r="G144" i="5"/>
  <c r="G62" i="6"/>
  <c r="G73" i="6"/>
  <c r="T22" i="5"/>
  <c r="T62" i="5" s="1"/>
  <c r="AP46" i="5"/>
  <c r="G263" i="3"/>
  <c r="G193" i="3"/>
  <c r="N46" i="5"/>
  <c r="D135" i="3"/>
  <c r="D175" i="3" s="1"/>
  <c r="F22" i="5"/>
  <c r="F62" i="5" s="1"/>
  <c r="R100" i="2"/>
  <c r="R125" i="2" s="1"/>
  <c r="AW99" i="2"/>
  <c r="G202" i="2"/>
  <c r="G103" i="2"/>
  <c r="Y111" i="2"/>
  <c r="Y127" i="2" s="1"/>
  <c r="AA100" i="2"/>
  <c r="AA125" i="2" s="1"/>
  <c r="U102" i="2"/>
  <c r="AW109" i="2"/>
  <c r="T95" i="2"/>
  <c r="T124" i="2" s="1"/>
  <c r="AB70" i="3"/>
  <c r="D104" i="3"/>
  <c r="D120" i="3" s="1"/>
  <c r="AO95" i="2"/>
  <c r="AO124" i="2" s="1"/>
  <c r="AP81" i="2"/>
  <c r="AG85" i="2"/>
  <c r="AG121" i="2" s="1"/>
  <c r="AP103" i="3"/>
  <c r="E82" i="2"/>
  <c r="E120" i="2" s="1"/>
  <c r="E282" i="2"/>
  <c r="E311" i="2" s="1"/>
  <c r="F213" i="3"/>
  <c r="F242" i="3" s="1"/>
  <c r="C203" i="3"/>
  <c r="C239" i="3" s="1"/>
  <c r="E46" i="11"/>
  <c r="E82" i="11" s="1"/>
  <c r="S183" i="13"/>
  <c r="S260" i="13" s="1"/>
  <c r="T207" i="13"/>
  <c r="T199" i="13"/>
  <c r="L183" i="13"/>
  <c r="L260" i="13" s="1"/>
  <c r="D149" i="13"/>
  <c r="D246" i="13" s="1"/>
  <c r="E162" i="13"/>
  <c r="E249" i="13" s="1"/>
  <c r="E157" i="13"/>
  <c r="E248" i="13" s="1"/>
  <c r="C149" i="13"/>
  <c r="C246" i="13" s="1"/>
  <c r="C133" i="10"/>
  <c r="Y145" i="10"/>
  <c r="Y223" i="10" s="1"/>
  <c r="L92" i="13"/>
  <c r="L226" i="13" s="1"/>
  <c r="C138" i="10"/>
  <c r="AA114" i="13"/>
  <c r="T73" i="10"/>
  <c r="D111" i="6"/>
  <c r="D151" i="6" s="1"/>
  <c r="E138" i="6"/>
  <c r="E158" i="6" s="1"/>
  <c r="AP47" i="6"/>
  <c r="AP75" i="6"/>
  <c r="AA77" i="6"/>
  <c r="Y66" i="6"/>
  <c r="Y95" i="6" s="1"/>
  <c r="G177" i="5"/>
  <c r="AI69" i="6"/>
  <c r="AH63" i="6"/>
  <c r="AH94" i="6" s="1"/>
  <c r="G149" i="5"/>
  <c r="F163" i="5"/>
  <c r="F192" i="5" s="1"/>
  <c r="E168" i="5"/>
  <c r="E193" i="5" s="1"/>
  <c r="E174" i="5"/>
  <c r="E194" i="5" s="1"/>
  <c r="S63" i="6"/>
  <c r="S94" i="6" s="1"/>
  <c r="U68" i="6"/>
  <c r="D71" i="6"/>
  <c r="D96" i="6" s="1"/>
  <c r="F50" i="6"/>
  <c r="F90" i="6" s="1"/>
  <c r="S22" i="5"/>
  <c r="S62" i="5" s="1"/>
  <c r="N19" i="5"/>
  <c r="D54" i="5"/>
  <c r="D70" i="5" s="1"/>
  <c r="U80" i="3"/>
  <c r="U71" i="3"/>
  <c r="N103" i="3"/>
  <c r="E279" i="2"/>
  <c r="E310" i="2" s="1"/>
  <c r="D231" i="2"/>
  <c r="D251" i="2" s="1"/>
  <c r="AA106" i="2"/>
  <c r="AA126" i="2" s="1"/>
  <c r="AF75" i="3"/>
  <c r="AF113" i="3" s="1"/>
  <c r="AF93" i="3"/>
  <c r="AF118" i="3" s="1"/>
  <c r="G97" i="3"/>
  <c r="AI98" i="2"/>
  <c r="AN72" i="3"/>
  <c r="AN112" i="3" s="1"/>
  <c r="AP71" i="3"/>
  <c r="D109" i="10"/>
  <c r="C256" i="6"/>
  <c r="G252" i="6"/>
  <c r="G201" i="6"/>
  <c r="C205" i="6"/>
  <c r="AU81" i="3"/>
  <c r="AU115" i="3" s="1"/>
  <c r="AT78" i="3"/>
  <c r="AT114" i="3" s="1"/>
  <c r="AT60" i="8"/>
  <c r="AT96" i="8" s="1"/>
  <c r="T210" i="13"/>
  <c r="X201" i="13"/>
  <c r="X265" i="13" s="1"/>
  <c r="X212" i="13"/>
  <c r="X267" i="13" s="1"/>
  <c r="Y197" i="13"/>
  <c r="Y264" i="13" s="1"/>
  <c r="AA167" i="13"/>
  <c r="Z139" i="13"/>
  <c r="Z243" i="13" s="1"/>
  <c r="AA135" i="13"/>
  <c r="Y173" i="13"/>
  <c r="Y251" i="13" s="1"/>
  <c r="Y157" i="13"/>
  <c r="Y248" i="13" s="1"/>
  <c r="T147" i="13"/>
  <c r="S142" i="13"/>
  <c r="S244" i="13" s="1"/>
  <c r="C145" i="13"/>
  <c r="C245" i="13" s="1"/>
  <c r="D173" i="13"/>
  <c r="D251" i="13" s="1"/>
  <c r="Z140" i="10"/>
  <c r="Z222" i="10" s="1"/>
  <c r="D143" i="10"/>
  <c r="T137" i="10"/>
  <c r="D83" i="10"/>
  <c r="T82" i="10"/>
  <c r="T77" i="10"/>
  <c r="T62" i="10"/>
  <c r="S85" i="10"/>
  <c r="S203" i="10" s="1"/>
  <c r="E66" i="10"/>
  <c r="AN77" i="6"/>
  <c r="BD46" i="6"/>
  <c r="AM71" i="6"/>
  <c r="AM96" i="6" s="1"/>
  <c r="AH53" i="6"/>
  <c r="AH91" i="6" s="1"/>
  <c r="AG50" i="6"/>
  <c r="AG90" i="6" s="1"/>
  <c r="AH56" i="6"/>
  <c r="AH92" i="6" s="1"/>
  <c r="AF71" i="6"/>
  <c r="AF96" i="6" s="1"/>
  <c r="AH66" i="6"/>
  <c r="AH95" i="6" s="1"/>
  <c r="F153" i="5"/>
  <c r="F189" i="5" s="1"/>
  <c r="G159" i="5"/>
  <c r="D168" i="5"/>
  <c r="D193" i="5" s="1"/>
  <c r="U80" i="6"/>
  <c r="D53" i="6"/>
  <c r="D91" i="6" s="1"/>
  <c r="G74" i="6"/>
  <c r="E66" i="6"/>
  <c r="E95" i="6" s="1"/>
  <c r="U34" i="5"/>
  <c r="N45" i="5"/>
  <c r="AP51" i="5"/>
  <c r="T49" i="5"/>
  <c r="T69" i="5" s="1"/>
  <c r="G258" i="3"/>
  <c r="G133" i="3"/>
  <c r="C135" i="3"/>
  <c r="C175" i="3" s="1"/>
  <c r="G262" i="2"/>
  <c r="AB91" i="3"/>
  <c r="T85" i="3"/>
  <c r="T116" i="3" s="1"/>
  <c r="U89" i="3"/>
  <c r="Z106" i="2"/>
  <c r="Z126" i="2" s="1"/>
  <c r="U97" i="2"/>
  <c r="G221" i="2"/>
  <c r="G268" i="2"/>
  <c r="AG99" i="3"/>
  <c r="AG119" i="3" s="1"/>
  <c r="AI83" i="3"/>
  <c r="AH99" i="3"/>
  <c r="AH119" i="3" s="1"/>
  <c r="G91" i="2"/>
  <c r="G77" i="2"/>
  <c r="AV95" i="2"/>
  <c r="AV124" i="2" s="1"/>
  <c r="AI77" i="2"/>
  <c r="AI87" i="2"/>
  <c r="AP95" i="3"/>
  <c r="AS85" i="3"/>
  <c r="AS116" i="3" s="1"/>
  <c r="G274" i="3"/>
  <c r="AV93" i="3"/>
  <c r="AV118" i="3" s="1"/>
  <c r="AW79" i="3"/>
  <c r="AV79" i="2"/>
  <c r="AV119" i="2" s="1"/>
  <c r="E158" i="2"/>
  <c r="E187" i="2" s="1"/>
  <c r="AA210" i="13"/>
  <c r="T148" i="13"/>
  <c r="L99" i="13"/>
  <c r="L228" i="13" s="1"/>
  <c r="M116" i="13"/>
  <c r="AA91" i="13"/>
  <c r="J134" i="10"/>
  <c r="J221" i="10" s="1"/>
  <c r="S108" i="13"/>
  <c r="S230" i="13" s="1"/>
  <c r="S123" i="13"/>
  <c r="S233" i="13" s="1"/>
  <c r="M109" i="10"/>
  <c r="E83" i="10"/>
  <c r="C74" i="10"/>
  <c r="D92" i="10"/>
  <c r="E78" i="10"/>
  <c r="E88" i="10"/>
  <c r="C77" i="10"/>
  <c r="E132" i="6"/>
  <c r="E157" i="6" s="1"/>
  <c r="X67" i="10"/>
  <c r="X199" i="10" s="1"/>
  <c r="AB62" i="6"/>
  <c r="AO53" i="6"/>
  <c r="AO91" i="6" s="1"/>
  <c r="G111" i="5"/>
  <c r="BI71" i="6"/>
  <c r="BI96" i="6" s="1"/>
  <c r="Z71" i="6"/>
  <c r="Z96" i="6" s="1"/>
  <c r="BK52" i="6"/>
  <c r="AI49" i="6"/>
  <c r="R53" i="6"/>
  <c r="R91" i="6" s="1"/>
  <c r="N49" i="6"/>
  <c r="N61" i="6"/>
  <c r="AA49" i="5"/>
  <c r="AA69" i="5" s="1"/>
  <c r="M54" i="5"/>
  <c r="M70" i="5" s="1"/>
  <c r="N17" i="5"/>
  <c r="U74" i="3"/>
  <c r="Z99" i="3"/>
  <c r="Z119" i="3" s="1"/>
  <c r="AH88" i="2"/>
  <c r="AH122" i="2" s="1"/>
  <c r="AI94" i="2"/>
  <c r="Y70" i="10"/>
  <c r="Y200" i="10" s="1"/>
  <c r="AT75" i="3"/>
  <c r="AT113" i="3" s="1"/>
  <c r="G152" i="2"/>
  <c r="R75" i="3"/>
  <c r="R113" i="3" s="1"/>
  <c r="E106" i="2"/>
  <c r="E126" i="2" s="1"/>
  <c r="D97" i="10"/>
  <c r="E91" i="10"/>
  <c r="D266" i="2"/>
  <c r="D306" i="2" s="1"/>
  <c r="Z67" i="10"/>
  <c r="Z199" i="10" s="1"/>
  <c r="C194" i="6"/>
  <c r="G190" i="6"/>
  <c r="AS72" i="3"/>
  <c r="G166" i="2"/>
  <c r="G51" i="11"/>
  <c r="D40" i="11"/>
  <c r="D80" i="11" s="1"/>
  <c r="G45" i="11"/>
  <c r="D53" i="11"/>
  <c r="D84" i="11" s="1"/>
  <c r="Z197" i="13"/>
  <c r="Z264" i="13" s="1"/>
  <c r="AA199" i="13"/>
  <c r="J139" i="13"/>
  <c r="J243" i="13" s="1"/>
  <c r="AA137" i="13"/>
  <c r="Z149" i="13"/>
  <c r="Z246" i="13" s="1"/>
  <c r="X149" i="13"/>
  <c r="X246" i="13" s="1"/>
  <c r="AA151" i="13"/>
  <c r="C173" i="13"/>
  <c r="C251" i="13" s="1"/>
  <c r="D142" i="13"/>
  <c r="D244" i="13" s="1"/>
  <c r="C144" i="10"/>
  <c r="M109" i="13"/>
  <c r="AA107" i="13"/>
  <c r="AA106" i="13"/>
  <c r="S129" i="10"/>
  <c r="S220" i="10" s="1"/>
  <c r="T111" i="13"/>
  <c r="S67" i="10"/>
  <c r="S199" i="10" s="1"/>
  <c r="Y71" i="6"/>
  <c r="Y96" i="6" s="1"/>
  <c r="Y50" i="6"/>
  <c r="Y90" i="6" s="1"/>
  <c r="BB56" i="6"/>
  <c r="BB92" i="6" s="1"/>
  <c r="BA50" i="6"/>
  <c r="BA90" i="6" s="1"/>
  <c r="AP79" i="6"/>
  <c r="BC66" i="6"/>
  <c r="BC95" i="6" s="1"/>
  <c r="S59" i="6"/>
  <c r="S93" i="6" s="1"/>
  <c r="G170" i="5"/>
  <c r="L71" i="6"/>
  <c r="L96" i="6" s="1"/>
  <c r="F53" i="6"/>
  <c r="F91" i="6" s="1"/>
  <c r="E50" i="6"/>
  <c r="E90" i="6" s="1"/>
  <c r="D286" i="3"/>
  <c r="D306" i="3" s="1"/>
  <c r="D229" i="3"/>
  <c r="D245" i="3" s="1"/>
  <c r="E35" i="5"/>
  <c r="E66" i="5" s="1"/>
  <c r="AV104" i="3"/>
  <c r="AV120" i="3" s="1"/>
  <c r="AW92" i="3"/>
  <c r="G42" i="5"/>
  <c r="E43" i="5"/>
  <c r="E68" i="5" s="1"/>
  <c r="U68" i="3"/>
  <c r="N68" i="3"/>
  <c r="S88" i="3"/>
  <c r="S117" i="3" s="1"/>
  <c r="S93" i="3"/>
  <c r="S118" i="3" s="1"/>
  <c r="G212" i="2"/>
  <c r="G234" i="2"/>
  <c r="G206" i="2"/>
  <c r="Z111" i="2"/>
  <c r="Z127" i="2" s="1"/>
  <c r="AW104" i="2"/>
  <c r="U101" i="2"/>
  <c r="D75" i="3"/>
  <c r="D113" i="3" s="1"/>
  <c r="G74" i="3"/>
  <c r="G83" i="3"/>
  <c r="AM82" i="2"/>
  <c r="AM120" i="2" s="1"/>
  <c r="AP92" i="3"/>
  <c r="X117" i="10"/>
  <c r="X217" i="10" s="1"/>
  <c r="G93" i="5"/>
  <c r="G100" i="5"/>
  <c r="G161" i="2"/>
  <c r="G68" i="8"/>
  <c r="E49" i="11"/>
  <c r="E83" i="11" s="1"/>
  <c r="R186" i="13"/>
  <c r="R261" i="13" s="1"/>
  <c r="AA195" i="13"/>
  <c r="AA214" i="13"/>
  <c r="M152" i="13"/>
  <c r="T142" i="10"/>
  <c r="T116" i="10"/>
  <c r="T102" i="13"/>
  <c r="S128" i="13"/>
  <c r="S234" i="13" s="1"/>
  <c r="S117" i="13"/>
  <c r="S232" i="13" s="1"/>
  <c r="D127" i="10"/>
  <c r="R63" i="10"/>
  <c r="R198" i="10" s="1"/>
  <c r="S75" i="10"/>
  <c r="S201" i="10" s="1"/>
  <c r="Z95" i="10"/>
  <c r="Z205" i="10" s="1"/>
  <c r="BB50" i="6"/>
  <c r="BB90" i="6" s="1"/>
  <c r="BD62" i="6"/>
  <c r="AG53" i="6"/>
  <c r="AG91" i="6" s="1"/>
  <c r="D179" i="5"/>
  <c r="D195" i="5" s="1"/>
  <c r="G165" i="5"/>
  <c r="G58" i="6"/>
  <c r="F66" i="6"/>
  <c r="F95" i="6" s="1"/>
  <c r="E224" i="3"/>
  <c r="E244" i="3" s="1"/>
  <c r="N51" i="5"/>
  <c r="N42" i="5"/>
  <c r="G150" i="3"/>
  <c r="E162" i="3"/>
  <c r="E182" i="3" s="1"/>
  <c r="E22" i="5"/>
  <c r="E62" i="5" s="1"/>
  <c r="G159" i="3"/>
  <c r="AA72" i="3"/>
  <c r="AA112" i="3" s="1"/>
  <c r="AB102" i="3"/>
  <c r="R104" i="3"/>
  <c r="R120" i="3" s="1"/>
  <c r="AB84" i="3"/>
  <c r="K88" i="3"/>
  <c r="K117" i="3" s="1"/>
  <c r="L75" i="3"/>
  <c r="L113" i="3" s="1"/>
  <c r="F210" i="2"/>
  <c r="F246" i="2" s="1"/>
  <c r="D88" i="2"/>
  <c r="D122" i="2" s="1"/>
  <c r="AW77" i="2"/>
  <c r="AI68" i="3"/>
  <c r="AF95" i="2"/>
  <c r="AF124" i="2" s="1"/>
  <c r="M100" i="2"/>
  <c r="M125" i="2" s="1"/>
  <c r="N104" i="2"/>
  <c r="AO78" i="3"/>
  <c r="AO114" i="3" s="1"/>
  <c r="AN99" i="3"/>
  <c r="AN119" i="3" s="1"/>
  <c r="AP102" i="3"/>
  <c r="D100" i="2"/>
  <c r="D125" i="2" s="1"/>
  <c r="T120" i="10"/>
  <c r="G162" i="2"/>
  <c r="AU104" i="3"/>
  <c r="AU120" i="3" s="1"/>
  <c r="G164" i="2"/>
  <c r="AW68" i="3"/>
  <c r="F163" i="2"/>
  <c r="F188" i="2" s="1"/>
  <c r="AA74" i="10"/>
  <c r="T92" i="10"/>
  <c r="R85" i="10"/>
  <c r="R203" i="10" s="1"/>
  <c r="AP81" i="6"/>
  <c r="D91" i="5"/>
  <c r="D127" i="5" s="1"/>
  <c r="AA63" i="6"/>
  <c r="AA94" i="6" s="1"/>
  <c r="G96" i="5"/>
  <c r="AI68" i="6"/>
  <c r="F174" i="5"/>
  <c r="F194" i="5" s="1"/>
  <c r="D218" i="3"/>
  <c r="D243" i="3" s="1"/>
  <c r="AP47" i="5"/>
  <c r="AB33" i="5"/>
  <c r="G215" i="3"/>
  <c r="AA99" i="3"/>
  <c r="AA119" i="3" s="1"/>
  <c r="AF72" i="3"/>
  <c r="AF112" i="3" s="1"/>
  <c r="AI71" i="3"/>
  <c r="AI84" i="3"/>
  <c r="AI102" i="3"/>
  <c r="AW108" i="2"/>
  <c r="AW75" i="2"/>
  <c r="AW90" i="2"/>
  <c r="G101" i="3"/>
  <c r="G84" i="3"/>
  <c r="G102" i="3"/>
  <c r="G263" i="2"/>
  <c r="AO82" i="2"/>
  <c r="AO120" i="2" s="1"/>
  <c r="T108" i="10"/>
  <c r="AU99" i="3"/>
  <c r="AU119" i="3" s="1"/>
  <c r="G84" i="2"/>
  <c r="G65" i="11"/>
  <c r="Q192" i="13"/>
  <c r="Q263" i="13" s="1"/>
  <c r="K139" i="13"/>
  <c r="K243" i="13" s="1"/>
  <c r="J168" i="13"/>
  <c r="J250" i="13" s="1"/>
  <c r="R173" i="13"/>
  <c r="R251" i="13" s="1"/>
  <c r="Q103" i="13"/>
  <c r="Q229" i="13" s="1"/>
  <c r="S103" i="13"/>
  <c r="S229" i="13" s="1"/>
  <c r="T110" i="13"/>
  <c r="D122" i="10"/>
  <c r="D78" i="10"/>
  <c r="C93" i="10"/>
  <c r="G134" i="6"/>
  <c r="G84" i="5"/>
  <c r="R82" i="6"/>
  <c r="U69" i="6"/>
  <c r="T77" i="6"/>
  <c r="S82" i="6"/>
  <c r="G146" i="5"/>
  <c r="N80" i="6"/>
  <c r="AB40" i="5"/>
  <c r="G223" i="3"/>
  <c r="AA35" i="5"/>
  <c r="AA66" i="5" s="1"/>
  <c r="D167" i="3"/>
  <c r="D183" i="3" s="1"/>
  <c r="Z85" i="3"/>
  <c r="Z116" i="3" s="1"/>
  <c r="U91" i="3"/>
  <c r="G290" i="2"/>
  <c r="M85" i="3"/>
  <c r="M116" i="3" s="1"/>
  <c r="N79" i="3"/>
  <c r="G233" i="2"/>
  <c r="E72" i="3"/>
  <c r="E112" i="3" s="1"/>
  <c r="F72" i="3"/>
  <c r="F112" i="3" s="1"/>
  <c r="G103" i="3"/>
  <c r="AM72" i="3"/>
  <c r="AM112" i="3" s="1"/>
  <c r="AM85" i="3"/>
  <c r="AM116" i="3" s="1"/>
  <c r="AP91" i="2"/>
  <c r="Z117" i="10"/>
  <c r="Z217" i="10" s="1"/>
  <c r="BD48" i="6"/>
  <c r="M107" i="10"/>
  <c r="AS99" i="3"/>
  <c r="AS119" i="3" s="1"/>
  <c r="G154" i="2"/>
  <c r="D151" i="2"/>
  <c r="D185" i="2" s="1"/>
  <c r="AW80" i="3"/>
  <c r="F151" i="2"/>
  <c r="F185" i="2" s="1"/>
  <c r="G52" i="11"/>
  <c r="D61" i="11"/>
  <c r="D86" i="11" s="1"/>
  <c r="D67" i="11"/>
  <c r="D87" i="11" s="1"/>
  <c r="R197" i="13"/>
  <c r="R264" i="13" s="1"/>
  <c r="J212" i="13"/>
  <c r="J267" i="13" s="1"/>
  <c r="M180" i="13"/>
  <c r="K168" i="13"/>
  <c r="K250" i="13" s="1"/>
  <c r="C139" i="10"/>
  <c r="E108" i="10"/>
  <c r="E93" i="10"/>
  <c r="BD49" i="6"/>
  <c r="BJ77" i="6"/>
  <c r="AP70" i="6"/>
  <c r="G104" i="5"/>
  <c r="L63" i="6"/>
  <c r="L94" i="6" s="1"/>
  <c r="T71" i="6"/>
  <c r="T96" i="6" s="1"/>
  <c r="E53" i="6"/>
  <c r="E91" i="6" s="1"/>
  <c r="M35" i="5"/>
  <c r="M66" i="5" s="1"/>
  <c r="K25" i="5"/>
  <c r="K63" i="5" s="1"/>
  <c r="U20" i="5"/>
  <c r="S49" i="5"/>
  <c r="S69" i="5" s="1"/>
  <c r="G205" i="3"/>
  <c r="N40" i="5"/>
  <c r="R35" i="5"/>
  <c r="R66" i="5" s="1"/>
  <c r="G30" i="5"/>
  <c r="AB83" i="3"/>
  <c r="R99" i="3"/>
  <c r="R119" i="3" s="1"/>
  <c r="U96" i="3"/>
  <c r="AP109" i="2"/>
  <c r="AN106" i="2"/>
  <c r="AN126" i="2" s="1"/>
  <c r="AO92" i="2"/>
  <c r="AO123" i="2" s="1"/>
  <c r="AI84" i="2"/>
  <c r="AG79" i="2"/>
  <c r="AG119" i="2" s="1"/>
  <c r="G183" i="6"/>
  <c r="C186" i="6"/>
  <c r="Z70" i="10"/>
  <c r="Z200" i="10" s="1"/>
  <c r="AA106" i="10"/>
  <c r="Z114" i="10"/>
  <c r="Z216" i="10" s="1"/>
  <c r="T123" i="10"/>
  <c r="C148" i="2"/>
  <c r="C184" i="2" s="1"/>
  <c r="AW73" i="3"/>
  <c r="AU75" i="3"/>
  <c r="AU113" i="3" s="1"/>
  <c r="E206" i="3"/>
  <c r="E240" i="3" s="1"/>
  <c r="R82" i="2"/>
  <c r="R120" i="2" s="1"/>
  <c r="F67" i="11"/>
  <c r="F87" i="11" s="1"/>
  <c r="Y201" i="13"/>
  <c r="Y265" i="13" s="1"/>
  <c r="K153" i="13"/>
  <c r="K247" i="13" s="1"/>
  <c r="L173" i="13"/>
  <c r="L251" i="13" s="1"/>
  <c r="X142" i="13"/>
  <c r="X244" i="13" s="1"/>
  <c r="AA161" i="13"/>
  <c r="Z162" i="13"/>
  <c r="Z249" i="13" s="1"/>
  <c r="Y162" i="13"/>
  <c r="Y249" i="13" s="1"/>
  <c r="Z168" i="13"/>
  <c r="Z250" i="13" s="1"/>
  <c r="S162" i="13"/>
  <c r="S249" i="13" s="1"/>
  <c r="AA143" i="10"/>
  <c r="M120" i="10"/>
  <c r="C128" i="10"/>
  <c r="T127" i="10"/>
  <c r="M106" i="13"/>
  <c r="J92" i="13"/>
  <c r="J226" i="13" s="1"/>
  <c r="K103" i="13"/>
  <c r="K229" i="13" s="1"/>
  <c r="M120" i="13"/>
  <c r="M95" i="13"/>
  <c r="AA94" i="13"/>
  <c r="AA122" i="13"/>
  <c r="AA126" i="13"/>
  <c r="Z99" i="13"/>
  <c r="Z228" i="13" s="1"/>
  <c r="AA76" i="10"/>
  <c r="D107" i="10"/>
  <c r="C62" i="10"/>
  <c r="T93" i="10"/>
  <c r="T66" i="10"/>
  <c r="J100" i="10"/>
  <c r="J206" i="10" s="1"/>
  <c r="T72" i="10"/>
  <c r="G142" i="6"/>
  <c r="G131" i="6"/>
  <c r="BI63" i="6"/>
  <c r="BI94" i="6" s="1"/>
  <c r="BH63" i="6"/>
  <c r="BH94" i="6" s="1"/>
  <c r="BD74" i="6"/>
  <c r="BK48" i="6"/>
  <c r="Y82" i="6"/>
  <c r="BD73" i="6"/>
  <c r="T53" i="6"/>
  <c r="T91" i="6" s="1"/>
  <c r="G55" i="6"/>
  <c r="AM22" i="5"/>
  <c r="AM62" i="5" s="1"/>
  <c r="G285" i="3"/>
  <c r="U21" i="5"/>
  <c r="E200" i="3"/>
  <c r="E238" i="3" s="1"/>
  <c r="M49" i="5"/>
  <c r="M69" i="5" s="1"/>
  <c r="G277" i="3"/>
  <c r="AB30" i="5"/>
  <c r="G153" i="3"/>
  <c r="G146" i="3"/>
  <c r="U97" i="3"/>
  <c r="S72" i="3"/>
  <c r="S112" i="3" s="1"/>
  <c r="G289" i="2"/>
  <c r="T111" i="2"/>
  <c r="T127" i="2" s="1"/>
  <c r="X88" i="3"/>
  <c r="X117" i="3" s="1"/>
  <c r="AU92" i="2"/>
  <c r="AU123" i="2" s="1"/>
  <c r="AA79" i="2"/>
  <c r="AA119" i="2" s="1"/>
  <c r="AF78" i="3"/>
  <c r="AF114" i="3" s="1"/>
  <c r="AM88" i="2"/>
  <c r="AM122" i="2" s="1"/>
  <c r="AI76" i="2"/>
  <c r="AF88" i="2"/>
  <c r="AF122" i="2" s="1"/>
  <c r="AH95" i="2"/>
  <c r="AH124" i="2" s="1"/>
  <c r="N84" i="2"/>
  <c r="L79" i="2"/>
  <c r="L119" i="2" s="1"/>
  <c r="L111" i="2"/>
  <c r="L127" i="2" s="1"/>
  <c r="AM78" i="3"/>
  <c r="AM114" i="3" s="1"/>
  <c r="AM88" i="3"/>
  <c r="AM117" i="3" s="1"/>
  <c r="D112" i="10"/>
  <c r="Q183" i="13"/>
  <c r="Q260" i="13" s="1"/>
  <c r="AW71" i="3"/>
  <c r="AT88" i="3"/>
  <c r="AT117" i="3" s="1"/>
  <c r="E145" i="2"/>
  <c r="E183" i="2" s="1"/>
  <c r="T189" i="10"/>
  <c r="T179" i="13"/>
  <c r="P183" i="13"/>
  <c r="Q197" i="13"/>
  <c r="Q264" i="13" s="1"/>
  <c r="M155" i="13"/>
  <c r="Q157" i="13"/>
  <c r="Q248" i="13" s="1"/>
  <c r="T154" i="13"/>
  <c r="F152" i="13"/>
  <c r="B93" i="10"/>
  <c r="M93" i="10"/>
  <c r="BD67" i="6"/>
  <c r="AZ71" i="6"/>
  <c r="N80" i="2"/>
  <c r="J82" i="2"/>
  <c r="D46" i="11"/>
  <c r="D82" i="11" s="1"/>
  <c r="G58" i="11"/>
  <c r="F61" i="11"/>
  <c r="F86" i="11" s="1"/>
  <c r="Q217" i="13"/>
  <c r="Q268" i="13" s="1"/>
  <c r="T195" i="13"/>
  <c r="P192" i="13"/>
  <c r="T190" i="13"/>
  <c r="S212" i="13"/>
  <c r="S267" i="13" s="1"/>
  <c r="L206" i="13"/>
  <c r="L266" i="13" s="1"/>
  <c r="Y212" i="13"/>
  <c r="Y267" i="13" s="1"/>
  <c r="AA198" i="13"/>
  <c r="W201" i="13"/>
  <c r="M199" i="13"/>
  <c r="J192" i="13"/>
  <c r="J263" i="13" s="1"/>
  <c r="AA204" i="13"/>
  <c r="I145" i="13"/>
  <c r="M143" i="13"/>
  <c r="J162" i="13"/>
  <c r="J249" i="13" s="1"/>
  <c r="M138" i="13"/>
  <c r="L149" i="13"/>
  <c r="L246" i="13" s="1"/>
  <c r="I168" i="13"/>
  <c r="M163" i="13"/>
  <c r="M171" i="13"/>
  <c r="F189" i="13"/>
  <c r="AA138" i="13"/>
  <c r="AA147" i="13"/>
  <c r="Z153" i="13"/>
  <c r="Z247" i="13" s="1"/>
  <c r="AA152" i="13"/>
  <c r="AA144" i="13"/>
  <c r="X157" i="13"/>
  <c r="X248" i="13" s="1"/>
  <c r="T151" i="13"/>
  <c r="T137" i="13"/>
  <c r="Q173" i="13"/>
  <c r="Q251" i="13" s="1"/>
  <c r="S157" i="13"/>
  <c r="S248" i="13" s="1"/>
  <c r="T169" i="13"/>
  <c r="P173" i="13"/>
  <c r="T155" i="13"/>
  <c r="C162" i="13"/>
  <c r="C249" i="13" s="1"/>
  <c r="C157" i="13"/>
  <c r="C248" i="13" s="1"/>
  <c r="F154" i="13"/>
  <c r="C139" i="13"/>
  <c r="C243" i="13" s="1"/>
  <c r="E145" i="13"/>
  <c r="E245" i="13" s="1"/>
  <c r="F155" i="13"/>
  <c r="B157" i="13"/>
  <c r="F144" i="13"/>
  <c r="B145" i="13"/>
  <c r="C141" i="10"/>
  <c r="J145" i="10"/>
  <c r="J223" i="10" s="1"/>
  <c r="C123" i="10"/>
  <c r="J125" i="10"/>
  <c r="J219" i="10" s="1"/>
  <c r="P129" i="10"/>
  <c r="T126" i="10"/>
  <c r="D136" i="10"/>
  <c r="K140" i="10"/>
  <c r="K222" i="10" s="1"/>
  <c r="AA131" i="10"/>
  <c r="R111" i="2"/>
  <c r="R127" i="2" s="1"/>
  <c r="D95" i="2"/>
  <c r="D124" i="2" s="1"/>
  <c r="G93" i="2"/>
  <c r="C61" i="11"/>
  <c r="G57" i="11"/>
  <c r="C72" i="11"/>
  <c r="G68" i="11"/>
  <c r="P189" i="13"/>
  <c r="T187" i="13"/>
  <c r="AA207" i="13"/>
  <c r="AA143" i="13"/>
  <c r="W145" i="13"/>
  <c r="B142" i="10"/>
  <c r="M142" i="10"/>
  <c r="B211" i="10"/>
  <c r="B245" i="10" s="1"/>
  <c r="E119" i="10"/>
  <c r="D119" i="10"/>
  <c r="C119" i="10"/>
  <c r="B119" i="10"/>
  <c r="C118" i="10"/>
  <c r="E118" i="10"/>
  <c r="D118" i="10"/>
  <c r="B118" i="10"/>
  <c r="C120" i="10"/>
  <c r="B120" i="10"/>
  <c r="D120" i="10"/>
  <c r="D137" i="10"/>
  <c r="AV72" i="5"/>
  <c r="AV71" i="5"/>
  <c r="J92" i="2"/>
  <c r="N89" i="2"/>
  <c r="M67" i="8"/>
  <c r="M98" i="8" s="1"/>
  <c r="AU63" i="8"/>
  <c r="AU97" i="8" s="1"/>
  <c r="C70" i="8"/>
  <c r="C99" i="8" s="1"/>
  <c r="G79" i="8"/>
  <c r="G37" i="11"/>
  <c r="G35" i="11"/>
  <c r="C40" i="11"/>
  <c r="G50" i="11"/>
  <c r="C53" i="11"/>
  <c r="G55" i="11"/>
  <c r="G60" i="11"/>
  <c r="T200" i="13"/>
  <c r="T203" i="13"/>
  <c r="P201" i="13"/>
  <c r="T198" i="13"/>
  <c r="T193" i="13"/>
  <c r="P197" i="13"/>
  <c r="T216" i="13"/>
  <c r="X206" i="13"/>
  <c r="X266" i="13" s="1"/>
  <c r="W212" i="13"/>
  <c r="AA208" i="13"/>
  <c r="W217" i="13"/>
  <c r="AA213" i="13"/>
  <c r="M196" i="13"/>
  <c r="K183" i="13"/>
  <c r="K260" i="13" s="1"/>
  <c r="M205" i="13"/>
  <c r="M214" i="13"/>
  <c r="M136" i="13"/>
  <c r="J153" i="13"/>
  <c r="J247" i="13" s="1"/>
  <c r="M141" i="13"/>
  <c r="I142" i="13"/>
  <c r="L157" i="13"/>
  <c r="L248" i="13" s="1"/>
  <c r="M166" i="13"/>
  <c r="AA148" i="13"/>
  <c r="AA156" i="13"/>
  <c r="AA155" i="13"/>
  <c r="T156" i="13"/>
  <c r="T171" i="13"/>
  <c r="T158" i="13"/>
  <c r="P162" i="13"/>
  <c r="AA170" i="13"/>
  <c r="J117" i="13"/>
  <c r="J232" i="13" s="1"/>
  <c r="Z121" i="10"/>
  <c r="Z218" i="10" s="1"/>
  <c r="E120" i="10"/>
  <c r="AA72" i="10"/>
  <c r="Y75" i="10"/>
  <c r="Y201" i="10" s="1"/>
  <c r="F124" i="6"/>
  <c r="F155" i="6" s="1"/>
  <c r="G121" i="6"/>
  <c r="AB61" i="6"/>
  <c r="G220" i="3"/>
  <c r="C224" i="3"/>
  <c r="G261" i="2"/>
  <c r="C266" i="2"/>
  <c r="N96" i="3"/>
  <c r="W206" i="13"/>
  <c r="AA202" i="13"/>
  <c r="J206" i="13"/>
  <c r="J266" i="13" s="1"/>
  <c r="D86" i="8"/>
  <c r="D102" i="8" s="1"/>
  <c r="F63" i="8"/>
  <c r="F97" i="8" s="1"/>
  <c r="D49" i="11"/>
  <c r="D83" i="11" s="1"/>
  <c r="F56" i="11"/>
  <c r="F85" i="11" s="1"/>
  <c r="E61" i="11"/>
  <c r="E86" i="11" s="1"/>
  <c r="E67" i="11"/>
  <c r="E87" i="11" s="1"/>
  <c r="R201" i="13"/>
  <c r="R265" i="13" s="1"/>
  <c r="S186" i="13"/>
  <c r="S261" i="13" s="1"/>
  <c r="T204" i="13"/>
  <c r="T196" i="13"/>
  <c r="Q206" i="13"/>
  <c r="Q266" i="13" s="1"/>
  <c r="R206" i="13"/>
  <c r="R266" i="13" s="1"/>
  <c r="R217" i="13"/>
  <c r="R268" i="13" s="1"/>
  <c r="Z183" i="13"/>
  <c r="Z260" i="13" s="1"/>
  <c r="X197" i="13"/>
  <c r="X264" i="13" s="1"/>
  <c r="AA211" i="13"/>
  <c r="Z217" i="13"/>
  <c r="Z268" i="13" s="1"/>
  <c r="AA216" i="13"/>
  <c r="L212" i="13"/>
  <c r="L267" i="13" s="1"/>
  <c r="J201" i="13"/>
  <c r="J265" i="13" s="1"/>
  <c r="B264" i="13"/>
  <c r="F197" i="13"/>
  <c r="I197" i="13"/>
  <c r="M193" i="13"/>
  <c r="M172" i="13"/>
  <c r="M134" i="13"/>
  <c r="I139" i="13"/>
  <c r="M165" i="13"/>
  <c r="M161" i="13"/>
  <c r="K149" i="13"/>
  <c r="K246" i="13" s="1"/>
  <c r="J173" i="13"/>
  <c r="J251" i="13" s="1"/>
  <c r="X139" i="13"/>
  <c r="X243" i="13" s="1"/>
  <c r="Y153" i="13"/>
  <c r="Y247" i="13" s="1"/>
  <c r="AA158" i="13"/>
  <c r="W162" i="13"/>
  <c r="AA172" i="13"/>
  <c r="X168" i="13"/>
  <c r="X250" i="13" s="1"/>
  <c r="Z157" i="13"/>
  <c r="Z248" i="13" s="1"/>
  <c r="Q153" i="13"/>
  <c r="Q247" i="13" s="1"/>
  <c r="Q168" i="13"/>
  <c r="Q250" i="13" s="1"/>
  <c r="Q142" i="13"/>
  <c r="Q244" i="13" s="1"/>
  <c r="T135" i="13"/>
  <c r="T136" i="13"/>
  <c r="T161" i="13"/>
  <c r="Q145" i="13"/>
  <c r="Q245" i="13" s="1"/>
  <c r="T160" i="13"/>
  <c r="F136" i="13"/>
  <c r="F151" i="13"/>
  <c r="F161" i="13"/>
  <c r="B153" i="13"/>
  <c r="F150" i="13"/>
  <c r="D153" i="13"/>
  <c r="D247" i="13" s="1"/>
  <c r="Z108" i="13"/>
  <c r="Z230" i="13" s="1"/>
  <c r="S111" i="10"/>
  <c r="S215" i="10" s="1"/>
  <c r="G172" i="5"/>
  <c r="AP30" i="5"/>
  <c r="G216" i="3"/>
  <c r="C218" i="3"/>
  <c r="G32" i="5"/>
  <c r="C35" i="5"/>
  <c r="K72" i="3"/>
  <c r="K112" i="3" s="1"/>
  <c r="N86" i="2"/>
  <c r="J88" i="2"/>
  <c r="Q72" i="3"/>
  <c r="B113" i="10"/>
  <c r="M113" i="10"/>
  <c r="I114" i="10"/>
  <c r="T119" i="13"/>
  <c r="P123" i="13"/>
  <c r="R242" i="10"/>
  <c r="R241" i="10"/>
  <c r="F46" i="11"/>
  <c r="F82" i="11" s="1"/>
  <c r="T180" i="13"/>
  <c r="T202" i="13"/>
  <c r="P206" i="13"/>
  <c r="Q212" i="13"/>
  <c r="Q267" i="13" s="1"/>
  <c r="R212" i="13"/>
  <c r="R267" i="13" s="1"/>
  <c r="S217" i="13"/>
  <c r="S268" i="13" s="1"/>
  <c r="Z212" i="13"/>
  <c r="Z267" i="13" s="1"/>
  <c r="AA181" i="13"/>
  <c r="M191" i="13"/>
  <c r="W149" i="13"/>
  <c r="AA146" i="13"/>
  <c r="W157" i="13"/>
  <c r="AA154" i="13"/>
  <c r="Z173" i="13"/>
  <c r="Z251" i="13" s="1"/>
  <c r="T141" i="13"/>
  <c r="T170" i="13"/>
  <c r="S153" i="13"/>
  <c r="S247" i="13" s="1"/>
  <c r="T167" i="13"/>
  <c r="Q117" i="10"/>
  <c r="Q217" i="10" s="1"/>
  <c r="C115" i="10"/>
  <c r="M131" i="10"/>
  <c r="B131" i="10"/>
  <c r="D113" i="10"/>
  <c r="T113" i="10"/>
  <c r="L123" i="13"/>
  <c r="L233" i="13" s="1"/>
  <c r="T97" i="13"/>
  <c r="P99" i="13"/>
  <c r="T98" i="13"/>
  <c r="P85" i="10"/>
  <c r="T81" i="10"/>
  <c r="T91" i="10"/>
  <c r="B91" i="10"/>
  <c r="P95" i="10"/>
  <c r="Q70" i="10"/>
  <c r="Q200" i="10" s="1"/>
  <c r="C68" i="10"/>
  <c r="AO77" i="6"/>
  <c r="AP72" i="6"/>
  <c r="N46" i="6"/>
  <c r="J50" i="6"/>
  <c r="R77" i="6"/>
  <c r="G219" i="5"/>
  <c r="C222" i="5"/>
  <c r="F156" i="3"/>
  <c r="F181" i="3" s="1"/>
  <c r="AB18" i="5"/>
  <c r="G75" i="2"/>
  <c r="D79" i="2"/>
  <c r="D119" i="2" s="1"/>
  <c r="R106" i="2"/>
  <c r="R126" i="2" s="1"/>
  <c r="AA182" i="13"/>
  <c r="AA116" i="10"/>
  <c r="W117" i="10"/>
  <c r="M111" i="13"/>
  <c r="I112" i="13"/>
  <c r="G66" i="11"/>
  <c r="G47" i="11"/>
  <c r="C49" i="11"/>
  <c r="C67" i="11"/>
  <c r="G62" i="11"/>
  <c r="T185" i="13"/>
  <c r="T205" i="13"/>
  <c r="X217" i="13"/>
  <c r="X268" i="13" s="1"/>
  <c r="W186" i="13"/>
  <c r="AA184" i="13"/>
  <c r="AA188" i="13"/>
  <c r="K206" i="13"/>
  <c r="K266" i="13" s="1"/>
  <c r="I192" i="13"/>
  <c r="M190" i="13"/>
  <c r="K217" i="13"/>
  <c r="K268" i="13" s="1"/>
  <c r="M194" i="13"/>
  <c r="C269" i="13"/>
  <c r="C270" i="13"/>
  <c r="L139" i="13"/>
  <c r="L243" i="13" s="1"/>
  <c r="AA141" i="13"/>
  <c r="AA136" i="13"/>
  <c r="AA169" i="13"/>
  <c r="W173" i="13"/>
  <c r="P139" i="13"/>
  <c r="T134" i="13"/>
  <c r="P142" i="13"/>
  <c r="T140" i="13"/>
  <c r="R149" i="13"/>
  <c r="R246" i="13" s="1"/>
  <c r="I162" i="13"/>
  <c r="F138" i="13"/>
  <c r="C168" i="13"/>
  <c r="C250" i="13" s="1"/>
  <c r="T150" i="13"/>
  <c r="P153" i="13"/>
  <c r="D131" i="10"/>
  <c r="K134" i="10"/>
  <c r="K221" i="10" s="1"/>
  <c r="T112" i="10"/>
  <c r="P114" i="10"/>
  <c r="B112" i="10"/>
  <c r="T144" i="10"/>
  <c r="B144" i="10"/>
  <c r="AA109" i="13"/>
  <c r="W112" i="13"/>
  <c r="AA102" i="13"/>
  <c r="X123" i="13"/>
  <c r="X233" i="13" s="1"/>
  <c r="T91" i="13"/>
  <c r="AA94" i="10"/>
  <c r="D71" i="10"/>
  <c r="K75" i="10"/>
  <c r="K201" i="10" s="1"/>
  <c r="AL77" i="6"/>
  <c r="AS31" i="5"/>
  <c r="AW29" i="5"/>
  <c r="AP32" i="5"/>
  <c r="AL35" i="5"/>
  <c r="C63" i="5"/>
  <c r="C250" i="8"/>
  <c r="G248" i="8"/>
  <c r="T178" i="10"/>
  <c r="G78" i="8"/>
  <c r="T155" i="10"/>
  <c r="G39" i="11"/>
  <c r="G44" i="11"/>
  <c r="C46" i="11"/>
  <c r="D56" i="11"/>
  <c r="D85" i="11" s="1"/>
  <c r="G64" i="11"/>
  <c r="G36" i="11"/>
  <c r="C43" i="11"/>
  <c r="G41" i="11"/>
  <c r="R183" i="13"/>
  <c r="R260" i="13" s="1"/>
  <c r="Q201" i="13"/>
  <c r="Q265" i="13" s="1"/>
  <c r="T211" i="13"/>
  <c r="P212" i="13"/>
  <c r="T208" i="13"/>
  <c r="T215" i="13"/>
  <c r="X189" i="13"/>
  <c r="X262" i="13" s="1"/>
  <c r="Y206" i="13"/>
  <c r="Y266" i="13" s="1"/>
  <c r="Z186" i="13"/>
  <c r="Z261" i="13" s="1"/>
  <c r="W189" i="13"/>
  <c r="AA187" i="13"/>
  <c r="AA191" i="13"/>
  <c r="M195" i="13"/>
  <c r="M200" i="13"/>
  <c r="M185" i="13"/>
  <c r="M137" i="13"/>
  <c r="J157" i="13"/>
  <c r="J248" i="13" s="1"/>
  <c r="W142" i="13"/>
  <c r="AA140" i="13"/>
  <c r="AA163" i="13"/>
  <c r="W168" i="13"/>
  <c r="T166" i="13"/>
  <c r="T144" i="13"/>
  <c r="T110" i="10"/>
  <c r="W117" i="13"/>
  <c r="AA113" i="13"/>
  <c r="AA105" i="13"/>
  <c r="Y128" i="13"/>
  <c r="Y234" i="13" s="1"/>
  <c r="D285" i="6"/>
  <c r="D284" i="6"/>
  <c r="M65" i="10"/>
  <c r="B65" i="10"/>
  <c r="F111" i="6"/>
  <c r="F151" i="6" s="1"/>
  <c r="BD81" i="6"/>
  <c r="Z56" i="6"/>
  <c r="Z92" i="6" s="1"/>
  <c r="AL43" i="5"/>
  <c r="AP39" i="5"/>
  <c r="AS54" i="5"/>
  <c r="AW50" i="5"/>
  <c r="F280" i="3"/>
  <c r="F305" i="3" s="1"/>
  <c r="G164" i="3"/>
  <c r="C81" i="3"/>
  <c r="G79" i="3"/>
  <c r="G100" i="3"/>
  <c r="C104" i="3"/>
  <c r="G42" i="11"/>
  <c r="G59" i="11"/>
  <c r="G69" i="11"/>
  <c r="E72" i="11"/>
  <c r="E88" i="11" s="1"/>
  <c r="T213" i="13"/>
  <c r="P217" i="13"/>
  <c r="S197" i="13"/>
  <c r="S264" i="13" s="1"/>
  <c r="W192" i="13"/>
  <c r="AA190" i="13"/>
  <c r="Y217" i="13"/>
  <c r="Y268" i="13" s="1"/>
  <c r="AA194" i="13"/>
  <c r="J142" i="13"/>
  <c r="J244" i="13" s="1"/>
  <c r="M140" i="13"/>
  <c r="J149" i="13"/>
  <c r="J246" i="13" s="1"/>
  <c r="K162" i="13"/>
  <c r="K249" i="13" s="1"/>
  <c r="M169" i="13"/>
  <c r="I173" i="13"/>
  <c r="Y139" i="13"/>
  <c r="Y243" i="13" s="1"/>
  <c r="AA166" i="13"/>
  <c r="S149" i="13"/>
  <c r="S246" i="13" s="1"/>
  <c r="T159" i="13"/>
  <c r="F141" i="13"/>
  <c r="B142" i="13"/>
  <c r="F140" i="13"/>
  <c r="F172" i="13"/>
  <c r="AA120" i="10"/>
  <c r="B122" i="10"/>
  <c r="I125" i="10"/>
  <c r="M122" i="10"/>
  <c r="C69" i="10"/>
  <c r="J70" i="10"/>
  <c r="J200" i="10" s="1"/>
  <c r="E284" i="6"/>
  <c r="E285" i="6"/>
  <c r="B97" i="10"/>
  <c r="M97" i="10"/>
  <c r="D96" i="10"/>
  <c r="K100" i="10"/>
  <c r="K206" i="10" s="1"/>
  <c r="L75" i="10"/>
  <c r="L201" i="10" s="1"/>
  <c r="E71" i="10"/>
  <c r="BC77" i="6"/>
  <c r="BK55" i="6"/>
  <c r="BG56" i="6"/>
  <c r="C268" i="3"/>
  <c r="G266" i="3"/>
  <c r="G194" i="3"/>
  <c r="I183" i="13"/>
  <c r="M179" i="13"/>
  <c r="M124" i="13"/>
  <c r="I128" i="13"/>
  <c r="AP57" i="6"/>
  <c r="AL59" i="6"/>
  <c r="T173" i="10"/>
  <c r="P237" i="10"/>
  <c r="P242" i="10" s="1"/>
  <c r="G54" i="11"/>
  <c r="C56" i="11"/>
  <c r="S201" i="13"/>
  <c r="S265" i="13" s="1"/>
  <c r="Q186" i="13"/>
  <c r="Q261" i="13" s="1"/>
  <c r="L217" i="13"/>
  <c r="L268" i="13" s="1"/>
  <c r="M215" i="13"/>
  <c r="M216" i="13"/>
  <c r="J217" i="13"/>
  <c r="J268" i="13" s="1"/>
  <c r="M204" i="13"/>
  <c r="I206" i="13"/>
  <c r="M209" i="13"/>
  <c r="M148" i="13"/>
  <c r="T163" i="13"/>
  <c r="P168" i="13"/>
  <c r="F171" i="13"/>
  <c r="L129" i="10"/>
  <c r="L220" i="10" s="1"/>
  <c r="E126" i="10"/>
  <c r="X134" i="10"/>
  <c r="X221" i="10" s="1"/>
  <c r="AA130" i="10"/>
  <c r="D132" i="10"/>
  <c r="K92" i="13"/>
  <c r="K226" i="13" s="1"/>
  <c r="J103" i="13"/>
  <c r="J229" i="13" s="1"/>
  <c r="Y121" i="10"/>
  <c r="Y218" i="10" s="1"/>
  <c r="T121" i="13"/>
  <c r="B77" i="10"/>
  <c r="M77" i="10"/>
  <c r="C251" i="6"/>
  <c r="G249" i="6"/>
  <c r="D91" i="10"/>
  <c r="M91" i="10"/>
  <c r="J80" i="10"/>
  <c r="J202" i="10" s="1"/>
  <c r="C76" i="10"/>
  <c r="D61" i="10"/>
  <c r="K63" i="10"/>
  <c r="K198" i="10" s="1"/>
  <c r="L85" i="10"/>
  <c r="L203" i="10" s="1"/>
  <c r="E81" i="10"/>
  <c r="D81" i="10"/>
  <c r="K85" i="10"/>
  <c r="K203" i="10" s="1"/>
  <c r="AU98" i="6"/>
  <c r="AU97" i="6"/>
  <c r="D117" i="5"/>
  <c r="D133" i="5" s="1"/>
  <c r="G113" i="5"/>
  <c r="G57" i="6"/>
  <c r="C59" i="6"/>
  <c r="C50" i="6"/>
  <c r="G45" i="6"/>
  <c r="C71" i="6"/>
  <c r="G67" i="6"/>
  <c r="AU88" i="3"/>
  <c r="AW86" i="3"/>
  <c r="C158" i="2"/>
  <c r="G156" i="2"/>
  <c r="F169" i="13"/>
  <c r="B173" i="13"/>
  <c r="B127" i="10"/>
  <c r="M127" i="10"/>
  <c r="S235" i="10"/>
  <c r="S242" i="10" s="1"/>
  <c r="T164" i="10"/>
  <c r="D43" i="11"/>
  <c r="D81" i="11" s="1"/>
  <c r="G63" i="11"/>
  <c r="F72" i="11"/>
  <c r="F88" i="11" s="1"/>
  <c r="E40" i="11"/>
  <c r="E80" i="11" s="1"/>
  <c r="F40" i="11"/>
  <c r="F80" i="11" s="1"/>
  <c r="G48" i="11"/>
  <c r="Y183" i="13"/>
  <c r="Y260" i="13" s="1"/>
  <c r="AA196" i="13"/>
  <c r="AA203" i="13"/>
  <c r="K189" i="13"/>
  <c r="K262" i="13" s="1"/>
  <c r="M207" i="13"/>
  <c r="I217" i="13"/>
  <c r="M213" i="13"/>
  <c r="L186" i="13"/>
  <c r="L261" i="13" s="1"/>
  <c r="B260" i="13"/>
  <c r="F183" i="13"/>
  <c r="M170" i="13"/>
  <c r="M164" i="13"/>
  <c r="M151" i="13"/>
  <c r="M147" i="13"/>
  <c r="I149" i="13"/>
  <c r="AA134" i="13"/>
  <c r="W139" i="13"/>
  <c r="X173" i="13"/>
  <c r="X251" i="13" s="1"/>
  <c r="X153" i="13"/>
  <c r="X247" i="13" s="1"/>
  <c r="R168" i="13"/>
  <c r="R250" i="13" s="1"/>
  <c r="D139" i="13"/>
  <c r="D243" i="13" s="1"/>
  <c r="E173" i="13"/>
  <c r="E251" i="13" s="1"/>
  <c r="E168" i="13"/>
  <c r="E250" i="13" s="1"/>
  <c r="L140" i="10"/>
  <c r="L222" i="10" s="1"/>
  <c r="AB46" i="6"/>
  <c r="X50" i="6"/>
  <c r="AW67" i="6"/>
  <c r="AS71" i="6"/>
  <c r="BI66" i="6"/>
  <c r="BI95" i="6" s="1"/>
  <c r="BG63" i="6"/>
  <c r="BK60" i="6"/>
  <c r="AZ82" i="6"/>
  <c r="BD78" i="6"/>
  <c r="BD52" i="6"/>
  <c r="AZ53" i="6"/>
  <c r="BK64" i="6"/>
  <c r="BG66" i="6"/>
  <c r="F112" i="5"/>
  <c r="F132" i="5" s="1"/>
  <c r="G108" i="5"/>
  <c r="AI45" i="6"/>
  <c r="AE50" i="6"/>
  <c r="AI73" i="6"/>
  <c r="AI60" i="6"/>
  <c r="P186" i="13"/>
  <c r="T184" i="13"/>
  <c r="S206" i="13"/>
  <c r="S266" i="13" s="1"/>
  <c r="Z206" i="13"/>
  <c r="Z266" i="13" s="1"/>
  <c r="Z201" i="13"/>
  <c r="Z265" i="13" s="1"/>
  <c r="AA209" i="13"/>
  <c r="I189" i="13"/>
  <c r="M187" i="13"/>
  <c r="M188" i="13"/>
  <c r="M210" i="13"/>
  <c r="W183" i="13"/>
  <c r="L142" i="13"/>
  <c r="L244" i="13" s="1"/>
  <c r="I157" i="13"/>
  <c r="M154" i="13"/>
  <c r="K173" i="13"/>
  <c r="K251" i="13" s="1"/>
  <c r="M144" i="13"/>
  <c r="J145" i="13"/>
  <c r="J245" i="13" s="1"/>
  <c r="Y168" i="13"/>
  <c r="Y250" i="13" s="1"/>
  <c r="B267" i="13"/>
  <c r="F212" i="13"/>
  <c r="Q139" i="13"/>
  <c r="Q243" i="13" s="1"/>
  <c r="P149" i="13"/>
  <c r="T146" i="13"/>
  <c r="D168" i="13"/>
  <c r="D250" i="13" s="1"/>
  <c r="B149" i="13"/>
  <c r="F146" i="13"/>
  <c r="M159" i="13"/>
  <c r="X140" i="10"/>
  <c r="X222" i="10" s="1"/>
  <c r="D142" i="10"/>
  <c r="W123" i="13"/>
  <c r="AA119" i="13"/>
  <c r="B96" i="10"/>
  <c r="M96" i="10"/>
  <c r="I100" i="10"/>
  <c r="BK69" i="6"/>
  <c r="BG71" i="6"/>
  <c r="BC59" i="6"/>
  <c r="BC93" i="6" s="1"/>
  <c r="BD57" i="6"/>
  <c r="AB51" i="6"/>
  <c r="X53" i="6"/>
  <c r="G99" i="5"/>
  <c r="C101" i="5"/>
  <c r="C168" i="5"/>
  <c r="G164" i="5"/>
  <c r="D174" i="5"/>
  <c r="D194" i="5" s="1"/>
  <c r="AN28" i="5"/>
  <c r="AN64" i="5" s="1"/>
  <c r="AP26" i="5"/>
  <c r="U40" i="5"/>
  <c r="AU111" i="2"/>
  <c r="AU127" i="2" s="1"/>
  <c r="AW107" i="2"/>
  <c r="AS79" i="2"/>
  <c r="U45" i="6"/>
  <c r="Q50" i="6"/>
  <c r="S50" i="6"/>
  <c r="S90" i="6" s="1"/>
  <c r="Q66" i="6"/>
  <c r="U64" i="6"/>
  <c r="J53" i="6"/>
  <c r="N51" i="6"/>
  <c r="G64" i="6"/>
  <c r="C66" i="6"/>
  <c r="D63" i="6"/>
  <c r="D94" i="6" s="1"/>
  <c r="AP20" i="5"/>
  <c r="C280" i="3"/>
  <c r="G276" i="3"/>
  <c r="J49" i="5"/>
  <c r="N44" i="5"/>
  <c r="AF72" i="5"/>
  <c r="AF71" i="5"/>
  <c r="Z31" i="5"/>
  <c r="Z65" i="5" s="1"/>
  <c r="AL54" i="5"/>
  <c r="AP50" i="5"/>
  <c r="AS22" i="5"/>
  <c r="AW17" i="5"/>
  <c r="N18" i="5"/>
  <c r="AM31" i="5"/>
  <c r="AM65" i="5" s="1"/>
  <c r="U32" i="5"/>
  <c r="E54" i="5"/>
  <c r="E70" i="5" s="1"/>
  <c r="D43" i="5"/>
  <c r="D68" i="5" s="1"/>
  <c r="C43" i="5"/>
  <c r="G39" i="5"/>
  <c r="F218" i="3"/>
  <c r="F243" i="3" s="1"/>
  <c r="S104" i="3"/>
  <c r="S120" i="3" s="1"/>
  <c r="X99" i="3"/>
  <c r="AB94" i="3"/>
  <c r="R72" i="3"/>
  <c r="R112" i="3" s="1"/>
  <c r="T88" i="3"/>
  <c r="T117" i="3" s="1"/>
  <c r="T99" i="3"/>
  <c r="T119" i="3" s="1"/>
  <c r="L72" i="3"/>
  <c r="L112" i="3" s="1"/>
  <c r="N73" i="3"/>
  <c r="J75" i="3"/>
  <c r="C272" i="2"/>
  <c r="G271" i="2"/>
  <c r="G107" i="2"/>
  <c r="C111" i="2"/>
  <c r="U81" i="2"/>
  <c r="G139" i="2"/>
  <c r="G87" i="2"/>
  <c r="C88" i="2"/>
  <c r="AS100" i="2"/>
  <c r="AW96" i="2"/>
  <c r="G95" i="3"/>
  <c r="AS111" i="2"/>
  <c r="AP98" i="2"/>
  <c r="AI75" i="2"/>
  <c r="AE82" i="2"/>
  <c r="AI80" i="2"/>
  <c r="AI107" i="2"/>
  <c r="AE111" i="2"/>
  <c r="G153" i="2"/>
  <c r="N83" i="2"/>
  <c r="J85" i="2"/>
  <c r="AP83" i="3"/>
  <c r="AP100" i="3"/>
  <c r="AL104" i="3"/>
  <c r="AL81" i="3"/>
  <c r="AP79" i="3"/>
  <c r="U94" i="3"/>
  <c r="AA113" i="10"/>
  <c r="P140" i="10"/>
  <c r="T135" i="10"/>
  <c r="Q140" i="10"/>
  <c r="Q222" i="10" s="1"/>
  <c r="C136" i="10"/>
  <c r="K121" i="10"/>
  <c r="K218" i="10" s="1"/>
  <c r="AA137" i="10"/>
  <c r="K108" i="13"/>
  <c r="K230" i="13" s="1"/>
  <c r="K128" i="13"/>
  <c r="K234" i="13" s="1"/>
  <c r="K112" i="13"/>
  <c r="K231" i="13" s="1"/>
  <c r="M118" i="13"/>
  <c r="Q129" i="10"/>
  <c r="Q220" i="10" s="1"/>
  <c r="Y108" i="13"/>
  <c r="Y230" i="13" s="1"/>
  <c r="Z117" i="13"/>
  <c r="Z232" i="13" s="1"/>
  <c r="AA111" i="13"/>
  <c r="Q123" i="13"/>
  <c r="Q233" i="13" s="1"/>
  <c r="P103" i="13"/>
  <c r="T100" i="13"/>
  <c r="T101" i="13"/>
  <c r="Q108" i="13"/>
  <c r="Q230" i="13" s="1"/>
  <c r="R111" i="10"/>
  <c r="R215" i="10" s="1"/>
  <c r="AA64" i="10"/>
  <c r="W67" i="10"/>
  <c r="W121" i="10"/>
  <c r="P125" i="10"/>
  <c r="B73" i="10"/>
  <c r="M73" i="10"/>
  <c r="M62" i="10"/>
  <c r="B62" i="10"/>
  <c r="C94" i="10"/>
  <c r="X80" i="10"/>
  <c r="X202" i="10" s="1"/>
  <c r="T87" i="10"/>
  <c r="R95" i="10"/>
  <c r="R205" i="10" s="1"/>
  <c r="T65" i="10"/>
  <c r="Q100" i="10"/>
  <c r="Q206" i="10" s="1"/>
  <c r="C98" i="10"/>
  <c r="D77" i="10"/>
  <c r="B78" i="10"/>
  <c r="M78" i="10"/>
  <c r="K67" i="10"/>
  <c r="K199" i="10" s="1"/>
  <c r="D64" i="10"/>
  <c r="E84" i="10"/>
  <c r="E94" i="10"/>
  <c r="E64" i="10"/>
  <c r="L67" i="10"/>
  <c r="L199" i="10" s="1"/>
  <c r="D84" i="10"/>
  <c r="C71" i="10"/>
  <c r="AP54" i="6"/>
  <c r="AL56" i="6"/>
  <c r="AL50" i="6"/>
  <c r="AP45" i="6"/>
  <c r="AP64" i="6"/>
  <c r="AL66" i="6"/>
  <c r="BH82" i="6"/>
  <c r="BD69" i="6"/>
  <c r="BC71" i="6"/>
  <c r="BC96" i="6" s="1"/>
  <c r="AZ63" i="6"/>
  <c r="BD60" i="6"/>
  <c r="G116" i="5"/>
  <c r="AW72" i="6"/>
  <c r="AS77" i="6"/>
  <c r="AW77" i="6" s="1"/>
  <c r="AP78" i="6"/>
  <c r="AL82" i="6"/>
  <c r="AP74" i="6"/>
  <c r="BA63" i="6"/>
  <c r="BA94" i="6" s="1"/>
  <c r="BJ56" i="6"/>
  <c r="BJ92" i="6" s="1"/>
  <c r="BD58" i="6"/>
  <c r="G61" i="6"/>
  <c r="AI58" i="6"/>
  <c r="AE71" i="6"/>
  <c r="AI67" i="6"/>
  <c r="G154" i="5"/>
  <c r="C156" i="5"/>
  <c r="E163" i="5"/>
  <c r="E192" i="5" s="1"/>
  <c r="N79" i="6"/>
  <c r="S53" i="6"/>
  <c r="S91" i="6" s="1"/>
  <c r="R71" i="6"/>
  <c r="R96" i="6" s="1"/>
  <c r="Q77" i="6"/>
  <c r="U72" i="6"/>
  <c r="G226" i="5"/>
  <c r="C230" i="5"/>
  <c r="G89" i="5"/>
  <c r="M63" i="6"/>
  <c r="M94" i="6" s="1"/>
  <c r="N74" i="6"/>
  <c r="G68" i="6"/>
  <c r="G49" i="6"/>
  <c r="AE31" i="5"/>
  <c r="AI29" i="5"/>
  <c r="C206" i="3"/>
  <c r="G204" i="3"/>
  <c r="T54" i="5"/>
  <c r="T70" i="5" s="1"/>
  <c r="N29" i="5"/>
  <c r="J31" i="5"/>
  <c r="AB47" i="5"/>
  <c r="U52" i="5"/>
  <c r="AB41" i="5"/>
  <c r="AS25" i="5"/>
  <c r="AW23" i="5"/>
  <c r="AO22" i="5"/>
  <c r="AO62" i="5" s="1"/>
  <c r="AP17" i="5"/>
  <c r="G222" i="3"/>
  <c r="T31" i="5"/>
  <c r="T65" i="5" s="1"/>
  <c r="U47" i="5"/>
  <c r="AO43" i="5"/>
  <c r="AO68" i="5" s="1"/>
  <c r="AL22" i="5"/>
  <c r="G132" i="3"/>
  <c r="G147" i="3"/>
  <c r="Q54" i="5"/>
  <c r="D38" i="5"/>
  <c r="D67" i="5" s="1"/>
  <c r="D156" i="3"/>
  <c r="D181" i="3" s="1"/>
  <c r="G36" i="5"/>
  <c r="C38" i="5"/>
  <c r="F49" i="5"/>
  <c r="F69" i="5" s="1"/>
  <c r="G46" i="5"/>
  <c r="F167" i="3"/>
  <c r="F183" i="3" s="1"/>
  <c r="J22" i="5"/>
  <c r="Q75" i="3"/>
  <c r="U73" i="3"/>
  <c r="R85" i="3"/>
  <c r="R116" i="3" s="1"/>
  <c r="T93" i="3"/>
  <c r="T118" i="3" s="1"/>
  <c r="N89" i="3"/>
  <c r="J93" i="3"/>
  <c r="AB97" i="3"/>
  <c r="AB100" i="3"/>
  <c r="X104" i="3"/>
  <c r="U102" i="3"/>
  <c r="U95" i="3"/>
  <c r="M99" i="3"/>
  <c r="M119" i="3" s="1"/>
  <c r="N90" i="3"/>
  <c r="AT93" i="3"/>
  <c r="AT118" i="3" s="1"/>
  <c r="G223" i="2"/>
  <c r="G203" i="2"/>
  <c r="E213" i="2"/>
  <c r="E247" i="2" s="1"/>
  <c r="G209" i="2"/>
  <c r="D213" i="2"/>
  <c r="D247" i="2" s="1"/>
  <c r="G94" i="2"/>
  <c r="C95" i="2"/>
  <c r="AB105" i="2"/>
  <c r="AW83" i="2"/>
  <c r="AS85" i="2"/>
  <c r="AI103" i="3"/>
  <c r="AI86" i="3"/>
  <c r="AE88" i="3"/>
  <c r="AH93" i="3"/>
  <c r="AH118" i="3" s="1"/>
  <c r="AI95" i="3"/>
  <c r="U76" i="2"/>
  <c r="AV92" i="2"/>
  <c r="AV123" i="2" s="1"/>
  <c r="AW91" i="2"/>
  <c r="T79" i="2"/>
  <c r="T119" i="2" s="1"/>
  <c r="G69" i="3"/>
  <c r="F99" i="3"/>
  <c r="F119" i="3" s="1"/>
  <c r="AL85" i="2"/>
  <c r="AP83" i="2"/>
  <c r="AP74" i="2"/>
  <c r="AL79" i="2"/>
  <c r="AF100" i="2"/>
  <c r="AF125" i="2" s="1"/>
  <c r="AG82" i="2"/>
  <c r="AG120" i="2" s="1"/>
  <c r="AI109" i="2"/>
  <c r="AI110" i="2"/>
  <c r="M88" i="2"/>
  <c r="M122" i="2" s="1"/>
  <c r="L95" i="2"/>
  <c r="L124" i="2" s="1"/>
  <c r="N76" i="2"/>
  <c r="AB83" i="2"/>
  <c r="AM104" i="3"/>
  <c r="AM120" i="3" s="1"/>
  <c r="Q99" i="3"/>
  <c r="AA142" i="10"/>
  <c r="T133" i="10"/>
  <c r="B133" i="10"/>
  <c r="P121" i="10"/>
  <c r="T118" i="10"/>
  <c r="T138" i="10"/>
  <c r="S140" i="10"/>
  <c r="S222" i="10" s="1"/>
  <c r="C137" i="10"/>
  <c r="K123" i="13"/>
  <c r="K233" i="13" s="1"/>
  <c r="J128" i="13"/>
  <c r="J234" i="13" s="1"/>
  <c r="I108" i="13"/>
  <c r="M104" i="13"/>
  <c r="D130" i="10"/>
  <c r="X92" i="13"/>
  <c r="X226" i="13" s="1"/>
  <c r="AA118" i="13"/>
  <c r="AA90" i="13"/>
  <c r="AA115" i="13"/>
  <c r="T106" i="13"/>
  <c r="T104" i="13"/>
  <c r="P108" i="13"/>
  <c r="T115" i="13"/>
  <c r="AA97" i="10"/>
  <c r="AA98" i="10"/>
  <c r="AA61" i="10"/>
  <c r="T122" i="10"/>
  <c r="T71" i="10"/>
  <c r="P75" i="10"/>
  <c r="R89" i="10"/>
  <c r="R204" i="10" s="1"/>
  <c r="Q95" i="10"/>
  <c r="Q205" i="10" s="1"/>
  <c r="P70" i="10"/>
  <c r="T68" i="10"/>
  <c r="T88" i="10"/>
  <c r="T98" i="10"/>
  <c r="E86" i="10"/>
  <c r="L89" i="10"/>
  <c r="L204" i="10" s="1"/>
  <c r="D99" i="10"/>
  <c r="C79" i="10"/>
  <c r="E65" i="10"/>
  <c r="D88" i="10"/>
  <c r="E74" i="10"/>
  <c r="I89" i="10"/>
  <c r="M86" i="10"/>
  <c r="B86" i="10"/>
  <c r="E97" i="10"/>
  <c r="C244" i="6"/>
  <c r="G242" i="6"/>
  <c r="T76" i="10"/>
  <c r="P80" i="10"/>
  <c r="E87" i="10"/>
  <c r="R70" i="10"/>
  <c r="R200" i="10" s="1"/>
  <c r="G236" i="6"/>
  <c r="C238" i="6"/>
  <c r="T90" i="10"/>
  <c r="C132" i="6"/>
  <c r="G128" i="6"/>
  <c r="M98" i="10"/>
  <c r="G114" i="5"/>
  <c r="C117" i="5"/>
  <c r="BK68" i="6"/>
  <c r="BG82" i="6"/>
  <c r="BK78" i="6"/>
  <c r="AP58" i="6"/>
  <c r="BK47" i="6"/>
  <c r="BA82" i="6"/>
  <c r="BA77" i="6"/>
  <c r="F117" i="5"/>
  <c r="F133" i="5" s="1"/>
  <c r="AW78" i="6"/>
  <c r="AS82" i="6"/>
  <c r="AW82" i="6" s="1"/>
  <c r="AN71" i="6"/>
  <c r="AN96" i="6" s="1"/>
  <c r="BB66" i="6"/>
  <c r="BB95" i="6" s="1"/>
  <c r="BK57" i="6"/>
  <c r="BG59" i="6"/>
  <c r="AP68" i="6"/>
  <c r="AW54" i="6"/>
  <c r="AS56" i="6"/>
  <c r="AF63" i="6"/>
  <c r="AF94" i="6" s="1"/>
  <c r="AI54" i="6"/>
  <c r="AE56" i="6"/>
  <c r="AI52" i="6"/>
  <c r="AF59" i="6"/>
  <c r="AF93" i="6" s="1"/>
  <c r="AI74" i="6"/>
  <c r="C174" i="5"/>
  <c r="G169" i="5"/>
  <c r="N76" i="6"/>
  <c r="R56" i="6"/>
  <c r="R92" i="6" s="1"/>
  <c r="N72" i="6"/>
  <c r="J77" i="6"/>
  <c r="N75" i="6"/>
  <c r="F77" i="6"/>
  <c r="G46" i="6"/>
  <c r="F71" i="6"/>
  <c r="F96" i="6" s="1"/>
  <c r="E82" i="6"/>
  <c r="C272" i="3"/>
  <c r="G269" i="3"/>
  <c r="R43" i="5"/>
  <c r="R68" i="5" s="1"/>
  <c r="AP48" i="5"/>
  <c r="U33" i="5"/>
  <c r="AI23" i="5"/>
  <c r="AE25" i="5"/>
  <c r="U19" i="5"/>
  <c r="F106" i="5"/>
  <c r="F131" i="5" s="1"/>
  <c r="Y49" i="5"/>
  <c r="Y69" i="5" s="1"/>
  <c r="G273" i="3"/>
  <c r="C275" i="3"/>
  <c r="Y35" i="5"/>
  <c r="Y66" i="5" s="1"/>
  <c r="D291" i="3"/>
  <c r="D307" i="3" s="1"/>
  <c r="G208" i="3"/>
  <c r="N33" i="5"/>
  <c r="AO25" i="5"/>
  <c r="AO63" i="5" s="1"/>
  <c r="F224" i="3"/>
  <c r="F244" i="3" s="1"/>
  <c r="AS38" i="5"/>
  <c r="AW36" i="5"/>
  <c r="AB39" i="5"/>
  <c r="X43" i="5"/>
  <c r="AL31" i="5"/>
  <c r="AP29" i="5"/>
  <c r="F54" i="5"/>
  <c r="F70" i="5" s="1"/>
  <c r="D141" i="3"/>
  <c r="D177" i="3" s="1"/>
  <c r="C145" i="2"/>
  <c r="G144" i="2"/>
  <c r="D151" i="3"/>
  <c r="D180" i="3" s="1"/>
  <c r="G33" i="5"/>
  <c r="G19" i="5"/>
  <c r="G24" i="5"/>
  <c r="G44" i="5"/>
  <c r="C49" i="5"/>
  <c r="C275" i="2"/>
  <c r="G273" i="2"/>
  <c r="F293" i="2"/>
  <c r="F313" i="2" s="1"/>
  <c r="G280" i="2"/>
  <c r="C282" i="2"/>
  <c r="AB101" i="3"/>
  <c r="Z104" i="3"/>
  <c r="Z120" i="3" s="1"/>
  <c r="Q104" i="3"/>
  <c r="U100" i="3"/>
  <c r="T72" i="3"/>
  <c r="T112" i="3" s="1"/>
  <c r="F266" i="2"/>
  <c r="F306" i="2" s="1"/>
  <c r="U67" i="3"/>
  <c r="S111" i="2"/>
  <c r="S127" i="2" s="1"/>
  <c r="AW110" i="2"/>
  <c r="G214" i="2"/>
  <c r="C217" i="2"/>
  <c r="F213" i="2"/>
  <c r="F247" i="2" s="1"/>
  <c r="G216" i="2"/>
  <c r="U78" i="2"/>
  <c r="G97" i="2"/>
  <c r="AW82" i="3"/>
  <c r="AI69" i="3"/>
  <c r="AI98" i="3"/>
  <c r="AT100" i="2"/>
  <c r="AT125" i="2" s="1"/>
  <c r="Q92" i="2"/>
  <c r="U89" i="2"/>
  <c r="AU95" i="2"/>
  <c r="AU124" i="2" s="1"/>
  <c r="AW101" i="2"/>
  <c r="AS106" i="2"/>
  <c r="G141" i="2"/>
  <c r="G89" i="3"/>
  <c r="C93" i="3"/>
  <c r="E78" i="3"/>
  <c r="E114" i="3" s="1"/>
  <c r="F88" i="3"/>
  <c r="F117" i="3" s="1"/>
  <c r="G68" i="3"/>
  <c r="E99" i="3"/>
  <c r="E119" i="3" s="1"/>
  <c r="AO111" i="2"/>
  <c r="AO127" i="2" s="1"/>
  <c r="AN100" i="2"/>
  <c r="AN125" i="2" s="1"/>
  <c r="AO106" i="2"/>
  <c r="AO126" i="2" s="1"/>
  <c r="AI102" i="2"/>
  <c r="AH106" i="2"/>
  <c r="AH126" i="2" s="1"/>
  <c r="AF85" i="2"/>
  <c r="AF121" i="2" s="1"/>
  <c r="AN92" i="2"/>
  <c r="AN123" i="2" s="1"/>
  <c r="N93" i="2"/>
  <c r="J95" i="2"/>
  <c r="M85" i="2"/>
  <c r="M121" i="2" s="1"/>
  <c r="K95" i="2"/>
  <c r="K124" i="2" s="1"/>
  <c r="N90" i="2"/>
  <c r="AM93" i="3"/>
  <c r="AM118" i="3" s="1"/>
  <c r="AP91" i="3"/>
  <c r="S75" i="3"/>
  <c r="S113" i="3" s="1"/>
  <c r="D81" i="8"/>
  <c r="D101" i="8" s="1"/>
  <c r="E86" i="8"/>
  <c r="E102" i="8" s="1"/>
  <c r="E81" i="8"/>
  <c r="E101" i="8" s="1"/>
  <c r="G71" i="11"/>
  <c r="G38" i="11"/>
  <c r="E53" i="11"/>
  <c r="E84" i="11" s="1"/>
  <c r="T194" i="13"/>
  <c r="T181" i="13"/>
  <c r="W197" i="13"/>
  <c r="AA193" i="13"/>
  <c r="AA200" i="13"/>
  <c r="J183" i="13"/>
  <c r="J260" i="13" s="1"/>
  <c r="M198" i="13"/>
  <c r="I201" i="13"/>
  <c r="K201" i="13"/>
  <c r="K265" i="13" s="1"/>
  <c r="M203" i="13"/>
  <c r="L168" i="13"/>
  <c r="L250" i="13" s="1"/>
  <c r="L162" i="13"/>
  <c r="L249" i="13" s="1"/>
  <c r="B265" i="13"/>
  <c r="F201" i="13"/>
  <c r="I153" i="13"/>
  <c r="M150" i="13"/>
  <c r="AA159" i="13"/>
  <c r="X162" i="13"/>
  <c r="X249" i="13" s="1"/>
  <c r="AA171" i="13"/>
  <c r="Q162" i="13"/>
  <c r="Q249" i="13" s="1"/>
  <c r="T165" i="13"/>
  <c r="T138" i="13"/>
  <c r="R139" i="13"/>
  <c r="R243" i="13" s="1"/>
  <c r="Q149" i="13"/>
  <c r="Q246" i="13" s="1"/>
  <c r="T164" i="13"/>
  <c r="F160" i="13"/>
  <c r="E153" i="13"/>
  <c r="E247" i="13" s="1"/>
  <c r="B162" i="13"/>
  <c r="F158" i="13"/>
  <c r="F147" i="13"/>
  <c r="F143" i="13"/>
  <c r="AA110" i="10"/>
  <c r="I117" i="13"/>
  <c r="M113" i="13"/>
  <c r="T115" i="10"/>
  <c r="P117" i="10"/>
  <c r="T141" i="10"/>
  <c r="P145" i="10"/>
  <c r="AA132" i="10"/>
  <c r="C143" i="10"/>
  <c r="I96" i="13"/>
  <c r="M93" i="13"/>
  <c r="T130" i="10"/>
  <c r="P134" i="10"/>
  <c r="L117" i="10"/>
  <c r="L217" i="10" s="1"/>
  <c r="E115" i="10"/>
  <c r="K117" i="10"/>
  <c r="K217" i="10" s="1"/>
  <c r="D115" i="10"/>
  <c r="M110" i="13"/>
  <c r="J99" i="13"/>
  <c r="J228" i="13" s="1"/>
  <c r="M122" i="13"/>
  <c r="B138" i="10"/>
  <c r="M138" i="10"/>
  <c r="Y125" i="10"/>
  <c r="Y219" i="10" s="1"/>
  <c r="B110" i="10"/>
  <c r="M110" i="10"/>
  <c r="AA121" i="13"/>
  <c r="M115" i="10"/>
  <c r="AA89" i="13"/>
  <c r="AA120" i="13"/>
  <c r="Y96" i="13"/>
  <c r="Y227" i="13" s="1"/>
  <c r="AA116" i="13"/>
  <c r="W63" i="10"/>
  <c r="AA60" i="10"/>
  <c r="R92" i="13"/>
  <c r="R226" i="13" s="1"/>
  <c r="R96" i="13"/>
  <c r="R227" i="13" s="1"/>
  <c r="R99" i="13"/>
  <c r="R228" i="13" s="1"/>
  <c r="T89" i="13"/>
  <c r="P112" i="13"/>
  <c r="T109" i="13"/>
  <c r="T107" i="13"/>
  <c r="R117" i="13"/>
  <c r="R232" i="13" s="1"/>
  <c r="T118" i="13"/>
  <c r="Z100" i="10"/>
  <c r="Z206" i="10" s="1"/>
  <c r="W100" i="10"/>
  <c r="AA96" i="10"/>
  <c r="Y100" i="10"/>
  <c r="Y206" i="10" s="1"/>
  <c r="D116" i="10"/>
  <c r="C116" i="10"/>
  <c r="S89" i="10"/>
  <c r="S204" i="10" s="1"/>
  <c r="G187" i="6"/>
  <c r="C189" i="6"/>
  <c r="S100" i="10"/>
  <c r="S206" i="10" s="1"/>
  <c r="C83" i="10"/>
  <c r="M87" i="10"/>
  <c r="B87" i="10"/>
  <c r="B81" i="10"/>
  <c r="M81" i="10"/>
  <c r="I85" i="10"/>
  <c r="L70" i="10"/>
  <c r="L200" i="10" s="1"/>
  <c r="E68" i="10"/>
  <c r="C92" i="10"/>
  <c r="L80" i="10"/>
  <c r="L202" i="10" s="1"/>
  <c r="E76" i="10"/>
  <c r="C91" i="10"/>
  <c r="C84" i="10"/>
  <c r="C96" i="10"/>
  <c r="E130" i="10"/>
  <c r="F138" i="6"/>
  <c r="F158" i="6" s="1"/>
  <c r="B98" i="10"/>
  <c r="AS53" i="6"/>
  <c r="AW51" i="6"/>
  <c r="BA71" i="6"/>
  <c r="BA96" i="6" s="1"/>
  <c r="BD64" i="6"/>
  <c r="AZ66" i="6"/>
  <c r="G87" i="5"/>
  <c r="C88" i="5"/>
  <c r="AB65" i="6"/>
  <c r="AP80" i="6"/>
  <c r="AO82" i="6"/>
  <c r="E98" i="5"/>
  <c r="E129" i="5" s="1"/>
  <c r="BK70" i="6"/>
  <c r="AN59" i="6"/>
  <c r="AN93" i="6" s="1"/>
  <c r="AB48" i="6"/>
  <c r="AB73" i="6"/>
  <c r="BJ71" i="6"/>
  <c r="BJ96" i="6" s="1"/>
  <c r="Y56" i="6"/>
  <c r="Y92" i="6" s="1"/>
  <c r="U70" i="6"/>
  <c r="D150" i="5"/>
  <c r="D188" i="5" s="1"/>
  <c r="AI51" i="6"/>
  <c r="AE53" i="6"/>
  <c r="F160" i="5"/>
  <c r="F191" i="5" s="1"/>
  <c r="AG77" i="6"/>
  <c r="AH77" i="6"/>
  <c r="G166" i="5"/>
  <c r="G171" i="5"/>
  <c r="G143" i="5"/>
  <c r="N69" i="6"/>
  <c r="T59" i="6"/>
  <c r="T93" i="6" s="1"/>
  <c r="U58" i="6"/>
  <c r="U61" i="6"/>
  <c r="U74" i="6"/>
  <c r="U79" i="6"/>
  <c r="G231" i="5"/>
  <c r="C236" i="5"/>
  <c r="G79" i="6"/>
  <c r="M50" i="6"/>
  <c r="M90" i="6" s="1"/>
  <c r="M66" i="6"/>
  <c r="M95" i="6" s="1"/>
  <c r="J82" i="6"/>
  <c r="N78" i="6"/>
  <c r="D59" i="6"/>
  <c r="D93" i="6" s="1"/>
  <c r="F63" i="6"/>
  <c r="F94" i="6" s="1"/>
  <c r="C82" i="6"/>
  <c r="G78" i="6"/>
  <c r="AL38" i="5"/>
  <c r="AP36" i="5"/>
  <c r="AH72" i="5"/>
  <c r="AH71" i="5"/>
  <c r="F268" i="3"/>
  <c r="F302" i="3" s="1"/>
  <c r="D197" i="3"/>
  <c r="D237" i="3" s="1"/>
  <c r="AP27" i="5"/>
  <c r="E229" i="3"/>
  <c r="E245" i="3" s="1"/>
  <c r="U27" i="5"/>
  <c r="AA54" i="5"/>
  <c r="AA70" i="5" s="1"/>
  <c r="C259" i="3"/>
  <c r="G254" i="3"/>
  <c r="AP34" i="5"/>
  <c r="U51" i="5"/>
  <c r="U57" i="6"/>
  <c r="E286" i="3"/>
  <c r="E306" i="3" s="1"/>
  <c r="N48" i="5"/>
  <c r="AN35" i="5"/>
  <c r="AN66" i="5" s="1"/>
  <c r="AB53" i="5"/>
  <c r="Z38" i="5"/>
  <c r="Z67" i="5" s="1"/>
  <c r="S31" i="5"/>
  <c r="S65" i="5" s="1"/>
  <c r="E156" i="3"/>
  <c r="E181" i="3" s="1"/>
  <c r="C141" i="3"/>
  <c r="G140" i="3"/>
  <c r="G165" i="3"/>
  <c r="G142" i="3"/>
  <c r="C144" i="3"/>
  <c r="AB26" i="5"/>
  <c r="F138" i="3"/>
  <c r="F176" i="3" s="1"/>
  <c r="AW74" i="3"/>
  <c r="AS75" i="3"/>
  <c r="D31" i="5"/>
  <c r="D65" i="5" s="1"/>
  <c r="G21" i="5"/>
  <c r="G27" i="5"/>
  <c r="AS104" i="3"/>
  <c r="E272" i="2"/>
  <c r="E308" i="2" s="1"/>
  <c r="G286" i="2"/>
  <c r="X81" i="3"/>
  <c r="AB79" i="3"/>
  <c r="G277" i="2"/>
  <c r="AB71" i="3"/>
  <c r="L85" i="3"/>
  <c r="L116" i="3" s="1"/>
  <c r="U103" i="3"/>
  <c r="R81" i="3"/>
  <c r="R115" i="3" s="1"/>
  <c r="Q78" i="3"/>
  <c r="U76" i="3"/>
  <c r="U92" i="3"/>
  <c r="G264" i="2"/>
  <c r="Q88" i="3"/>
  <c r="U86" i="3"/>
  <c r="N71" i="3"/>
  <c r="C287" i="2"/>
  <c r="Q100" i="2"/>
  <c r="U96" i="2"/>
  <c r="AB86" i="3"/>
  <c r="E293" i="2"/>
  <c r="E313" i="2" s="1"/>
  <c r="G215" i="2"/>
  <c r="D217" i="2"/>
  <c r="D248" i="2" s="1"/>
  <c r="E220" i="2"/>
  <c r="E249" i="2" s="1"/>
  <c r="AA95" i="2"/>
  <c r="AA124" i="2" s="1"/>
  <c r="G83" i="2"/>
  <c r="AE81" i="3"/>
  <c r="AI79" i="3"/>
  <c r="AI80" i="3"/>
  <c r="AF104" i="3"/>
  <c r="AF120" i="3" s="1"/>
  <c r="AE93" i="3"/>
  <c r="AI89" i="3"/>
  <c r="AI101" i="3"/>
  <c r="AI91" i="3"/>
  <c r="X79" i="2"/>
  <c r="AB74" i="2"/>
  <c r="S85" i="2"/>
  <c r="S121" i="2" s="1"/>
  <c r="AU100" i="2"/>
  <c r="AU125" i="2" s="1"/>
  <c r="X100" i="2"/>
  <c r="AB96" i="2"/>
  <c r="G163" i="3"/>
  <c r="AT111" i="2"/>
  <c r="AT127" i="2" s="1"/>
  <c r="G70" i="3"/>
  <c r="E81" i="3"/>
  <c r="E115" i="3" s="1"/>
  <c r="E93" i="3"/>
  <c r="E118" i="3" s="1"/>
  <c r="E104" i="3"/>
  <c r="E120" i="3" s="1"/>
  <c r="D88" i="3"/>
  <c r="D117" i="3" s="1"/>
  <c r="AP101" i="2"/>
  <c r="AL106" i="2"/>
  <c r="AO79" i="2"/>
  <c r="AO119" i="2" s="1"/>
  <c r="AP84" i="2"/>
  <c r="AM100" i="2"/>
  <c r="AM125" i="2" s="1"/>
  <c r="AP110" i="2"/>
  <c r="AI108" i="2"/>
  <c r="AF92" i="2"/>
  <c r="AF123" i="2" s="1"/>
  <c r="N75" i="2"/>
  <c r="J79" i="2"/>
  <c r="N74" i="2"/>
  <c r="L100" i="2"/>
  <c r="L125" i="2" s="1"/>
  <c r="N87" i="2"/>
  <c r="K100" i="2"/>
  <c r="K125" i="2" s="1"/>
  <c r="AB80" i="2"/>
  <c r="AP70" i="3"/>
  <c r="AL99" i="3"/>
  <c r="AP94" i="3"/>
  <c r="AP87" i="3"/>
  <c r="AG92" i="2"/>
  <c r="AG123" i="2" s="1"/>
  <c r="C262" i="6"/>
  <c r="G257" i="6"/>
  <c r="T64" i="10"/>
  <c r="P67" i="10"/>
  <c r="T94" i="10"/>
  <c r="K95" i="10"/>
  <c r="K205" i="10" s="1"/>
  <c r="D90" i="10"/>
  <c r="M83" i="10"/>
  <c r="B83" i="10"/>
  <c r="M72" i="10"/>
  <c r="B72" i="10"/>
  <c r="R100" i="10"/>
  <c r="R206" i="10" s="1"/>
  <c r="B71" i="10"/>
  <c r="M71" i="10"/>
  <c r="I75" i="10"/>
  <c r="G107" i="5"/>
  <c r="C112" i="5"/>
  <c r="BD61" i="6"/>
  <c r="BJ66" i="6"/>
  <c r="BJ95" i="6" s="1"/>
  <c r="G109" i="5"/>
  <c r="BD79" i="6"/>
  <c r="AP69" i="6"/>
  <c r="AP62" i="6"/>
  <c r="AA50" i="6"/>
  <c r="AA90" i="6" s="1"/>
  <c r="U47" i="6"/>
  <c r="C150" i="5"/>
  <c r="G148" i="5"/>
  <c r="AE82" i="6"/>
  <c r="AI78" i="6"/>
  <c r="AH82" i="6"/>
  <c r="E179" i="5"/>
  <c r="E195" i="5" s="1"/>
  <c r="G176" i="5"/>
  <c r="G223" i="5"/>
  <c r="C225" i="5"/>
  <c r="C212" i="5"/>
  <c r="G210" i="5"/>
  <c r="N48" i="6"/>
  <c r="K66" i="6"/>
  <c r="K95" i="6" s="1"/>
  <c r="F56" i="6"/>
  <c r="F92" i="6" s="1"/>
  <c r="AE49" i="5"/>
  <c r="AI44" i="5"/>
  <c r="S38" i="5"/>
  <c r="S67" i="5" s="1"/>
  <c r="R22" i="5"/>
  <c r="R62" i="5" s="1"/>
  <c r="AB37" i="5"/>
  <c r="AP53" i="5"/>
  <c r="G264" i="3"/>
  <c r="N41" i="5"/>
  <c r="J43" i="5"/>
  <c r="AP21" i="5"/>
  <c r="AS49" i="5"/>
  <c r="AW44" i="5"/>
  <c r="AI39" i="5"/>
  <c r="AE43" i="5"/>
  <c r="AP44" i="5"/>
  <c r="AL49" i="5"/>
  <c r="G47" i="5"/>
  <c r="E141" i="3"/>
  <c r="E177" i="3" s="1"/>
  <c r="G134" i="3"/>
  <c r="D138" i="3"/>
  <c r="D176" i="3" s="1"/>
  <c r="D35" i="5"/>
  <c r="D66" i="5" s="1"/>
  <c r="G152" i="3"/>
  <c r="C156" i="3"/>
  <c r="L99" i="3"/>
  <c r="L119" i="3" s="1"/>
  <c r="U77" i="3"/>
  <c r="E287" i="2"/>
  <c r="E312" i="2" s="1"/>
  <c r="AU85" i="3"/>
  <c r="AU116" i="3" s="1"/>
  <c r="G267" i="2"/>
  <c r="C269" i="2"/>
  <c r="X93" i="3"/>
  <c r="AB89" i="3"/>
  <c r="N82" i="3"/>
  <c r="J85" i="3"/>
  <c r="N94" i="3"/>
  <c r="J99" i="3"/>
  <c r="N102" i="3"/>
  <c r="S79" i="2"/>
  <c r="S119" i="2" s="1"/>
  <c r="N67" i="3"/>
  <c r="AB76" i="2"/>
  <c r="AI73" i="3"/>
  <c r="AE75" i="3"/>
  <c r="AI96" i="3"/>
  <c r="AI92" i="3"/>
  <c r="E79" i="2"/>
  <c r="E119" i="2" s="1"/>
  <c r="AW103" i="2"/>
  <c r="Y100" i="2"/>
  <c r="Y125" i="2" s="1"/>
  <c r="G218" i="5"/>
  <c r="C252" i="5"/>
  <c r="G73" i="3"/>
  <c r="C75" i="3"/>
  <c r="G67" i="3"/>
  <c r="C72" i="3"/>
  <c r="G86" i="3"/>
  <c r="C88" i="3"/>
  <c r="AP104" i="2"/>
  <c r="AP99" i="2"/>
  <c r="AB75" i="2"/>
  <c r="AH111" i="2"/>
  <c r="AH127" i="2" s="1"/>
  <c r="AI93" i="2"/>
  <c r="AE95" i="2"/>
  <c r="AB107" i="2"/>
  <c r="AI86" i="2"/>
  <c r="AE88" i="2"/>
  <c r="N77" i="2"/>
  <c r="N101" i="2"/>
  <c r="J106" i="2"/>
  <c r="AO88" i="3"/>
  <c r="AO117" i="3" s="1"/>
  <c r="AO72" i="3"/>
  <c r="AO112" i="3" s="1"/>
  <c r="AL93" i="3"/>
  <c r="AP89" i="3"/>
  <c r="F164" i="13"/>
  <c r="F156" i="13"/>
  <c r="D141" i="10"/>
  <c r="K145" i="10"/>
  <c r="K223" i="10" s="1"/>
  <c r="T109" i="10"/>
  <c r="Q134" i="10"/>
  <c r="Q221" i="10" s="1"/>
  <c r="E128" i="10"/>
  <c r="E112" i="10"/>
  <c r="L114" i="10"/>
  <c r="L216" i="10" s="1"/>
  <c r="M128" i="10"/>
  <c r="B128" i="10"/>
  <c r="M90" i="13"/>
  <c r="L103" i="13"/>
  <c r="L229" i="13" s="1"/>
  <c r="J123" i="13"/>
  <c r="J233" i="13" s="1"/>
  <c r="X145" i="10"/>
  <c r="X223" i="10" s="1"/>
  <c r="J140" i="10"/>
  <c r="J222" i="10" s="1"/>
  <c r="AA141" i="10"/>
  <c r="C112" i="10"/>
  <c r="Z92" i="13"/>
  <c r="Z226" i="13" s="1"/>
  <c r="W99" i="13"/>
  <c r="AA97" i="13"/>
  <c r="AA127" i="13"/>
  <c r="Z103" i="13"/>
  <c r="Z229" i="13" s="1"/>
  <c r="P96" i="13"/>
  <c r="T93" i="13"/>
  <c r="P117" i="13"/>
  <c r="T113" i="13"/>
  <c r="T116" i="13"/>
  <c r="T124" i="13"/>
  <c r="P128" i="13"/>
  <c r="AA93" i="10"/>
  <c r="AA99" i="10"/>
  <c r="X95" i="10"/>
  <c r="X205" i="10" s="1"/>
  <c r="C267" i="6"/>
  <c r="G263" i="6"/>
  <c r="C182" i="6"/>
  <c r="G180" i="6"/>
  <c r="D82" i="10"/>
  <c r="P100" i="10"/>
  <c r="T96" i="10"/>
  <c r="P89" i="10"/>
  <c r="T86" i="10"/>
  <c r="L100" i="10"/>
  <c r="L206" i="10" s="1"/>
  <c r="E96" i="10"/>
  <c r="C87" i="10"/>
  <c r="B74" i="10"/>
  <c r="J67" i="10"/>
  <c r="J199" i="10" s="1"/>
  <c r="C64" i="10"/>
  <c r="C82" i="10"/>
  <c r="C66" i="10"/>
  <c r="S70" i="10"/>
  <c r="S200" i="10" s="1"/>
  <c r="K89" i="10"/>
  <c r="K204" i="10" s="1"/>
  <c r="G126" i="6"/>
  <c r="C117" i="6"/>
  <c r="G115" i="6"/>
  <c r="BJ82" i="6"/>
  <c r="BJ63" i="6"/>
  <c r="BJ94" i="6" s="1"/>
  <c r="BB82" i="6"/>
  <c r="BD68" i="6"/>
  <c r="AW57" i="6"/>
  <c r="AS59" i="6"/>
  <c r="AP76" i="6"/>
  <c r="AM59" i="6"/>
  <c r="AM93" i="6" s="1"/>
  <c r="AP55" i="6"/>
  <c r="AB79" i="6"/>
  <c r="AB80" i="6"/>
  <c r="Z66" i="6"/>
  <c r="Z95" i="6" s="1"/>
  <c r="Z82" i="6"/>
  <c r="BK54" i="6"/>
  <c r="AB45" i="6"/>
  <c r="AI81" i="6"/>
  <c r="AH71" i="6"/>
  <c r="AH96" i="6" s="1"/>
  <c r="F179" i="5"/>
  <c r="F195" i="5" s="1"/>
  <c r="G52" i="6"/>
  <c r="U75" i="6"/>
  <c r="U78" i="6"/>
  <c r="Q82" i="6"/>
  <c r="T82" i="6"/>
  <c r="K50" i="6"/>
  <c r="K90" i="6" s="1"/>
  <c r="K53" i="6"/>
  <c r="K91" i="6" s="1"/>
  <c r="G75" i="6"/>
  <c r="E59" i="6"/>
  <c r="E93" i="6" s="1"/>
  <c r="L49" i="5"/>
  <c r="L69" i="5" s="1"/>
  <c r="AS28" i="5"/>
  <c r="AW26" i="5"/>
  <c r="AG72" i="5"/>
  <c r="AG71" i="5"/>
  <c r="AP52" i="5"/>
  <c r="C197" i="3"/>
  <c r="G192" i="3"/>
  <c r="Z49" i="5"/>
  <c r="Z69" i="5" s="1"/>
  <c r="N26" i="5"/>
  <c r="J28" i="5"/>
  <c r="AU72" i="5"/>
  <c r="AU71" i="5"/>
  <c r="AT72" i="5"/>
  <c r="AT71" i="5"/>
  <c r="G261" i="3"/>
  <c r="C262" i="3"/>
  <c r="U46" i="5"/>
  <c r="K43" i="5"/>
  <c r="K68" i="5" s="1"/>
  <c r="G196" i="3"/>
  <c r="AW39" i="5"/>
  <c r="AS43" i="5"/>
  <c r="G282" i="3"/>
  <c r="F210" i="3"/>
  <c r="F241" i="3" s="1"/>
  <c r="G207" i="3"/>
  <c r="R49" i="5"/>
  <c r="R69" i="5" s="1"/>
  <c r="AB45" i="5"/>
  <c r="X35" i="5"/>
  <c r="F148" i="3"/>
  <c r="F179" i="3" s="1"/>
  <c r="D49" i="5"/>
  <c r="D69" i="5" s="1"/>
  <c r="E135" i="3"/>
  <c r="E175" i="3" s="1"/>
  <c r="AW91" i="3"/>
  <c r="AS93" i="3"/>
  <c r="E25" i="5"/>
  <c r="E63" i="5" s="1"/>
  <c r="C28" i="5"/>
  <c r="G26" i="5"/>
  <c r="G41" i="5"/>
  <c r="G37" i="5"/>
  <c r="C151" i="3"/>
  <c r="G149" i="3"/>
  <c r="AW76" i="3"/>
  <c r="Q85" i="3"/>
  <c r="U82" i="3"/>
  <c r="K85" i="3"/>
  <c r="K116" i="3" s="1"/>
  <c r="AB92" i="3"/>
  <c r="G295" i="2"/>
  <c r="U84" i="3"/>
  <c r="T81" i="3"/>
  <c r="T115" i="3" s="1"/>
  <c r="R93" i="3"/>
  <c r="R118" i="3" s="1"/>
  <c r="K93" i="3"/>
  <c r="K118" i="3" s="1"/>
  <c r="N97" i="3"/>
  <c r="Q95" i="2"/>
  <c r="U93" i="2"/>
  <c r="E204" i="2"/>
  <c r="E244" i="2" s="1"/>
  <c r="E207" i="2"/>
  <c r="E245" i="2" s="1"/>
  <c r="G222" i="2"/>
  <c r="G228" i="2"/>
  <c r="AA92" i="2"/>
  <c r="AA123" i="2" s="1"/>
  <c r="G76" i="2"/>
  <c r="G109" i="2"/>
  <c r="AB103" i="2"/>
  <c r="N86" i="3"/>
  <c r="AI77" i="3"/>
  <c r="AG88" i="3"/>
  <c r="AG117" i="3" s="1"/>
  <c r="X106" i="2"/>
  <c r="AB101" i="2"/>
  <c r="U87" i="2"/>
  <c r="S82" i="2"/>
  <c r="S120" i="2" s="1"/>
  <c r="AW84" i="2"/>
  <c r="AM106" i="2"/>
  <c r="AM126" i="2" s="1"/>
  <c r="X72" i="3"/>
  <c r="C99" i="3"/>
  <c r="G94" i="3"/>
  <c r="M92" i="2"/>
  <c r="M123" i="2" s="1"/>
  <c r="AN95" i="2"/>
  <c r="AN124" i="2" s="1"/>
  <c r="AL100" i="2"/>
  <c r="AP96" i="2"/>
  <c r="AL111" i="2"/>
  <c r="AP107" i="2"/>
  <c r="AP102" i="2"/>
  <c r="AI104" i="2"/>
  <c r="AI90" i="2"/>
  <c r="J111" i="2"/>
  <c r="N107" i="2"/>
  <c r="AI81" i="2"/>
  <c r="K92" i="2"/>
  <c r="K123" i="2" s="1"/>
  <c r="N102" i="2"/>
  <c r="AM99" i="3"/>
  <c r="AM119" i="3" s="1"/>
  <c r="AN93" i="3"/>
  <c r="AN118" i="3" s="1"/>
  <c r="AP96" i="3"/>
  <c r="AL88" i="3"/>
  <c r="AP86" i="3"/>
  <c r="AH82" i="2"/>
  <c r="AH120" i="2" s="1"/>
  <c r="AW89" i="2"/>
  <c r="W153" i="13"/>
  <c r="AA150" i="13"/>
  <c r="D157" i="13"/>
  <c r="D248" i="13" s="1"/>
  <c r="B168" i="13"/>
  <c r="F163" i="13"/>
  <c r="F167" i="13"/>
  <c r="F159" i="13"/>
  <c r="W111" i="10"/>
  <c r="AA107" i="10"/>
  <c r="T128" i="10"/>
  <c r="B108" i="10"/>
  <c r="M108" i="10"/>
  <c r="E131" i="10"/>
  <c r="Z129" i="10"/>
  <c r="Z220" i="10" s="1"/>
  <c r="M100" i="13"/>
  <c r="I103" i="13"/>
  <c r="M88" i="13"/>
  <c r="I92" i="13"/>
  <c r="L108" i="13"/>
  <c r="L230" i="13" s="1"/>
  <c r="J112" i="13"/>
  <c r="J231" i="13" s="1"/>
  <c r="D138" i="10"/>
  <c r="Y140" i="10"/>
  <c r="Y222" i="10" s="1"/>
  <c r="M119" i="10"/>
  <c r="I121" i="10"/>
  <c r="W145" i="10"/>
  <c r="Y103" i="13"/>
  <c r="Y229" i="13" s="1"/>
  <c r="Y112" i="13"/>
  <c r="Y231" i="13" s="1"/>
  <c r="Y117" i="13"/>
  <c r="Y232" i="13" s="1"/>
  <c r="AA125" i="13"/>
  <c r="Y123" i="13"/>
  <c r="Y233" i="13" s="1"/>
  <c r="M112" i="10"/>
  <c r="R112" i="13"/>
  <c r="R231" i="13" s="1"/>
  <c r="T120" i="13"/>
  <c r="T127" i="13"/>
  <c r="X89" i="10"/>
  <c r="X204" i="10" s="1"/>
  <c r="AA86" i="10"/>
  <c r="W89" i="10"/>
  <c r="W75" i="10"/>
  <c r="AA71" i="10"/>
  <c r="B60" i="10"/>
  <c r="I63" i="10"/>
  <c r="M60" i="10"/>
  <c r="I95" i="10"/>
  <c r="I205" i="10" s="1"/>
  <c r="B90" i="10"/>
  <c r="M90" i="10"/>
  <c r="D98" i="10"/>
  <c r="L95" i="10"/>
  <c r="L205" i="10" s="1"/>
  <c r="E90" i="10"/>
  <c r="B76" i="10"/>
  <c r="I80" i="10"/>
  <c r="M76" i="10"/>
  <c r="E72" i="10"/>
  <c r="B84" i="10"/>
  <c r="C97" i="10"/>
  <c r="G245" i="6"/>
  <c r="C248" i="6"/>
  <c r="B66" i="10"/>
  <c r="M66" i="10"/>
  <c r="G141" i="6"/>
  <c r="C120" i="6"/>
  <c r="G118" i="6"/>
  <c r="G110" i="6"/>
  <c r="D124" i="6"/>
  <c r="D155" i="6" s="1"/>
  <c r="D143" i="6"/>
  <c r="D159" i="6" s="1"/>
  <c r="AS63" i="6"/>
  <c r="AW60" i="6"/>
  <c r="C106" i="5"/>
  <c r="G102" i="5"/>
  <c r="BK80" i="6"/>
  <c r="AP46" i="6"/>
  <c r="C94" i="5"/>
  <c r="G92" i="5"/>
  <c r="AB47" i="6"/>
  <c r="BC63" i="6"/>
  <c r="BC94" i="6" s="1"/>
  <c r="AM82" i="6"/>
  <c r="G82" i="5"/>
  <c r="AA71" i="6"/>
  <c r="AA96" i="6" s="1"/>
  <c r="X66" i="6"/>
  <c r="AB64" i="6"/>
  <c r="AB69" i="6"/>
  <c r="AA66" i="6"/>
  <c r="AA95" i="6" s="1"/>
  <c r="AP51" i="6"/>
  <c r="AI62" i="6"/>
  <c r="AG63" i="6"/>
  <c r="AG94" i="6" s="1"/>
  <c r="AF50" i="6"/>
  <c r="AF90" i="6" s="1"/>
  <c r="AF82" i="6"/>
  <c r="AI72" i="6"/>
  <c r="AE77" i="6"/>
  <c r="AI79" i="6"/>
  <c r="G161" i="5"/>
  <c r="C163" i="5"/>
  <c r="G178" i="5"/>
  <c r="E147" i="5"/>
  <c r="E187" i="5" s="1"/>
  <c r="F147" i="5"/>
  <c r="F187" i="5" s="1"/>
  <c r="U51" i="6"/>
  <c r="Q53" i="6"/>
  <c r="U73" i="6"/>
  <c r="S77" i="6"/>
  <c r="R50" i="6"/>
  <c r="R90" i="6" s="1"/>
  <c r="T50" i="6"/>
  <c r="T90" i="6" s="1"/>
  <c r="U65" i="6"/>
  <c r="M53" i="6"/>
  <c r="M91" i="6" s="1"/>
  <c r="N52" i="6"/>
  <c r="N55" i="6"/>
  <c r="M82" i="6"/>
  <c r="L77" i="6"/>
  <c r="E77" i="6"/>
  <c r="G60" i="6"/>
  <c r="C63" i="6"/>
  <c r="E63" i="6"/>
  <c r="E94" i="6" s="1"/>
  <c r="F82" i="6"/>
  <c r="G69" i="6"/>
  <c r="F259" i="3"/>
  <c r="F299" i="3" s="1"/>
  <c r="U45" i="5"/>
  <c r="Q22" i="5"/>
  <c r="U17" i="5"/>
  <c r="N47" i="5"/>
  <c r="C213" i="3"/>
  <c r="G211" i="3"/>
  <c r="AI17" i="5"/>
  <c r="AE22" i="5"/>
  <c r="G290" i="3"/>
  <c r="AM54" i="5"/>
  <c r="AM70" i="5" s="1"/>
  <c r="L22" i="5"/>
  <c r="L62" i="5" s="1"/>
  <c r="L43" i="5"/>
  <c r="L68" i="5" s="1"/>
  <c r="D265" i="3"/>
  <c r="D301" i="3" s="1"/>
  <c r="F197" i="3"/>
  <c r="F237" i="3" s="1"/>
  <c r="Z43" i="5"/>
  <c r="Z68" i="5" s="1"/>
  <c r="N30" i="5"/>
  <c r="U53" i="5"/>
  <c r="X38" i="5"/>
  <c r="AB36" i="5"/>
  <c r="AB29" i="5"/>
  <c r="C162" i="3"/>
  <c r="G157" i="3"/>
  <c r="AB17" i="5"/>
  <c r="G131" i="3"/>
  <c r="C31" i="5"/>
  <c r="G29" i="5"/>
  <c r="G40" i="5"/>
  <c r="G53" i="5"/>
  <c r="Y78" i="3"/>
  <c r="Y114" i="3" s="1"/>
  <c r="AB76" i="3"/>
  <c r="G278" i="2"/>
  <c r="N80" i="3"/>
  <c r="AB95" i="3"/>
  <c r="X85" i="3"/>
  <c r="AB82" i="3"/>
  <c r="AA104" i="3"/>
  <c r="AA120" i="3" s="1"/>
  <c r="L78" i="3"/>
  <c r="L114" i="3" s="1"/>
  <c r="U87" i="3"/>
  <c r="G276" i="2"/>
  <c r="C279" i="2"/>
  <c r="N92" i="3"/>
  <c r="J104" i="3"/>
  <c r="N100" i="3"/>
  <c r="F298" i="2"/>
  <c r="F314" i="2" s="1"/>
  <c r="U84" i="2"/>
  <c r="Q85" i="2"/>
  <c r="AV78" i="3"/>
  <c r="AV114" i="3" s="1"/>
  <c r="G208" i="2"/>
  <c r="C210" i="2"/>
  <c r="G224" i="2"/>
  <c r="G227" i="2"/>
  <c r="U75" i="2"/>
  <c r="C213" i="2"/>
  <c r="G211" i="2"/>
  <c r="AB102" i="2"/>
  <c r="AE99" i="3"/>
  <c r="AI94" i="3"/>
  <c r="AG75" i="3"/>
  <c r="AG113" i="3" s="1"/>
  <c r="AI87" i="3"/>
  <c r="AI74" i="3"/>
  <c r="AG93" i="3"/>
  <c r="AG118" i="3" s="1"/>
  <c r="AF85" i="3"/>
  <c r="AF116" i="3" s="1"/>
  <c r="U98" i="2"/>
  <c r="AW78" i="2"/>
  <c r="AW86" i="2"/>
  <c r="AS88" i="2"/>
  <c r="N98" i="2"/>
  <c r="D93" i="3"/>
  <c r="D118" i="3" s="1"/>
  <c r="C78" i="3"/>
  <c r="G76" i="3"/>
  <c r="G80" i="3"/>
  <c r="D72" i="3"/>
  <c r="D112" i="3" s="1"/>
  <c r="G87" i="3"/>
  <c r="AP75" i="2"/>
  <c r="AP105" i="2"/>
  <c r="AI91" i="2"/>
  <c r="AH100" i="2"/>
  <c r="AH125" i="2" s="1"/>
  <c r="AP103" i="2"/>
  <c r="N78" i="2"/>
  <c r="L88" i="2"/>
  <c r="L122" i="2" s="1"/>
  <c r="L82" i="2"/>
  <c r="L120" i="2" s="1"/>
  <c r="N105" i="2"/>
  <c r="AN78" i="3"/>
  <c r="AN114" i="3" s="1"/>
  <c r="AP101" i="3"/>
  <c r="AP69" i="3"/>
  <c r="AO104" i="3"/>
  <c r="AO120" i="3" s="1"/>
  <c r="AH85" i="2"/>
  <c r="AH121" i="2" s="1"/>
  <c r="AB78" i="2"/>
  <c r="AS92" i="2"/>
  <c r="B139" i="13"/>
  <c r="F134" i="13"/>
  <c r="F165" i="13"/>
  <c r="W125" i="10"/>
  <c r="AA122" i="10"/>
  <c r="Q111" i="10"/>
  <c r="Q215" i="10" s="1"/>
  <c r="J129" i="10"/>
  <c r="J220" i="10" s="1"/>
  <c r="C126" i="10"/>
  <c r="E137" i="10"/>
  <c r="I129" i="10"/>
  <c r="M126" i="10"/>
  <c r="B126" i="10"/>
  <c r="M94" i="13"/>
  <c r="M91" i="13"/>
  <c r="M121" i="13"/>
  <c r="L112" i="13"/>
  <c r="L231" i="13" s="1"/>
  <c r="S121" i="10"/>
  <c r="S218" i="10" s="1"/>
  <c r="E123" i="10"/>
  <c r="W129" i="10"/>
  <c r="L125" i="10"/>
  <c r="L219" i="10" s="1"/>
  <c r="D110" i="10"/>
  <c r="Y92" i="13"/>
  <c r="Y226" i="13" s="1"/>
  <c r="X96" i="13"/>
  <c r="X227" i="13" s="1"/>
  <c r="Z112" i="13"/>
  <c r="Z231" i="13" s="1"/>
  <c r="Z128" i="13"/>
  <c r="Z234" i="13" s="1"/>
  <c r="S96" i="13"/>
  <c r="S227" i="13" s="1"/>
  <c r="T122" i="13"/>
  <c r="T114" i="13"/>
  <c r="R123" i="13"/>
  <c r="R233" i="13" s="1"/>
  <c r="T126" i="13"/>
  <c r="AA84" i="10"/>
  <c r="X100" i="10"/>
  <c r="X206" i="10" s="1"/>
  <c r="Z85" i="10"/>
  <c r="Z203" i="10" s="1"/>
  <c r="T74" i="10"/>
  <c r="Q89" i="10"/>
  <c r="Q204" i="10" s="1"/>
  <c r="Q63" i="10"/>
  <c r="Q198" i="10" s="1"/>
  <c r="R80" i="10"/>
  <c r="R202" i="10" s="1"/>
  <c r="E99" i="10"/>
  <c r="E98" i="10"/>
  <c r="M88" i="10"/>
  <c r="B88" i="10"/>
  <c r="D74" i="10"/>
  <c r="C86" i="10"/>
  <c r="J89" i="10"/>
  <c r="J204" i="10" s="1"/>
  <c r="C99" i="10"/>
  <c r="AA62" i="10"/>
  <c r="D120" i="6"/>
  <c r="D154" i="6" s="1"/>
  <c r="AB75" i="6"/>
  <c r="Z63" i="6"/>
  <c r="Z94" i="6" s="1"/>
  <c r="BJ50" i="6"/>
  <c r="BJ90" i="6" s="1"/>
  <c r="BK58" i="6"/>
  <c r="BI50" i="6"/>
  <c r="BI90" i="6" s="1"/>
  <c r="BH77" i="6"/>
  <c r="X63" i="6"/>
  <c r="AB60" i="6"/>
  <c r="BK81" i="6"/>
  <c r="BI82" i="6"/>
  <c r="G97" i="5"/>
  <c r="AZ56" i="6"/>
  <c r="BD54" i="6"/>
  <c r="BC82" i="6"/>
  <c r="BB77" i="6"/>
  <c r="BD72" i="6"/>
  <c r="AZ77" i="6"/>
  <c r="AP60" i="6"/>
  <c r="AL63" i="6"/>
  <c r="AP67" i="6"/>
  <c r="AL71" i="6"/>
  <c r="BB63" i="6"/>
  <c r="BB94" i="6" s="1"/>
  <c r="AA56" i="6"/>
  <c r="AA92" i="6" s="1"/>
  <c r="AB70" i="6"/>
  <c r="AB52" i="6"/>
  <c r="G80" i="6"/>
  <c r="AI80" i="6"/>
  <c r="G145" i="5"/>
  <c r="E160" i="5"/>
  <c r="E191" i="5" s="1"/>
  <c r="U48" i="6"/>
  <c r="U81" i="6"/>
  <c r="S71" i="6"/>
  <c r="S96" i="6" s="1"/>
  <c r="E259" i="5"/>
  <c r="E258" i="5"/>
  <c r="F258" i="5"/>
  <c r="F259" i="5"/>
  <c r="C179" i="5"/>
  <c r="G175" i="5"/>
  <c r="J59" i="6"/>
  <c r="N57" i="6"/>
  <c r="L59" i="6"/>
  <c r="L93" i="6" s="1"/>
  <c r="N54" i="6"/>
  <c r="J56" i="6"/>
  <c r="G47" i="6"/>
  <c r="D50" i="6"/>
  <c r="D90" i="6" s="1"/>
  <c r="G76" i="6"/>
  <c r="AP24" i="5"/>
  <c r="AN25" i="5"/>
  <c r="AN63" i="5" s="1"/>
  <c r="AP23" i="5"/>
  <c r="Q43" i="5"/>
  <c r="U39" i="5"/>
  <c r="G283" i="3"/>
  <c r="AN54" i="5"/>
  <c r="AN70" i="5" s="1"/>
  <c r="U24" i="5"/>
  <c r="M22" i="5"/>
  <c r="M62" i="5" s="1"/>
  <c r="R54" i="5"/>
  <c r="R70" i="5" s="1"/>
  <c r="AP40" i="5"/>
  <c r="AW32" i="5"/>
  <c r="AS35" i="5"/>
  <c r="J25" i="5"/>
  <c r="N23" i="5"/>
  <c r="U30" i="5"/>
  <c r="Q31" i="5"/>
  <c r="G198" i="3"/>
  <c r="C200" i="3"/>
  <c r="AP41" i="5"/>
  <c r="U44" i="5"/>
  <c r="Q49" i="5"/>
  <c r="G161" i="3"/>
  <c r="G287" i="3"/>
  <c r="X22" i="5"/>
  <c r="AV99" i="3"/>
  <c r="AV119" i="3" s="1"/>
  <c r="AW94" i="3"/>
  <c r="F38" i="5"/>
  <c r="F67" i="5" s="1"/>
  <c r="F31" i="5"/>
  <c r="F65" i="5" s="1"/>
  <c r="G52" i="5"/>
  <c r="C138" i="3"/>
  <c r="G136" i="3"/>
  <c r="D272" i="2"/>
  <c r="D308" i="2" s="1"/>
  <c r="G270" i="2"/>
  <c r="N91" i="3"/>
  <c r="U70" i="3"/>
  <c r="M81" i="3"/>
  <c r="M115" i="3" s="1"/>
  <c r="AB98" i="3"/>
  <c r="Y99" i="3"/>
  <c r="Y119" i="3" s="1"/>
  <c r="U90" i="3"/>
  <c r="AB77" i="3"/>
  <c r="X78" i="3"/>
  <c r="N95" i="3"/>
  <c r="M88" i="3"/>
  <c r="M117" i="3" s="1"/>
  <c r="G292" i="2"/>
  <c r="G218" i="2"/>
  <c r="C220" i="2"/>
  <c r="F231" i="2"/>
  <c r="F251" i="2" s="1"/>
  <c r="AW87" i="2"/>
  <c r="AU79" i="2"/>
  <c r="AU119" i="2" s="1"/>
  <c r="C207" i="2"/>
  <c r="G205" i="2"/>
  <c r="G102" i="2"/>
  <c r="U90" i="2"/>
  <c r="AH88" i="3"/>
  <c r="AH117" i="3" s="1"/>
  <c r="AI90" i="3"/>
  <c r="AH72" i="3"/>
  <c r="AH112" i="3" s="1"/>
  <c r="AG78" i="3"/>
  <c r="AG114" i="3" s="1"/>
  <c r="AV100" i="2"/>
  <c r="AV125" i="2" s="1"/>
  <c r="AW102" i="2"/>
  <c r="T85" i="2"/>
  <c r="T121" i="2" s="1"/>
  <c r="X88" i="2"/>
  <c r="AB86" i="2"/>
  <c r="AL95" i="2"/>
  <c r="AP93" i="2"/>
  <c r="G77" i="3"/>
  <c r="G98" i="3"/>
  <c r="E85" i="3"/>
  <c r="E116" i="3" s="1"/>
  <c r="G90" i="3"/>
  <c r="F104" i="3"/>
  <c r="F120" i="3" s="1"/>
  <c r="U80" i="2"/>
  <c r="AP87" i="2"/>
  <c r="AP108" i="2"/>
  <c r="C92" i="2"/>
  <c r="AI96" i="2"/>
  <c r="AE100" i="2"/>
  <c r="AG95" i="2"/>
  <c r="AG124" i="2" s="1"/>
  <c r="AI105" i="2"/>
  <c r="N99" i="2"/>
  <c r="N96" i="2"/>
  <c r="J100" i="2"/>
  <c r="N108" i="2"/>
  <c r="AP74" i="3"/>
  <c r="AL85" i="3"/>
  <c r="AP82" i="3"/>
  <c r="AO93" i="3"/>
  <c r="AO118" i="3" s="1"/>
  <c r="AB81" i="2"/>
  <c r="AP76" i="2"/>
  <c r="P145" i="13"/>
  <c r="T143" i="13"/>
  <c r="D162" i="13"/>
  <c r="D249" i="13" s="1"/>
  <c r="F137" i="13"/>
  <c r="F166" i="13"/>
  <c r="F170" i="13"/>
  <c r="M137" i="10"/>
  <c r="B137" i="10"/>
  <c r="K129" i="10"/>
  <c r="K220" i="10" s="1"/>
  <c r="D126" i="10"/>
  <c r="P111" i="10"/>
  <c r="T106" i="10"/>
  <c r="R140" i="10"/>
  <c r="R222" i="10" s="1"/>
  <c r="E141" i="10"/>
  <c r="L145" i="10"/>
  <c r="L223" i="10" s="1"/>
  <c r="E143" i="10"/>
  <c r="M89" i="13"/>
  <c r="M98" i="13"/>
  <c r="J108" i="13"/>
  <c r="J230" i="13" s="1"/>
  <c r="M125" i="13"/>
  <c r="M115" i="13"/>
  <c r="L128" i="13"/>
  <c r="L234" i="13" s="1"/>
  <c r="AA136" i="10"/>
  <c r="B132" i="10"/>
  <c r="M132" i="10"/>
  <c r="AA126" i="10"/>
  <c r="AA88" i="13"/>
  <c r="W92" i="13"/>
  <c r="AA95" i="13"/>
  <c r="AA108" i="10"/>
  <c r="Q99" i="13"/>
  <c r="Q228" i="13" s="1"/>
  <c r="AA82" i="10"/>
  <c r="X70" i="10"/>
  <c r="X200" i="10" s="1"/>
  <c r="E82" i="10"/>
  <c r="B69" i="10"/>
  <c r="M69" i="10"/>
  <c r="Q85" i="10"/>
  <c r="Q203" i="10" s="1"/>
  <c r="T97" i="10"/>
  <c r="B61" i="10"/>
  <c r="M61" i="10"/>
  <c r="K80" i="10"/>
  <c r="K202" i="10" s="1"/>
  <c r="D76" i="10"/>
  <c r="E92" i="10"/>
  <c r="C88" i="10"/>
  <c r="B79" i="10"/>
  <c r="M79" i="10"/>
  <c r="T60" i="10"/>
  <c r="J63" i="10"/>
  <c r="J198" i="10" s="1"/>
  <c r="G133" i="6"/>
  <c r="C138" i="6"/>
  <c r="B68" i="10"/>
  <c r="E143" i="6"/>
  <c r="E159" i="6" s="1"/>
  <c r="C111" i="6"/>
  <c r="G106" i="6"/>
  <c r="E111" i="6"/>
  <c r="E151" i="6" s="1"/>
  <c r="D60" i="10"/>
  <c r="G95" i="5"/>
  <c r="C98" i="5"/>
  <c r="BI77" i="6"/>
  <c r="X77" i="6"/>
  <c r="AB72" i="6"/>
  <c r="BD65" i="6"/>
  <c r="AO71" i="6"/>
  <c r="AO96" i="6" s="1"/>
  <c r="AV98" i="6"/>
  <c r="AV97" i="6"/>
  <c r="AB57" i="6"/>
  <c r="X59" i="6"/>
  <c r="BA66" i="6"/>
  <c r="BA95" i="6" s="1"/>
  <c r="Z77" i="6"/>
  <c r="X82" i="6"/>
  <c r="AB78" i="6"/>
  <c r="AB49" i="6"/>
  <c r="N60" i="6"/>
  <c r="J63" i="6"/>
  <c r="G72" i="6"/>
  <c r="C77" i="6"/>
  <c r="AI64" i="6"/>
  <c r="AE66" i="6"/>
  <c r="AF56" i="6"/>
  <c r="AF92" i="6" s="1"/>
  <c r="AH50" i="6"/>
  <c r="AH90" i="6" s="1"/>
  <c r="AE59" i="6"/>
  <c r="AI57" i="6"/>
  <c r="D147" i="5"/>
  <c r="D187" i="5" s="1"/>
  <c r="G152" i="5"/>
  <c r="D160" i="5"/>
  <c r="D191" i="5" s="1"/>
  <c r="G204" i="5"/>
  <c r="C209" i="5"/>
  <c r="Q63" i="6"/>
  <c r="U60" i="6"/>
  <c r="Q56" i="6"/>
  <c r="U54" i="6"/>
  <c r="Q71" i="6"/>
  <c r="U67" i="6"/>
  <c r="R63" i="6"/>
  <c r="R94" i="6" s="1"/>
  <c r="N67" i="6"/>
  <c r="J71" i="6"/>
  <c r="K71" i="6"/>
  <c r="K96" i="6" s="1"/>
  <c r="N68" i="6"/>
  <c r="AG59" i="6"/>
  <c r="AG93" i="6" s="1"/>
  <c r="E71" i="6"/>
  <c r="E96" i="6" s="1"/>
  <c r="G65" i="6"/>
  <c r="D82" i="6"/>
  <c r="X54" i="5"/>
  <c r="AB50" i="5"/>
  <c r="K49" i="5"/>
  <c r="K69" i="5" s="1"/>
  <c r="G288" i="3"/>
  <c r="C291" i="3"/>
  <c r="AE54" i="5"/>
  <c r="AI50" i="5"/>
  <c r="X25" i="5"/>
  <c r="AB23" i="5"/>
  <c r="Z35" i="5"/>
  <c r="Z66" i="5" s="1"/>
  <c r="S35" i="5"/>
  <c r="S66" i="5" s="1"/>
  <c r="AO49" i="5"/>
  <c r="AO69" i="5" s="1"/>
  <c r="AE38" i="5"/>
  <c r="AI36" i="5"/>
  <c r="K54" i="5"/>
  <c r="K70" i="5" s="1"/>
  <c r="G256" i="3"/>
  <c r="G270" i="3"/>
  <c r="N50" i="5"/>
  <c r="J54" i="5"/>
  <c r="AM35" i="5"/>
  <c r="AM66" i="5" s="1"/>
  <c r="N52" i="5"/>
  <c r="E167" i="3"/>
  <c r="E183" i="3" s="1"/>
  <c r="C210" i="3"/>
  <c r="AB52" i="5"/>
  <c r="AT99" i="3"/>
  <c r="N39" i="5"/>
  <c r="AB54" i="6"/>
  <c r="Q25" i="5"/>
  <c r="F43" i="5"/>
  <c r="F68" i="5" s="1"/>
  <c r="F35" i="5"/>
  <c r="F66" i="5" s="1"/>
  <c r="G20" i="5"/>
  <c r="G294" i="2"/>
  <c r="C298" i="2"/>
  <c r="F269" i="2"/>
  <c r="F307" i="2" s="1"/>
  <c r="AB90" i="3"/>
  <c r="T104" i="3"/>
  <c r="T120" i="3" s="1"/>
  <c r="U98" i="3"/>
  <c r="D287" i="2"/>
  <c r="D312" i="2" s="1"/>
  <c r="G283" i="2"/>
  <c r="K78" i="3"/>
  <c r="K114" i="3" s="1"/>
  <c r="N98" i="3"/>
  <c r="M93" i="3"/>
  <c r="M118" i="3" s="1"/>
  <c r="K99" i="3"/>
  <c r="K119" i="3" s="1"/>
  <c r="F169" i="2"/>
  <c r="F189" i="2" s="1"/>
  <c r="X92" i="2"/>
  <c r="AB89" i="2"/>
  <c r="Y106" i="2"/>
  <c r="Y126" i="2" s="1"/>
  <c r="AB94" i="2"/>
  <c r="Y95" i="2"/>
  <c r="Y124" i="2" s="1"/>
  <c r="AA111" i="2"/>
  <c r="AA127" i="2" s="1"/>
  <c r="D207" i="2"/>
  <c r="D245" i="2" s="1"/>
  <c r="D225" i="2"/>
  <c r="D250" i="2" s="1"/>
  <c r="D236" i="2"/>
  <c r="D252" i="2" s="1"/>
  <c r="E236" i="2"/>
  <c r="E252" i="2" s="1"/>
  <c r="G110" i="2"/>
  <c r="F106" i="2"/>
  <c r="F126" i="2" s="1"/>
  <c r="AG104" i="3"/>
  <c r="AG120" i="3" s="1"/>
  <c r="AE78" i="3"/>
  <c r="AI76" i="3"/>
  <c r="AB109" i="2"/>
  <c r="Z100" i="2"/>
  <c r="Z125" i="2" s="1"/>
  <c r="AW81" i="2"/>
  <c r="AW94" i="2"/>
  <c r="AB84" i="2"/>
  <c r="S106" i="2"/>
  <c r="S126" i="2" s="1"/>
  <c r="AH79" i="2"/>
  <c r="AH119" i="2" s="1"/>
  <c r="G91" i="3"/>
  <c r="F81" i="3"/>
  <c r="F115" i="3" s="1"/>
  <c r="C85" i="3"/>
  <c r="G82" i="3"/>
  <c r="G96" i="3"/>
  <c r="Q82" i="2"/>
  <c r="AM79" i="2"/>
  <c r="AM119" i="2" s="1"/>
  <c r="AM85" i="2"/>
  <c r="AM121" i="2" s="1"/>
  <c r="AM92" i="2"/>
  <c r="AM123" i="2" s="1"/>
  <c r="AP90" i="2"/>
  <c r="U79" i="3"/>
  <c r="G89" i="2"/>
  <c r="AN81" i="3"/>
  <c r="AN115" i="3" s="1"/>
  <c r="U94" i="2"/>
  <c r="AI97" i="2"/>
  <c r="AF79" i="2"/>
  <c r="AF119" i="2" s="1"/>
  <c r="AG111" i="2"/>
  <c r="AG127" i="2" s="1"/>
  <c r="Q106" i="2"/>
  <c r="C106" i="2"/>
  <c r="N110" i="2"/>
  <c r="L106" i="2"/>
  <c r="L126" i="2" s="1"/>
  <c r="AP68" i="3"/>
  <c r="AP67" i="3"/>
  <c r="AL72" i="3"/>
  <c r="AP98" i="3"/>
  <c r="T124" i="10"/>
  <c r="M123" i="10"/>
  <c r="B123" i="10"/>
  <c r="E144" i="10"/>
  <c r="M136" i="10"/>
  <c r="B136" i="10"/>
  <c r="T139" i="10"/>
  <c r="AA123" i="10"/>
  <c r="I99" i="13"/>
  <c r="M97" i="13"/>
  <c r="M127" i="13"/>
  <c r="M102" i="13"/>
  <c r="B116" i="10"/>
  <c r="M116" i="10"/>
  <c r="M124" i="10"/>
  <c r="AA110" i="13"/>
  <c r="W96" i="13"/>
  <c r="AA93" i="13"/>
  <c r="AA90" i="10"/>
  <c r="W95" i="10"/>
  <c r="B222" i="13"/>
  <c r="B273" i="13" s="1"/>
  <c r="D125" i="13"/>
  <c r="D122" i="13"/>
  <c r="D119" i="13"/>
  <c r="D116" i="13"/>
  <c r="C125" i="13"/>
  <c r="C122" i="13"/>
  <c r="C119" i="13"/>
  <c r="C116" i="13"/>
  <c r="B125" i="13"/>
  <c r="D127" i="13"/>
  <c r="D124" i="13"/>
  <c r="D121" i="13"/>
  <c r="D118" i="13"/>
  <c r="D115" i="13"/>
  <c r="C124" i="13"/>
  <c r="B119" i="13"/>
  <c r="C115" i="13"/>
  <c r="C113" i="13"/>
  <c r="C110" i="13"/>
  <c r="C107" i="13"/>
  <c r="C104" i="13"/>
  <c r="C101" i="13"/>
  <c r="C98" i="13"/>
  <c r="C95" i="13"/>
  <c r="B124" i="13"/>
  <c r="B115" i="13"/>
  <c r="B113" i="13"/>
  <c r="B110" i="13"/>
  <c r="B107" i="13"/>
  <c r="B104" i="13"/>
  <c r="B101" i="13"/>
  <c r="B98" i="13"/>
  <c r="B95" i="13"/>
  <c r="E122" i="13"/>
  <c r="E118" i="13"/>
  <c r="E114" i="13"/>
  <c r="E111" i="13"/>
  <c r="E105" i="13"/>
  <c r="E102" i="13"/>
  <c r="B122" i="13"/>
  <c r="C118" i="13"/>
  <c r="D114" i="13"/>
  <c r="D111" i="13"/>
  <c r="D105" i="13"/>
  <c r="D102" i="13"/>
  <c r="E127" i="13"/>
  <c r="E126" i="13"/>
  <c r="B121" i="13"/>
  <c r="E120" i="13"/>
  <c r="B127" i="13"/>
  <c r="C126" i="13"/>
  <c r="C120" i="13"/>
  <c r="B116" i="13"/>
  <c r="B109" i="13"/>
  <c r="B106" i="13"/>
  <c r="E124" i="13"/>
  <c r="E119" i="13"/>
  <c r="E115" i="13"/>
  <c r="D113" i="13"/>
  <c r="D110" i="13"/>
  <c r="D107" i="13"/>
  <c r="D104" i="13"/>
  <c r="D101" i="13"/>
  <c r="D98" i="13"/>
  <c r="D95" i="13"/>
  <c r="C121" i="13"/>
  <c r="B114" i="13"/>
  <c r="B102" i="13"/>
  <c r="E90" i="13"/>
  <c r="E125" i="13"/>
  <c r="E109" i="13"/>
  <c r="E93" i="13"/>
  <c r="D90" i="13"/>
  <c r="C127" i="13"/>
  <c r="D109" i="13"/>
  <c r="D93" i="13"/>
  <c r="C90" i="13"/>
  <c r="C109" i="13"/>
  <c r="C93" i="13"/>
  <c r="B90" i="13"/>
  <c r="E110" i="13"/>
  <c r="E104" i="13"/>
  <c r="B93" i="13"/>
  <c r="E91" i="13"/>
  <c r="E88" i="13"/>
  <c r="C111" i="13"/>
  <c r="C105" i="13"/>
  <c r="D91" i="13"/>
  <c r="D88" i="13"/>
  <c r="D106" i="13"/>
  <c r="D97" i="13"/>
  <c r="E95" i="13"/>
  <c r="E116" i="13"/>
  <c r="C106" i="13"/>
  <c r="C97" i="13"/>
  <c r="E113" i="13"/>
  <c r="E101" i="13"/>
  <c r="B97" i="13"/>
  <c r="B118" i="13"/>
  <c r="B105" i="13"/>
  <c r="C88" i="13"/>
  <c r="D126" i="13"/>
  <c r="E94" i="13"/>
  <c r="B88" i="13"/>
  <c r="E107" i="13"/>
  <c r="C100" i="13"/>
  <c r="B94" i="13"/>
  <c r="C89" i="13"/>
  <c r="D120" i="13"/>
  <c r="B111" i="13"/>
  <c r="C91" i="13"/>
  <c r="B91" i="13"/>
  <c r="B126" i="13"/>
  <c r="E100" i="13"/>
  <c r="D94" i="13"/>
  <c r="D100" i="13"/>
  <c r="C94" i="13"/>
  <c r="C114" i="13"/>
  <c r="B100" i="13"/>
  <c r="E106" i="13"/>
  <c r="E89" i="13"/>
  <c r="E98" i="13"/>
  <c r="D89" i="13"/>
  <c r="B120" i="13"/>
  <c r="E97" i="13"/>
  <c r="B89" i="13"/>
  <c r="E121" i="13"/>
  <c r="C102" i="13"/>
  <c r="R103" i="13"/>
  <c r="R229" i="13" s="1"/>
  <c r="T78" i="10"/>
  <c r="G168" i="6"/>
  <c r="C173" i="6"/>
  <c r="T83" i="10"/>
  <c r="C235" i="6"/>
  <c r="G230" i="6"/>
  <c r="C65" i="10"/>
  <c r="E60" i="10"/>
  <c r="L63" i="10"/>
  <c r="L198" i="10" s="1"/>
  <c r="I67" i="10"/>
  <c r="B64" i="10"/>
  <c r="M64" i="10"/>
  <c r="C78" i="10"/>
  <c r="D69" i="10"/>
  <c r="C90" i="10"/>
  <c r="J95" i="10"/>
  <c r="J205" i="10" s="1"/>
  <c r="S80" i="10"/>
  <c r="S202" i="10" s="1"/>
  <c r="C106" i="10"/>
  <c r="C60" i="10"/>
  <c r="F132" i="6"/>
  <c r="F157" i="6" s="1"/>
  <c r="I70" i="10"/>
  <c r="G135" i="6"/>
  <c r="B99" i="10"/>
  <c r="G122" i="6"/>
  <c r="Y77" i="6"/>
  <c r="BG53" i="6"/>
  <c r="BK51" i="6"/>
  <c r="BB71" i="6"/>
  <c r="BB96" i="6" s="1"/>
  <c r="BD76" i="6"/>
  <c r="BK65" i="6"/>
  <c r="AB55" i="6"/>
  <c r="E117" i="5"/>
  <c r="E133" i="5" s="1"/>
  <c r="BI59" i="6"/>
  <c r="BI93" i="6" s="1"/>
  <c r="AP73" i="6"/>
  <c r="AA82" i="6"/>
  <c r="C56" i="6"/>
  <c r="G54" i="6"/>
  <c r="AB67" i="6"/>
  <c r="AI61" i="6"/>
  <c r="AI70" i="6"/>
  <c r="G142" i="5"/>
  <c r="C147" i="5"/>
  <c r="F168" i="5"/>
  <c r="F193" i="5" s="1"/>
  <c r="U62" i="6"/>
  <c r="U52" i="6"/>
  <c r="R66" i="6"/>
  <c r="R95" i="6" s="1"/>
  <c r="J66" i="6"/>
  <c r="N64" i="6"/>
  <c r="L66" i="6"/>
  <c r="L95" i="6" s="1"/>
  <c r="N58" i="6"/>
  <c r="X56" i="6"/>
  <c r="G51" i="6"/>
  <c r="C53" i="6"/>
  <c r="G70" i="6"/>
  <c r="N53" i="5"/>
  <c r="AI32" i="5"/>
  <c r="AE35" i="5"/>
  <c r="AP33" i="5"/>
  <c r="F229" i="3"/>
  <c r="F245" i="3" s="1"/>
  <c r="G199" i="3"/>
  <c r="U48" i="5"/>
  <c r="J35" i="5"/>
  <c r="N32" i="5"/>
  <c r="G278" i="3"/>
  <c r="G225" i="3"/>
  <c r="C229" i="3"/>
  <c r="AB44" i="5"/>
  <c r="X49" i="5"/>
  <c r="T35" i="5"/>
  <c r="T66" i="5" s="1"/>
  <c r="AB42" i="5"/>
  <c r="AL25" i="5"/>
  <c r="F162" i="3"/>
  <c r="F182" i="3" s="1"/>
  <c r="G201" i="3"/>
  <c r="C148" i="3"/>
  <c r="G145" i="3"/>
  <c r="AB24" i="5"/>
  <c r="C169" i="2"/>
  <c r="G168" i="2"/>
  <c r="C54" i="5"/>
  <c r="G50" i="5"/>
  <c r="G51" i="5"/>
  <c r="F135" i="3"/>
  <c r="F175" i="3" s="1"/>
  <c r="G139" i="3"/>
  <c r="G265" i="2"/>
  <c r="G296" i="2"/>
  <c r="AB73" i="3"/>
  <c r="X75" i="3"/>
  <c r="Y104" i="3"/>
  <c r="Y120" i="3" s="1"/>
  <c r="AB96" i="3"/>
  <c r="L104" i="3"/>
  <c r="L120" i="3" s="1"/>
  <c r="U69" i="3"/>
  <c r="U101" i="3"/>
  <c r="F279" i="2"/>
  <c r="F310" i="2" s="1"/>
  <c r="N74" i="3"/>
  <c r="N101" i="3"/>
  <c r="AI82" i="3"/>
  <c r="AE85" i="3"/>
  <c r="AB98" i="2"/>
  <c r="C204" i="2"/>
  <c r="G199" i="2"/>
  <c r="F204" i="2"/>
  <c r="F244" i="2" s="1"/>
  <c r="E231" i="2"/>
  <c r="E251" i="2" s="1"/>
  <c r="C100" i="2"/>
  <c r="G96" i="2"/>
  <c r="U99" i="2"/>
  <c r="Z92" i="2"/>
  <c r="Z123" i="2" s="1"/>
  <c r="G146" i="2"/>
  <c r="AG81" i="3"/>
  <c r="AG115" i="3" s="1"/>
  <c r="AE104" i="3"/>
  <c r="AI100" i="3"/>
  <c r="AF99" i="3"/>
  <c r="AF119" i="3" s="1"/>
  <c r="E100" i="2"/>
  <c r="E125" i="2" s="1"/>
  <c r="U105" i="2"/>
  <c r="AS82" i="2"/>
  <c r="AW80" i="2"/>
  <c r="AW97" i="2"/>
  <c r="F93" i="3"/>
  <c r="F118" i="3" s="1"/>
  <c r="D99" i="3"/>
  <c r="D119" i="3" s="1"/>
  <c r="AP77" i="2"/>
  <c r="AP89" i="2"/>
  <c r="AL92" i="2"/>
  <c r="AP86" i="2"/>
  <c r="AL88" i="2"/>
  <c r="Q81" i="3"/>
  <c r="G86" i="2"/>
  <c r="AG100" i="2"/>
  <c r="AG125" i="2" s="1"/>
  <c r="AE85" i="2"/>
  <c r="AI83" i="2"/>
  <c r="N94" i="2"/>
  <c r="G101" i="2"/>
  <c r="K79" i="2"/>
  <c r="K119" i="2" s="1"/>
  <c r="K106" i="2"/>
  <c r="K126" i="2" s="1"/>
  <c r="M106" i="2"/>
  <c r="M126" i="2" s="1"/>
  <c r="AI78" i="2"/>
  <c r="AP73" i="3"/>
  <c r="AL75" i="3"/>
  <c r="AO85" i="3"/>
  <c r="AO116" i="3" s="1"/>
  <c r="AN104" i="3"/>
  <c r="AN120" i="3" s="1"/>
  <c r="AW93" i="2"/>
  <c r="C153" i="13"/>
  <c r="C247" i="13" s="1"/>
  <c r="AA164" i="13"/>
  <c r="W140" i="10"/>
  <c r="AA135" i="10"/>
  <c r="Q121" i="10"/>
  <c r="Q218" i="10" s="1"/>
  <c r="R145" i="10"/>
  <c r="R223" i="10" s="1"/>
  <c r="I145" i="10"/>
  <c r="B141" i="10"/>
  <c r="M141" i="10"/>
  <c r="M143" i="10"/>
  <c r="B143" i="10"/>
  <c r="M139" i="10"/>
  <c r="B139" i="10"/>
  <c r="AA138" i="10"/>
  <c r="L111" i="10"/>
  <c r="L215" i="10" s="1"/>
  <c r="E106" i="10"/>
  <c r="T143" i="10"/>
  <c r="Q125" i="10"/>
  <c r="Q219" i="10" s="1"/>
  <c r="D144" i="10"/>
  <c r="J96" i="13"/>
  <c r="J227" i="13" s="1"/>
  <c r="I123" i="13"/>
  <c r="M119" i="13"/>
  <c r="K99" i="13"/>
  <c r="K228" i="13" s="1"/>
  <c r="M105" i="13"/>
  <c r="M114" i="13"/>
  <c r="L117" i="13"/>
  <c r="L232" i="13" s="1"/>
  <c r="Y134" i="10"/>
  <c r="Y221" i="10" s="1"/>
  <c r="S117" i="10"/>
  <c r="S217" i="10" s="1"/>
  <c r="E135" i="10"/>
  <c r="M118" i="10"/>
  <c r="W108" i="13"/>
  <c r="AA104" i="13"/>
  <c r="AA101" i="13"/>
  <c r="AA98" i="13"/>
  <c r="AA100" i="13"/>
  <c r="W103" i="13"/>
  <c r="Z96" i="13"/>
  <c r="Z227" i="13" s="1"/>
  <c r="X117" i="13"/>
  <c r="X232" i="13" s="1"/>
  <c r="W128" i="13"/>
  <c r="AA124" i="13"/>
  <c r="Z123" i="13"/>
  <c r="Z233" i="13" s="1"/>
  <c r="C130" i="10"/>
  <c r="S92" i="13"/>
  <c r="S226" i="13" s="1"/>
  <c r="P92" i="13"/>
  <c r="T88" i="13"/>
  <c r="Z80" i="10"/>
  <c r="Z202" i="10" s="1"/>
  <c r="Y80" i="10"/>
  <c r="Y202" i="10" s="1"/>
  <c r="B109" i="10"/>
  <c r="B94" i="10"/>
  <c r="M94" i="10"/>
  <c r="R67" i="10"/>
  <c r="R199" i="10" s="1"/>
  <c r="T79" i="10"/>
  <c r="S95" i="10"/>
  <c r="S205" i="10" s="1"/>
  <c r="K125" i="10"/>
  <c r="K219" i="10" s="1"/>
  <c r="D94" i="10"/>
  <c r="K70" i="10"/>
  <c r="K200" i="10" s="1"/>
  <c r="D68" i="10"/>
  <c r="B82" i="10"/>
  <c r="M82" i="10"/>
  <c r="D72" i="10"/>
  <c r="B92" i="10"/>
  <c r="M92" i="10"/>
  <c r="J111" i="10"/>
  <c r="J215" i="10" s="1"/>
  <c r="D87" i="10"/>
  <c r="C127" i="6"/>
  <c r="G125" i="6"/>
  <c r="K111" i="10"/>
  <c r="K215" i="10" s="1"/>
  <c r="M68" i="10"/>
  <c r="M99" i="10"/>
  <c r="G116" i="6"/>
  <c r="G112" i="6"/>
  <c r="C114" i="6"/>
  <c r="G129" i="6"/>
  <c r="G139" i="6"/>
  <c r="C143" i="6"/>
  <c r="G90" i="5"/>
  <c r="AZ50" i="6"/>
  <c r="BD45" i="6"/>
  <c r="BK75" i="6"/>
  <c r="BK62" i="6"/>
  <c r="BD80" i="6"/>
  <c r="C85" i="5"/>
  <c r="G80" i="5"/>
  <c r="AS66" i="6"/>
  <c r="AW64" i="6"/>
  <c r="AN82" i="6"/>
  <c r="BK73" i="6"/>
  <c r="BA53" i="6"/>
  <c r="BA91" i="6" s="1"/>
  <c r="AB68" i="6"/>
  <c r="X71" i="6"/>
  <c r="AG82" i="6"/>
  <c r="AF77" i="6"/>
  <c r="AI55" i="6"/>
  <c r="G157" i="5"/>
  <c r="C160" i="5"/>
  <c r="G162" i="5"/>
  <c r="G167" i="5"/>
  <c r="AI46" i="6"/>
  <c r="T63" i="6"/>
  <c r="T94" i="6" s="1"/>
  <c r="S56" i="6"/>
  <c r="S92" i="6" s="1"/>
  <c r="U76" i="6"/>
  <c r="G151" i="5"/>
  <c r="C153" i="5"/>
  <c r="L50" i="6"/>
  <c r="L90" i="6" s="1"/>
  <c r="N81" i="6"/>
  <c r="N47" i="6"/>
  <c r="L53" i="6"/>
  <c r="L91" i="6" s="1"/>
  <c r="M77" i="6"/>
  <c r="N62" i="6"/>
  <c r="U55" i="6"/>
  <c r="G81" i="6"/>
  <c r="G281" i="3"/>
  <c r="C286" i="3"/>
  <c r="E213" i="3"/>
  <c r="E242" i="3" s="1"/>
  <c r="M25" i="5"/>
  <c r="M63" i="5" s="1"/>
  <c r="Q38" i="5"/>
  <c r="U36" i="5"/>
  <c r="AE28" i="5"/>
  <c r="AI26" i="5"/>
  <c r="U18" i="5"/>
  <c r="G271" i="3"/>
  <c r="M43" i="5"/>
  <c r="M68" i="5" s="1"/>
  <c r="U42" i="5"/>
  <c r="AM49" i="5"/>
  <c r="AM69" i="5" s="1"/>
  <c r="J38" i="5"/>
  <c r="N36" i="5"/>
  <c r="N27" i="5"/>
  <c r="E262" i="3"/>
  <c r="E300" i="3" s="1"/>
  <c r="G160" i="3"/>
  <c r="U29" i="5"/>
  <c r="G137" i="3"/>
  <c r="AU93" i="3"/>
  <c r="AU118" i="3" s="1"/>
  <c r="G45" i="5"/>
  <c r="G48" i="5"/>
  <c r="E49" i="5"/>
  <c r="E69" i="5" s="1"/>
  <c r="G18" i="5"/>
  <c r="F25" i="5"/>
  <c r="F63" i="5" s="1"/>
  <c r="N69" i="3"/>
  <c r="N87" i="3"/>
  <c r="D293" i="2"/>
  <c r="D313" i="2" s="1"/>
  <c r="M104" i="3"/>
  <c r="M120" i="3" s="1"/>
  <c r="Z93" i="3"/>
  <c r="Z118" i="3" s="1"/>
  <c r="AB103" i="3"/>
  <c r="Y93" i="3"/>
  <c r="Y118" i="3" s="1"/>
  <c r="U83" i="3"/>
  <c r="G274" i="2"/>
  <c r="G288" i="2"/>
  <c r="C293" i="2"/>
  <c r="T75" i="3"/>
  <c r="T113" i="3" s="1"/>
  <c r="L93" i="3"/>
  <c r="L118" i="3" s="1"/>
  <c r="K104" i="3"/>
  <c r="K120" i="3" s="1"/>
  <c r="J81" i="3"/>
  <c r="U103" i="2"/>
  <c r="U107" i="2"/>
  <c r="Q111" i="2"/>
  <c r="Q88" i="2"/>
  <c r="U86" i="2"/>
  <c r="G229" i="2"/>
  <c r="G201" i="2"/>
  <c r="D204" i="2"/>
  <c r="D244" i="2" s="1"/>
  <c r="G108" i="2"/>
  <c r="C79" i="2"/>
  <c r="G74" i="2"/>
  <c r="AI67" i="3"/>
  <c r="AW98" i="2"/>
  <c r="AT79" i="2"/>
  <c r="AT119" i="2" s="1"/>
  <c r="AG85" i="3"/>
  <c r="AG116" i="3" s="1"/>
  <c r="AH81" i="3"/>
  <c r="AH115" i="3" s="1"/>
  <c r="AF88" i="3"/>
  <c r="AF117" i="3" s="1"/>
  <c r="U108" i="2"/>
  <c r="X95" i="2"/>
  <c r="AB93" i="2"/>
  <c r="U104" i="2"/>
  <c r="T82" i="2"/>
  <c r="T120" i="2" s="1"/>
  <c r="AV111" i="2"/>
  <c r="AV127" i="2" s="1"/>
  <c r="D78" i="3"/>
  <c r="D114" i="3" s="1"/>
  <c r="E88" i="3"/>
  <c r="E117" i="3" s="1"/>
  <c r="AW74" i="2"/>
  <c r="AP80" i="2"/>
  <c r="AL82" i="2"/>
  <c r="AP94" i="2"/>
  <c r="AE106" i="2"/>
  <c r="AI101" i="2"/>
  <c r="AI89" i="2"/>
  <c r="AE92" i="2"/>
  <c r="AF111" i="2"/>
  <c r="AF127" i="2" s="1"/>
  <c r="AF106" i="2"/>
  <c r="AF126" i="2" s="1"/>
  <c r="AI74" i="2"/>
  <c r="N81" i="2"/>
  <c r="K82" i="2"/>
  <c r="K120" i="2" s="1"/>
  <c r="U74" i="2"/>
  <c r="AP76" i="3"/>
  <c r="AL78" i="3"/>
  <c r="AO75" i="3"/>
  <c r="AO113" i="3" s="1"/>
  <c r="AP77" i="3"/>
  <c r="N103" i="2"/>
  <c r="AS95" i="2"/>
  <c r="AE79" i="2"/>
  <c r="Y57" i="8"/>
  <c r="Y95" i="8" s="1"/>
  <c r="BB57" i="8"/>
  <c r="BB95" i="8" s="1"/>
  <c r="D63" i="8"/>
  <c r="D97" i="8" s="1"/>
  <c r="Y60" i="8"/>
  <c r="Y96" i="8" s="1"/>
  <c r="BI75" i="8"/>
  <c r="BI100" i="8" s="1"/>
  <c r="F290" i="8"/>
  <c r="E75" i="8"/>
  <c r="E100" i="8" s="1"/>
  <c r="AO63" i="8"/>
  <c r="AO97" i="8" s="1"/>
  <c r="K57" i="8"/>
  <c r="K95" i="8" s="1"/>
  <c r="D229" i="8"/>
  <c r="Z57" i="8"/>
  <c r="Z95" i="8" s="1"/>
  <c r="BC63" i="8"/>
  <c r="BC97" i="8" s="1"/>
  <c r="F54" i="8"/>
  <c r="F94" i="8" s="1"/>
  <c r="C200" i="8"/>
  <c r="C225" i="8" s="1"/>
  <c r="AV63" i="8"/>
  <c r="AV97" i="8" s="1"/>
  <c r="AN60" i="8"/>
  <c r="AN96" i="8" s="1"/>
  <c r="M70" i="8"/>
  <c r="M99" i="8" s="1"/>
  <c r="BA63" i="8"/>
  <c r="BA97" i="8" s="1"/>
  <c r="AV67" i="8"/>
  <c r="AV98" i="8" s="1"/>
  <c r="BI60" i="8"/>
  <c r="BI96" i="8" s="1"/>
  <c r="AT63" i="8"/>
  <c r="AT97" i="8" s="1"/>
  <c r="G255" i="8"/>
  <c r="D75" i="8"/>
  <c r="D100" i="8" s="1"/>
  <c r="BN70" i="8"/>
  <c r="BN99" i="8" s="1"/>
  <c r="C262" i="8"/>
  <c r="G262" i="8" s="1"/>
  <c r="BH60" i="8"/>
  <c r="BH96" i="8" s="1"/>
  <c r="R60" i="8"/>
  <c r="R96" i="8" s="1"/>
  <c r="AH60" i="8"/>
  <c r="AH96" i="8" s="1"/>
  <c r="AG60" i="8"/>
  <c r="AG96" i="8" s="1"/>
  <c r="AW65" i="8"/>
  <c r="BJ67" i="8"/>
  <c r="BJ98" i="8" s="1"/>
  <c r="AV57" i="8"/>
  <c r="AV95" i="8" s="1"/>
  <c r="BH70" i="8"/>
  <c r="BH99" i="8" s="1"/>
  <c r="C60" i="8"/>
  <c r="C96" i="8" s="1"/>
  <c r="L75" i="8"/>
  <c r="L100" i="8" s="1"/>
  <c r="C247" i="8"/>
  <c r="C283" i="8" s="1"/>
  <c r="BH67" i="8"/>
  <c r="BH98" i="8" s="1"/>
  <c r="AO57" i="8"/>
  <c r="AO95" i="8" s="1"/>
  <c r="N66" i="8"/>
  <c r="G72" i="8"/>
  <c r="AV60" i="8"/>
  <c r="AV96" i="8" s="1"/>
  <c r="AI53" i="8"/>
  <c r="BI57" i="8"/>
  <c r="BI95" i="8" s="1"/>
  <c r="F57" i="8"/>
  <c r="F95" i="8" s="1"/>
  <c r="AT57" i="8"/>
  <c r="AT95" i="8" s="1"/>
  <c r="AW69" i="8"/>
  <c r="AE63" i="8"/>
  <c r="G50" i="8"/>
  <c r="AO75" i="8"/>
  <c r="AO100" i="8" s="1"/>
  <c r="BR69" i="8"/>
  <c r="BI70" i="8"/>
  <c r="BI99" i="8" s="1"/>
  <c r="R63" i="8"/>
  <c r="R97" i="8" s="1"/>
  <c r="E290" i="8"/>
  <c r="K75" i="8"/>
  <c r="K100" i="8" s="1"/>
  <c r="AW56" i="8"/>
  <c r="AA70" i="8"/>
  <c r="AA99" i="8" s="1"/>
  <c r="J70" i="8"/>
  <c r="J99" i="8" s="1"/>
  <c r="D60" i="8"/>
  <c r="D96" i="8" s="1"/>
  <c r="C86" i="8"/>
  <c r="C102" i="8" s="1"/>
  <c r="D54" i="8"/>
  <c r="D94" i="8" s="1"/>
  <c r="AB79" i="8"/>
  <c r="G51" i="8"/>
  <c r="BA81" i="8"/>
  <c r="BA101" i="8" s="1"/>
  <c r="BA67" i="8"/>
  <c r="BA98" i="8" s="1"/>
  <c r="G74" i="8"/>
  <c r="G76" i="8"/>
  <c r="G56" i="8"/>
  <c r="G55" i="8"/>
  <c r="BP63" i="8"/>
  <c r="BP97" i="8" s="1"/>
  <c r="AU60" i="8"/>
  <c r="AU96" i="8" s="1"/>
  <c r="E228" i="8"/>
  <c r="BG70" i="8"/>
  <c r="BG99" i="8" s="1"/>
  <c r="AN67" i="8"/>
  <c r="AN98" i="8" s="1"/>
  <c r="G49" i="8"/>
  <c r="G62" i="8"/>
  <c r="BO60" i="8"/>
  <c r="BO96" i="8" s="1"/>
  <c r="BH75" i="8"/>
  <c r="BH100" i="8" s="1"/>
  <c r="BC57" i="8"/>
  <c r="BC95" i="8" s="1"/>
  <c r="AG57" i="8"/>
  <c r="AG95" i="8" s="1"/>
  <c r="C54" i="8"/>
  <c r="C94" i="8" s="1"/>
  <c r="BB70" i="8"/>
  <c r="BB99" i="8" s="1"/>
  <c r="AM60" i="8"/>
  <c r="AM96" i="8" s="1"/>
  <c r="J63" i="8"/>
  <c r="J97" i="8" s="1"/>
  <c r="AU57" i="8"/>
  <c r="AU95" i="8" s="1"/>
  <c r="BN60" i="8"/>
  <c r="BN96" i="8" s="1"/>
  <c r="AP65" i="8"/>
  <c r="E54" i="8"/>
  <c r="E94" i="8" s="1"/>
  <c r="G85" i="8"/>
  <c r="G52" i="8"/>
  <c r="BR65" i="8"/>
  <c r="AW79" i="8"/>
  <c r="N68" i="8"/>
  <c r="BC60" i="8"/>
  <c r="BC96" i="8" s="1"/>
  <c r="F229" i="8"/>
  <c r="BD51" i="8"/>
  <c r="G73" i="8"/>
  <c r="BK49" i="8"/>
  <c r="BJ57" i="8"/>
  <c r="BJ95" i="8" s="1"/>
  <c r="N56" i="8"/>
  <c r="G58" i="8"/>
  <c r="D70" i="8"/>
  <c r="D99" i="8" s="1"/>
  <c r="G66" i="8"/>
  <c r="E67" i="8"/>
  <c r="E98" i="8" s="1"/>
  <c r="BO63" i="8"/>
  <c r="BO97" i="8" s="1"/>
  <c r="BV97" i="8" s="1"/>
  <c r="G61" i="8"/>
  <c r="J57" i="8"/>
  <c r="J95" i="8" s="1"/>
  <c r="BP57" i="8"/>
  <c r="BP95" i="8" s="1"/>
  <c r="BA57" i="8"/>
  <c r="BA95" i="8" s="1"/>
  <c r="AZ60" i="8"/>
  <c r="AZ96" i="8" s="1"/>
  <c r="G193" i="8"/>
  <c r="D57" i="8"/>
  <c r="D95" i="8" s="1"/>
  <c r="F86" i="8"/>
  <c r="F102" i="8" s="1"/>
  <c r="AH57" i="8"/>
  <c r="AH95" i="8" s="1"/>
  <c r="G201" i="8"/>
  <c r="C206" i="8"/>
  <c r="AA57" i="8"/>
  <c r="AA95" i="8" s="1"/>
  <c r="Y70" i="8"/>
  <c r="Y99" i="8" s="1"/>
  <c r="G236" i="8"/>
  <c r="AE75" i="8"/>
  <c r="N49" i="8"/>
  <c r="C268" i="8"/>
  <c r="G263" i="8"/>
  <c r="C273" i="8"/>
  <c r="G269" i="8"/>
  <c r="G80" i="8"/>
  <c r="G180" i="8"/>
  <c r="C182" i="8"/>
  <c r="BR52" i="8"/>
  <c r="L67" i="8"/>
  <c r="L98" i="8" s="1"/>
  <c r="BD62" i="8"/>
  <c r="BK55" i="8"/>
  <c r="G251" i="8"/>
  <c r="C254" i="8"/>
  <c r="C75" i="8"/>
  <c r="BA54" i="8"/>
  <c r="BA94" i="8" s="1"/>
  <c r="Z67" i="8"/>
  <c r="Z98" i="8" s="1"/>
  <c r="G59" i="8"/>
  <c r="S54" i="8"/>
  <c r="S94" i="8" s="1"/>
  <c r="G242" i="8"/>
  <c r="C244" i="8"/>
  <c r="G174" i="8"/>
  <c r="C179" i="8"/>
  <c r="G64" i="8"/>
  <c r="C67" i="8"/>
  <c r="AI78" i="8"/>
  <c r="BD52" i="8"/>
  <c r="BR61" i="8"/>
  <c r="G65" i="8"/>
  <c r="Z63" i="8"/>
  <c r="Z97" i="8" s="1"/>
  <c r="BD68" i="8"/>
  <c r="AW61" i="8"/>
  <c r="AV81" i="8"/>
  <c r="AV101" i="8" s="1"/>
  <c r="AW84" i="8"/>
  <c r="AT81" i="8"/>
  <c r="AT101" i="8" s="1"/>
  <c r="AW74" i="8"/>
  <c r="Y63" i="8"/>
  <c r="Y97" i="8" s="1"/>
  <c r="G69" i="8"/>
  <c r="E63" i="8"/>
  <c r="BK80" i="8"/>
  <c r="BC54" i="8"/>
  <c r="BC94" i="8" s="1"/>
  <c r="C211" i="8"/>
  <c r="G207" i="8"/>
  <c r="S81" i="8"/>
  <c r="S101" i="8" s="1"/>
  <c r="AB56" i="8"/>
  <c r="AT75" i="8"/>
  <c r="AT100" i="8" s="1"/>
  <c r="Z70" i="8"/>
  <c r="Z99" i="8" s="1"/>
  <c r="G241" i="8"/>
  <c r="C81" i="8"/>
  <c r="G77" i="8"/>
  <c r="G83" i="8"/>
  <c r="G186" i="8"/>
  <c r="C188" i="8"/>
  <c r="F75" i="8"/>
  <c r="F100" i="8" s="1"/>
  <c r="U59" i="8"/>
  <c r="AW85" i="8"/>
  <c r="M57" i="8"/>
  <c r="M95" i="8" s="1"/>
  <c r="F81" i="8"/>
  <c r="F101" i="8" s="1"/>
  <c r="BR51" i="8"/>
  <c r="BK85" i="8"/>
  <c r="AI84" i="8"/>
  <c r="BK53" i="8"/>
  <c r="AE54" i="8"/>
  <c r="BQ63" i="8"/>
  <c r="BQ97" i="8" s="1"/>
  <c r="BX97" i="8" s="1"/>
  <c r="AB59" i="8"/>
  <c r="L70" i="8"/>
  <c r="L99" i="8" s="1"/>
  <c r="R81" i="8"/>
  <c r="R101" i="8" s="1"/>
  <c r="AZ81" i="8"/>
  <c r="AZ101" i="8" s="1"/>
  <c r="AP79" i="8"/>
  <c r="AM86" i="8"/>
  <c r="AM102" i="8" s="1"/>
  <c r="AP78" i="8"/>
  <c r="AW78" i="8"/>
  <c r="AH81" i="8"/>
  <c r="AH101" i="8" s="1"/>
  <c r="BD50" i="8"/>
  <c r="BP81" i="8"/>
  <c r="BP101" i="8" s="1"/>
  <c r="BW101" i="8" s="1"/>
  <c r="AN81" i="8"/>
  <c r="AN101" i="8" s="1"/>
  <c r="BG54" i="8"/>
  <c r="BG94" i="8" s="1"/>
  <c r="AV75" i="8"/>
  <c r="AV100" i="8" s="1"/>
  <c r="AW80" i="8"/>
  <c r="AI56" i="8"/>
  <c r="AB85" i="8"/>
  <c r="BC81" i="8"/>
  <c r="BC101" i="8" s="1"/>
  <c r="AP77" i="8"/>
  <c r="AP84" i="8"/>
  <c r="AU81" i="8"/>
  <c r="AU101" i="8" s="1"/>
  <c r="BJ70" i="8"/>
  <c r="BJ99" i="8" s="1"/>
  <c r="AA60" i="8"/>
  <c r="AA96" i="8" s="1"/>
  <c r="BB54" i="8"/>
  <c r="BB94" i="8" s="1"/>
  <c r="BR84" i="8"/>
  <c r="BK66" i="8"/>
  <c r="AB84" i="8"/>
  <c r="AP83" i="8"/>
  <c r="AI52" i="8"/>
  <c r="BI67" i="8"/>
  <c r="BI98" i="8" s="1"/>
  <c r="AH63" i="8"/>
  <c r="AH97" i="8" s="1"/>
  <c r="BJ54" i="8"/>
  <c r="BJ94" i="8" s="1"/>
  <c r="AF86" i="8"/>
  <c r="AF102" i="8" s="1"/>
  <c r="AF70" i="8"/>
  <c r="AF99" i="8" s="1"/>
  <c r="N84" i="8"/>
  <c r="N80" i="8"/>
  <c r="T54" i="8"/>
  <c r="T94" i="8" s="1"/>
  <c r="AU67" i="8"/>
  <c r="AU98" i="8" s="1"/>
  <c r="BQ54" i="8"/>
  <c r="BQ94" i="8" s="1"/>
  <c r="BX94" i="8" s="1"/>
  <c r="BO86" i="8"/>
  <c r="BO102" i="8" s="1"/>
  <c r="BR83" i="8"/>
  <c r="BJ81" i="8"/>
  <c r="BJ101" i="8" s="1"/>
  <c r="BD80" i="8"/>
  <c r="AP80" i="8"/>
  <c r="U51" i="8"/>
  <c r="S67" i="8"/>
  <c r="S98" i="8" s="1"/>
  <c r="U78" i="8"/>
  <c r="BO67" i="8"/>
  <c r="BO98" i="8" s="1"/>
  <c r="BV98" i="8" s="1"/>
  <c r="BK79" i="8"/>
  <c r="AO54" i="8"/>
  <c r="AO94" i="8" s="1"/>
  <c r="AB78" i="8"/>
  <c r="L81" i="8"/>
  <c r="L101" i="8" s="1"/>
  <c r="AE57" i="8"/>
  <c r="BR68" i="8"/>
  <c r="K67" i="8"/>
  <c r="K98" i="8" s="1"/>
  <c r="N74" i="8"/>
  <c r="AP62" i="8"/>
  <c r="L60" i="8"/>
  <c r="L96" i="8" s="1"/>
  <c r="AA63" i="8"/>
  <c r="AA97" i="8" s="1"/>
  <c r="AB53" i="8"/>
  <c r="AS70" i="8"/>
  <c r="AS99" i="8" s="1"/>
  <c r="AB62" i="8"/>
  <c r="AB66" i="8"/>
  <c r="BH54" i="8"/>
  <c r="BH94" i="8" s="1"/>
  <c r="AZ67" i="8"/>
  <c r="AZ98" i="8" s="1"/>
  <c r="U50" i="8"/>
  <c r="U72" i="8"/>
  <c r="AT67" i="8"/>
  <c r="AT98" i="8" s="1"/>
  <c r="N52" i="8"/>
  <c r="BO57" i="8"/>
  <c r="BO95" i="8" s="1"/>
  <c r="BV95" i="8" s="1"/>
  <c r="BD58" i="8"/>
  <c r="N51" i="8"/>
  <c r="AM75" i="8"/>
  <c r="AM100" i="8" s="1"/>
  <c r="AP56" i="8"/>
  <c r="BA60" i="8"/>
  <c r="BA96" i="8" s="1"/>
  <c r="AW73" i="8"/>
  <c r="AN63" i="8"/>
  <c r="AN97" i="8" s="1"/>
  <c r="M75" i="8"/>
  <c r="M100" i="8" s="1"/>
  <c r="T70" i="8"/>
  <c r="T99" i="8" s="1"/>
  <c r="S63" i="8"/>
  <c r="S97" i="8" s="1"/>
  <c r="BQ75" i="8"/>
  <c r="BQ100" i="8" s="1"/>
  <c r="BK72" i="8"/>
  <c r="BQ67" i="8"/>
  <c r="BQ98" i="8" s="1"/>
  <c r="AT54" i="8"/>
  <c r="AT94" i="8" s="1"/>
  <c r="BD66" i="8"/>
  <c r="AM63" i="8"/>
  <c r="AM97" i="8" s="1"/>
  <c r="N55" i="8"/>
  <c r="U65" i="8"/>
  <c r="BQ57" i="8"/>
  <c r="BQ95" i="8" s="1"/>
  <c r="L54" i="8"/>
  <c r="L94" i="8" s="1"/>
  <c r="AZ70" i="8"/>
  <c r="AZ99" i="8" s="1"/>
  <c r="AF63" i="8"/>
  <c r="AF97" i="8" s="1"/>
  <c r="AF60" i="8"/>
  <c r="AF96" i="8" s="1"/>
  <c r="AH75" i="8"/>
  <c r="AH100" i="8" s="1"/>
  <c r="BI63" i="8"/>
  <c r="BI97" i="8" s="1"/>
  <c r="AP74" i="8"/>
  <c r="AO67" i="8"/>
  <c r="AO98" i="8" s="1"/>
  <c r="AB51" i="8"/>
  <c r="AH70" i="8"/>
  <c r="AH99" i="8" s="1"/>
  <c r="C290" i="8"/>
  <c r="C291" i="8"/>
  <c r="Y54" i="8"/>
  <c r="Y94" i="8" s="1"/>
  <c r="AB68" i="8"/>
  <c r="U52" i="8"/>
  <c r="AG63" i="8"/>
  <c r="AG97" i="8" s="1"/>
  <c r="R75" i="8"/>
  <c r="R100" i="8" s="1"/>
  <c r="AP52" i="8"/>
  <c r="K54" i="8"/>
  <c r="K94" i="8" s="1"/>
  <c r="AH67" i="8"/>
  <c r="AH98" i="8" s="1"/>
  <c r="BK69" i="8"/>
  <c r="AW49" i="8"/>
  <c r="AM54" i="8"/>
  <c r="AM94" i="8" s="1"/>
  <c r="AI66" i="8"/>
  <c r="AL57" i="8"/>
  <c r="AP55" i="8"/>
  <c r="Y75" i="8"/>
  <c r="Y100" i="8" s="1"/>
  <c r="U62" i="8"/>
  <c r="L63" i="8"/>
  <c r="L97" i="8" s="1"/>
  <c r="AW62" i="8"/>
  <c r="AW68" i="8"/>
  <c r="U68" i="8"/>
  <c r="AI71" i="8"/>
  <c r="BJ60" i="8"/>
  <c r="BJ96" i="8" s="1"/>
  <c r="BR53" i="8"/>
  <c r="Q86" i="8"/>
  <c r="U82" i="8"/>
  <c r="U85" i="8"/>
  <c r="R67" i="8"/>
  <c r="R98" i="8" s="1"/>
  <c r="BR64" i="8"/>
  <c r="BN67" i="8"/>
  <c r="BR85" i="8"/>
  <c r="BK84" i="8"/>
  <c r="BC67" i="8"/>
  <c r="BC98" i="8" s="1"/>
  <c r="AN57" i="8"/>
  <c r="AN95" i="8" s="1"/>
  <c r="BO75" i="8"/>
  <c r="BO100" i="8" s="1"/>
  <c r="X63" i="8"/>
  <c r="AB61" i="8"/>
  <c r="AW77" i="8"/>
  <c r="AS81" i="8"/>
  <c r="AW76" i="8"/>
  <c r="AG86" i="8"/>
  <c r="AG102" i="8" s="1"/>
  <c r="AG81" i="8"/>
  <c r="AG101" i="8" s="1"/>
  <c r="AB69" i="8"/>
  <c r="AP51" i="8"/>
  <c r="AA81" i="8"/>
  <c r="AA101" i="8" s="1"/>
  <c r="BK74" i="8"/>
  <c r="N72" i="8"/>
  <c r="N62" i="8"/>
  <c r="J81" i="8"/>
  <c r="N76" i="8"/>
  <c r="L57" i="8"/>
  <c r="L95" i="8" s="1"/>
  <c r="BG67" i="8"/>
  <c r="BK64" i="8"/>
  <c r="AP58" i="8"/>
  <c r="AL60" i="8"/>
  <c r="AS86" i="8"/>
  <c r="AW82" i="8"/>
  <c r="AP53" i="8"/>
  <c r="K70" i="8"/>
  <c r="J86" i="8"/>
  <c r="N82" i="8"/>
  <c r="BD61" i="8"/>
  <c r="AZ63" i="8"/>
  <c r="BN97" i="8"/>
  <c r="AL70" i="8"/>
  <c r="AP68" i="8"/>
  <c r="U76" i="8"/>
  <c r="Q81" i="8"/>
  <c r="AV86" i="8"/>
  <c r="AV102" i="8" s="1"/>
  <c r="BP86" i="8"/>
  <c r="BP102" i="8" s="1"/>
  <c r="AW51" i="8"/>
  <c r="BK82" i="8"/>
  <c r="BG86" i="8"/>
  <c r="AS57" i="8"/>
  <c r="AW55" i="8"/>
  <c r="BC75" i="8"/>
  <c r="BC100" i="8" s="1"/>
  <c r="BD73" i="8"/>
  <c r="Q70" i="8"/>
  <c r="AP64" i="8"/>
  <c r="AL67" i="8"/>
  <c r="AN86" i="8"/>
  <c r="AN102" i="8" s="1"/>
  <c r="AP69" i="8"/>
  <c r="AI72" i="8"/>
  <c r="AE67" i="8"/>
  <c r="AI64" i="8"/>
  <c r="AA86" i="8"/>
  <c r="AA102" i="8" s="1"/>
  <c r="M63" i="8"/>
  <c r="M97" i="8" s="1"/>
  <c r="K63" i="8"/>
  <c r="K97" i="8" s="1"/>
  <c r="N73" i="8"/>
  <c r="J54" i="8"/>
  <c r="BJ75" i="8"/>
  <c r="BJ100" i="8" s="1"/>
  <c r="BK68" i="8"/>
  <c r="U66" i="8"/>
  <c r="U84" i="8"/>
  <c r="BR50" i="8"/>
  <c r="BR76" i="8"/>
  <c r="BN81" i="8"/>
  <c r="BK61" i="8"/>
  <c r="BG63" i="8"/>
  <c r="BH81" i="8"/>
  <c r="BH101" i="8" s="1"/>
  <c r="T57" i="8"/>
  <c r="T95" i="8" s="1"/>
  <c r="BR49" i="8"/>
  <c r="BN54" i="8"/>
  <c r="BN94" i="8" s="1"/>
  <c r="BB75" i="8"/>
  <c r="BB100" i="8" s="1"/>
  <c r="BP70" i="8"/>
  <c r="AT86" i="8"/>
  <c r="AT102" i="8" s="1"/>
  <c r="AE86" i="8"/>
  <c r="AI82" i="8"/>
  <c r="AB50" i="8"/>
  <c r="X81" i="8"/>
  <c r="AB76" i="8"/>
  <c r="AP71" i="8"/>
  <c r="AL75" i="8"/>
  <c r="AP50" i="8"/>
  <c r="K81" i="8"/>
  <c r="K101" i="8" s="1"/>
  <c r="N61" i="8"/>
  <c r="N77" i="8"/>
  <c r="BR77" i="8"/>
  <c r="BR71" i="8"/>
  <c r="BN75" i="8"/>
  <c r="U56" i="8"/>
  <c r="BH86" i="8"/>
  <c r="BH102" i="8" s="1"/>
  <c r="AV54" i="8"/>
  <c r="AV94" i="8" s="1"/>
  <c r="BD82" i="8"/>
  <c r="AZ86" i="8"/>
  <c r="BD72" i="8"/>
  <c r="BD79" i="8"/>
  <c r="N64" i="8"/>
  <c r="AO81" i="8"/>
  <c r="AO101" i="8" s="1"/>
  <c r="R70" i="8"/>
  <c r="R99" i="8" s="1"/>
  <c r="BK56" i="8"/>
  <c r="BI54" i="8"/>
  <c r="BI94" i="8" s="1"/>
  <c r="AF67" i="8"/>
  <c r="AF98" i="8" s="1"/>
  <c r="AF81" i="8"/>
  <c r="AF101" i="8" s="1"/>
  <c r="Z75" i="8"/>
  <c r="Z100" i="8" s="1"/>
  <c r="AB82" i="8"/>
  <c r="X86" i="8"/>
  <c r="BR58" i="8"/>
  <c r="K86" i="8"/>
  <c r="K102" i="8" s="1"/>
  <c r="N50" i="8"/>
  <c r="J60" i="8"/>
  <c r="N58" i="8"/>
  <c r="BN86" i="8"/>
  <c r="BR82" i="8"/>
  <c r="AW59" i="8"/>
  <c r="U83" i="8"/>
  <c r="U64" i="8"/>
  <c r="Q67" i="8"/>
  <c r="R86" i="8"/>
  <c r="R102" i="8" s="1"/>
  <c r="BQ86" i="8"/>
  <c r="BQ102" i="8" s="1"/>
  <c r="BO81" i="8"/>
  <c r="BO101" i="8" s="1"/>
  <c r="BK62" i="8"/>
  <c r="BG75" i="8"/>
  <c r="BK71" i="8"/>
  <c r="BP75" i="8"/>
  <c r="BP100" i="8" s="1"/>
  <c r="AF54" i="8"/>
  <c r="AF94" i="8" s="1"/>
  <c r="J67" i="8"/>
  <c r="AP73" i="8"/>
  <c r="AP66" i="8"/>
  <c r="AW50" i="8"/>
  <c r="AW64" i="8"/>
  <c r="AS67" i="8"/>
  <c r="AU86" i="8"/>
  <c r="AU102" i="8" s="1"/>
  <c r="AW58" i="8"/>
  <c r="AI83" i="8"/>
  <c r="AI74" i="8"/>
  <c r="U61" i="8"/>
  <c r="Q63" i="8"/>
  <c r="Z54" i="8"/>
  <c r="Z94" i="8" s="1"/>
  <c r="X67" i="8"/>
  <c r="AB64" i="8"/>
  <c r="Y81" i="8"/>
  <c r="Y101" i="8" s="1"/>
  <c r="AN54" i="8"/>
  <c r="AN94" i="8" s="1"/>
  <c r="BD53" i="8"/>
  <c r="Q57" i="8"/>
  <c r="U55" i="8"/>
  <c r="Q75" i="8"/>
  <c r="U71" i="8"/>
  <c r="BG81" i="8"/>
  <c r="BK76" i="8"/>
  <c r="BC86" i="8"/>
  <c r="BC102" i="8" s="1"/>
  <c r="AZ57" i="8"/>
  <c r="BD55" i="8"/>
  <c r="U77" i="8"/>
  <c r="T75" i="8"/>
  <c r="T100" i="8" s="1"/>
  <c r="T81" i="8"/>
  <c r="T101" i="8" s="1"/>
  <c r="AI61" i="8"/>
  <c r="BP54" i="8"/>
  <c r="BP94" i="8" s="1"/>
  <c r="BW94" i="8" s="1"/>
  <c r="BR74" i="8"/>
  <c r="AI50" i="8"/>
  <c r="BK73" i="8"/>
  <c r="BK59" i="8"/>
  <c r="BI81" i="8"/>
  <c r="BI101" i="8" s="1"/>
  <c r="BB81" i="8"/>
  <c r="BB101" i="8" s="1"/>
  <c r="BD78" i="8"/>
  <c r="BD85" i="8"/>
  <c r="AM70" i="8"/>
  <c r="AM99" i="8" s="1"/>
  <c r="AO86" i="8"/>
  <c r="AO102" i="8" s="1"/>
  <c r="AB65" i="8"/>
  <c r="AT70" i="8"/>
  <c r="AW72" i="8"/>
  <c r="AS60" i="8"/>
  <c r="AI58" i="8"/>
  <c r="AH86" i="8"/>
  <c r="AH102" i="8" s="1"/>
  <c r="AI73" i="8"/>
  <c r="AB74" i="8"/>
  <c r="Y86" i="8"/>
  <c r="Y102" i="8" s="1"/>
  <c r="BD76" i="8"/>
  <c r="AO60" i="8"/>
  <c r="AO96" i="8" s="1"/>
  <c r="X54" i="8"/>
  <c r="AB49" i="8"/>
  <c r="L86" i="8"/>
  <c r="L102" i="8" s="1"/>
  <c r="Q60" i="8"/>
  <c r="U58" i="8"/>
  <c r="BR62" i="8"/>
  <c r="AI51" i="8"/>
  <c r="R57" i="8"/>
  <c r="R95" i="8" s="1"/>
  <c r="N53" i="8"/>
  <c r="AZ54" i="8"/>
  <c r="BD49" i="8"/>
  <c r="BR72" i="8"/>
  <c r="BK78" i="8"/>
  <c r="BK77" i="8"/>
  <c r="BA86" i="8"/>
  <c r="BA102" i="8" s="1"/>
  <c r="BD56" i="8"/>
  <c r="BD59" i="8"/>
  <c r="BD77" i="8"/>
  <c r="AP85" i="8"/>
  <c r="BP67" i="8"/>
  <c r="BP98" i="8" s="1"/>
  <c r="BW98" i="8" s="1"/>
  <c r="AW83" i="8"/>
  <c r="T63" i="8"/>
  <c r="T97" i="8" s="1"/>
  <c r="AA54" i="8"/>
  <c r="AA94" i="8" s="1"/>
  <c r="AI68" i="8"/>
  <c r="AE70" i="8"/>
  <c r="AI59" i="8"/>
  <c r="AI80" i="8"/>
  <c r="AI55" i="8"/>
  <c r="AB80" i="8"/>
  <c r="X70" i="8"/>
  <c r="AB55" i="8"/>
  <c r="X57" i="8"/>
  <c r="Z81" i="8"/>
  <c r="Z101" i="8" s="1"/>
  <c r="S60" i="8"/>
  <c r="S96" i="8" s="1"/>
  <c r="M60" i="8"/>
  <c r="M96" i="8" s="1"/>
  <c r="M81" i="8"/>
  <c r="M101" i="8" s="1"/>
  <c r="BG57" i="8"/>
  <c r="BK50" i="8"/>
  <c r="BR55" i="8"/>
  <c r="BN57" i="8"/>
  <c r="BK51" i="8"/>
  <c r="S86" i="8"/>
  <c r="S102" i="8" s="1"/>
  <c r="U69" i="8"/>
  <c r="T86" i="8"/>
  <c r="T102" i="8" s="1"/>
  <c r="U74" i="8"/>
  <c r="BG60" i="8"/>
  <c r="BK58" i="8"/>
  <c r="AH54" i="8"/>
  <c r="AH94" i="8" s="1"/>
  <c r="BR73" i="8"/>
  <c r="BR80" i="8"/>
  <c r="BO54" i="8"/>
  <c r="BO94" i="8" s="1"/>
  <c r="BV94" i="8" s="1"/>
  <c r="BI86" i="8"/>
  <c r="BI102" i="8" s="1"/>
  <c r="S70" i="8"/>
  <c r="S99" i="8" s="1"/>
  <c r="BR59" i="8"/>
  <c r="AB52" i="8"/>
  <c r="BC70" i="8"/>
  <c r="BC99" i="8" s="1"/>
  <c r="BB67" i="8"/>
  <c r="BB98" i="8" s="1"/>
  <c r="BB86" i="8"/>
  <c r="BB102" i="8" s="1"/>
  <c r="BD84" i="8"/>
  <c r="AN70" i="8"/>
  <c r="AN99" i="8" s="1"/>
  <c r="AM57" i="8"/>
  <c r="AM95" i="8" s="1"/>
  <c r="AP76" i="8"/>
  <c r="AL81" i="8"/>
  <c r="AN75" i="8"/>
  <c r="AN100" i="8" s="1"/>
  <c r="AM67" i="8"/>
  <c r="AM98" i="8" s="1"/>
  <c r="S57" i="8"/>
  <c r="S95" i="8" s="1"/>
  <c r="AU54" i="8"/>
  <c r="AU94" i="8" s="1"/>
  <c r="AU70" i="8"/>
  <c r="AU99" i="8" s="1"/>
  <c r="X60" i="8"/>
  <c r="AB58" i="8"/>
  <c r="AF75" i="8"/>
  <c r="AF100" i="8" s="1"/>
  <c r="AG67" i="8"/>
  <c r="AG98" i="8" s="1"/>
  <c r="AI79" i="8"/>
  <c r="AS54" i="8"/>
  <c r="Y67" i="8"/>
  <c r="Y98" i="8" s="1"/>
  <c r="AA75" i="8"/>
  <c r="AA100" i="8" s="1"/>
  <c r="AB77" i="8"/>
  <c r="BD64" i="8"/>
  <c r="N65" i="8"/>
  <c r="N83" i="8"/>
  <c r="M86" i="8"/>
  <c r="M102" i="8" s="1"/>
  <c r="BR56" i="8"/>
  <c r="T67" i="8"/>
  <c r="T98" i="8" s="1"/>
  <c r="BK65" i="8"/>
  <c r="AW52" i="8"/>
  <c r="R54" i="8"/>
  <c r="R94" i="8" s="1"/>
  <c r="BQ81" i="8"/>
  <c r="BQ101" i="8" s="1"/>
  <c r="BX101" i="8" s="1"/>
  <c r="BR66" i="8"/>
  <c r="BR78" i="8"/>
  <c r="AW53" i="8"/>
  <c r="AG54" i="8"/>
  <c r="AG94" i="8" s="1"/>
  <c r="BJ86" i="8"/>
  <c r="BJ102" i="8" s="1"/>
  <c r="BJ63" i="8"/>
  <c r="BJ97" i="8" s="1"/>
  <c r="BK83" i="8"/>
  <c r="AP59" i="8"/>
  <c r="BD65" i="8"/>
  <c r="BD83" i="8"/>
  <c r="AP82" i="8"/>
  <c r="AL86" i="8"/>
  <c r="AP72" i="8"/>
  <c r="AI49" i="8"/>
  <c r="AV70" i="8"/>
  <c r="AV99" i="8" s="1"/>
  <c r="AG75" i="8"/>
  <c r="AG100" i="8" s="1"/>
  <c r="AE81" i="8"/>
  <c r="AI76" i="8"/>
  <c r="AI65" i="8"/>
  <c r="AB72" i="8"/>
  <c r="X75" i="8"/>
  <c r="AB71" i="8"/>
  <c r="Z86" i="8"/>
  <c r="Z102" i="8" s="1"/>
  <c r="T60" i="8"/>
  <c r="T96" i="8" s="1"/>
  <c r="AF57" i="8"/>
  <c r="AF95" i="8" s="1"/>
  <c r="J75" i="8"/>
  <c r="N71" i="8"/>
  <c r="N69" i="8"/>
  <c r="N79" i="8"/>
  <c r="BD74" i="8"/>
  <c r="AL54" i="8"/>
  <c r="AP49" i="8"/>
  <c r="S75" i="8"/>
  <c r="S100" i="8" s="1"/>
  <c r="U79" i="8"/>
  <c r="U80" i="8"/>
  <c r="K60" i="8"/>
  <c r="K96" i="8" s="1"/>
  <c r="BQ60" i="8"/>
  <c r="BQ96" i="8" s="1"/>
  <c r="BQ70" i="8"/>
  <c r="BQ99" i="8" s="1"/>
  <c r="BR79" i="8"/>
  <c r="U49" i="8"/>
  <c r="Q54" i="8"/>
  <c r="BK52" i="8"/>
  <c r="U53" i="8"/>
  <c r="N59" i="8"/>
  <c r="BD71" i="8"/>
  <c r="AZ75" i="8"/>
  <c r="BD69" i="8"/>
  <c r="BA75" i="8"/>
  <c r="BA100" i="8" s="1"/>
  <c r="AL63" i="8"/>
  <c r="AP61" i="8"/>
  <c r="AM81" i="8"/>
  <c r="AM101" i="8" s="1"/>
  <c r="AI62" i="8"/>
  <c r="M54" i="8"/>
  <c r="M94" i="8" s="1"/>
  <c r="AS75" i="8"/>
  <c r="AW71" i="8"/>
  <c r="AW66" i="8"/>
  <c r="AU75" i="8"/>
  <c r="AU100" i="8" s="1"/>
  <c r="U73" i="8"/>
  <c r="AI77" i="8"/>
  <c r="AI69" i="8"/>
  <c r="AG70" i="8"/>
  <c r="AG99" i="8" s="1"/>
  <c r="AI85" i="8"/>
  <c r="AB73" i="8"/>
  <c r="AB83" i="8"/>
  <c r="AA67" i="8"/>
  <c r="AA98" i="8" s="1"/>
  <c r="N78" i="8"/>
  <c r="N85" i="8"/>
  <c r="B234" i="10"/>
  <c r="F161" i="10"/>
  <c r="BW102" i="8" l="1"/>
  <c r="BX96" i="8"/>
  <c r="BV96" i="8"/>
  <c r="BV101" i="8"/>
  <c r="BX102" i="8"/>
  <c r="BX103" i="8" s="1"/>
  <c r="BX100" i="8"/>
  <c r="BU99" i="8"/>
  <c r="BW95" i="8"/>
  <c r="BV99" i="8"/>
  <c r="BV103" i="8" s="1"/>
  <c r="BX98" i="8"/>
  <c r="BW97" i="8"/>
  <c r="BW96" i="8"/>
  <c r="BX95" i="8"/>
  <c r="BV102" i="8"/>
  <c r="BW100" i="8"/>
  <c r="BV100" i="8"/>
  <c r="BX99" i="8"/>
  <c r="D3" i="16"/>
  <c r="C5" i="16"/>
  <c r="B7" i="16"/>
  <c r="F6" i="16"/>
  <c r="E7" i="16"/>
  <c r="B5" i="16"/>
  <c r="C7" i="16"/>
  <c r="G7" i="16"/>
  <c r="D7" i="16"/>
  <c r="C3" i="16"/>
  <c r="F120" i="8"/>
  <c r="F158" i="8" s="1"/>
  <c r="G118" i="8"/>
  <c r="E133" i="8"/>
  <c r="E162" i="8" s="1"/>
  <c r="E114" i="10"/>
  <c r="E216" i="10" s="1"/>
  <c r="E130" i="8"/>
  <c r="E161" i="8" s="1"/>
  <c r="G146" i="8"/>
  <c r="D149" i="8"/>
  <c r="D165" i="8" s="1"/>
  <c r="E63" i="10"/>
  <c r="E198" i="10" s="1"/>
  <c r="C126" i="8"/>
  <c r="C160" i="8" s="1"/>
  <c r="E138" i="8"/>
  <c r="E163" i="8" s="1"/>
  <c r="G141" i="8"/>
  <c r="C133" i="8"/>
  <c r="C162" i="8" s="1"/>
  <c r="G142" i="8"/>
  <c r="F126" i="8"/>
  <c r="F160" i="8" s="1"/>
  <c r="C149" i="8"/>
  <c r="C165" i="8" s="1"/>
  <c r="D126" i="8"/>
  <c r="D160" i="8" s="1"/>
  <c r="E117" i="8"/>
  <c r="E157" i="8" s="1"/>
  <c r="G140" i="8"/>
  <c r="D123" i="8"/>
  <c r="D159" i="8" s="1"/>
  <c r="G145" i="8"/>
  <c r="G116" i="8"/>
  <c r="G134" i="8"/>
  <c r="C130" i="8"/>
  <c r="C161" i="8" s="1"/>
  <c r="D144" i="8"/>
  <c r="D164" i="8" s="1"/>
  <c r="C63" i="10"/>
  <c r="C198" i="10" s="1"/>
  <c r="G137" i="8"/>
  <c r="G127" i="8"/>
  <c r="C144" i="8"/>
  <c r="C164" i="8" s="1"/>
  <c r="E149" i="8"/>
  <c r="E165" i="8" s="1"/>
  <c r="C214" i="6"/>
  <c r="G132" i="8"/>
  <c r="G124" i="8"/>
  <c r="F108" i="10"/>
  <c r="C277" i="6"/>
  <c r="C114" i="10"/>
  <c r="C216" i="10" s="1"/>
  <c r="E126" i="8"/>
  <c r="E160" i="8" s="1"/>
  <c r="G128" i="8"/>
  <c r="G131" i="8"/>
  <c r="G121" i="8"/>
  <c r="G115" i="8"/>
  <c r="G143" i="8"/>
  <c r="E144" i="8"/>
  <c r="E164" i="8" s="1"/>
  <c r="F117" i="8"/>
  <c r="F157" i="8" s="1"/>
  <c r="G114" i="8"/>
  <c r="F133" i="8"/>
  <c r="F162" i="8" s="1"/>
  <c r="C138" i="8"/>
  <c r="C163" i="8" s="1"/>
  <c r="F130" i="8"/>
  <c r="F161" i="8" s="1"/>
  <c r="AB82" i="2"/>
  <c r="D133" i="8"/>
  <c r="D162" i="8" s="1"/>
  <c r="AP53" i="6"/>
  <c r="D80" i="10"/>
  <c r="D202" i="10" s="1"/>
  <c r="G136" i="8"/>
  <c r="G192" i="8"/>
  <c r="F123" i="8"/>
  <c r="F159" i="8" s="1"/>
  <c r="G148" i="8"/>
  <c r="G139" i="8"/>
  <c r="C123" i="8"/>
  <c r="C159" i="8" s="1"/>
  <c r="G148" i="2"/>
  <c r="G151" i="2"/>
  <c r="BH97" i="6"/>
  <c r="F138" i="8"/>
  <c r="F163" i="8" s="1"/>
  <c r="E120" i="8"/>
  <c r="E158" i="8" s="1"/>
  <c r="F149" i="8"/>
  <c r="F165" i="8" s="1"/>
  <c r="G129" i="8"/>
  <c r="G112" i="8"/>
  <c r="D117" i="8"/>
  <c r="D157" i="8" s="1"/>
  <c r="G122" i="8"/>
  <c r="D138" i="8"/>
  <c r="D163" i="8" s="1"/>
  <c r="G142" i="2"/>
  <c r="E117" i="10"/>
  <c r="E217" i="10" s="1"/>
  <c r="F144" i="8"/>
  <c r="F164" i="8" s="1"/>
  <c r="D130" i="8"/>
  <c r="D161" i="8" s="1"/>
  <c r="E308" i="3"/>
  <c r="G113" i="8"/>
  <c r="G82" i="2"/>
  <c r="C117" i="8"/>
  <c r="C157" i="8" s="1"/>
  <c r="G119" i="8"/>
  <c r="G135" i="8"/>
  <c r="G91" i="5"/>
  <c r="BH98" i="6"/>
  <c r="C111" i="10"/>
  <c r="C215" i="10" s="1"/>
  <c r="AA122" i="3"/>
  <c r="G147" i="8"/>
  <c r="E123" i="8"/>
  <c r="E159" i="8" s="1"/>
  <c r="AB85" i="2"/>
  <c r="U28" i="5"/>
  <c r="C125" i="10"/>
  <c r="C219" i="10" s="1"/>
  <c r="F73" i="10"/>
  <c r="G203" i="3"/>
  <c r="D192" i="2"/>
  <c r="AB28" i="5"/>
  <c r="D125" i="10"/>
  <c r="D219" i="10" s="1"/>
  <c r="F107" i="10"/>
  <c r="D129" i="10"/>
  <c r="D220" i="10" s="1"/>
  <c r="E70" i="10"/>
  <c r="E200" i="10" s="1"/>
  <c r="F124" i="10"/>
  <c r="R129" i="2"/>
  <c r="G155" i="2"/>
  <c r="G179" i="6"/>
  <c r="C215" i="6"/>
  <c r="F62" i="10"/>
  <c r="D114" i="10"/>
  <c r="D216" i="10" s="1"/>
  <c r="D89" i="10"/>
  <c r="D204" i="10" s="1"/>
  <c r="AM97" i="6"/>
  <c r="F139" i="10"/>
  <c r="F136" i="10"/>
  <c r="G85" i="2"/>
  <c r="F115" i="10"/>
  <c r="F94" i="13"/>
  <c r="F79" i="10"/>
  <c r="AA72" i="5"/>
  <c r="D67" i="10"/>
  <c r="D199" i="10" s="1"/>
  <c r="F92" i="10"/>
  <c r="AI72" i="3"/>
  <c r="R128" i="2"/>
  <c r="F123" i="10"/>
  <c r="E125" i="10"/>
  <c r="E219" i="10" s="1"/>
  <c r="AO98" i="6"/>
  <c r="AB88" i="3"/>
  <c r="F91" i="13"/>
  <c r="F192" i="2"/>
  <c r="C134" i="10"/>
  <c r="C221" i="10" s="1"/>
  <c r="AA114" i="10"/>
  <c r="F132" i="10"/>
  <c r="AW78" i="3"/>
  <c r="D309" i="3"/>
  <c r="G22" i="5"/>
  <c r="G174" i="2"/>
  <c r="E80" i="10"/>
  <c r="E202" i="10" s="1"/>
  <c r="G77" i="6"/>
  <c r="Y98" i="6"/>
  <c r="G163" i="2"/>
  <c r="M128" i="2"/>
  <c r="F128" i="2"/>
  <c r="X208" i="10"/>
  <c r="AA128" i="2"/>
  <c r="C85" i="10"/>
  <c r="C203" i="10" s="1"/>
  <c r="Y225" i="10"/>
  <c r="S122" i="3"/>
  <c r="S252" i="13"/>
  <c r="F66" i="10"/>
  <c r="AN98" i="6"/>
  <c r="Y72" i="5"/>
  <c r="E89" i="10"/>
  <c r="E204" i="10" s="1"/>
  <c r="R207" i="10"/>
  <c r="AW81" i="3"/>
  <c r="BD59" i="6"/>
  <c r="D135" i="5"/>
  <c r="BA98" i="6"/>
  <c r="E140" i="10"/>
  <c r="E222" i="10" s="1"/>
  <c r="L236" i="13"/>
  <c r="BB98" i="6"/>
  <c r="D111" i="10"/>
  <c r="D215" i="10" s="1"/>
  <c r="E111" i="10"/>
  <c r="E215" i="10" s="1"/>
  <c r="F128" i="10"/>
  <c r="C75" i="10"/>
  <c r="C201" i="10" s="1"/>
  <c r="D140" i="10"/>
  <c r="D222" i="10" s="1"/>
  <c r="F93" i="10"/>
  <c r="Z121" i="3"/>
  <c r="D117" i="13"/>
  <c r="D232" i="13" s="1"/>
  <c r="D283" i="13" s="1"/>
  <c r="X207" i="10"/>
  <c r="AN72" i="5"/>
  <c r="S269" i="13"/>
  <c r="Y207" i="10"/>
  <c r="Y128" i="2"/>
  <c r="Q235" i="13"/>
  <c r="F97" i="6"/>
  <c r="Z207" i="10"/>
  <c r="AV129" i="2"/>
  <c r="K252" i="13"/>
  <c r="D191" i="2"/>
  <c r="D99" i="13"/>
  <c r="D228" i="13" s="1"/>
  <c r="D279" i="13" s="1"/>
  <c r="C129" i="10"/>
  <c r="C220" i="10" s="1"/>
  <c r="D72" i="5"/>
  <c r="AN129" i="2"/>
  <c r="C140" i="10"/>
  <c r="C222" i="10" s="1"/>
  <c r="L270" i="13"/>
  <c r="J236" i="13"/>
  <c r="Z253" i="13"/>
  <c r="G125" i="8"/>
  <c r="AG97" i="6"/>
  <c r="AS112" i="3"/>
  <c r="AW72" i="3"/>
  <c r="Z122" i="3"/>
  <c r="AB82" i="6"/>
  <c r="Z98" i="6"/>
  <c r="AG121" i="3"/>
  <c r="AV122" i="3"/>
  <c r="F129" i="2"/>
  <c r="F133" i="10"/>
  <c r="AG129" i="2"/>
  <c r="Z72" i="5"/>
  <c r="BC98" i="6"/>
  <c r="F127" i="10"/>
  <c r="E112" i="13"/>
  <c r="E231" i="13" s="1"/>
  <c r="E282" i="13" s="1"/>
  <c r="D128" i="13"/>
  <c r="D234" i="13" s="1"/>
  <c r="D285" i="13" s="1"/>
  <c r="Z71" i="5"/>
  <c r="C219" i="6"/>
  <c r="G194" i="6"/>
  <c r="T71" i="5"/>
  <c r="F99" i="10"/>
  <c r="B134" i="10"/>
  <c r="B221" i="10" s="1"/>
  <c r="D315" i="2"/>
  <c r="D63" i="10"/>
  <c r="D198" i="10" s="1"/>
  <c r="M122" i="3"/>
  <c r="D161" i="6"/>
  <c r="D308" i="3"/>
  <c r="AA129" i="2"/>
  <c r="F120" i="10"/>
  <c r="E123" i="13"/>
  <c r="E233" i="13" s="1"/>
  <c r="E284" i="13" s="1"/>
  <c r="F95" i="13"/>
  <c r="C108" i="13"/>
  <c r="C230" i="13" s="1"/>
  <c r="C281" i="13" s="1"/>
  <c r="F125" i="13"/>
  <c r="K72" i="5"/>
  <c r="U82" i="6"/>
  <c r="Y129" i="2"/>
  <c r="E247" i="3"/>
  <c r="AV128" i="2"/>
  <c r="BB97" i="6"/>
  <c r="F98" i="10"/>
  <c r="F138" i="10"/>
  <c r="AM121" i="3"/>
  <c r="X225" i="10"/>
  <c r="AM98" i="6"/>
  <c r="X269" i="13"/>
  <c r="AS90" i="6"/>
  <c r="AW50" i="6"/>
  <c r="F72" i="5"/>
  <c r="E97" i="6"/>
  <c r="E134" i="5"/>
  <c r="AM71" i="5"/>
  <c r="F191" i="2"/>
  <c r="Y224" i="10"/>
  <c r="F89" i="13"/>
  <c r="E103" i="13"/>
  <c r="E229" i="13" s="1"/>
  <c r="E280" i="13" s="1"/>
  <c r="C112" i="13"/>
  <c r="C231" i="13" s="1"/>
  <c r="C282" i="13" s="1"/>
  <c r="D316" i="2"/>
  <c r="AI82" i="6"/>
  <c r="E316" i="2"/>
  <c r="E134" i="10"/>
  <c r="E221" i="10" s="1"/>
  <c r="K253" i="13"/>
  <c r="AM72" i="5"/>
  <c r="AP77" i="6"/>
  <c r="R208" i="10"/>
  <c r="E99" i="13"/>
  <c r="E228" i="13" s="1"/>
  <c r="E279" i="13" s="1"/>
  <c r="C92" i="13"/>
  <c r="C226" i="13" s="1"/>
  <c r="C277" i="13" s="1"/>
  <c r="D92" i="13"/>
  <c r="D226" i="13" s="1"/>
  <c r="D277" i="13" s="1"/>
  <c r="F61" i="10"/>
  <c r="E192" i="2"/>
  <c r="Y121" i="3"/>
  <c r="Z225" i="10"/>
  <c r="F98" i="6"/>
  <c r="M129" i="2"/>
  <c r="AN97" i="6"/>
  <c r="D134" i="5"/>
  <c r="Y97" i="6"/>
  <c r="G186" i="6"/>
  <c r="C217" i="6"/>
  <c r="C221" i="6"/>
  <c r="G205" i="6"/>
  <c r="F120" i="13"/>
  <c r="F105" i="13"/>
  <c r="F116" i="10"/>
  <c r="F121" i="3"/>
  <c r="BK77" i="6"/>
  <c r="F88" i="10"/>
  <c r="AN122" i="3"/>
  <c r="AF121" i="3"/>
  <c r="AA121" i="3"/>
  <c r="S208" i="10"/>
  <c r="D117" i="10"/>
  <c r="D217" i="10" s="1"/>
  <c r="E122" i="3"/>
  <c r="F135" i="5"/>
  <c r="S207" i="10"/>
  <c r="D89" i="11"/>
  <c r="M134" i="10"/>
  <c r="Z128" i="2"/>
  <c r="D185" i="3"/>
  <c r="S72" i="5"/>
  <c r="T72" i="5"/>
  <c r="L269" i="13"/>
  <c r="J253" i="13"/>
  <c r="F109" i="10"/>
  <c r="F111" i="13"/>
  <c r="L128" i="2"/>
  <c r="E72" i="5"/>
  <c r="E98" i="6"/>
  <c r="AN128" i="2"/>
  <c r="G256" i="6"/>
  <c r="C281" i="6"/>
  <c r="AI100" i="2"/>
  <c r="AE125" i="2"/>
  <c r="G162" i="3"/>
  <c r="C182" i="3"/>
  <c r="AI77" i="6"/>
  <c r="X126" i="2"/>
  <c r="AB106" i="2"/>
  <c r="E185" i="3"/>
  <c r="E184" i="3"/>
  <c r="X115" i="3"/>
  <c r="AB81" i="3"/>
  <c r="AM122" i="3"/>
  <c r="AW79" i="2"/>
  <c r="AS119" i="2"/>
  <c r="L98" i="6"/>
  <c r="L97" i="6"/>
  <c r="W205" i="10"/>
  <c r="AA95" i="10"/>
  <c r="U25" i="5"/>
  <c r="Q63" i="5"/>
  <c r="T98" i="6"/>
  <c r="T97" i="6"/>
  <c r="I226" i="13"/>
  <c r="M92" i="13"/>
  <c r="K97" i="6"/>
  <c r="K98" i="6"/>
  <c r="AE69" i="5"/>
  <c r="AI49" i="5"/>
  <c r="AO129" i="2"/>
  <c r="AO128" i="2"/>
  <c r="B249" i="13"/>
  <c r="F162" i="13"/>
  <c r="C276" i="6"/>
  <c r="G238" i="6"/>
  <c r="U54" i="5"/>
  <c r="Q70" i="5"/>
  <c r="AL90" i="6"/>
  <c r="AP50" i="6"/>
  <c r="BD82" i="6"/>
  <c r="W243" i="13"/>
  <c r="AA139" i="13"/>
  <c r="I249" i="13"/>
  <c r="M162" i="13"/>
  <c r="L253" i="13"/>
  <c r="L252" i="13"/>
  <c r="E315" i="2"/>
  <c r="W249" i="13"/>
  <c r="AA162" i="13"/>
  <c r="I264" i="13"/>
  <c r="M197" i="13"/>
  <c r="AW63" i="8"/>
  <c r="AS124" i="2"/>
  <c r="AW95" i="2"/>
  <c r="AE123" i="2"/>
  <c r="AI92" i="2"/>
  <c r="C189" i="5"/>
  <c r="G153" i="5"/>
  <c r="K225" i="10"/>
  <c r="K224" i="10"/>
  <c r="I233" i="13"/>
  <c r="M123" i="13"/>
  <c r="AL113" i="3"/>
  <c r="AP75" i="3"/>
  <c r="Q115" i="3"/>
  <c r="U81" i="3"/>
  <c r="X69" i="5"/>
  <c r="AB49" i="5"/>
  <c r="F64" i="10"/>
  <c r="B67" i="10"/>
  <c r="F130" i="10"/>
  <c r="C103" i="13"/>
  <c r="C229" i="13" s="1"/>
  <c r="C280" i="13" s="1"/>
  <c r="E108" i="13"/>
  <c r="E230" i="13" s="1"/>
  <c r="E281" i="13" s="1"/>
  <c r="AE93" i="6"/>
  <c r="AI59" i="6"/>
  <c r="P215" i="10"/>
  <c r="T111" i="10"/>
  <c r="C245" i="2"/>
  <c r="G207" i="2"/>
  <c r="Q65" i="5"/>
  <c r="U31" i="5"/>
  <c r="J93" i="6"/>
  <c r="N59" i="6"/>
  <c r="BJ98" i="6"/>
  <c r="BJ97" i="6"/>
  <c r="W219" i="10"/>
  <c r="AA125" i="10"/>
  <c r="AN121" i="3"/>
  <c r="D121" i="3"/>
  <c r="D122" i="3"/>
  <c r="J120" i="3"/>
  <c r="N104" i="3"/>
  <c r="AE62" i="5"/>
  <c r="AI22" i="5"/>
  <c r="R98" i="6"/>
  <c r="R97" i="6"/>
  <c r="AS94" i="6"/>
  <c r="AW63" i="6"/>
  <c r="F84" i="10"/>
  <c r="M63" i="10"/>
  <c r="I198" i="10"/>
  <c r="AL125" i="2"/>
  <c r="AP100" i="2"/>
  <c r="E254" i="2"/>
  <c r="E253" i="2"/>
  <c r="Q116" i="3"/>
  <c r="U85" i="3"/>
  <c r="F74" i="10"/>
  <c r="C216" i="6"/>
  <c r="G182" i="6"/>
  <c r="T96" i="13"/>
  <c r="P227" i="13"/>
  <c r="AE124" i="2"/>
  <c r="AI95" i="2"/>
  <c r="AP106" i="2"/>
  <c r="AL126" i="2"/>
  <c r="Q117" i="3"/>
  <c r="U88" i="3"/>
  <c r="AL67" i="5"/>
  <c r="AP38" i="5"/>
  <c r="B85" i="10"/>
  <c r="F81" i="10"/>
  <c r="W206" i="10"/>
  <c r="AA100" i="10"/>
  <c r="W198" i="10"/>
  <c r="AA63" i="10"/>
  <c r="I247" i="13"/>
  <c r="M153" i="13"/>
  <c r="AA197" i="13"/>
  <c r="W264" i="13"/>
  <c r="Q123" i="2"/>
  <c r="U92" i="2"/>
  <c r="C309" i="2"/>
  <c r="G275" i="2"/>
  <c r="AL65" i="5"/>
  <c r="AP31" i="5"/>
  <c r="K71" i="5"/>
  <c r="AE63" i="5"/>
  <c r="AI25" i="5"/>
  <c r="N77" i="6"/>
  <c r="AS92" i="6"/>
  <c r="AW56" i="6"/>
  <c r="N78" i="3"/>
  <c r="AS63" i="5"/>
  <c r="AW25" i="5"/>
  <c r="G156" i="5"/>
  <c r="C190" i="5"/>
  <c r="AL92" i="6"/>
  <c r="AP56" i="6"/>
  <c r="P229" i="13"/>
  <c r="T103" i="13"/>
  <c r="AS127" i="2"/>
  <c r="AW111" i="2"/>
  <c r="G88" i="2"/>
  <c r="C122" i="2"/>
  <c r="E3" i="16" s="1"/>
  <c r="L122" i="3"/>
  <c r="L121" i="3"/>
  <c r="AL70" i="5"/>
  <c r="AP54" i="5"/>
  <c r="W233" i="13"/>
  <c r="AA123" i="13"/>
  <c r="I262" i="13"/>
  <c r="M189" i="13"/>
  <c r="N88" i="3"/>
  <c r="W250" i="13"/>
  <c r="AA168" i="13"/>
  <c r="C81" i="11"/>
  <c r="G43" i="11"/>
  <c r="G250" i="8"/>
  <c r="C284" i="8"/>
  <c r="AW31" i="5"/>
  <c r="AS65" i="5"/>
  <c r="F144" i="10"/>
  <c r="W217" i="10"/>
  <c r="AA117" i="10"/>
  <c r="C253" i="5"/>
  <c r="G222" i="5"/>
  <c r="P266" i="13"/>
  <c r="T206" i="13"/>
  <c r="P233" i="13"/>
  <c r="T123" i="13"/>
  <c r="N72" i="3"/>
  <c r="W266" i="13"/>
  <c r="AA206" i="13"/>
  <c r="P265" i="13"/>
  <c r="T201" i="13"/>
  <c r="P262" i="13"/>
  <c r="T189" i="13"/>
  <c r="T63" i="10"/>
  <c r="C145" i="10"/>
  <c r="C223" i="10" s="1"/>
  <c r="P251" i="13"/>
  <c r="T173" i="13"/>
  <c r="M186" i="13"/>
  <c r="C126" i="2"/>
  <c r="G106" i="2"/>
  <c r="AU129" i="2"/>
  <c r="AU128" i="2"/>
  <c r="C237" i="3"/>
  <c r="G197" i="3"/>
  <c r="J68" i="5"/>
  <c r="N43" i="5"/>
  <c r="I201" i="10"/>
  <c r="M75" i="10"/>
  <c r="X68" i="5"/>
  <c r="AB43" i="5"/>
  <c r="AP85" i="2"/>
  <c r="AL121" i="2"/>
  <c r="J91" i="6"/>
  <c r="N53" i="6"/>
  <c r="AE90" i="6"/>
  <c r="AI50" i="6"/>
  <c r="BG94" i="6"/>
  <c r="BK63" i="6"/>
  <c r="M140" i="10"/>
  <c r="M149" i="13"/>
  <c r="I246" i="13"/>
  <c r="I266" i="13"/>
  <c r="M206" i="13"/>
  <c r="C120" i="3"/>
  <c r="G104" i="3"/>
  <c r="W262" i="13"/>
  <c r="AA189" i="13"/>
  <c r="P203" i="10"/>
  <c r="T85" i="10"/>
  <c r="D90" i="11"/>
  <c r="B245" i="13"/>
  <c r="F145" i="13"/>
  <c r="C99" i="13"/>
  <c r="C228" i="13" s="1"/>
  <c r="C279" i="13" s="1"/>
  <c r="AL122" i="2"/>
  <c r="AP88" i="2"/>
  <c r="Q96" i="6"/>
  <c r="U71" i="6"/>
  <c r="J67" i="5"/>
  <c r="N38" i="5"/>
  <c r="G286" i="3"/>
  <c r="C306" i="3"/>
  <c r="AZ90" i="6"/>
  <c r="BD50" i="6"/>
  <c r="C156" i="6"/>
  <c r="G6" i="16" s="1"/>
  <c r="G127" i="6"/>
  <c r="S235" i="13"/>
  <c r="S236" i="13"/>
  <c r="W230" i="13"/>
  <c r="AA108" i="13"/>
  <c r="I223" i="10"/>
  <c r="M145" i="10"/>
  <c r="C245" i="3"/>
  <c r="G229" i="3"/>
  <c r="G147" i="5"/>
  <c r="C187" i="5"/>
  <c r="L208" i="10"/>
  <c r="L207" i="10"/>
  <c r="D103" i="13"/>
  <c r="D229" i="13" s="1"/>
  <c r="D280" i="13" s="1"/>
  <c r="F88" i="13"/>
  <c r="B92" i="13"/>
  <c r="F90" i="13"/>
  <c r="F102" i="13"/>
  <c r="E128" i="13"/>
  <c r="E234" i="13" s="1"/>
  <c r="E285" i="13" s="1"/>
  <c r="F98" i="13"/>
  <c r="W227" i="13"/>
  <c r="AA96" i="13"/>
  <c r="Q126" i="2"/>
  <c r="U106" i="2"/>
  <c r="Q120" i="2"/>
  <c r="U82" i="2"/>
  <c r="AT119" i="3"/>
  <c r="AT121" i="3" s="1"/>
  <c r="AW99" i="3"/>
  <c r="AE67" i="5"/>
  <c r="AI38" i="5"/>
  <c r="X70" i="5"/>
  <c r="AB54" i="5"/>
  <c r="X93" i="6"/>
  <c r="AB59" i="6"/>
  <c r="E161" i="6"/>
  <c r="E160" i="6"/>
  <c r="X62" i="5"/>
  <c r="AB22" i="5"/>
  <c r="C195" i="5"/>
  <c r="G179" i="5"/>
  <c r="G210" i="2"/>
  <c r="C246" i="2"/>
  <c r="C310" i="2"/>
  <c r="G279" i="2"/>
  <c r="X67" i="5"/>
  <c r="AB38" i="5"/>
  <c r="C94" i="6"/>
  <c r="G63" i="6"/>
  <c r="AF98" i="6"/>
  <c r="AF97" i="6"/>
  <c r="AF122" i="3"/>
  <c r="U95" i="2"/>
  <c r="Q124" i="2"/>
  <c r="C153" i="6"/>
  <c r="D6" i="16" s="1"/>
  <c r="G117" i="6"/>
  <c r="E100" i="10"/>
  <c r="E206" i="10" s="1"/>
  <c r="C283" i="6"/>
  <c r="G267" i="6"/>
  <c r="AO122" i="3"/>
  <c r="AO121" i="3"/>
  <c r="AB93" i="3"/>
  <c r="X118" i="3"/>
  <c r="P199" i="10"/>
  <c r="T67" i="10"/>
  <c r="X119" i="2"/>
  <c r="AB79" i="2"/>
  <c r="AW104" i="3"/>
  <c r="AS120" i="3"/>
  <c r="G141" i="3"/>
  <c r="C177" i="3"/>
  <c r="C299" i="3"/>
  <c r="G259" i="3"/>
  <c r="G82" i="6"/>
  <c r="AE91" i="6"/>
  <c r="AI53" i="6"/>
  <c r="C100" i="10"/>
  <c r="C206" i="10" s="1"/>
  <c r="F316" i="2"/>
  <c r="F315" i="2"/>
  <c r="P201" i="10"/>
  <c r="T75" i="10"/>
  <c r="U75" i="3"/>
  <c r="Q113" i="3"/>
  <c r="AL62" i="5"/>
  <c r="AP22" i="5"/>
  <c r="D160" i="6"/>
  <c r="F122" i="3"/>
  <c r="BG96" i="6"/>
  <c r="BK71" i="6"/>
  <c r="B111" i="10"/>
  <c r="C96" i="6"/>
  <c r="G71" i="6"/>
  <c r="G251" i="6"/>
  <c r="C280" i="6"/>
  <c r="E129" i="10"/>
  <c r="E220" i="10" s="1"/>
  <c r="AL93" i="6"/>
  <c r="AP59" i="6"/>
  <c r="AA85" i="10"/>
  <c r="AL68" i="5"/>
  <c r="AP43" i="5"/>
  <c r="F112" i="10"/>
  <c r="B114" i="10"/>
  <c r="P244" i="13"/>
  <c r="T142" i="13"/>
  <c r="X270" i="13"/>
  <c r="L235" i="13"/>
  <c r="W248" i="13"/>
  <c r="AA157" i="13"/>
  <c r="I216" i="10"/>
  <c r="M114" i="10"/>
  <c r="K121" i="3"/>
  <c r="K122" i="3"/>
  <c r="S225" i="10"/>
  <c r="S224" i="10"/>
  <c r="X252" i="13"/>
  <c r="X253" i="13"/>
  <c r="C88" i="11"/>
  <c r="G72" i="11"/>
  <c r="M117" i="10"/>
  <c r="W265" i="13"/>
  <c r="AA201" i="13"/>
  <c r="P226" i="13"/>
  <c r="T92" i="13"/>
  <c r="F87" i="10"/>
  <c r="AE126" i="2"/>
  <c r="AI106" i="2"/>
  <c r="D253" i="2"/>
  <c r="D254" i="2"/>
  <c r="C313" i="2"/>
  <c r="G293" i="2"/>
  <c r="AL123" i="2"/>
  <c r="AP92" i="2"/>
  <c r="AE120" i="3"/>
  <c r="AI104" i="3"/>
  <c r="C244" i="2"/>
  <c r="G204" i="2"/>
  <c r="AB75" i="3"/>
  <c r="X113" i="3"/>
  <c r="C189" i="2"/>
  <c r="G169" i="2"/>
  <c r="C91" i="6"/>
  <c r="G53" i="6"/>
  <c r="C96" i="13"/>
  <c r="C227" i="13" s="1"/>
  <c r="C278" i="13" s="1"/>
  <c r="F114" i="13"/>
  <c r="F106" i="13"/>
  <c r="F101" i="13"/>
  <c r="C123" i="13"/>
  <c r="C233" i="13" s="1"/>
  <c r="C284" i="13" s="1"/>
  <c r="Q92" i="6"/>
  <c r="U56" i="6"/>
  <c r="AE95" i="6"/>
  <c r="AI66" i="6"/>
  <c r="F137" i="10"/>
  <c r="AL116" i="3"/>
  <c r="AP85" i="3"/>
  <c r="J63" i="5"/>
  <c r="N25" i="5"/>
  <c r="AZ92" i="6"/>
  <c r="BD56" i="6"/>
  <c r="B243" i="13"/>
  <c r="F139" i="13"/>
  <c r="C114" i="3"/>
  <c r="D4" i="16" s="1"/>
  <c r="G78" i="3"/>
  <c r="G213" i="3"/>
  <c r="C242" i="3"/>
  <c r="U53" i="6"/>
  <c r="Q91" i="6"/>
  <c r="I202" i="10"/>
  <c r="M80" i="10"/>
  <c r="W201" i="10"/>
  <c r="AA75" i="10"/>
  <c r="C180" i="3"/>
  <c r="G151" i="3"/>
  <c r="G262" i="3"/>
  <c r="C300" i="3"/>
  <c r="S129" i="2"/>
  <c r="S128" i="2"/>
  <c r="C307" i="2"/>
  <c r="G269" i="2"/>
  <c r="E246" i="3"/>
  <c r="AA98" i="6"/>
  <c r="AA97" i="6"/>
  <c r="B75" i="10"/>
  <c r="F71" i="10"/>
  <c r="P217" i="10"/>
  <c r="T117" i="10"/>
  <c r="J124" i="2"/>
  <c r="N95" i="2"/>
  <c r="T122" i="3"/>
  <c r="T121" i="3"/>
  <c r="U59" i="6"/>
  <c r="BG93" i="6"/>
  <c r="BK59" i="6"/>
  <c r="BK82" i="6"/>
  <c r="P202" i="10"/>
  <c r="T80" i="10"/>
  <c r="X235" i="13"/>
  <c r="X236" i="13"/>
  <c r="P218" i="10"/>
  <c r="T121" i="10"/>
  <c r="J62" i="5"/>
  <c r="N22" i="5"/>
  <c r="AI71" i="6"/>
  <c r="AE96" i="6"/>
  <c r="F78" i="10"/>
  <c r="P222" i="10"/>
  <c r="T140" i="10"/>
  <c r="J121" i="2"/>
  <c r="N85" i="2"/>
  <c r="R122" i="3"/>
  <c r="R121" i="3"/>
  <c r="Q95" i="6"/>
  <c r="U66" i="6"/>
  <c r="S121" i="3"/>
  <c r="AS96" i="6"/>
  <c r="AW71" i="6"/>
  <c r="F106" i="10"/>
  <c r="I219" i="10"/>
  <c r="M125" i="10"/>
  <c r="Y253" i="13"/>
  <c r="Y252" i="13"/>
  <c r="W263" i="13"/>
  <c r="AA192" i="13"/>
  <c r="W244" i="13"/>
  <c r="AA142" i="13"/>
  <c r="Y122" i="3"/>
  <c r="D75" i="10"/>
  <c r="D201" i="10" s="1"/>
  <c r="P216" i="10"/>
  <c r="T114" i="10"/>
  <c r="G67" i="11"/>
  <c r="C87" i="11"/>
  <c r="J90" i="6"/>
  <c r="N50" i="6"/>
  <c r="C66" i="5"/>
  <c r="F5" i="16" s="1"/>
  <c r="G35" i="5"/>
  <c r="Y208" i="10"/>
  <c r="B248" i="13"/>
  <c r="F157" i="13"/>
  <c r="J120" i="2"/>
  <c r="N82" i="2"/>
  <c r="AP95" i="2"/>
  <c r="AL124" i="2"/>
  <c r="C119" i="2"/>
  <c r="B3" i="16" s="1"/>
  <c r="G79" i="2"/>
  <c r="C70" i="5"/>
  <c r="G54" i="5"/>
  <c r="I200" i="10"/>
  <c r="M70" i="10"/>
  <c r="AB88" i="2"/>
  <c r="X122" i="2"/>
  <c r="F168" i="13"/>
  <c r="B250" i="13"/>
  <c r="AL118" i="3"/>
  <c r="AP93" i="3"/>
  <c r="P223" i="10"/>
  <c r="T145" i="10"/>
  <c r="C69" i="5"/>
  <c r="G49" i="5"/>
  <c r="AS121" i="2"/>
  <c r="AW85" i="2"/>
  <c r="AL114" i="3"/>
  <c r="AP78" i="3"/>
  <c r="X124" i="2"/>
  <c r="AB95" i="2"/>
  <c r="C159" i="6"/>
  <c r="G143" i="6"/>
  <c r="J225" i="10"/>
  <c r="J224" i="10"/>
  <c r="B112" i="13"/>
  <c r="F109" i="13"/>
  <c r="F104" i="13"/>
  <c r="B108" i="13"/>
  <c r="C117" i="13"/>
  <c r="C232" i="13" s="1"/>
  <c r="C283" i="13" s="1"/>
  <c r="AF129" i="2"/>
  <c r="AF128" i="2"/>
  <c r="AE114" i="3"/>
  <c r="AI78" i="3"/>
  <c r="G210" i="3"/>
  <c r="C241" i="3"/>
  <c r="C151" i="6"/>
  <c r="B6" i="16" s="1"/>
  <c r="G111" i="6"/>
  <c r="G220" i="2"/>
  <c r="C249" i="2"/>
  <c r="AS66" i="5"/>
  <c r="AW35" i="5"/>
  <c r="Z208" i="10"/>
  <c r="Q208" i="10"/>
  <c r="Q207" i="10"/>
  <c r="B129" i="10"/>
  <c r="F126" i="10"/>
  <c r="AS123" i="2"/>
  <c r="AW92" i="2"/>
  <c r="G94" i="5"/>
  <c r="C128" i="5"/>
  <c r="F76" i="10"/>
  <c r="B80" i="10"/>
  <c r="W204" i="10"/>
  <c r="AA89" i="10"/>
  <c r="W223" i="10"/>
  <c r="AA145" i="10"/>
  <c r="W247" i="13"/>
  <c r="AA153" i="13"/>
  <c r="J127" i="2"/>
  <c r="N111" i="2"/>
  <c r="C119" i="3"/>
  <c r="G99" i="3"/>
  <c r="X66" i="5"/>
  <c r="AB35" i="5"/>
  <c r="W228" i="13"/>
  <c r="AA99" i="13"/>
  <c r="C250" i="5"/>
  <c r="G212" i="5"/>
  <c r="N79" i="2"/>
  <c r="J119" i="2"/>
  <c r="Q114" i="3"/>
  <c r="U78" i="3"/>
  <c r="C126" i="5"/>
  <c r="G88" i="5"/>
  <c r="R252" i="13"/>
  <c r="R253" i="13"/>
  <c r="C118" i="3"/>
  <c r="H4" i="16" s="1"/>
  <c r="G93" i="3"/>
  <c r="AS67" i="5"/>
  <c r="AW38" i="5"/>
  <c r="D134" i="10"/>
  <c r="D221" i="10" s="1"/>
  <c r="T129" i="2"/>
  <c r="T128" i="2"/>
  <c r="C124" i="2"/>
  <c r="G3" i="16" s="1"/>
  <c r="G95" i="2"/>
  <c r="J65" i="5"/>
  <c r="N31" i="5"/>
  <c r="G230" i="5"/>
  <c r="C255" i="5"/>
  <c r="AZ94" i="6"/>
  <c r="BD63" i="6"/>
  <c r="P219" i="10"/>
  <c r="T125" i="10"/>
  <c r="E121" i="3"/>
  <c r="C127" i="2"/>
  <c r="G111" i="2"/>
  <c r="S98" i="6"/>
  <c r="S97" i="6"/>
  <c r="E135" i="5"/>
  <c r="C90" i="6"/>
  <c r="G50" i="6"/>
  <c r="D85" i="10"/>
  <c r="D203" i="10" s="1"/>
  <c r="F77" i="10"/>
  <c r="I234" i="13"/>
  <c r="M128" i="13"/>
  <c r="G268" i="3"/>
  <c r="C302" i="3"/>
  <c r="E75" i="10"/>
  <c r="E201" i="10" s="1"/>
  <c r="B125" i="10"/>
  <c r="F122" i="10"/>
  <c r="E252" i="13"/>
  <c r="C115" i="3"/>
  <c r="E4" i="16" s="1"/>
  <c r="G81" i="3"/>
  <c r="C82" i="11"/>
  <c r="G46" i="11"/>
  <c r="P243" i="13"/>
  <c r="T139" i="13"/>
  <c r="C83" i="11"/>
  <c r="G49" i="11"/>
  <c r="F131" i="10"/>
  <c r="W246" i="13"/>
  <c r="AA149" i="13"/>
  <c r="F113" i="10"/>
  <c r="C306" i="2"/>
  <c r="G266" i="2"/>
  <c r="AA217" i="13"/>
  <c r="W268" i="13"/>
  <c r="J123" i="2"/>
  <c r="N92" i="2"/>
  <c r="F142" i="10"/>
  <c r="C86" i="11"/>
  <c r="G61" i="11"/>
  <c r="G98" i="5"/>
  <c r="C129" i="5"/>
  <c r="F253" i="2"/>
  <c r="F254" i="2"/>
  <c r="I199" i="10"/>
  <c r="M67" i="10"/>
  <c r="AM129" i="2"/>
  <c r="AM128" i="2"/>
  <c r="Q68" i="5"/>
  <c r="U43" i="5"/>
  <c r="B63" i="10"/>
  <c r="F60" i="10"/>
  <c r="AL120" i="2"/>
  <c r="AP82" i="2"/>
  <c r="K129" i="2"/>
  <c r="K128" i="2"/>
  <c r="AI85" i="3"/>
  <c r="AE116" i="3"/>
  <c r="AB56" i="6"/>
  <c r="X92" i="6"/>
  <c r="F126" i="13"/>
  <c r="F116" i="13"/>
  <c r="F107" i="13"/>
  <c r="C116" i="3"/>
  <c r="F4" i="16" s="1"/>
  <c r="G85" i="3"/>
  <c r="Q94" i="6"/>
  <c r="U63" i="6"/>
  <c r="W226" i="13"/>
  <c r="AA92" i="13"/>
  <c r="AB31" i="5"/>
  <c r="AV121" i="3"/>
  <c r="E309" i="3"/>
  <c r="F196" i="5"/>
  <c r="F197" i="5"/>
  <c r="G120" i="6"/>
  <c r="C154" i="6"/>
  <c r="E6" i="16" s="1"/>
  <c r="E95" i="10"/>
  <c r="E205" i="10" s="1"/>
  <c r="M121" i="10"/>
  <c r="I218" i="10"/>
  <c r="X112" i="3"/>
  <c r="AB72" i="3"/>
  <c r="AA70" i="10"/>
  <c r="AA80" i="10"/>
  <c r="Z236" i="13"/>
  <c r="Z235" i="13"/>
  <c r="G236" i="2"/>
  <c r="C254" i="5"/>
  <c r="G225" i="5"/>
  <c r="F72" i="10"/>
  <c r="C282" i="6"/>
  <c r="G262" i="6"/>
  <c r="C218" i="6"/>
  <c r="G189" i="6"/>
  <c r="U104" i="3"/>
  <c r="Q120" i="3"/>
  <c r="G275" i="3"/>
  <c r="C304" i="3"/>
  <c r="C194" i="5"/>
  <c r="G174" i="5"/>
  <c r="G117" i="5"/>
  <c r="C133" i="5"/>
  <c r="AA134" i="10"/>
  <c r="W218" i="10"/>
  <c r="AA121" i="10"/>
  <c r="X119" i="3"/>
  <c r="AB99" i="3"/>
  <c r="J69" i="5"/>
  <c r="N49" i="5"/>
  <c r="Q90" i="6"/>
  <c r="U50" i="6"/>
  <c r="G168" i="5"/>
  <c r="C193" i="5"/>
  <c r="B246" i="13"/>
  <c r="F149" i="13"/>
  <c r="I248" i="13"/>
  <c r="M157" i="13"/>
  <c r="D184" i="3"/>
  <c r="X90" i="6"/>
  <c r="AB50" i="6"/>
  <c r="Y270" i="13"/>
  <c r="Y269" i="13"/>
  <c r="B251" i="13"/>
  <c r="F173" i="13"/>
  <c r="C93" i="6"/>
  <c r="G59" i="6"/>
  <c r="E85" i="10"/>
  <c r="E203" i="10" s="1"/>
  <c r="S253" i="13"/>
  <c r="E253" i="13"/>
  <c r="T217" i="13"/>
  <c r="P268" i="13"/>
  <c r="BC97" i="6"/>
  <c r="W232" i="13"/>
  <c r="AA117" i="13"/>
  <c r="M121" i="3"/>
  <c r="W251" i="13"/>
  <c r="AA173" i="13"/>
  <c r="P228" i="13"/>
  <c r="T99" i="13"/>
  <c r="J235" i="13"/>
  <c r="D71" i="5"/>
  <c r="L129" i="2"/>
  <c r="I250" i="13"/>
  <c r="M168" i="13"/>
  <c r="AP28" i="5"/>
  <c r="S270" i="13"/>
  <c r="F93" i="13"/>
  <c r="B96" i="13"/>
  <c r="X96" i="6"/>
  <c r="AB71" i="6"/>
  <c r="C123" i="2"/>
  <c r="F3" i="16" s="1"/>
  <c r="G92" i="2"/>
  <c r="I229" i="13"/>
  <c r="M103" i="13"/>
  <c r="F94" i="10"/>
  <c r="W234" i="13"/>
  <c r="AA128" i="13"/>
  <c r="L225" i="10"/>
  <c r="L224" i="10"/>
  <c r="W222" i="10"/>
  <c r="AA140" i="10"/>
  <c r="C179" i="3"/>
  <c r="G148" i="3"/>
  <c r="J66" i="5"/>
  <c r="N35" i="5"/>
  <c r="BG91" i="6"/>
  <c r="BK53" i="6"/>
  <c r="C275" i="6"/>
  <c r="G235" i="6"/>
  <c r="D96" i="13"/>
  <c r="D227" i="13" s="1"/>
  <c r="D278" i="13" s="1"/>
  <c r="F122" i="13"/>
  <c r="F110" i="13"/>
  <c r="B123" i="13"/>
  <c r="F119" i="13"/>
  <c r="AB92" i="2"/>
  <c r="X123" i="2"/>
  <c r="C314" i="2"/>
  <c r="G298" i="2"/>
  <c r="G209" i="5"/>
  <c r="C249" i="5"/>
  <c r="F68" i="10"/>
  <c r="B70" i="10"/>
  <c r="J125" i="2"/>
  <c r="N100" i="2"/>
  <c r="AH122" i="3"/>
  <c r="AH121" i="3"/>
  <c r="D97" i="6"/>
  <c r="D98" i="6"/>
  <c r="AP71" i="6"/>
  <c r="AL96" i="6"/>
  <c r="Y236" i="13"/>
  <c r="Y235" i="13"/>
  <c r="I220" i="10"/>
  <c r="M129" i="10"/>
  <c r="U85" i="2"/>
  <c r="Q121" i="2"/>
  <c r="F247" i="3"/>
  <c r="F246" i="3"/>
  <c r="E196" i="5"/>
  <c r="E197" i="5"/>
  <c r="AS64" i="5"/>
  <c r="AW28" i="5"/>
  <c r="P234" i="13"/>
  <c r="T128" i="13"/>
  <c r="J126" i="2"/>
  <c r="N106" i="2"/>
  <c r="G88" i="3"/>
  <c r="C117" i="3"/>
  <c r="G4" i="16" s="1"/>
  <c r="E129" i="2"/>
  <c r="E128" i="2"/>
  <c r="AP49" i="5"/>
  <c r="AL69" i="5"/>
  <c r="AI93" i="3"/>
  <c r="AE118" i="3"/>
  <c r="AS113" i="3"/>
  <c r="AW75" i="3"/>
  <c r="N82" i="6"/>
  <c r="BD66" i="6"/>
  <c r="AZ95" i="6"/>
  <c r="P231" i="13"/>
  <c r="T112" i="13"/>
  <c r="I232" i="13"/>
  <c r="M117" i="13"/>
  <c r="Y71" i="5"/>
  <c r="G272" i="3"/>
  <c r="C303" i="3"/>
  <c r="C278" i="6"/>
  <c r="G244" i="6"/>
  <c r="AB104" i="3"/>
  <c r="X120" i="3"/>
  <c r="W199" i="10"/>
  <c r="AA67" i="10"/>
  <c r="AI111" i="2"/>
  <c r="AE127" i="2"/>
  <c r="AI63" i="6"/>
  <c r="F71" i="5"/>
  <c r="AG98" i="6"/>
  <c r="BA97" i="6"/>
  <c r="P261" i="13"/>
  <c r="T186" i="13"/>
  <c r="BG95" i="6"/>
  <c r="BK66" i="6"/>
  <c r="G265" i="3"/>
  <c r="Z224" i="10"/>
  <c r="I251" i="13"/>
  <c r="M173" i="13"/>
  <c r="M192" i="13"/>
  <c r="I263" i="13"/>
  <c r="D129" i="2"/>
  <c r="D128" i="2"/>
  <c r="C117" i="10"/>
  <c r="C217" i="10" s="1"/>
  <c r="P241" i="10"/>
  <c r="W267" i="13"/>
  <c r="AA212" i="13"/>
  <c r="G53" i="11"/>
  <c r="C84" i="11"/>
  <c r="B121" i="10"/>
  <c r="F118" i="10"/>
  <c r="T157" i="13"/>
  <c r="C252" i="13"/>
  <c r="C253" i="13"/>
  <c r="P260" i="13"/>
  <c r="T183" i="13"/>
  <c r="AE119" i="2"/>
  <c r="AI79" i="2"/>
  <c r="Q67" i="5"/>
  <c r="U38" i="5"/>
  <c r="G100" i="2"/>
  <c r="C125" i="2"/>
  <c r="H3" i="16" s="1"/>
  <c r="AE66" i="5"/>
  <c r="AI35" i="5"/>
  <c r="B145" i="10"/>
  <c r="F141" i="10"/>
  <c r="AH98" i="6"/>
  <c r="AH97" i="6"/>
  <c r="Q122" i="2"/>
  <c r="U88" i="2"/>
  <c r="AS95" i="6"/>
  <c r="AW66" i="6"/>
  <c r="G114" i="6"/>
  <c r="C152" i="6"/>
  <c r="C6" i="16" s="1"/>
  <c r="F118" i="13"/>
  <c r="D112" i="13"/>
  <c r="D231" i="13" s="1"/>
  <c r="D282" i="13" s="1"/>
  <c r="F113" i="13"/>
  <c r="B117" i="13"/>
  <c r="C128" i="13"/>
  <c r="C234" i="13" s="1"/>
  <c r="C285" i="13" s="1"/>
  <c r="D123" i="13"/>
  <c r="D233" i="13" s="1"/>
  <c r="D284" i="13" s="1"/>
  <c r="X63" i="5"/>
  <c r="AB25" i="5"/>
  <c r="N63" i="6"/>
  <c r="J94" i="6"/>
  <c r="G138" i="6"/>
  <c r="C158" i="6"/>
  <c r="Q69" i="5"/>
  <c r="U49" i="5"/>
  <c r="AS122" i="2"/>
  <c r="AW88" i="2"/>
  <c r="AI99" i="3"/>
  <c r="AE119" i="3"/>
  <c r="G31" i="5"/>
  <c r="C65" i="5"/>
  <c r="E5" i="16" s="1"/>
  <c r="C64" i="5"/>
  <c r="D5" i="16" s="1"/>
  <c r="G28" i="5"/>
  <c r="AS93" i="6"/>
  <c r="AW59" i="6"/>
  <c r="P204" i="10"/>
  <c r="T89" i="10"/>
  <c r="J119" i="3"/>
  <c r="N99" i="3"/>
  <c r="F83" i="10"/>
  <c r="D247" i="3"/>
  <c r="D246" i="3"/>
  <c r="P221" i="10"/>
  <c r="T134" i="10"/>
  <c r="M201" i="13"/>
  <c r="I265" i="13"/>
  <c r="C67" i="5"/>
  <c r="G5" i="16" s="1"/>
  <c r="G38" i="5"/>
  <c r="U77" i="6"/>
  <c r="AL115" i="3"/>
  <c r="AP81" i="3"/>
  <c r="AS125" i="2"/>
  <c r="AW100" i="2"/>
  <c r="AW85" i="3"/>
  <c r="G280" i="3"/>
  <c r="C305" i="3"/>
  <c r="U79" i="2"/>
  <c r="AO97" i="6"/>
  <c r="D253" i="13"/>
  <c r="D252" i="13"/>
  <c r="B270" i="13"/>
  <c r="B269" i="13"/>
  <c r="F89" i="11"/>
  <c r="F90" i="11"/>
  <c r="K208" i="10"/>
  <c r="K207" i="10"/>
  <c r="T168" i="13"/>
  <c r="P250" i="13"/>
  <c r="Q269" i="13"/>
  <c r="Q270" i="13"/>
  <c r="M183" i="13"/>
  <c r="I260" i="13"/>
  <c r="BK50" i="6"/>
  <c r="D100" i="10"/>
  <c r="D206" i="10" s="1"/>
  <c r="G167" i="3"/>
  <c r="T212" i="13"/>
  <c r="P267" i="13"/>
  <c r="G25" i="5"/>
  <c r="P247" i="13"/>
  <c r="T153" i="13"/>
  <c r="S241" i="10"/>
  <c r="C70" i="10"/>
  <c r="C200" i="10" s="1"/>
  <c r="Q236" i="13"/>
  <c r="Q112" i="3"/>
  <c r="U72" i="3"/>
  <c r="AN71" i="5"/>
  <c r="M139" i="13"/>
  <c r="I243" i="13"/>
  <c r="I244" i="13"/>
  <c r="M142" i="13"/>
  <c r="D121" i="10"/>
  <c r="D218" i="10" s="1"/>
  <c r="F134" i="5"/>
  <c r="B103" i="13"/>
  <c r="F100" i="13"/>
  <c r="U111" i="2"/>
  <c r="Q127" i="2"/>
  <c r="C191" i="5"/>
  <c r="G160" i="5"/>
  <c r="C92" i="6"/>
  <c r="G56" i="6"/>
  <c r="C95" i="10"/>
  <c r="C205" i="10" s="1"/>
  <c r="C256" i="10" s="1"/>
  <c r="C213" i="6"/>
  <c r="G173" i="6"/>
  <c r="B99" i="13"/>
  <c r="F97" i="13"/>
  <c r="D108" i="13"/>
  <c r="D230" i="13" s="1"/>
  <c r="D281" i="13" s="1"/>
  <c r="F127" i="13"/>
  <c r="F115" i="13"/>
  <c r="AL112" i="3"/>
  <c r="AP72" i="3"/>
  <c r="AH128" i="2"/>
  <c r="AH129" i="2"/>
  <c r="N54" i="5"/>
  <c r="J70" i="5"/>
  <c r="C176" i="3"/>
  <c r="G138" i="3"/>
  <c r="M72" i="5"/>
  <c r="M71" i="5"/>
  <c r="N56" i="6"/>
  <c r="J92" i="6"/>
  <c r="AL94" i="6"/>
  <c r="AP63" i="6"/>
  <c r="X94" i="6"/>
  <c r="AB63" i="6"/>
  <c r="X116" i="3"/>
  <c r="AB85" i="3"/>
  <c r="Q62" i="5"/>
  <c r="U22" i="5"/>
  <c r="G163" i="5"/>
  <c r="C192" i="5"/>
  <c r="AL117" i="3"/>
  <c r="AP88" i="3"/>
  <c r="G72" i="3"/>
  <c r="C112" i="3"/>
  <c r="B4" i="16" s="1"/>
  <c r="AE68" i="5"/>
  <c r="AI43" i="5"/>
  <c r="R71" i="5"/>
  <c r="R72" i="5"/>
  <c r="Q125" i="2"/>
  <c r="U100" i="2"/>
  <c r="M98" i="6"/>
  <c r="M97" i="6"/>
  <c r="F110" i="10"/>
  <c r="AW106" i="2"/>
  <c r="AS126" i="2"/>
  <c r="G282" i="2"/>
  <c r="C311" i="2"/>
  <c r="G145" i="2"/>
  <c r="C183" i="2"/>
  <c r="B89" i="10"/>
  <c r="F86" i="10"/>
  <c r="I230" i="13"/>
  <c r="M108" i="13"/>
  <c r="U99" i="3"/>
  <c r="Q119" i="3"/>
  <c r="AL119" i="2"/>
  <c r="AP79" i="2"/>
  <c r="AO71" i="5"/>
  <c r="AO72" i="5"/>
  <c r="C240" i="3"/>
  <c r="G206" i="3"/>
  <c r="AP66" i="6"/>
  <c r="AL95" i="6"/>
  <c r="R225" i="10"/>
  <c r="R224" i="10"/>
  <c r="AP104" i="3"/>
  <c r="AL120" i="3"/>
  <c r="AG122" i="3"/>
  <c r="E191" i="2"/>
  <c r="G101" i="5"/>
  <c r="C130" i="5"/>
  <c r="I206" i="10"/>
  <c r="M100" i="10"/>
  <c r="P246" i="13"/>
  <c r="T149" i="13"/>
  <c r="AA183" i="13"/>
  <c r="W260" i="13"/>
  <c r="S71" i="5"/>
  <c r="AZ91" i="6"/>
  <c r="BD53" i="6"/>
  <c r="E89" i="11"/>
  <c r="E90" i="11"/>
  <c r="C187" i="2"/>
  <c r="G158" i="2"/>
  <c r="K236" i="13"/>
  <c r="K235" i="13"/>
  <c r="Z129" i="2"/>
  <c r="G124" i="6"/>
  <c r="M111" i="10"/>
  <c r="W231" i="13"/>
  <c r="AA112" i="13"/>
  <c r="E71" i="5"/>
  <c r="U93" i="3"/>
  <c r="J122" i="2"/>
  <c r="N88" i="2"/>
  <c r="B247" i="13"/>
  <c r="F153" i="13"/>
  <c r="Z270" i="13"/>
  <c r="Z269" i="13"/>
  <c r="G224" i="3"/>
  <c r="C244" i="3"/>
  <c r="G40" i="11"/>
  <c r="C80" i="11"/>
  <c r="E121" i="10"/>
  <c r="E218" i="10" s="1"/>
  <c r="W245" i="13"/>
  <c r="AA145" i="13"/>
  <c r="G135" i="3"/>
  <c r="P220" i="10"/>
  <c r="T129" i="10"/>
  <c r="P263" i="13"/>
  <c r="T192" i="13"/>
  <c r="M212" i="13"/>
  <c r="C68" i="5"/>
  <c r="H5" i="16" s="1"/>
  <c r="G43" i="5"/>
  <c r="AT128" i="2"/>
  <c r="AT129" i="2"/>
  <c r="AE64" i="5"/>
  <c r="AI28" i="5"/>
  <c r="C125" i="5"/>
  <c r="G85" i="5"/>
  <c r="F82" i="10"/>
  <c r="W229" i="13"/>
  <c r="AA103" i="13"/>
  <c r="AI85" i="2"/>
  <c r="AE121" i="2"/>
  <c r="AP25" i="5"/>
  <c r="AL63" i="5"/>
  <c r="J95" i="6"/>
  <c r="N66" i="6"/>
  <c r="E92" i="13"/>
  <c r="E226" i="13" s="1"/>
  <c r="B128" i="13"/>
  <c r="F124" i="13"/>
  <c r="AI54" i="5"/>
  <c r="AE70" i="5"/>
  <c r="J96" i="6"/>
  <c r="N71" i="6"/>
  <c r="AB77" i="6"/>
  <c r="J208" i="10"/>
  <c r="J207" i="10"/>
  <c r="B117" i="10"/>
  <c r="E145" i="10"/>
  <c r="E223" i="10" s="1"/>
  <c r="X114" i="3"/>
  <c r="AB78" i="3"/>
  <c r="C89" i="10"/>
  <c r="C204" i="10" s="1"/>
  <c r="W220" i="10"/>
  <c r="AA129" i="10"/>
  <c r="G231" i="2"/>
  <c r="L71" i="5"/>
  <c r="L72" i="5"/>
  <c r="AB66" i="6"/>
  <c r="X95" i="6"/>
  <c r="C279" i="6"/>
  <c r="G248" i="6"/>
  <c r="B95" i="10"/>
  <c r="F90" i="10"/>
  <c r="W215" i="10"/>
  <c r="AA111" i="10"/>
  <c r="AW93" i="3"/>
  <c r="AS118" i="3"/>
  <c r="N28" i="5"/>
  <c r="J64" i="5"/>
  <c r="P206" i="10"/>
  <c r="T100" i="10"/>
  <c r="D145" i="10"/>
  <c r="D223" i="10" s="1"/>
  <c r="AE122" i="2"/>
  <c r="AI88" i="2"/>
  <c r="AE113" i="3"/>
  <c r="AI75" i="3"/>
  <c r="J116" i="3"/>
  <c r="N85" i="3"/>
  <c r="C181" i="3"/>
  <c r="G156" i="3"/>
  <c r="D95" i="10"/>
  <c r="D205" i="10" s="1"/>
  <c r="AL119" i="3"/>
  <c r="AP99" i="3"/>
  <c r="G287" i="2"/>
  <c r="C312" i="2"/>
  <c r="J270" i="13"/>
  <c r="J269" i="13"/>
  <c r="G217" i="2"/>
  <c r="C248" i="2"/>
  <c r="AE92" i="6"/>
  <c r="AI56" i="6"/>
  <c r="G132" i="6"/>
  <c r="C157" i="6"/>
  <c r="H6" i="16" s="1"/>
  <c r="P200" i="10"/>
  <c r="T70" i="10"/>
  <c r="P230" i="13"/>
  <c r="T108" i="13"/>
  <c r="J118" i="3"/>
  <c r="N93" i="3"/>
  <c r="AA71" i="5"/>
  <c r="E67" i="10"/>
  <c r="E199" i="10" s="1"/>
  <c r="AE120" i="2"/>
  <c r="AI82" i="2"/>
  <c r="G272" i="2"/>
  <c r="C308" i="2"/>
  <c r="Z97" i="6"/>
  <c r="AG128" i="2"/>
  <c r="U35" i="5"/>
  <c r="Q252" i="13"/>
  <c r="Q253" i="13"/>
  <c r="AB111" i="2"/>
  <c r="F135" i="10"/>
  <c r="C80" i="10"/>
  <c r="C202" i="10" s="1"/>
  <c r="X224" i="10"/>
  <c r="Z252" i="13"/>
  <c r="G56" i="11"/>
  <c r="C85" i="11"/>
  <c r="BG92" i="6"/>
  <c r="BK56" i="6"/>
  <c r="F97" i="10"/>
  <c r="F161" i="6"/>
  <c r="F160" i="6"/>
  <c r="AL66" i="5"/>
  <c r="AP35" i="5"/>
  <c r="J252" i="13"/>
  <c r="P205" i="10"/>
  <c r="T95" i="10"/>
  <c r="C243" i="3"/>
  <c r="G218" i="3"/>
  <c r="P249" i="13"/>
  <c r="T162" i="13"/>
  <c r="T197" i="13"/>
  <c r="P264" i="13"/>
  <c r="C121" i="10"/>
  <c r="C218" i="10" s="1"/>
  <c r="AZ96" i="6"/>
  <c r="BD71" i="6"/>
  <c r="N81" i="3"/>
  <c r="J115" i="3"/>
  <c r="AS69" i="5"/>
  <c r="AW49" i="5"/>
  <c r="C188" i="5"/>
  <c r="G150" i="5"/>
  <c r="K270" i="13"/>
  <c r="K269" i="13"/>
  <c r="D70" i="10"/>
  <c r="D200" i="10" s="1"/>
  <c r="F143" i="10"/>
  <c r="AS120" i="2"/>
  <c r="AW82" i="2"/>
  <c r="F185" i="3"/>
  <c r="F184" i="3"/>
  <c r="E117" i="13"/>
  <c r="E232" i="13" s="1"/>
  <c r="E283" i="13" s="1"/>
  <c r="E96" i="13"/>
  <c r="E227" i="13" s="1"/>
  <c r="E278" i="13" s="1"/>
  <c r="F121" i="13"/>
  <c r="I228" i="13"/>
  <c r="M99" i="13"/>
  <c r="C307" i="3"/>
  <c r="G291" i="3"/>
  <c r="D196" i="5"/>
  <c r="D197" i="5"/>
  <c r="F69" i="10"/>
  <c r="P245" i="13"/>
  <c r="T145" i="13"/>
  <c r="G200" i="3"/>
  <c r="C238" i="3"/>
  <c r="BD77" i="6"/>
  <c r="BI98" i="6"/>
  <c r="BI97" i="6"/>
  <c r="Q225" i="10"/>
  <c r="Q224" i="10"/>
  <c r="C247" i="2"/>
  <c r="G213" i="2"/>
  <c r="F309" i="3"/>
  <c r="F308" i="3"/>
  <c r="G106" i="5"/>
  <c r="C131" i="5"/>
  <c r="M95" i="10"/>
  <c r="AL127" i="2"/>
  <c r="AP111" i="2"/>
  <c r="AW43" i="5"/>
  <c r="AS68" i="5"/>
  <c r="C67" i="10"/>
  <c r="C199" i="10" s="1"/>
  <c r="P232" i="13"/>
  <c r="T117" i="13"/>
  <c r="C113" i="3"/>
  <c r="C4" i="16" s="1"/>
  <c r="G75" i="3"/>
  <c r="C132" i="5"/>
  <c r="G112" i="5"/>
  <c r="X125" i="2"/>
  <c r="AB100" i="2"/>
  <c r="AE115" i="3"/>
  <c r="AI81" i="3"/>
  <c r="G144" i="3"/>
  <c r="C178" i="3"/>
  <c r="C256" i="5"/>
  <c r="G236" i="5"/>
  <c r="AS91" i="6"/>
  <c r="AW53" i="6"/>
  <c r="I203" i="10"/>
  <c r="M85" i="10"/>
  <c r="R235" i="13"/>
  <c r="R236" i="13"/>
  <c r="I227" i="13"/>
  <c r="M96" i="13"/>
  <c r="I204" i="10"/>
  <c r="M89" i="10"/>
  <c r="AE117" i="3"/>
  <c r="AI88" i="3"/>
  <c r="AE65" i="5"/>
  <c r="AI31" i="5"/>
  <c r="AP82" i="6"/>
  <c r="J113" i="3"/>
  <c r="N75" i="3"/>
  <c r="AS62" i="5"/>
  <c r="AW22" i="5"/>
  <c r="C95" i="6"/>
  <c r="G66" i="6"/>
  <c r="X91" i="6"/>
  <c r="AB53" i="6"/>
  <c r="F96" i="10"/>
  <c r="B100" i="10"/>
  <c r="B140" i="10"/>
  <c r="I268" i="13"/>
  <c r="M217" i="13"/>
  <c r="AU117" i="3"/>
  <c r="AU121" i="3" s="1"/>
  <c r="AW88" i="3"/>
  <c r="G225" i="2"/>
  <c r="B244" i="13"/>
  <c r="F142" i="13"/>
  <c r="AS70" i="5"/>
  <c r="AW54" i="5"/>
  <c r="F65" i="10"/>
  <c r="R269" i="13"/>
  <c r="R270" i="13"/>
  <c r="W261" i="13"/>
  <c r="AA186" i="13"/>
  <c r="I231" i="13"/>
  <c r="M112" i="13"/>
  <c r="F91" i="10"/>
  <c r="F119" i="10"/>
  <c r="I245" i="13"/>
  <c r="M145" i="13"/>
  <c r="G247" i="8"/>
  <c r="C287" i="8"/>
  <c r="G200" i="8"/>
  <c r="G54" i="8"/>
  <c r="D104" i="8"/>
  <c r="BA103" i="8"/>
  <c r="BD60" i="8"/>
  <c r="G70" i="8"/>
  <c r="G60" i="8"/>
  <c r="D103" i="8"/>
  <c r="G86" i="8"/>
  <c r="F103" i="8"/>
  <c r="G57" i="8"/>
  <c r="E97" i="8"/>
  <c r="E104" i="8" s="1"/>
  <c r="G63" i="8"/>
  <c r="G268" i="8"/>
  <c r="C288" i="8"/>
  <c r="S104" i="8"/>
  <c r="BK70" i="8"/>
  <c r="F104" i="8"/>
  <c r="C100" i="8"/>
  <c r="H7" i="16" s="1"/>
  <c r="G75" i="8"/>
  <c r="C220" i="8"/>
  <c r="G182" i="8"/>
  <c r="G188" i="8"/>
  <c r="C222" i="8"/>
  <c r="G179" i="8"/>
  <c r="C219" i="8"/>
  <c r="G67" i="8"/>
  <c r="C98" i="8"/>
  <c r="F7" i="16" s="1"/>
  <c r="BH104" i="8"/>
  <c r="G211" i="8"/>
  <c r="C227" i="8"/>
  <c r="G206" i="8"/>
  <c r="C226" i="8"/>
  <c r="C158" i="8"/>
  <c r="C282" i="8"/>
  <c r="G244" i="8"/>
  <c r="G254" i="8"/>
  <c r="C285" i="8"/>
  <c r="G273" i="8"/>
  <c r="C289" i="8"/>
  <c r="C101" i="8"/>
  <c r="G81" i="8"/>
  <c r="BH103" i="8"/>
  <c r="L103" i="8"/>
  <c r="BC104" i="8"/>
  <c r="N63" i="8"/>
  <c r="BR63" i="8"/>
  <c r="AV103" i="8"/>
  <c r="AO103" i="8"/>
  <c r="BQ103" i="8"/>
  <c r="T103" i="8"/>
  <c r="N57" i="8"/>
  <c r="BR60" i="8"/>
  <c r="AM104" i="8"/>
  <c r="BK54" i="8"/>
  <c r="AM103" i="8"/>
  <c r="BJ103" i="8"/>
  <c r="L104" i="8"/>
  <c r="BC103" i="8"/>
  <c r="Y103" i="8"/>
  <c r="BB104" i="8"/>
  <c r="T104" i="8"/>
  <c r="S103" i="8"/>
  <c r="N86" i="8"/>
  <c r="J102" i="8"/>
  <c r="AS100" i="8"/>
  <c r="AW75" i="8"/>
  <c r="BG95" i="8"/>
  <c r="BK57" i="8"/>
  <c r="AE99" i="8"/>
  <c r="AI70" i="8"/>
  <c r="AT99" i="8"/>
  <c r="AW70" i="8"/>
  <c r="BK81" i="8"/>
  <c r="BG101" i="8"/>
  <c r="BR86" i="8"/>
  <c r="BN102" i="8"/>
  <c r="BN101" i="8"/>
  <c r="BU101" i="8" s="1"/>
  <c r="BR81" i="8"/>
  <c r="BG102" i="8"/>
  <c r="BK86" i="8"/>
  <c r="M104" i="8"/>
  <c r="M103" i="8"/>
  <c r="AS98" i="8"/>
  <c r="AW67" i="8"/>
  <c r="AL98" i="8"/>
  <c r="AP67" i="8"/>
  <c r="Q101" i="8"/>
  <c r="U81" i="8"/>
  <c r="AE100" i="8"/>
  <c r="AI75" i="8"/>
  <c r="AE101" i="8"/>
  <c r="AI81" i="8"/>
  <c r="AG103" i="8"/>
  <c r="AG104" i="8"/>
  <c r="J100" i="8"/>
  <c r="N75" i="8"/>
  <c r="BP99" i="8"/>
  <c r="BR70" i="8"/>
  <c r="AB86" i="8"/>
  <c r="X102" i="8"/>
  <c r="AZ102" i="8"/>
  <c r="BD86" i="8"/>
  <c r="BR54" i="8"/>
  <c r="AW86" i="8"/>
  <c r="AS102" i="8"/>
  <c r="BA104" i="8"/>
  <c r="BG96" i="8"/>
  <c r="BU96" i="8" s="1"/>
  <c r="BK60" i="8"/>
  <c r="X96" i="8"/>
  <c r="AB60" i="8"/>
  <c r="BK75" i="8"/>
  <c r="BG100" i="8"/>
  <c r="X97" i="8"/>
  <c r="AB63" i="8"/>
  <c r="AU104" i="8"/>
  <c r="AU103" i="8"/>
  <c r="X95" i="8"/>
  <c r="AB57" i="8"/>
  <c r="AL102" i="8"/>
  <c r="AP86" i="8"/>
  <c r="AB70" i="8"/>
  <c r="X99" i="8"/>
  <c r="AZ95" i="8"/>
  <c r="BD57" i="8"/>
  <c r="Q98" i="8"/>
  <c r="U67" i="8"/>
  <c r="J94" i="8"/>
  <c r="N54" i="8"/>
  <c r="Q99" i="8"/>
  <c r="U70" i="8"/>
  <c r="AL96" i="8"/>
  <c r="AP60" i="8"/>
  <c r="Y104" i="8"/>
  <c r="BD70" i="8"/>
  <c r="BD81" i="8"/>
  <c r="Q102" i="8"/>
  <c r="U86" i="8"/>
  <c r="AE97" i="8"/>
  <c r="AI63" i="8"/>
  <c r="AZ100" i="8"/>
  <c r="BD75" i="8"/>
  <c r="R103" i="8"/>
  <c r="R104" i="8"/>
  <c r="AP81" i="8"/>
  <c r="AL101" i="8"/>
  <c r="BO104" i="8"/>
  <c r="BO103" i="8"/>
  <c r="BN95" i="8"/>
  <c r="BR57" i="8"/>
  <c r="AV104" i="8"/>
  <c r="AP75" i="8"/>
  <c r="AL100" i="8"/>
  <c r="AL99" i="8"/>
  <c r="AP70" i="8"/>
  <c r="BN98" i="8"/>
  <c r="BU98" i="8" s="1"/>
  <c r="BR67" i="8"/>
  <c r="BJ104" i="8"/>
  <c r="X94" i="8"/>
  <c r="AB54" i="8"/>
  <c r="AE98" i="8"/>
  <c r="AI67" i="8"/>
  <c r="AZ94" i="8"/>
  <c r="BU94" i="8" s="1"/>
  <c r="BD54" i="8"/>
  <c r="AE94" i="8"/>
  <c r="AI54" i="8"/>
  <c r="AL97" i="8"/>
  <c r="AP63" i="8"/>
  <c r="AN104" i="8"/>
  <c r="AN103" i="8"/>
  <c r="BQ104" i="8"/>
  <c r="AB75" i="8"/>
  <c r="X100" i="8"/>
  <c r="AS94" i="8"/>
  <c r="AW54" i="8"/>
  <c r="AE96" i="8"/>
  <c r="AI60" i="8"/>
  <c r="X98" i="8"/>
  <c r="AB67" i="8"/>
  <c r="BN100" i="8"/>
  <c r="BU100" i="8" s="1"/>
  <c r="BR75" i="8"/>
  <c r="N81" i="8"/>
  <c r="J101" i="8"/>
  <c r="AA103" i="8"/>
  <c r="AA104" i="8"/>
  <c r="J96" i="8"/>
  <c r="N60" i="8"/>
  <c r="AL95" i="8"/>
  <c r="AP57" i="8"/>
  <c r="K99" i="8"/>
  <c r="K103" i="8" s="1"/>
  <c r="N70" i="8"/>
  <c r="Q96" i="8"/>
  <c r="U60" i="8"/>
  <c r="AS96" i="8"/>
  <c r="AW60" i="8"/>
  <c r="Z104" i="8"/>
  <c r="Z103" i="8"/>
  <c r="J98" i="8"/>
  <c r="N67" i="8"/>
  <c r="BG97" i="8"/>
  <c r="BU97" i="8" s="1"/>
  <c r="BK63" i="8"/>
  <c r="BG98" i="8"/>
  <c r="BK67" i="8"/>
  <c r="BD67" i="8"/>
  <c r="AO104" i="8"/>
  <c r="Q94" i="8"/>
  <c r="U54" i="8"/>
  <c r="BB103" i="8"/>
  <c r="U75" i="8"/>
  <c r="Q100" i="8"/>
  <c r="AE102" i="8"/>
  <c r="AI86" i="8"/>
  <c r="Q95" i="8"/>
  <c r="U57" i="8"/>
  <c r="AE95" i="8"/>
  <c r="AI57" i="8"/>
  <c r="AP54" i="8"/>
  <c r="AL94" i="8"/>
  <c r="AH103" i="8"/>
  <c r="AH104" i="8"/>
  <c r="Q97" i="8"/>
  <c r="U63" i="8"/>
  <c r="AF103" i="8"/>
  <c r="AF104" i="8"/>
  <c r="BI103" i="8"/>
  <c r="BI104" i="8"/>
  <c r="X101" i="8"/>
  <c r="AB81" i="8"/>
  <c r="AS95" i="8"/>
  <c r="AW57" i="8"/>
  <c r="AZ97" i="8"/>
  <c r="BD63" i="8"/>
  <c r="AS101" i="8"/>
  <c r="AW81" i="8"/>
  <c r="B242" i="10"/>
  <c r="B241" i="10"/>
  <c r="BU103" i="8" l="1"/>
  <c r="BU95" i="8"/>
  <c r="BU104" i="8" s="1"/>
  <c r="BU102" i="8"/>
  <c r="BP104" i="8"/>
  <c r="BW99" i="8"/>
  <c r="BW104" i="8" s="1"/>
  <c r="BW103" i="8"/>
  <c r="BV104" i="8"/>
  <c r="BX104" i="8"/>
  <c r="E250" i="10"/>
  <c r="G6" i="14" s="1"/>
  <c r="E255" i="10"/>
  <c r="G11" i="14" s="1"/>
  <c r="E249" i="10"/>
  <c r="G126" i="8"/>
  <c r="C253" i="10"/>
  <c r="E9" i="14" s="1"/>
  <c r="G144" i="8"/>
  <c r="C250" i="10"/>
  <c r="E6" i="14" s="1"/>
  <c r="D253" i="10"/>
  <c r="F9" i="14" s="1"/>
  <c r="C249" i="10"/>
  <c r="E5" i="14" s="1"/>
  <c r="D166" i="8"/>
  <c r="D167" i="8"/>
  <c r="G130" i="8"/>
  <c r="G133" i="8"/>
  <c r="F166" i="8"/>
  <c r="E251" i="10"/>
  <c r="G7" i="14" s="1"/>
  <c r="E257" i="10"/>
  <c r="G120" i="8"/>
  <c r="F167" i="8"/>
  <c r="G149" i="8"/>
  <c r="G138" i="8"/>
  <c r="E167" i="8"/>
  <c r="G117" i="8"/>
  <c r="E166" i="8"/>
  <c r="G123" i="8"/>
  <c r="C252" i="10"/>
  <c r="E8" i="14" s="1"/>
  <c r="D254" i="10"/>
  <c r="F10" i="14" s="1"/>
  <c r="F134" i="10"/>
  <c r="C254" i="10"/>
  <c r="E10" i="14" s="1"/>
  <c r="C255" i="10"/>
  <c r="E11" i="14" s="1"/>
  <c r="D255" i="10"/>
  <c r="F11" i="14" s="1"/>
  <c r="D249" i="10"/>
  <c r="F5" i="14" s="1"/>
  <c r="E253" i="10"/>
  <c r="G9" i="14" s="1"/>
  <c r="D256" i="10"/>
  <c r="D250" i="10"/>
  <c r="F6" i="14" s="1"/>
  <c r="E252" i="10"/>
  <c r="G8" i="14" s="1"/>
  <c r="AT122" i="3"/>
  <c r="D251" i="10"/>
  <c r="F7" i="14" s="1"/>
  <c r="Q129" i="2"/>
  <c r="E256" i="10"/>
  <c r="C184" i="3"/>
  <c r="Q128" i="2"/>
  <c r="C191" i="2"/>
  <c r="D252" i="10"/>
  <c r="F8" i="14" s="1"/>
  <c r="D257" i="10"/>
  <c r="C71" i="5"/>
  <c r="P208" i="10"/>
  <c r="BG97" i="6"/>
  <c r="E225" i="10"/>
  <c r="AS98" i="6"/>
  <c r="AS97" i="6"/>
  <c r="C72" i="5"/>
  <c r="C235" i="13"/>
  <c r="P225" i="10"/>
  <c r="C224" i="10"/>
  <c r="AE121" i="3"/>
  <c r="C286" i="13"/>
  <c r="C185" i="3"/>
  <c r="D207" i="10"/>
  <c r="P207" i="10"/>
  <c r="C192" i="2"/>
  <c r="P224" i="10"/>
  <c r="J121" i="3"/>
  <c r="C223" i="6"/>
  <c r="C222" i="6"/>
  <c r="C98" i="6"/>
  <c r="C97" i="6"/>
  <c r="C253" i="2"/>
  <c r="C254" i="2"/>
  <c r="F114" i="10"/>
  <c r="B216" i="10"/>
  <c r="B215" i="10"/>
  <c r="F111" i="10"/>
  <c r="AZ98" i="6"/>
  <c r="AZ97" i="6"/>
  <c r="AS71" i="5"/>
  <c r="AS72" i="5"/>
  <c r="E224" i="10"/>
  <c r="B202" i="10"/>
  <c r="F80" i="10"/>
  <c r="B230" i="13"/>
  <c r="B281" i="13" s="1"/>
  <c r="F9" i="16" s="1"/>
  <c r="F108" i="13"/>
  <c r="D208" i="10"/>
  <c r="X128" i="2"/>
  <c r="X129" i="2"/>
  <c r="B205" i="10"/>
  <c r="F95" i="10"/>
  <c r="E236" i="13"/>
  <c r="E235" i="13"/>
  <c r="E277" i="13"/>
  <c r="BG98" i="6"/>
  <c r="W270" i="13"/>
  <c r="W269" i="13"/>
  <c r="I253" i="13"/>
  <c r="I252" i="13"/>
  <c r="AE129" i="2"/>
  <c r="AE128" i="2"/>
  <c r="F123" i="13"/>
  <c r="B233" i="13"/>
  <c r="B284" i="13" s="1"/>
  <c r="C225" i="10"/>
  <c r="F125" i="10"/>
  <c r="B219" i="10"/>
  <c r="E207" i="10"/>
  <c r="B226" i="13"/>
  <c r="F92" i="13"/>
  <c r="W225" i="10"/>
  <c r="W224" i="10"/>
  <c r="W207" i="10"/>
  <c r="W208" i="10"/>
  <c r="I225" i="10"/>
  <c r="I224" i="10"/>
  <c r="I208" i="10"/>
  <c r="I207" i="10"/>
  <c r="W253" i="13"/>
  <c r="W252" i="13"/>
  <c r="C134" i="5"/>
  <c r="C135" i="5"/>
  <c r="AL128" i="2"/>
  <c r="AL129" i="2"/>
  <c r="B231" i="13"/>
  <c r="B282" i="13" s="1"/>
  <c r="G9" i="16" s="1"/>
  <c r="F112" i="13"/>
  <c r="J72" i="5"/>
  <c r="J71" i="5"/>
  <c r="E208" i="10"/>
  <c r="P235" i="13"/>
  <c r="P236" i="13"/>
  <c r="F140" i="10"/>
  <c r="B222" i="10"/>
  <c r="F117" i="10"/>
  <c r="B217" i="10"/>
  <c r="AL122" i="3"/>
  <c r="AL121" i="3"/>
  <c r="P269" i="13"/>
  <c r="P270" i="13"/>
  <c r="C251" i="10"/>
  <c r="E7" i="14" s="1"/>
  <c r="F96" i="13"/>
  <c r="B227" i="13"/>
  <c r="B278" i="13" s="1"/>
  <c r="C9" i="16" s="1"/>
  <c r="B198" i="10"/>
  <c r="F63" i="10"/>
  <c r="C161" i="6"/>
  <c r="C160" i="6"/>
  <c r="C208" i="10"/>
  <c r="B206" i="10"/>
  <c r="F100" i="10"/>
  <c r="B232" i="13"/>
  <c r="B283" i="13" s="1"/>
  <c r="H9" i="16" s="1"/>
  <c r="F117" i="13"/>
  <c r="B200" i="10"/>
  <c r="F70" i="10"/>
  <c r="J129" i="2"/>
  <c r="J128" i="2"/>
  <c r="C207" i="10"/>
  <c r="AL72" i="5"/>
  <c r="AL71" i="5"/>
  <c r="X72" i="5"/>
  <c r="X71" i="5"/>
  <c r="J122" i="3"/>
  <c r="AS128" i="2"/>
  <c r="AS129" i="2"/>
  <c r="X122" i="3"/>
  <c r="X121" i="3"/>
  <c r="Q122" i="3"/>
  <c r="Q121" i="3"/>
  <c r="I270" i="13"/>
  <c r="I269" i="13"/>
  <c r="F145" i="10"/>
  <c r="B223" i="10"/>
  <c r="E254" i="10"/>
  <c r="G10" i="14" s="1"/>
  <c r="C308" i="3"/>
  <c r="C309" i="3"/>
  <c r="B203" i="10"/>
  <c r="F85" i="10"/>
  <c r="AL98" i="6"/>
  <c r="AL97" i="6"/>
  <c r="B234" i="13"/>
  <c r="B285" i="13" s="1"/>
  <c r="F128" i="13"/>
  <c r="AE122" i="3"/>
  <c r="D286" i="13"/>
  <c r="D287" i="13"/>
  <c r="AS122" i="3"/>
  <c r="AS121" i="3"/>
  <c r="C259" i="5"/>
  <c r="C258" i="5"/>
  <c r="C285" i="6"/>
  <c r="C284" i="6"/>
  <c r="Q98" i="6"/>
  <c r="Q97" i="6"/>
  <c r="P252" i="13"/>
  <c r="P253" i="13"/>
  <c r="F129" i="10"/>
  <c r="B220" i="10"/>
  <c r="C287" i="13"/>
  <c r="Q72" i="5"/>
  <c r="Q71" i="5"/>
  <c r="D235" i="13"/>
  <c r="J98" i="6"/>
  <c r="J97" i="6"/>
  <c r="D225" i="10"/>
  <c r="C257" i="10"/>
  <c r="I236" i="13"/>
  <c r="I235" i="13"/>
  <c r="C122" i="3"/>
  <c r="C121" i="3"/>
  <c r="B204" i="10"/>
  <c r="B255" i="10" s="1"/>
  <c r="F89" i="10"/>
  <c r="B228" i="13"/>
  <c r="B279" i="13" s="1"/>
  <c r="D9" i="16" s="1"/>
  <c r="F99" i="13"/>
  <c r="B229" i="13"/>
  <c r="B280" i="13" s="1"/>
  <c r="E9" i="16" s="1"/>
  <c r="F103" i="13"/>
  <c r="B218" i="10"/>
  <c r="F121" i="10"/>
  <c r="D236" i="13"/>
  <c r="C129" i="2"/>
  <c r="C128" i="2"/>
  <c r="B252" i="13"/>
  <c r="B253" i="13"/>
  <c r="D224" i="10"/>
  <c r="AE98" i="6"/>
  <c r="AE97" i="6"/>
  <c r="C246" i="3"/>
  <c r="C247" i="3"/>
  <c r="B199" i="10"/>
  <c r="F67" i="10"/>
  <c r="AU122" i="3"/>
  <c r="C316" i="2"/>
  <c r="C315" i="2"/>
  <c r="W236" i="13"/>
  <c r="W235" i="13"/>
  <c r="C89" i="11"/>
  <c r="C90" i="11"/>
  <c r="X97" i="6"/>
  <c r="X98" i="6"/>
  <c r="C236" i="13"/>
  <c r="B201" i="10"/>
  <c r="F75" i="10"/>
  <c r="C197" i="5"/>
  <c r="C196" i="5"/>
  <c r="AE72" i="5"/>
  <c r="AE71" i="5"/>
  <c r="E103" i="8"/>
  <c r="C166" i="8"/>
  <c r="C167" i="8"/>
  <c r="C104" i="8"/>
  <c r="C103" i="8"/>
  <c r="C228" i="8"/>
  <c r="C229" i="8"/>
  <c r="BP103" i="8"/>
  <c r="AE103" i="8"/>
  <c r="AE104" i="8"/>
  <c r="BN104" i="8"/>
  <c r="BN103" i="8"/>
  <c r="AS103" i="8"/>
  <c r="AS104" i="8"/>
  <c r="X104" i="8"/>
  <c r="X103" i="8"/>
  <c r="AZ103" i="8"/>
  <c r="AZ104" i="8"/>
  <c r="BG103" i="8"/>
  <c r="BG104" i="8"/>
  <c r="Q103" i="8"/>
  <c r="Q104" i="8"/>
  <c r="AT104" i="8"/>
  <c r="AT103" i="8"/>
  <c r="J104" i="8"/>
  <c r="J103" i="8"/>
  <c r="AL104" i="8"/>
  <c r="AL103" i="8"/>
  <c r="K104" i="8"/>
  <c r="H8" i="16" l="1"/>
  <c r="D11" i="14"/>
  <c r="G5" i="14"/>
  <c r="D258" i="10"/>
  <c r="E258" i="10"/>
  <c r="D259" i="10"/>
  <c r="B256" i="10"/>
  <c r="E259" i="10"/>
  <c r="B257" i="10"/>
  <c r="B252" i="10"/>
  <c r="C259" i="10"/>
  <c r="B224" i="10"/>
  <c r="B225" i="10"/>
  <c r="B249" i="10"/>
  <c r="B250" i="10"/>
  <c r="B207" i="10"/>
  <c r="B208" i="10"/>
  <c r="C258" i="10"/>
  <c r="B235" i="13"/>
  <c r="B236" i="13"/>
  <c r="B277" i="13"/>
  <c r="B9" i="16" s="1"/>
  <c r="B253" i="10"/>
  <c r="E286" i="13"/>
  <c r="E287" i="13"/>
  <c r="B254" i="10"/>
  <c r="B251" i="10"/>
  <c r="F8" i="16" l="1"/>
  <c r="D9" i="14"/>
  <c r="B8" i="16"/>
  <c r="D5" i="14"/>
  <c r="E8" i="16"/>
  <c r="D8" i="14"/>
  <c r="C8" i="16"/>
  <c r="D6" i="14"/>
  <c r="D8" i="16"/>
  <c r="D7" i="14"/>
  <c r="G8" i="16"/>
  <c r="D10" i="14"/>
  <c r="B286" i="13"/>
  <c r="B287" i="13"/>
  <c r="B258" i="10"/>
  <c r="B259" i="10"/>
</calcChain>
</file>

<file path=xl/sharedStrings.xml><?xml version="1.0" encoding="utf-8"?>
<sst xmlns="http://schemas.openxmlformats.org/spreadsheetml/2006/main" count="23518" uniqueCount="1754">
  <si>
    <t>A</t>
  </si>
  <si>
    <t>B</t>
  </si>
  <si>
    <t>C</t>
  </si>
  <si>
    <t>D</t>
  </si>
  <si>
    <t>E</t>
  </si>
  <si>
    <t>F</t>
  </si>
  <si>
    <t>G</t>
  </si>
  <si>
    <t>H</t>
  </si>
  <si>
    <t>I.a</t>
  </si>
  <si>
    <t>I.b</t>
  </si>
  <si>
    <t>J</t>
  </si>
  <si>
    <t>K1</t>
  </si>
  <si>
    <t>L1</t>
  </si>
  <si>
    <t>th lulus</t>
  </si>
  <si>
    <t>Prodi</t>
  </si>
  <si>
    <t>Nim</t>
  </si>
  <si>
    <t>Nama Alumni</t>
  </si>
  <si>
    <t>A1</t>
  </si>
  <si>
    <t>A2</t>
  </si>
  <si>
    <t>A3</t>
  </si>
  <si>
    <t>A4</t>
  </si>
  <si>
    <t>A5</t>
  </si>
  <si>
    <t>A6</t>
  </si>
  <si>
    <t>A7</t>
  </si>
  <si>
    <t>A8</t>
  </si>
  <si>
    <t>A9 Bulan</t>
  </si>
  <si>
    <t>B1</t>
  </si>
  <si>
    <t>B2</t>
  </si>
  <si>
    <t>B3</t>
  </si>
  <si>
    <t>B4</t>
  </si>
  <si>
    <t>B5</t>
  </si>
  <si>
    <t>C1</t>
  </si>
  <si>
    <t>C2</t>
  </si>
  <si>
    <t>D1</t>
  </si>
  <si>
    <t>D2</t>
  </si>
  <si>
    <t>E1</t>
  </si>
  <si>
    <t>E2</t>
  </si>
  <si>
    <t>F1</t>
  </si>
  <si>
    <t>F2</t>
  </si>
  <si>
    <t>F3</t>
  </si>
  <si>
    <t>G1</t>
  </si>
  <si>
    <t>G2</t>
  </si>
  <si>
    <t>H1</t>
  </si>
  <si>
    <t>H2</t>
  </si>
  <si>
    <t>H3</t>
  </si>
  <si>
    <t>H4</t>
  </si>
  <si>
    <t>I. a1</t>
  </si>
  <si>
    <t>I. a2</t>
  </si>
  <si>
    <t>I. a3</t>
  </si>
  <si>
    <t>I. a4</t>
  </si>
  <si>
    <t>I. a5</t>
  </si>
  <si>
    <t>I. b1</t>
  </si>
  <si>
    <t>I. b2</t>
  </si>
  <si>
    <t>I. b3</t>
  </si>
  <si>
    <t>I. b4</t>
  </si>
  <si>
    <t>J1</t>
  </si>
  <si>
    <t>J2</t>
  </si>
  <si>
    <t>J3</t>
  </si>
  <si>
    <t>J4</t>
  </si>
  <si>
    <t>K2</t>
  </si>
  <si>
    <t>K3</t>
  </si>
  <si>
    <t>K4</t>
  </si>
  <si>
    <t>K5</t>
  </si>
  <si>
    <t>K6</t>
  </si>
  <si>
    <t>L2</t>
  </si>
  <si>
    <t>L3</t>
  </si>
  <si>
    <t>Program Pendidikan</t>
  </si>
  <si>
    <t>D3 Administrasi Perkantoran</t>
  </si>
  <si>
    <t>-</t>
  </si>
  <si>
    <t>SB</t>
  </si>
  <si>
    <t>Perlu</t>
  </si>
  <si>
    <t>Ya</t>
  </si>
  <si>
    <t>Tidak</t>
  </si>
  <si>
    <t>Diploma Tiga</t>
  </si>
  <si>
    <t>Pendidikan</t>
  </si>
  <si>
    <t>K</t>
  </si>
  <si>
    <t>Tidak Perlu</t>
  </si>
  <si>
    <t>Adhaji Vidananto</t>
  </si>
  <si>
    <t>Janu Bagus Girianto</t>
  </si>
  <si>
    <t>081335601085</t>
  </si>
  <si>
    <t>Janu.Bagus@aplog.com</t>
  </si>
  <si>
    <t>PT. Angkasa Pura Logiskik</t>
  </si>
  <si>
    <t>Area Terminal Kargo Bandara Udara Juanda</t>
  </si>
  <si>
    <t>031-8683342</t>
  </si>
  <si>
    <t>Logistik</t>
  </si>
  <si>
    <t>Niken Revalasha</t>
  </si>
  <si>
    <t>Fauzan</t>
  </si>
  <si>
    <t>Angkasa Pura Support Cabang Surabaya</t>
  </si>
  <si>
    <t>Pelayanan customer</t>
  </si>
  <si>
    <t>Penggunaan TI, Pengembangan Diri</t>
  </si>
  <si>
    <t>D3 Sistem Informasi</t>
  </si>
  <si>
    <t>Pengembangan Diri</t>
  </si>
  <si>
    <t>PT. Infomedia Nusantara</t>
  </si>
  <si>
    <t>Perbankan</t>
  </si>
  <si>
    <t>Bahasa Inggris</t>
  </si>
  <si>
    <t>Chumsoni Dwi Abdul Ghofur</t>
  </si>
  <si>
    <t>Rudy Prastowo</t>
  </si>
  <si>
    <t>08123008965</t>
  </si>
  <si>
    <t>rudyprastowo40@gmail.com</t>
  </si>
  <si>
    <t>PT Golden Ocean Line</t>
  </si>
  <si>
    <t>Jl. Indrapura 29-33 Surabaya</t>
  </si>
  <si>
    <t>Jasa Angkutan Laut</t>
  </si>
  <si>
    <t>Intensipkan Bahasa Inggris</t>
  </si>
  <si>
    <t>Sytem dan Program Diperlukan</t>
  </si>
  <si>
    <t>Bahasa Inggris, Pengembangan diri</t>
  </si>
  <si>
    <t>Mahir mengoperasikan sistem komputer dan menguasai bahasa inggris untuk komunikasi dengan luar negeri</t>
  </si>
  <si>
    <t>Nur Mawartiningsih</t>
  </si>
  <si>
    <t>PT. Dua Kelinci</t>
  </si>
  <si>
    <t>Jl. HR Muhammad No.24, (New Land Office)</t>
  </si>
  <si>
    <t>Perdagangan / Bisnis</t>
  </si>
  <si>
    <t>Dian Arif Rachman</t>
  </si>
  <si>
    <t>Cristoforus H Alcadi</t>
  </si>
  <si>
    <t>krist.ha@staff.ubaya.ac.id</t>
  </si>
  <si>
    <t>Universitas Surabaya</t>
  </si>
  <si>
    <t>Raya Kalirungkut</t>
  </si>
  <si>
    <t>Materi tentang komunikasi, kepemimpinan dan softskill lainnya</t>
  </si>
  <si>
    <t>Lulusan yang siap terjun dalam pengembangan teknologi informasi terapan</t>
  </si>
  <si>
    <t>Saat ini belum ada</t>
  </si>
  <si>
    <t>Bahasa Inggris, Komunikasi, pengembangan diri, kepemimpinan, memeahami apa yang haarus dilakuakan dalam pekerjaan</t>
  </si>
  <si>
    <t>Jujur, integritas, skill teknis IT yang memadai (tinggi), bekerjasama dengan tim, pemahaman proses bisnis organisasi / perusahaan yang tinggi, keluwesan dalam penyesuaian diridengan dinamika organisasi</t>
  </si>
  <si>
    <t>Fajar Riska Daniakso</t>
  </si>
  <si>
    <t>Tri Septa</t>
  </si>
  <si>
    <t>0817337274</t>
  </si>
  <si>
    <t>Dinas Perpustakaan dan Kearsipan</t>
  </si>
  <si>
    <t>Gedung Siola Lt. 4</t>
  </si>
  <si>
    <t>Instansi pemerintahan</t>
  </si>
  <si>
    <t>Dapat Membantu dalam hal pengembangan ataupun pembuatan sistem aplikasi khususnya di bidang kearsiapan dan perpustakaan</t>
  </si>
  <si>
    <t>D4 Produksi Film dan Televisi</t>
  </si>
  <si>
    <t>Diploma Empat/ Sarjana Terapan</t>
  </si>
  <si>
    <t>Akbar Jefri Duardi</t>
  </si>
  <si>
    <t>Siti Fatimah, S.Pd</t>
  </si>
  <si>
    <t>081330948050</t>
  </si>
  <si>
    <t>SMKN 1 Trowulan</t>
  </si>
  <si>
    <t>Jl. Mawar 1 Kec. Trowulan</t>
  </si>
  <si>
    <t>(0321) 4890348</t>
  </si>
  <si>
    <t>Keterampilan Mengajar / Menyampaikan Materi</t>
  </si>
  <si>
    <t>Masih kekurangan Tenaga TI</t>
  </si>
  <si>
    <t>Penyerapan Tenaga Kerja Kompetensi TI</t>
  </si>
  <si>
    <t>Bahasa Inggris,  Pengembangan diri</t>
  </si>
  <si>
    <t>Lulusan Yg berkompetensi dan siap diberikan tugas apapun karena kompetensi TI yang memiliki ruang cukup luas</t>
  </si>
  <si>
    <t>Bahasa Inggris, Komunikasi</t>
  </si>
  <si>
    <t>Sarjana</t>
  </si>
  <si>
    <t>S1 Desain Komunikasi Visual</t>
  </si>
  <si>
    <t>Property</t>
  </si>
  <si>
    <t>Moch. Romawan Pradhikta Satriyadi</t>
  </si>
  <si>
    <t>Moch Romawan Pradhikta S</t>
  </si>
  <si>
    <t>081334454059</t>
  </si>
  <si>
    <t>m.romawan.p.s@gmail.com</t>
  </si>
  <si>
    <t>PT. Rejoso Manis Indo</t>
  </si>
  <si>
    <t>Betek, Rejoso, Binanungn, Blitar</t>
  </si>
  <si>
    <t>Industri Pabrik Gul</t>
  </si>
  <si>
    <t>Tidak perlu</t>
  </si>
  <si>
    <t>Dunia Digital (internet)</t>
  </si>
  <si>
    <t>Saat ini belum</t>
  </si>
  <si>
    <t>Bagian IT Desain maupun yang berurusan dengan internet</t>
  </si>
  <si>
    <t>Uzda Nabila Shabiriani</t>
  </si>
  <si>
    <t>Putri Lestari</t>
  </si>
  <si>
    <t>081932541992</t>
  </si>
  <si>
    <t>putrikyl@gmail.com</t>
  </si>
  <si>
    <t>Cv. Laju Laksana Lestari</t>
  </si>
  <si>
    <t>Jl. Belawan No 16A, Jakarta 10150</t>
  </si>
  <si>
    <t>021-3513650</t>
  </si>
  <si>
    <t>Komunikasi, Pengembangan Diri</t>
  </si>
  <si>
    <t>- Lebih banyak expose e dunia kerja - Lebih profesional</t>
  </si>
  <si>
    <t>Juke Andiya Fidiyanti</t>
  </si>
  <si>
    <t>andiya F</t>
  </si>
  <si>
    <t>jukealan712@yahoo.co.id</t>
  </si>
  <si>
    <t>Wiraswasta</t>
  </si>
  <si>
    <t>SK</t>
  </si>
  <si>
    <t>Keahlian Berdasarkan Bidang Ilmu</t>
  </si>
  <si>
    <t>Muhammad Nur Fithriyadi</t>
  </si>
  <si>
    <t>Muklib</t>
  </si>
  <si>
    <t>08113003383</t>
  </si>
  <si>
    <t>bca.travel@gmail.com</t>
  </si>
  <si>
    <t>PT. Barokah Cahaya Arafah</t>
  </si>
  <si>
    <t>Jl. Romokalisari Surabaya</t>
  </si>
  <si>
    <t>031 - 3971728</t>
  </si>
  <si>
    <t>Jasa Umroh</t>
  </si>
  <si>
    <t>It dan Marketing</t>
  </si>
  <si>
    <t>Mampu dengan cara sendiri menyiapkan kebutuan pimpinan / perusahaan</t>
  </si>
  <si>
    <t>Mira Shabrina</t>
  </si>
  <si>
    <t>Shierly Iwanto</t>
  </si>
  <si>
    <t>082132500880</t>
  </si>
  <si>
    <t>Shierlyi@getcommerce.co.id</t>
  </si>
  <si>
    <t>PT. Global Indo Inovatif</t>
  </si>
  <si>
    <t>Ngagel Jaya Selatan 15g</t>
  </si>
  <si>
    <t>031- 99444949</t>
  </si>
  <si>
    <t>Jasa, Pengoperasian AKun Online</t>
  </si>
  <si>
    <t>Memahami setiap bidang / imlu dari semua mawa kuliah yang dijalani</t>
  </si>
  <si>
    <t>Ibadurrokhman</t>
  </si>
  <si>
    <t>Ibad</t>
  </si>
  <si>
    <t>08213943001</t>
  </si>
  <si>
    <t>irn031@yahoo.com</t>
  </si>
  <si>
    <t>rudabi</t>
  </si>
  <si>
    <t>Dukuh setro 10/54</t>
  </si>
  <si>
    <t>082139430011</t>
  </si>
  <si>
    <t>Jasa, 3D Visualisasi / Desain</t>
  </si>
  <si>
    <t>S1 Sistem Informasi</t>
  </si>
  <si>
    <t>031-8721731</t>
  </si>
  <si>
    <t>Telekomunikasi</t>
  </si>
  <si>
    <t>Tidak Ada</t>
  </si>
  <si>
    <t>Tan Amelia</t>
  </si>
  <si>
    <t>08123246482</t>
  </si>
  <si>
    <t>YA</t>
  </si>
  <si>
    <t>Bahasa Inggris, Komunikasi, Pengembangan Diri</t>
  </si>
  <si>
    <t>Purwanto</t>
  </si>
  <si>
    <t>Erny Indah Trimastuti Mpd</t>
  </si>
  <si>
    <t>08121679621</t>
  </si>
  <si>
    <t>SMK Antartika 2 Sidoarjo</t>
  </si>
  <si>
    <t>Jl. Siwalan Panji, Buduran Sidoarjo</t>
  </si>
  <si>
    <t>(031) 8065117</t>
  </si>
  <si>
    <t>Tambah ilmu kuliah yang berhubungan dengan ilmu kependidikan</t>
  </si>
  <si>
    <t>Bidang Teknologi Informasi</t>
  </si>
  <si>
    <t>Bahasa Inggris, Pengembangan Diri</t>
  </si>
  <si>
    <t>Riyadi Atmajaya</t>
  </si>
  <si>
    <t>Dana Badrie</t>
  </si>
  <si>
    <t>081938588920</t>
  </si>
  <si>
    <t>dana@boga-jatim.id</t>
  </si>
  <si>
    <t>PT. Boga makmur abadi</t>
  </si>
  <si>
    <t>Jl. Raya Satelit Indah AN-10</t>
  </si>
  <si>
    <t>Jasa Restaurant</t>
  </si>
  <si>
    <t xml:space="preserve">Tidak </t>
  </si>
  <si>
    <t>Penggunaan TI, Komunikasi, Kerjasama Tim, Pengembangan Diri</t>
  </si>
  <si>
    <t>Yuli Setiyo Suryo Andari</t>
  </si>
  <si>
    <t>Yuvita</t>
  </si>
  <si>
    <t>08113527122</t>
  </si>
  <si>
    <t>Yuvita@stikom.edu</t>
  </si>
  <si>
    <t>Institut Bisnis dan Informatika Stikom Surabaya</t>
  </si>
  <si>
    <t>Jl. Raya Kedung Baruk no 98 Sby</t>
  </si>
  <si>
    <t>Keuangan</t>
  </si>
  <si>
    <t>Bahasa Inggris, Akutansi &amp; Perpajakan &amp; Perbankan</t>
  </si>
  <si>
    <t>Yang mengerti tentang akuntansi, perpajakan dan perbankan</t>
  </si>
  <si>
    <t>Oktavianus Eko Pambudi Adinugroho</t>
  </si>
  <si>
    <t>Fanino  Raynardo, ST,. MMT.</t>
  </si>
  <si>
    <t>085102530303</t>
  </si>
  <si>
    <t>Fanino@rkzsby.com</t>
  </si>
  <si>
    <t xml:space="preserve">RS Katholik St. Vincentius </t>
  </si>
  <si>
    <t>Jl. Diponegoro 51</t>
  </si>
  <si>
    <t>(031_ 5677562</t>
  </si>
  <si>
    <t>Kesehatan (Rumah Sakit)</t>
  </si>
  <si>
    <t>Mobile App developer</t>
  </si>
  <si>
    <t>Mobile App &amp; Networking</t>
  </si>
  <si>
    <t>Komunikasi,  Kerjasama Tim, Pengembangan Diri, Skill Networking dan Mobile App</t>
  </si>
  <si>
    <t>Arif Rahman</t>
  </si>
  <si>
    <t>Arif Rahman (wirausaha)</t>
  </si>
  <si>
    <t>087851233686</t>
  </si>
  <si>
    <t>Arifinspire7@gmail.com</t>
  </si>
  <si>
    <t>CV. Cipta Karya Pratama</t>
  </si>
  <si>
    <t>Bendul Merisi Utara No 22 Surabaya</t>
  </si>
  <si>
    <t>031-8433430</t>
  </si>
  <si>
    <t>Percetakan</t>
  </si>
  <si>
    <t>Sofsskill</t>
  </si>
  <si>
    <t>TI Dibutuhkan untuk beberapa aspek, selain untuk proses produksi, juga diperlukan dalam customer relationship, dsb</t>
  </si>
  <si>
    <t xml:space="preserve"> - </t>
  </si>
  <si>
    <t>Keahlian berdasarkan bidang ilmu, Bahasa inggris</t>
  </si>
  <si>
    <t>Yang dibutuhkan adalah yang mampu berpikir kedepan untuk menciptakan inovasi dan kreasi baru untuk menunjang kegiatan bisnis, selain itu, yang paling utama adalah softskill, Sehingga mampu bertahan dan berkembang di dunia kerja / bisnis</t>
  </si>
  <si>
    <t>Helko Prasetiyo</t>
  </si>
  <si>
    <t>Dina Wahyuningsari</t>
  </si>
  <si>
    <t>082141560349</t>
  </si>
  <si>
    <t>Dinajt90@gmail.com</t>
  </si>
  <si>
    <t>PT. Bank Mandiri (persero) Tbk</t>
  </si>
  <si>
    <t>Jl. Ahmad yani no 16-18 Mall Royal Plaza</t>
  </si>
  <si>
    <t>Yang bisa bekerja teamwork yang B, Memiliki etos kerja yang B, memiliki etika kerja dalam organisasi yang B, kopmunikatif dan aktif, mencapai target yang telah di tetapkan</t>
  </si>
  <si>
    <t>M. Septian Maulana</t>
  </si>
  <si>
    <t>Meinarni</t>
  </si>
  <si>
    <t>meinarni@telkomsel.co.id</t>
  </si>
  <si>
    <t>Telkomsel</t>
  </si>
  <si>
    <t>Jl. A Yani Km 57</t>
  </si>
  <si>
    <t>0511-4229907</t>
  </si>
  <si>
    <t>Lain - Lain, Telekomunikasi</t>
  </si>
  <si>
    <t>Sudah</t>
  </si>
  <si>
    <t>Share Knowledge</t>
  </si>
  <si>
    <t>Yudiyanto Salay</t>
  </si>
  <si>
    <t>Hernawati</t>
  </si>
  <si>
    <t>0813328411841</t>
  </si>
  <si>
    <t>UD Erlangga</t>
  </si>
  <si>
    <t>Mojoarum u1/15</t>
  </si>
  <si>
    <t>031-5942769</t>
  </si>
  <si>
    <t>Karena Mengikuti Perkembangan Zaman</t>
  </si>
  <si>
    <t>Hilmy Nur Ramdhani</t>
  </si>
  <si>
    <t>Rukmantono Dimas Nughroho</t>
  </si>
  <si>
    <t>081330300720</t>
  </si>
  <si>
    <t>dimas@agatos.com</t>
  </si>
  <si>
    <t>PT. Agatos Multi Solusi</t>
  </si>
  <si>
    <t>Ruko Rungkut Megah Raya A-32 Sby</t>
  </si>
  <si>
    <t>031-8714143</t>
  </si>
  <si>
    <t>Jasa, Information &amp; Control Solution Provider</t>
  </si>
  <si>
    <t>Bahasa Mandarin</t>
  </si>
  <si>
    <t>Mobile App Developer</t>
  </si>
  <si>
    <t>Mobile app &amp; Bahasa Mandarin</t>
  </si>
  <si>
    <t>IT for Industrial environment, Factoring floor, a little bit knowledge on PLC, mobile app for industry</t>
  </si>
  <si>
    <t>Kaisha Satrio Noor Hutomo</t>
  </si>
  <si>
    <t>Ana Listiowati T</t>
  </si>
  <si>
    <t>081331660329</t>
  </si>
  <si>
    <t>ana@match-Advertising.com</t>
  </si>
  <si>
    <t>PT. Multi Artistikacithra</t>
  </si>
  <si>
    <t>Jl. Lesti No 42 Surabaya</t>
  </si>
  <si>
    <t>031-5678346</t>
  </si>
  <si>
    <t>Jasa, Periklan</t>
  </si>
  <si>
    <t>Yang bisa mengikuti Perkembangan teknologi yang terbaru</t>
  </si>
  <si>
    <t>Fikry Nurris Rizky</t>
  </si>
  <si>
    <t>Amrih Widayati</t>
  </si>
  <si>
    <t>081336124235</t>
  </si>
  <si>
    <t>amrihwidyawati@btn.co.id</t>
  </si>
  <si>
    <t>PT. Bank Tabungan Negara persero Tbk</t>
  </si>
  <si>
    <t>Jl. A.Yani no 5 Jember</t>
  </si>
  <si>
    <t>0331 - 484611</t>
  </si>
  <si>
    <t>Yang sesuai dengan perkembangan Baru T.I di bidang Perbankan</t>
  </si>
  <si>
    <t>Yang sesuai dengna perkembangan T.I</t>
  </si>
  <si>
    <t>T</t>
  </si>
  <si>
    <t>Y</t>
  </si>
  <si>
    <t>Ni Nyoman Swastika Juniarti</t>
  </si>
  <si>
    <t>Erwin</t>
  </si>
  <si>
    <t>081515380388</t>
  </si>
  <si>
    <t>Erwin@dwp.co.id</t>
  </si>
  <si>
    <t>PT. Dutakom Wibawa Putra</t>
  </si>
  <si>
    <t>Jl. Basuki Rahmat 106-128 Graha Bumi Surabaya</t>
  </si>
  <si>
    <t>031-5480500</t>
  </si>
  <si>
    <t>Jasa, Internet Service Provider</t>
  </si>
  <si>
    <t>Kemampuan Berpikir Kritis, Lebih Mengenal Problema di Lapangan, Fast Learner, Kemampuan Bahasa Inggris Yang B</t>
  </si>
  <si>
    <t>Novita Kurniasari</t>
  </si>
  <si>
    <t>Trami Endang Asmoro Putri</t>
  </si>
  <si>
    <t>08113430585</t>
  </si>
  <si>
    <t>Buminatasurabaya@gmail.com</t>
  </si>
  <si>
    <t>PT. Bumi Nata Wisata Tours and Travel</t>
  </si>
  <si>
    <t>Jl. Gayung Sari I no 42, Surabaya</t>
  </si>
  <si>
    <t>Jasa, Tours and Travel Umroh &amp; Haji</t>
  </si>
  <si>
    <t>Materi Kerja lapangan / Praktek langsung dan Survey untuk kemajuan Ti yang semakin maju dan bnyak novasi baru</t>
  </si>
  <si>
    <t>TI sangat penting guna kemajuan dan kelancaran info serta berita terbaru agar institusi tetap upgrade dan tidak ketinggalan informasi dan ketinggalan kemajuan TI</t>
  </si>
  <si>
    <t>Pemasaran program / Paket Tour Wisata dan Umroh + Haji</t>
  </si>
  <si>
    <t>Pengembangan diri</t>
  </si>
  <si>
    <t>Cepat, Tanggap, Selalu up to date berbagai informasi di berbagai media ( Elektornik, sosmed, periklanan), Suple, teknik negosiasi, serta teknik pemasaran yang sesuai dengan erkembangan jaman dan teknologi</t>
  </si>
  <si>
    <t>Dewi Ayu Khusnul Khotimah</t>
  </si>
  <si>
    <t>Dewi Ayu</t>
  </si>
  <si>
    <t>0844392226</t>
  </si>
  <si>
    <t>dewiayukk@gmail.com</t>
  </si>
  <si>
    <t>CV. Kardi Putra Motor</t>
  </si>
  <si>
    <t>Jl. Raya Cangkir No5, Driyorejo Gresik</t>
  </si>
  <si>
    <t>085259333704</t>
  </si>
  <si>
    <t>Jasa Jual beli dan Persewaan Mobil</t>
  </si>
  <si>
    <t>Memperdalam ilmu management Keuangan</t>
  </si>
  <si>
    <t>TI berbasis management</t>
  </si>
  <si>
    <t>Akutansi dan Management</t>
  </si>
  <si>
    <t>Lainnya, AKutansi</t>
  </si>
  <si>
    <t>Yang Mengerti lebih dalam tentang ilmu akutansi</t>
  </si>
  <si>
    <t>Ignatius Rahardhi</t>
  </si>
  <si>
    <t>Fanino Naynarno St, MMT</t>
  </si>
  <si>
    <t>RS Katolik St. Vincentius Sa Paulo</t>
  </si>
  <si>
    <t>Diponegoro 51 Sby</t>
  </si>
  <si>
    <t>031 - 5677562</t>
  </si>
  <si>
    <t>Jasa Kesehatan</t>
  </si>
  <si>
    <t>Manajemen Server &amp; Jaringan</t>
  </si>
  <si>
    <t>Pengelolaan Server dan jaringan</t>
  </si>
  <si>
    <t>Komunikasi, Kerjasama TIm, Pengembangan Diri, Mobile APP</t>
  </si>
  <si>
    <t>Malkus Willybrodus Se</t>
  </si>
  <si>
    <t>Syamsul</t>
  </si>
  <si>
    <t>Taspen Persero</t>
  </si>
  <si>
    <t xml:space="preserve">Jalan Letjend Suprapto No.45, Jakarta Pusat
</t>
  </si>
  <si>
    <t>Jasa Asuransi</t>
  </si>
  <si>
    <t>Asdi Atmin Fildananto</t>
  </si>
  <si>
    <t>Gartinia Murcholis, M.Psi, Psi</t>
  </si>
  <si>
    <t>081231127099</t>
  </si>
  <si>
    <t>gartina.nurcholis@hangtuah.ac.id</t>
  </si>
  <si>
    <t>Unversitas Hang Tuah Surabaya</t>
  </si>
  <si>
    <t>Jl. Arief Rahman Hakim 150 Sby</t>
  </si>
  <si>
    <t>Baol</t>
  </si>
  <si>
    <t>- Mampu Menguasai TI untuk mendukung proese pembelajaran
- Mampu untuk memberikan inovasi pengembangan sistem informasi PT
- Mampu memberikan pelayanan dengan cepat dan tepat
- Mampu menyelesaikan masalah (Problem Solving) di lingkungan dan B</t>
  </si>
  <si>
    <t>Feriyan</t>
  </si>
  <si>
    <t>Denny A Idiarto</t>
  </si>
  <si>
    <t>08111732665</t>
  </si>
  <si>
    <t>idiarto@telkom.co.id</t>
  </si>
  <si>
    <t>PT. Telkom</t>
  </si>
  <si>
    <t>Jl. Kebalen Timur 2 Sby</t>
  </si>
  <si>
    <t xml:space="preserve">Broadcasting </t>
  </si>
  <si>
    <t>Mengerti tentang Broadcasting</t>
  </si>
  <si>
    <t>Berkaitan dengan jasa telekomunikasi dan Broadcasting</t>
  </si>
  <si>
    <t>Yang  Mengerti tentang Broadacsting dan telekomunikasi in the future</t>
  </si>
  <si>
    <t>M. Ramzi</t>
  </si>
  <si>
    <t>Ilmanza Restuadi K</t>
  </si>
  <si>
    <t>08113620797</t>
  </si>
  <si>
    <t>Ilmanza.kurniawan@semenindonesia.com</t>
  </si>
  <si>
    <t>PT. Semen Indonesia</t>
  </si>
  <si>
    <t xml:space="preserve"> Jl. Veteran Gresik</t>
  </si>
  <si>
    <t>031 3981732</t>
  </si>
  <si>
    <t>Indsutri Semen</t>
  </si>
  <si>
    <t>IOT dan Mobile APPS</t>
  </si>
  <si>
    <t>IOT dan Mobile Apps</t>
  </si>
  <si>
    <t>Bahasa Inggris, Mobile Apps dan IOT</t>
  </si>
  <si>
    <t>Prabu Prasetya Meifa</t>
  </si>
  <si>
    <t>Alfi Erlangga</t>
  </si>
  <si>
    <t>08124111850</t>
  </si>
  <si>
    <t>alfi@alive-resort.com</t>
  </si>
  <si>
    <t>alive Resort</t>
  </si>
  <si>
    <t>Menara BCA lt.50 Jakarta Pusat</t>
  </si>
  <si>
    <t>02123584487</t>
  </si>
  <si>
    <t>Digital Marketing</t>
  </si>
  <si>
    <t>Update Perkembangan IT</t>
  </si>
  <si>
    <t>Update IT Terkini</t>
  </si>
  <si>
    <t>I Putu Narario Sastra</t>
  </si>
  <si>
    <t>Jingo Saputra</t>
  </si>
  <si>
    <t>085733344881</t>
  </si>
  <si>
    <t>jingosaputra@japfa.com</t>
  </si>
  <si>
    <t>PT. Comas Adisatwa</t>
  </si>
  <si>
    <t>Hr. Mangundiprojo KM 3,5 Sidoarjo</t>
  </si>
  <si>
    <t>0312988329</t>
  </si>
  <si>
    <t>Industri Poultry Processing</t>
  </si>
  <si>
    <t>Matakuliah Pengasahan Logika</t>
  </si>
  <si>
    <t>Yang mampu dan Mau secara aktif mencari solusi / Inovasi terhadap suatu permasalhan</t>
  </si>
  <si>
    <t>Priyanggoro Dwi Hananto</t>
  </si>
  <si>
    <t>Aldy Hafil Ananda</t>
  </si>
  <si>
    <t>The Fang</t>
  </si>
  <si>
    <t>081216570707</t>
  </si>
  <si>
    <t>f-fang7i@yahoo.com</t>
  </si>
  <si>
    <t>PT. BPR INTAN KITA</t>
  </si>
  <si>
    <t>Jl. Panglima Sudirman 76B Gresik</t>
  </si>
  <si>
    <t>031-3981597 , 031-3988333</t>
  </si>
  <si>
    <t>Jasa Keuangan (PERBANKAN)</t>
  </si>
  <si>
    <t xml:space="preserve">Perlu, </t>
  </si>
  <si>
    <t>Program di Aplikasi android - HP</t>
  </si>
  <si>
    <t>Yang Sesuai kebutuhan dan perkembangan TI 5-10 th mendatang</t>
  </si>
  <si>
    <t>Promosi Produk, Info Loker</t>
  </si>
  <si>
    <t>Saat ini memenuhi kebutuhan yang perusahaan butuhkan</t>
  </si>
  <si>
    <t>Febi Kadarianto</t>
  </si>
  <si>
    <t>Puguh Triyono</t>
  </si>
  <si>
    <t>081252831567</t>
  </si>
  <si>
    <t>puguh@sucofindo.co.id</t>
  </si>
  <si>
    <t>PT. Sucofindo (Persero)</t>
  </si>
  <si>
    <t>Jl. Kalibutuh no 215 Surabaya</t>
  </si>
  <si>
    <t>031 - 5469123</t>
  </si>
  <si>
    <t>Jasa, Inspeksi, Pengujian Sertifikasi</t>
  </si>
  <si>
    <t>Sistem Auditor</t>
  </si>
  <si>
    <t>Zulfikar Rahman</t>
  </si>
  <si>
    <t>Ade Gunardi didi</t>
  </si>
  <si>
    <t>08122111989</t>
  </si>
  <si>
    <t>adegede@gmail.com</t>
  </si>
  <si>
    <t>PT. Atmajaya Makmur Gemilang</t>
  </si>
  <si>
    <t>Jl. Raya Jemursari No 15 Srabaya</t>
  </si>
  <si>
    <t>031-8485665</t>
  </si>
  <si>
    <t>Indsutri Pupuk</t>
  </si>
  <si>
    <t>Memiliki skill teknis yang B dnegna tambahan mempunyai wawasan yang cukup tentang soft skill (team management, interpersonal, relationship, communication, dll)</t>
  </si>
  <si>
    <t>Raisa Alifianoor</t>
  </si>
  <si>
    <t>Alfrida Fransisca Pusung</t>
  </si>
  <si>
    <t>081333175144</t>
  </si>
  <si>
    <t>frida.kd04@gmail.com</t>
  </si>
  <si>
    <t>PT. Transporindo Agung Sejahtera</t>
  </si>
  <si>
    <t xml:space="preserve">Jl. Margomulyo no 44 Komplek Pergudangan Suci Mulia Blok DD12 </t>
  </si>
  <si>
    <t>031 - 7484425</t>
  </si>
  <si>
    <t>Jasa, EMKL / Expedisi</t>
  </si>
  <si>
    <t>Berlita Tri Cahyaningasri</t>
  </si>
  <si>
    <t>Hery Sastra Kencana</t>
  </si>
  <si>
    <t>PT. Indojaya Cold Storage</t>
  </si>
  <si>
    <t>Jl. Kalianak barat no 53 D</t>
  </si>
  <si>
    <t>Jasa, Storage</t>
  </si>
  <si>
    <t>Luvi Efendi</t>
  </si>
  <si>
    <t>Maria Felicia Nathania</t>
  </si>
  <si>
    <t>085103664964</t>
  </si>
  <si>
    <t>felicia@wiklan.com</t>
  </si>
  <si>
    <t>PT. WIjaya Iklan Indonesia</t>
  </si>
  <si>
    <t>Jl. Adityawarman no.2 Surabaya</t>
  </si>
  <si>
    <t>031-51201088</t>
  </si>
  <si>
    <t>Periklanan</t>
  </si>
  <si>
    <t>Bidang IT &amp; Penyediaan SDM</t>
  </si>
  <si>
    <t>Bahasa Inggris, Penggunaan TI</t>
  </si>
  <si>
    <t>Bisa mengikuti perkembangan TI saat ini / Update, Bisa menguasai pembiatan Apk, Paham mengenai pembuatan sistem penjualan online, paham meningkatkan SEO</t>
  </si>
  <si>
    <t>I Made Budi Darmanto</t>
  </si>
  <si>
    <t>Helen Kurniawan</t>
  </si>
  <si>
    <t>Helen.kurniawan@sisi.id</t>
  </si>
  <si>
    <t>PT. SISI</t>
  </si>
  <si>
    <t>Gedung Graha Irama, Lt.6 Jakarta Selatan</t>
  </si>
  <si>
    <t>Jasa, Teknologi Informasi</t>
  </si>
  <si>
    <t>Lulusan yang update dengan teknologi terbaru</t>
  </si>
  <si>
    <t>Kerjasama pengembangan dan penyediaan SDM untuk Software , ERP Forum</t>
  </si>
  <si>
    <t>Bahasa Inggris, Teknologi Terbaru</t>
  </si>
  <si>
    <t>Paham dengna konsep keilmuannya, Mampu Mengimplementasikan ilmu yang di dapat, Mengikuti dan paham dengan teknologi terbaru</t>
  </si>
  <si>
    <t>M. Risa Fahmi</t>
  </si>
  <si>
    <t>Nurhesti Esa Dwirini</t>
  </si>
  <si>
    <t>081216174309</t>
  </si>
  <si>
    <t>hesti@stikom.edu</t>
  </si>
  <si>
    <t>Jl. Kedung Baruk no 98 SUrabaya</t>
  </si>
  <si>
    <t>031872731</t>
  </si>
  <si>
    <t>Diberikan materi yang menguatkan kepribadian / pembentukan karakter / budi pekerti calon lulusan</t>
  </si>
  <si>
    <t>Yang kreatif &amp; Inovatif dalam menerapkan TI Sehingga pekerjaan lebih Efektif dan Efisien</t>
  </si>
  <si>
    <t>a</t>
  </si>
  <si>
    <t>Dalam bidang pembekalan calon wisudawan / Calon alumni</t>
  </si>
  <si>
    <t>Yang selalu update ilmu yang sesuai dengan kebuhuan dunia usaha/dunia industri</t>
  </si>
  <si>
    <t>Fatkur Alfianto</t>
  </si>
  <si>
    <t>Ardo Yoga Pratama</t>
  </si>
  <si>
    <t>Mohammad Mastur</t>
  </si>
  <si>
    <t>085203616366</t>
  </si>
  <si>
    <t>dimas89@yahoo.com</t>
  </si>
  <si>
    <t>Jl. Ayani 286, Lt. 10</t>
  </si>
  <si>
    <t>Jasa Call Center</t>
  </si>
  <si>
    <t>Kompetensi Hardskill Digital</t>
  </si>
  <si>
    <t>Teknologi Chat Mobile</t>
  </si>
  <si>
    <t>Teknologi INformasi Berbasis Mobile, Teknologi Informasi Web Framework, Teknologi Inforasi Chatt Bot</t>
  </si>
  <si>
    <t>Annisa Rahayu Bekti Nagari</t>
  </si>
  <si>
    <t>Kemal Khoirur R</t>
  </si>
  <si>
    <t>081261571765</t>
  </si>
  <si>
    <t>bos.pin@yahoo.com</t>
  </si>
  <si>
    <t>Bospin.co</t>
  </si>
  <si>
    <t>Jl. Intan 2 Blok AJ.13 Tuban</t>
  </si>
  <si>
    <t>082333205299</t>
  </si>
  <si>
    <t>Lain, STARTUP</t>
  </si>
  <si>
    <t>Bidang Personal Branding, Corporate Branding, Kurikulum Entrepreneur dan Startup</t>
  </si>
  <si>
    <t>Komunikasi, Branding dan Marketing</t>
  </si>
  <si>
    <t>Lulusan yang siap membuka lapangan kerja, dalam arti stratup menjadi seorang bisnis owner. Bukan mara self employee yang bingung mencari kerja. Kuatkan karakter "Komitment, Integritas, dan Inovasi"</t>
  </si>
  <si>
    <t>Randy Hodianto</t>
  </si>
  <si>
    <t>Tegar Heru Susilo</t>
  </si>
  <si>
    <t>08155905520</t>
  </si>
  <si>
    <t>tegarheru@andromeda.co.id</t>
  </si>
  <si>
    <t>PT. Andromeda Indonesia</t>
  </si>
  <si>
    <t>Bumi Mandiri tower 2</t>
  </si>
  <si>
    <t>031-60018666</t>
  </si>
  <si>
    <t>Jasa IT Consultant dan Soft Developer</t>
  </si>
  <si>
    <t>Proses bisnis &amp; Manajemen, Logika &amp; Pemrograman, IT Management</t>
  </si>
  <si>
    <t>Cefa Rahardjo</t>
  </si>
  <si>
    <t>Airlangga B Amitha</t>
  </si>
  <si>
    <t>08121706293</t>
  </si>
  <si>
    <t>Airlangga@gitsconsulting.com</t>
  </si>
  <si>
    <t>PT. Global Industri Teknologi Solusi</t>
  </si>
  <si>
    <t>Jemursari Timur no 8, Blok JF-22 Surabaya</t>
  </si>
  <si>
    <t>03199841234</t>
  </si>
  <si>
    <t>Jasa, Perangkat Lunak ERP dan Mitra Resmi Microsoft</t>
  </si>
  <si>
    <t>Tentang konsep ERP dan BI</t>
  </si>
  <si>
    <t>Yang menguasai ERP &amp; BI</t>
  </si>
  <si>
    <t>Bahasa Inggris, Sertifikasi Profesional</t>
  </si>
  <si>
    <t>Punya Sertifikasi Profesional yang diakui oleh vendor secara internasional diluar Ijazah resmi, COntoh : MOS, MCP, Dll</t>
  </si>
  <si>
    <t>Alfian Noor Rahman</t>
  </si>
  <si>
    <t>Nova Nahusuly</t>
  </si>
  <si>
    <t>Nur Mohamad Prima Putra Wardani</t>
  </si>
  <si>
    <t>tan.meilie@yahoo.com</t>
  </si>
  <si>
    <t>Solusi Sistem Informasi</t>
  </si>
  <si>
    <t>Jl. Raya Kedung Baruk no 98 Surabaya</t>
  </si>
  <si>
    <t>031.8721731</t>
  </si>
  <si>
    <t>Software House</t>
  </si>
  <si>
    <t>Web Programming / Android Programming</t>
  </si>
  <si>
    <t>Pengembang Software</t>
  </si>
  <si>
    <t>Pengembang Software yang mempunyai daya eksplorasi dan tanggung jawab yang tinggi, serta bisa kerjasama dalam tim.
Hardskill Meliputi : Web &amp; Android</t>
  </si>
  <si>
    <t>Bayu Okta Anggara Yudha</t>
  </si>
  <si>
    <t>Rahman Isnaini</t>
  </si>
  <si>
    <t>08176388604</t>
  </si>
  <si>
    <t>rahman.isnaini@indonet.co.id</t>
  </si>
  <si>
    <t>PT. Indointernet</t>
  </si>
  <si>
    <t>Rempoa Raya no 11 Ciputat Tangerang</t>
  </si>
  <si>
    <t>021 73882525</t>
  </si>
  <si>
    <t>Jasa Cloud Service / TI</t>
  </si>
  <si>
    <t>Mandatory Skill : Linux, Virtualisasi Replikasi/ Backup</t>
  </si>
  <si>
    <t>Mendapatkan generasi IT yang sesuai dengan perkembangan teknologi terkini</t>
  </si>
  <si>
    <t>Linux / Virtualisasi Orient, Good English, Good Interpersonal Communication, Fast learner, Developer Skill is an Adventage Presentation Skill</t>
  </si>
  <si>
    <t>Nina Setyawati</t>
  </si>
  <si>
    <t>PT. Andromedia</t>
  </si>
  <si>
    <t>Bumi Mandiri Tower II , Pangsud Surabaya</t>
  </si>
  <si>
    <t>03160018666</t>
  </si>
  <si>
    <t>Naufal Alif Syahlawal Akbar</t>
  </si>
  <si>
    <t>Eriyanto</t>
  </si>
  <si>
    <t>eriyanto@itpi.co.id</t>
  </si>
  <si>
    <t>ITPI Technology</t>
  </si>
  <si>
    <t>Manyar Indah Raya No 7B Surabaya</t>
  </si>
  <si>
    <t>031-59175838</t>
  </si>
  <si>
    <t>Pendidikan Karakter</t>
  </si>
  <si>
    <t>Programmer, System Analyst</t>
  </si>
  <si>
    <t>Teknologi Informasi (Programmer Analyst)</t>
  </si>
  <si>
    <t>Lainnya, Penguasaan Teknologi Pemrograman</t>
  </si>
  <si>
    <t>- Memiliki Kemampuan teknis dan non teknis, Memiliki karakter yang B, Detail dalam mengurai bahasa pemrobraman</t>
  </si>
  <si>
    <t>Muhammad Ivan Setiawan</t>
  </si>
  <si>
    <t>April Yanus</t>
  </si>
  <si>
    <t>081553589695</t>
  </si>
  <si>
    <t>aprilyanu5@gmail.com</t>
  </si>
  <si>
    <t>Dinas Perpustakaan dan kearsipan kota surabaya</t>
  </si>
  <si>
    <t>Jl. Tunjungan no 1-3</t>
  </si>
  <si>
    <t>Pemerintahan bidang perpustakaan dan kearsipan</t>
  </si>
  <si>
    <t>Bidang Pelatihan IT</t>
  </si>
  <si>
    <t>Lulusan yang mampu menangkap permasalahan kemudian memberi edukasi berbasis IT</t>
  </si>
  <si>
    <t>Januaryoputra Setyo Handoko</t>
  </si>
  <si>
    <t>Redyarman Sholeh</t>
  </si>
  <si>
    <t>mc@redyarman.net</t>
  </si>
  <si>
    <t>PT. Sinergi Satu media</t>
  </si>
  <si>
    <t>Jl. Kedondong No 93</t>
  </si>
  <si>
    <t>Jasa, Konsultan TI</t>
  </si>
  <si>
    <t>Kemampuan Design</t>
  </si>
  <si>
    <t>Devops berfokus pada teknologi java module</t>
  </si>
  <si>
    <t>Memberikan informasi mahasiswa yang membutuhkan pekerjan dengan skill java .net</t>
  </si>
  <si>
    <t>Mampu memahaami masalah dengan cepat, Mampu bekerja sama dengan tim, mampu menganalisan dan memberikan quick solution, Mampu berceria mengenai teknologi terkini dan penerapannya, Memahami programan berbasis OOP, Mampu menuliskan masalah bisnis ke UML</t>
  </si>
  <si>
    <t>Yusuf Budiharjo</t>
  </si>
  <si>
    <t>Fajar Mukti</t>
  </si>
  <si>
    <t>PT. Motasa Indonesia</t>
  </si>
  <si>
    <t>Wonosari, Sumber Tanggul, Mojosari, Mojokerto</t>
  </si>
  <si>
    <t>(0321) 331557</t>
  </si>
  <si>
    <t>Makanan</t>
  </si>
  <si>
    <t>Kerja Sama Tim</t>
  </si>
  <si>
    <t>Programmer, Jaringan</t>
  </si>
  <si>
    <t>Mey Handayani</t>
  </si>
  <si>
    <t>Wiyli Yustanti S.Si, M.Kom</t>
  </si>
  <si>
    <t>087854407576</t>
  </si>
  <si>
    <t>Wiyluyustanti@unesa.ac.id</t>
  </si>
  <si>
    <t>Universitas Negeri Surabaya</t>
  </si>
  <si>
    <t>Jl. Raya kampus unesa Lidah wetan</t>
  </si>
  <si>
    <t>031 8280009</t>
  </si>
  <si>
    <t>Michael Richie Panjaya</t>
  </si>
  <si>
    <t>Nemmy Wijaya</t>
  </si>
  <si>
    <t>08125507393</t>
  </si>
  <si>
    <t>ser_smd@yahoo.com</t>
  </si>
  <si>
    <t>PT. Samarinda Etam Jaya</t>
  </si>
  <si>
    <t>Jl. Mugirejo No 13</t>
  </si>
  <si>
    <t>Jasa Aplicator Aluminium</t>
  </si>
  <si>
    <t>Gilang Arizky Ramadhan</t>
  </si>
  <si>
    <t>Farid Firmansyah, S.Psi</t>
  </si>
  <si>
    <t>081225182931</t>
  </si>
  <si>
    <t>hrd.mssby@gmail.com</t>
  </si>
  <si>
    <t>PT. Mastrada surya</t>
  </si>
  <si>
    <t>Jl. Kusuma Bangsa no 15 Surabaya</t>
  </si>
  <si>
    <t>031 - 5458802</t>
  </si>
  <si>
    <t>Materi Khusus Programming Berbasis Android</t>
  </si>
  <si>
    <t>Pengembangan Divisi IT</t>
  </si>
  <si>
    <t>Pelaksanaan Magang dan Job market Fair</t>
  </si>
  <si>
    <t>Update dalam hal kemampuan Programming</t>
  </si>
  <si>
    <t>IQ &gt; 100, Mampu Bekerja Cepat dan tahan dibawah Tekanan, Memiliki Kemampuan troubleshoot PC, Printer, dan Jaringan Serta Paham Bahasa Pemrograman, Memiliki Integritas dan Loyalitasyang B / Tinggi, memiliki kemampuan komunikasi yang B, kepada rekan kerja maupun atasan, memiliki Leadership / Karakter pemimpin yang Baik</t>
  </si>
  <si>
    <t>Kerjasama</t>
  </si>
  <si>
    <t>S1 Teknik Komputer</t>
  </si>
  <si>
    <t>An Pherta Dhe Andy</t>
  </si>
  <si>
    <t>Imawan Sakti</t>
  </si>
  <si>
    <t>085733008191</t>
  </si>
  <si>
    <t>PT. Damai Sentosa Cooking Oil</t>
  </si>
  <si>
    <t>Jl. Rungkut Industri IV no 21 Sbu</t>
  </si>
  <si>
    <t>0318438238</t>
  </si>
  <si>
    <t>Industri Minyak Sawit</t>
  </si>
  <si>
    <t>Lulusan yang memiliki jiwa kepemimpinan, teliti dan Jujur
Lulusan yang memiliki mental yang kuat, yang mampu bekerja dibawah tekanan dan cepat menyesuaikan diri di dunia industri</t>
  </si>
  <si>
    <t>Mukhamad Awaludin Fahmi</t>
  </si>
  <si>
    <t>Arni</t>
  </si>
  <si>
    <t>021-29339331</t>
  </si>
  <si>
    <t>info@mikrobot.com</t>
  </si>
  <si>
    <t>CV Pelopor Inovasi (Mikrobot)</t>
  </si>
  <si>
    <t>Apl. Office Tower Lt. 39, Unit T8, Central Park mall Jakarta 11470</t>
  </si>
  <si>
    <t>02129339331</t>
  </si>
  <si>
    <t>Pendidikan, Jasa Pembuatan Sistem HRIS, Website POS, Dll</t>
  </si>
  <si>
    <t>Lulusan Mahasiswa yang selalu update pada perkembangan teknologi informasi yang biasa digunakan oleh perusahaan dan sudah terbiasa nmembuat project untuk proigram perushaan</t>
  </si>
  <si>
    <t>Bunggi Rivan Artanto</t>
  </si>
  <si>
    <t>Sahaka Rumangia, S.Kom, Msi</t>
  </si>
  <si>
    <t>08114959996 , 08129859996</t>
  </si>
  <si>
    <t>rumagiasmkyapis999@gmail.com</t>
  </si>
  <si>
    <t>SMK yapis Timika</t>
  </si>
  <si>
    <t>Jl. Megaitara no 12</t>
  </si>
  <si>
    <t>09013260165</t>
  </si>
  <si>
    <t>Yang berkompeten dalam jaringan dan multimedia</t>
  </si>
  <si>
    <t>Yang menguasai bidang komputer, jaringan, multimedia dan pemrograman</t>
  </si>
  <si>
    <t>Sangat Baik</t>
  </si>
  <si>
    <t>Jumlah Resp</t>
  </si>
  <si>
    <t>Tahun Lulus</t>
  </si>
  <si>
    <t>I. A 1</t>
  </si>
  <si>
    <t>I. A 2</t>
  </si>
  <si>
    <t>I. A 3</t>
  </si>
  <si>
    <t>I. A 4</t>
  </si>
  <si>
    <t>I. A 5</t>
  </si>
  <si>
    <t>I. B 1</t>
  </si>
  <si>
    <t>I. B 2</t>
  </si>
  <si>
    <t>I. B 3</t>
  </si>
  <si>
    <t>I. B 4</t>
  </si>
  <si>
    <t>PERHITUNGAN UNIVERSITAS</t>
  </si>
  <si>
    <t>Jenis Kemampuan</t>
  </si>
  <si>
    <t>Etika / Intergritas</t>
  </si>
  <si>
    <t>Keahlian pada bidang ilmu (kompetensi utama)</t>
  </si>
  <si>
    <t>Kemampuan berbahasa asing</t>
  </si>
  <si>
    <t>Pengguna teknologi informasi</t>
  </si>
  <si>
    <t>Kemampuan berkomunikasi</t>
  </si>
  <si>
    <t>Tingkat Kepuasan Pengguna
(%)</t>
  </si>
  <si>
    <t>Baik</t>
  </si>
  <si>
    <t>Cukup</t>
  </si>
  <si>
    <t>Kurang</t>
  </si>
  <si>
    <t>PERHITUNGAN FTI</t>
  </si>
  <si>
    <t>Total</t>
  </si>
  <si>
    <t>Rata - Rata</t>
  </si>
  <si>
    <t>PERHITUNGAN FDIK</t>
  </si>
  <si>
    <t>PERHITUNGAN FEB</t>
  </si>
  <si>
    <t>Universitas</t>
  </si>
  <si>
    <t>PERHITUNGAN PROGRAM PENDIDIKAN</t>
  </si>
  <si>
    <t>Ricky Ahmad Rinaldi</t>
  </si>
  <si>
    <t>Rinaldi</t>
  </si>
  <si>
    <t>08523474699</t>
  </si>
  <si>
    <t>Casual WO</t>
  </si>
  <si>
    <t>Event Organizer</t>
  </si>
  <si>
    <t>IT</t>
  </si>
  <si>
    <t>Anugerah Yustisia Utama</t>
  </si>
  <si>
    <t>Nandhi Kusuma,. ST., MT</t>
  </si>
  <si>
    <t>0859311774662</t>
  </si>
  <si>
    <t>nandhikusuma@gmail.com</t>
  </si>
  <si>
    <t>kementrian Sosial</t>
  </si>
  <si>
    <t>Mojopanggung no 15, Banyuwangi</t>
  </si>
  <si>
    <t>Sosial</t>
  </si>
  <si>
    <t>integritas Lulusan, Keahlian berdasar bidang ilmu, Bahasa inggris, Komunikasi</t>
  </si>
  <si>
    <t>Yang memiliki keahlian dalam hal teknologi informasi</t>
  </si>
  <si>
    <t>Indah Gita Cahyani</t>
  </si>
  <si>
    <t>Jefri S</t>
  </si>
  <si>
    <t>info@wellracom.co.id</t>
  </si>
  <si>
    <t>Wellracom Group</t>
  </si>
  <si>
    <t>Jl. Bratang Binangun 83-85, Surabaya</t>
  </si>
  <si>
    <t>031-501888</t>
  </si>
  <si>
    <t>Perdagangan, bisnis</t>
  </si>
  <si>
    <t>Galih Permata Putra</t>
  </si>
  <si>
    <t>Indra Gunawan</t>
  </si>
  <si>
    <t>085234770077</t>
  </si>
  <si>
    <t>Gunawan@dinamika.ac.id</t>
  </si>
  <si>
    <t>Universitas Dinamika</t>
  </si>
  <si>
    <t>Jl. Raya Kedung baruk no 98</t>
  </si>
  <si>
    <t>031 8721731</t>
  </si>
  <si>
    <t>Museum dan IT</t>
  </si>
  <si>
    <t>Bahasa Inggris, Pengembangan diri, semangat</t>
  </si>
  <si>
    <t>Semangat kerja, Disiplin waktu, menguasai dibidangnya</t>
  </si>
  <si>
    <t>Darin Ramadhani Nisrina</t>
  </si>
  <si>
    <t>Mochamad Faisal</t>
  </si>
  <si>
    <t>081330306718</t>
  </si>
  <si>
    <t>mfaisal_tgp@yahoo.com</t>
  </si>
  <si>
    <t>PT Ptangguh Gada Pratama</t>
  </si>
  <si>
    <t>Griya Bhayangkara F2/5, Sidoarjo</t>
  </si>
  <si>
    <t>031-7879881</t>
  </si>
  <si>
    <t>jasa Outsourching</t>
  </si>
  <si>
    <t>Tender di LPSE</t>
  </si>
  <si>
    <t>Icha Reznanda Ramadhania</t>
  </si>
  <si>
    <t>Brahma Satrya</t>
  </si>
  <si>
    <t>08113237799</t>
  </si>
  <si>
    <t>Satryabrahmagmail.com</t>
  </si>
  <si>
    <t>PTPN XII</t>
  </si>
  <si>
    <t>Jl. Rajawali 44 Surabaya</t>
  </si>
  <si>
    <t>0313524893</t>
  </si>
  <si>
    <t>Cyber Security</t>
  </si>
  <si>
    <t>Dalam bidang Ti, Dapat memberikan materi pada karyawan</t>
  </si>
  <si>
    <t>Kadek Ayu Putri Meydiana</t>
  </si>
  <si>
    <t>Tyas</t>
  </si>
  <si>
    <t>085655386290</t>
  </si>
  <si>
    <t>Recruitment@merakjaya.co.id</t>
  </si>
  <si>
    <t>Merak jaya Beton</t>
  </si>
  <si>
    <t>Jl. Barata Jaya No.46</t>
  </si>
  <si>
    <t>0315042034</t>
  </si>
  <si>
    <t>Perdagangan, Industri semen</t>
  </si>
  <si>
    <t>Android Mobile Dev</t>
  </si>
  <si>
    <t>Teknologi Artificial Intelligence</t>
  </si>
  <si>
    <t>Mochamad Catur Nurhidayad</t>
  </si>
  <si>
    <t>Yefta</t>
  </si>
  <si>
    <t>Yefta.tsw@gmail.com</t>
  </si>
  <si>
    <t>SMPK Ronggolawe Tuban</t>
  </si>
  <si>
    <t>Jl. Kh. Ahmad Dahlan no 4, Tuban</t>
  </si>
  <si>
    <t>(0356) 321672</t>
  </si>
  <si>
    <t>Workshop Software skills untuk Guru</t>
  </si>
  <si>
    <t>Lulusan yang mampu menciptakan inovasi baru dibidang teknologi informasi terutama yang berkaitan dengan dunia pendidikan</t>
  </si>
  <si>
    <t>Septi Aisyah Duanasari</t>
  </si>
  <si>
    <t>Erwin Qurnia</t>
  </si>
  <si>
    <t>08113343355</t>
  </si>
  <si>
    <t>Captain.surockboyo@gmail.com</t>
  </si>
  <si>
    <t>Jl. A. Yani no 88, Grahapena</t>
  </si>
  <si>
    <t>031-8288604</t>
  </si>
  <si>
    <t>Jasa, Contact Center</t>
  </si>
  <si>
    <t>Komunikasi</t>
  </si>
  <si>
    <t>Skill Komunikasi, Desain Grafis, Lebih Kreatif</t>
  </si>
  <si>
    <t>Atika Rizky Damayanti</t>
  </si>
  <si>
    <t>Agus S Hidayat</t>
  </si>
  <si>
    <t>08119105038</t>
  </si>
  <si>
    <t>Agus.Hidayat@slackware_id.org</t>
  </si>
  <si>
    <t>PT. BTPN</t>
  </si>
  <si>
    <t>Jl. Indrapura 1 EFE, Surabaya</t>
  </si>
  <si>
    <t>031 - 3533054</t>
  </si>
  <si>
    <t xml:space="preserve">- </t>
  </si>
  <si>
    <t>Angelina Febrianti</t>
  </si>
  <si>
    <t>Mansa Chandra</t>
  </si>
  <si>
    <t>0811316018</t>
  </si>
  <si>
    <t>mansa@hakiki.com</t>
  </si>
  <si>
    <t>PT. Hakiki Donarta</t>
  </si>
  <si>
    <t>Jl. Sikatan 39 Surabaya</t>
  </si>
  <si>
    <t>031-3551221</t>
  </si>
  <si>
    <t>Industri dan Perdagangan dan Bisnis</t>
  </si>
  <si>
    <t>Marketing, Sales, Management, IT, Design</t>
  </si>
  <si>
    <t>Komunikatif, Kreatif, Up To date</t>
  </si>
  <si>
    <t>Fajar Alingga Mukti</t>
  </si>
  <si>
    <t>Alingga</t>
  </si>
  <si>
    <t>0817379420</t>
  </si>
  <si>
    <t>alinnga.fajar@gmail.com</t>
  </si>
  <si>
    <t>Alingga Adv</t>
  </si>
  <si>
    <t>Jl. Raya Kali Rungkut No.72, Kali Rungkut</t>
  </si>
  <si>
    <t>Jasa Advertising</t>
  </si>
  <si>
    <t>Kinanthi Arum Mustika Wardhani</t>
  </si>
  <si>
    <t>Melinda Fungkyana</t>
  </si>
  <si>
    <t>082133480344</t>
  </si>
  <si>
    <t>meme_melin@rocketmail.com</t>
  </si>
  <si>
    <t>PT. Persada Bhinneka Nusantara</t>
  </si>
  <si>
    <t>Jl. Raya Kupang Indah no 17 surabaya</t>
  </si>
  <si>
    <t>03199147807</t>
  </si>
  <si>
    <t>Periklanan , Sosial media, dll</t>
  </si>
  <si>
    <t>Dapat lebih menguasai penggunaan web untuk bahan promosi</t>
  </si>
  <si>
    <t>Resi Mairapon Saputra</t>
  </si>
  <si>
    <t>Romeo</t>
  </si>
  <si>
    <t>0817390037</t>
  </si>
  <si>
    <t>romeo@ray.co.id</t>
  </si>
  <si>
    <t>PT. Renjana Abi Yasa</t>
  </si>
  <si>
    <t>jl. Jemursari1 no 1A Surabaya</t>
  </si>
  <si>
    <t>0318417117</t>
  </si>
  <si>
    <t>Pendidikan, Software House</t>
  </si>
  <si>
    <t>Bahasa Pemrograman yang terkini</t>
  </si>
  <si>
    <t>ya</t>
  </si>
  <si>
    <t>Programmer (API, Mobile, Web)</t>
  </si>
  <si>
    <t>Software Development</t>
  </si>
  <si>
    <t>Keahlian berdasar bidang ilmu, bahasa inggris, penggunaan Teknologi informasi,  Pengambangan diri</t>
  </si>
  <si>
    <t>Kreatif,loyal,Dapat berfikir Kritis,Mau dan mampu belajar hal baru dengna cepat,mampu bekerja dalam tim,mampu bekerja dalam tekanan</t>
  </si>
  <si>
    <t>Dony Purwanto</t>
  </si>
  <si>
    <t>Agustina Dwi Indrayanti</t>
  </si>
  <si>
    <t>089615125477</t>
  </si>
  <si>
    <t>agustina@dinamika.ac.id</t>
  </si>
  <si>
    <t>Jl. Kedung baruk no 98</t>
  </si>
  <si>
    <t>0318721731</t>
  </si>
  <si>
    <t>Fendi Puji Atmiko</t>
  </si>
  <si>
    <t>Renny Dwi Ocktavia</t>
  </si>
  <si>
    <t>082333679690</t>
  </si>
  <si>
    <t>hrd@genesysindonesia.com</t>
  </si>
  <si>
    <t>PT. Genesys Integrated Indonesia</t>
  </si>
  <si>
    <t>Jl. Margorejo Indah II / A-317, Sby 60238</t>
  </si>
  <si>
    <t>031-8498188</t>
  </si>
  <si>
    <t>Jasa, Konsultan IT</t>
  </si>
  <si>
    <t>Diajarkan teknologi baru</t>
  </si>
  <si>
    <t>Programmer</t>
  </si>
  <si>
    <t>Tidak kurang, namun hanya perlu ditingkatkan</t>
  </si>
  <si>
    <t>Update teknologi baru, kreative, dan inovative</t>
  </si>
  <si>
    <t>Muhammad Sigit Pambudi</t>
  </si>
  <si>
    <t>Ratna Sari</t>
  </si>
  <si>
    <t>081232560876</t>
  </si>
  <si>
    <t>hrdpapayadas@gmail.com</t>
  </si>
  <si>
    <t>PT. Masuya Sejati</t>
  </si>
  <si>
    <t>Jl. Raya Darmo Permai 3-5</t>
  </si>
  <si>
    <t>0317310990</t>
  </si>
  <si>
    <t>Inka Patresia Walangitan</t>
  </si>
  <si>
    <t>M.M Sekar Dewanti</t>
  </si>
  <si>
    <t>087852880076</t>
  </si>
  <si>
    <t>Sekar@dinamika.ac.id</t>
  </si>
  <si>
    <t>Bahasa Asing, Selain Bahasa Inggris</t>
  </si>
  <si>
    <t>Pengolahan Database</t>
  </si>
  <si>
    <t>Inovasi dan Bahasa Asing non Inggris</t>
  </si>
  <si>
    <t>Muhammad Ridwan Bahar</t>
  </si>
  <si>
    <t>Aries Kurniawan ST</t>
  </si>
  <si>
    <t>08122170848</t>
  </si>
  <si>
    <t>Aries.kurniawan@lapan.co.id</t>
  </si>
  <si>
    <t>BPAA SUMEDANG (LAPAN)</t>
  </si>
  <si>
    <t>Jl. Raya Bandung Sumedang - Km 31</t>
  </si>
  <si>
    <t>0227911262</t>
  </si>
  <si>
    <t>Lembagan Pemerintah non kementrian</t>
  </si>
  <si>
    <t>Pemrobraman Mobile</t>
  </si>
  <si>
    <t>*</t>
  </si>
  <si>
    <t>Keahlian Berdasarkan Bidang Ilmu, bahasa Inggris</t>
  </si>
  <si>
    <t>Dwi Kusuma Wardana</t>
  </si>
  <si>
    <t>Andrew Bagus Wicaksono Verdyanwar</t>
  </si>
  <si>
    <t>Achmad Sony Syaiful Aziz</t>
  </si>
  <si>
    <t>Kardinah</t>
  </si>
  <si>
    <t>082142142313</t>
  </si>
  <si>
    <t>Kardinah@gmail.com / Kardinah@telkom.co.id</t>
  </si>
  <si>
    <t>PT. Telekomunikasi Indonesia (Surabaya)</t>
  </si>
  <si>
    <t>Jl. Mergoyoso 1-3 Surabaya</t>
  </si>
  <si>
    <t>031-5450700</t>
  </si>
  <si>
    <t>Bidang IT Perusahaan</t>
  </si>
  <si>
    <t>Intergritas Lulusan, Keahlian berdasar Bidang Ilmu, Penggunaan TI, Komunikasi, Kerjasama Tim</t>
  </si>
  <si>
    <t>Lukman Arie Setio Budi</t>
  </si>
  <si>
    <t>Sigit Pangestu</t>
  </si>
  <si>
    <t>sigitpangestu88@gmail.com</t>
  </si>
  <si>
    <t>RSUD RA Basoeni</t>
  </si>
  <si>
    <t>Jl. Raya Gedeg no 17 , Mojokerto</t>
  </si>
  <si>
    <t>0321-364752</t>
  </si>
  <si>
    <t>Jasa Pelayanan Kesehatan</t>
  </si>
  <si>
    <t>Untuk Mengatasi Persaingan</t>
  </si>
  <si>
    <t>Ta</t>
  </si>
  <si>
    <t>Semua yang membahas TI</t>
  </si>
  <si>
    <t>Mudah Beradaptasi dengan lingkungan</t>
  </si>
  <si>
    <t>Isnainul Amanda Perwirasari</t>
  </si>
  <si>
    <t>Erwin Sutomo</t>
  </si>
  <si>
    <t>08977431599</t>
  </si>
  <si>
    <t>Sutomo@dinamika.ac.id</t>
  </si>
  <si>
    <t>Mobile Apps Programming</t>
  </si>
  <si>
    <t>Kerja Praktik dan Tugas Akhir</t>
  </si>
  <si>
    <t>Bahasa Asing Selain inggris</t>
  </si>
  <si>
    <t>Mau eksplorasi sesuatu yang baru, memiliki endurance / daya tahan kerja yang B</t>
  </si>
  <si>
    <t>Brian Nusual Karyana Murti</t>
  </si>
  <si>
    <t>Nusual K</t>
  </si>
  <si>
    <t>08123299090</t>
  </si>
  <si>
    <t>Venturo</t>
  </si>
  <si>
    <t>Jl. Madiun no 3, Gresik</t>
  </si>
  <si>
    <t>081231257473</t>
  </si>
  <si>
    <t>Optimasi pengelolaan Gudang</t>
  </si>
  <si>
    <t>Sistem informasi Gudang</t>
  </si>
  <si>
    <t>Integritas Lulusan</t>
  </si>
  <si>
    <t>Untuk saat ini kami membutuhkan lulusan TI untuk perawatan Jaringan</t>
  </si>
  <si>
    <t>Robiyanto</t>
  </si>
  <si>
    <t>Ilmanza Restuadi</t>
  </si>
  <si>
    <t>Sinergi Informatika Semen Indonesia</t>
  </si>
  <si>
    <t>Jl. Veteran Gresik Jawa Timur 61122</t>
  </si>
  <si>
    <t>031-3972091</t>
  </si>
  <si>
    <t>Industri</t>
  </si>
  <si>
    <t>ERP</t>
  </si>
  <si>
    <t>Ivan Christiono Suharnoko</t>
  </si>
  <si>
    <t>Agus Ariyanto</t>
  </si>
  <si>
    <t>Tantri Mindrawan</t>
  </si>
  <si>
    <t>Yongki Agustinus</t>
  </si>
  <si>
    <t>087862035757</t>
  </si>
  <si>
    <t>Yongki@fantasktic.com</t>
  </si>
  <si>
    <t>PT. Fantasktic Teknologi Indonesia</t>
  </si>
  <si>
    <t>Jl. Sunses Road Tengah 80, Pertokoan Sunset 88, Bali</t>
  </si>
  <si>
    <t>jasa Website Development</t>
  </si>
  <si>
    <t>Materi untuk Teknologi dan Pemrograman Terbaru</t>
  </si>
  <si>
    <t>Workshop / Event Teknologi</t>
  </si>
  <si>
    <t>Profesional dan dapat beradaptasi dengan perkembangan Teknologi</t>
  </si>
  <si>
    <t>Anugrah Reksa Pradana</t>
  </si>
  <si>
    <t>F. Wenny C</t>
  </si>
  <si>
    <t>082140056157</t>
  </si>
  <si>
    <t>WennyChorniawati@yahoo.co.id</t>
  </si>
  <si>
    <t>Univ. Widya Mandala Sby</t>
  </si>
  <si>
    <t>Jl. Raya kaliasin selatan no 1</t>
  </si>
  <si>
    <t>031-99005299</t>
  </si>
  <si>
    <t>Update dengan program terbaru</t>
  </si>
  <si>
    <t>Gazza Muhammad Oetama</t>
  </si>
  <si>
    <t>Totok Sugioto</t>
  </si>
  <si>
    <t>081252398111</t>
  </si>
  <si>
    <t>Maryadi23@gmail.com</t>
  </si>
  <si>
    <t>Bank Jatim</t>
  </si>
  <si>
    <t>Jl. Semolowaru 45</t>
  </si>
  <si>
    <t>Teknologi Perbankan</t>
  </si>
  <si>
    <t>Integritas Lulusa, Bahasa Inggris</t>
  </si>
  <si>
    <t>Wahyu Surya Laksana</t>
  </si>
  <si>
    <t>Yudi Harsoyo</t>
  </si>
  <si>
    <t>081553007346</t>
  </si>
  <si>
    <t>Yudihasoyo@gmail.com</t>
  </si>
  <si>
    <t>PT. BMI</t>
  </si>
  <si>
    <t>Margomulyo Sby</t>
  </si>
  <si>
    <t>Industri Seafood</t>
  </si>
  <si>
    <t>Teknologi dan perkembangan IT</t>
  </si>
  <si>
    <t>Anto Boga</t>
  </si>
  <si>
    <t>Anto</t>
  </si>
  <si>
    <t>antoboga8@gmail.com</t>
  </si>
  <si>
    <t>CV. Bina Rukun Canggu</t>
  </si>
  <si>
    <t>Dsn Pelabuhan Rt2 RT 1, Canggu Mojokerto</t>
  </si>
  <si>
    <t>0321-361241</t>
  </si>
  <si>
    <t xml:space="preserve">Keterampilan berdasar bidang ilmu, Bahasa Inggris. Kerjasama Tim, Pengembangan Diri, </t>
  </si>
  <si>
    <t>mampu Beradaptasi dengan linkungan serta pengembangan diri, komunikasi, manajemen diri, pengembangan bakat dan minat</t>
  </si>
  <si>
    <t>Rahman Nur Hadi</t>
  </si>
  <si>
    <t>Atia Arenda Banitrisna</t>
  </si>
  <si>
    <t>Ririn Yunita</t>
  </si>
  <si>
    <t>karyautama.stel@gmail.com</t>
  </si>
  <si>
    <t>PT. Karya Utama Steel</t>
  </si>
  <si>
    <t>Griya Candramas FA2, Sedati Sidoarjo</t>
  </si>
  <si>
    <t>031-99038380</t>
  </si>
  <si>
    <t>Rizal Dwi Putra</t>
  </si>
  <si>
    <t>Rachmat Alfian</t>
  </si>
  <si>
    <t>H. jaya Kusuma. SE</t>
  </si>
  <si>
    <t>08124810512</t>
  </si>
  <si>
    <t>NPC Papua</t>
  </si>
  <si>
    <t>Jl. Raya Kelapa Dua Entrop Jayapura</t>
  </si>
  <si>
    <t>Organisasi olah Raga</t>
  </si>
  <si>
    <t>Ytidak</t>
  </si>
  <si>
    <t>Dewa Ayu Tri Utari</t>
  </si>
  <si>
    <t>Mohammad Badrunami</t>
  </si>
  <si>
    <t>Muhammad.Badrunami@gmail.com</t>
  </si>
  <si>
    <t>PT. Eyro Digital Teknologi</t>
  </si>
  <si>
    <t>Jl. Raya wiguna Timur no 25 Surabaya</t>
  </si>
  <si>
    <t>Industri, IOT</t>
  </si>
  <si>
    <t>Keahlian berdasar Bidang Ilmu, Penggunaan TI</t>
  </si>
  <si>
    <t>Alan Kuncoro Raharjo</t>
  </si>
  <si>
    <t>Andrew Hadinyoto</t>
  </si>
  <si>
    <t>0811330928</t>
  </si>
  <si>
    <t>Andrew@garasilabs.com</t>
  </si>
  <si>
    <t>PT. Garasilabs</t>
  </si>
  <si>
    <t>Basuki Rachmat 106-128, Lt,5-01</t>
  </si>
  <si>
    <t>031-5349707</t>
  </si>
  <si>
    <t>Jasa, Software</t>
  </si>
  <si>
    <t>Devops, Linux skills</t>
  </si>
  <si>
    <t>Developer, Devops (server)</t>
  </si>
  <si>
    <t>Bahasa Inggris, Penggunaan TI, Fundamental Programming, Data Struktur Linux</t>
  </si>
  <si>
    <t>Pengetahuan Fundamental programming beserta operating system yang modern seperti node JS, Linux dna Juga pengetahuan tentang cloud computing teruutama Devops</t>
  </si>
  <si>
    <t>Agit Anggriawan</t>
  </si>
  <si>
    <t>Ahmad Ramdhani Tuasamu</t>
  </si>
  <si>
    <t>meli@dinamika@.ac.id</t>
  </si>
  <si>
    <t>Pusat Kerjasama - univ. Dinamika</t>
  </si>
  <si>
    <t>Pendidikan, Jasa Software House</t>
  </si>
  <si>
    <t>Manajemen Tim pengembang S/w, Web Developer, Mobile Developer, Analist Sstem, Bid Data</t>
  </si>
  <si>
    <t>Software Developer Multi Platform</t>
  </si>
  <si>
    <t>Lowongan kerja mahasiswa / Lulusan Univ Dinamika</t>
  </si>
  <si>
    <t>Bahasa Inggris, Kerjasama Tim</t>
  </si>
  <si>
    <t>People yang mempunyai daya eksplorasi tinggi, bertanggung jawab, pintar bekerjasama dalam tim, dan mempunyai keahliamn tinggi dibidangnya</t>
  </si>
  <si>
    <t>Indra Pradana Andrianto</t>
  </si>
  <si>
    <t>Muji Mulangsih</t>
  </si>
  <si>
    <t>Sakuran Printing</t>
  </si>
  <si>
    <t>Warugunung RT 05 Rw 02</t>
  </si>
  <si>
    <t>0317665824</t>
  </si>
  <si>
    <t>pengecatan Besi</t>
  </si>
  <si>
    <t>Integritas Lulusan, Keahlian berdasar Bidang Ilmu, Komunikasi, Kerjasama Tim, Pengembangan Diri</t>
  </si>
  <si>
    <t>Mampu mengoperasioak komputer dengab B akan tetapi untuk saat ini kami masih belum membutuhkan tenaga kerja,/ ahli di bidang teknologi informasi</t>
  </si>
  <si>
    <t>Yun Krisdianto</t>
  </si>
  <si>
    <t>Arnold N Sutandharu</t>
  </si>
  <si>
    <t>08165443750</t>
  </si>
  <si>
    <t>Asutandharu@gmail.com</t>
  </si>
  <si>
    <t>Inti Daya Engineering</t>
  </si>
  <si>
    <t>Ruko Section One E10-11, Surabaya</t>
  </si>
  <si>
    <t>031-8416288</t>
  </si>
  <si>
    <t>Jasa Teknik</t>
  </si>
  <si>
    <t>Otomasi mesin, Internet of Things</t>
  </si>
  <si>
    <t>It Support, Automation Engineer, Digital marketing</t>
  </si>
  <si>
    <t>Product Research &amp; Development, Kuliah Tamu, Magang dan Tugas Akhir</t>
  </si>
  <si>
    <t>Bahasa Inggris, Critical Thingking</t>
  </si>
  <si>
    <t>- Tahu apa yang bisa dan tidak bisa dilakukan dengan IT di bidang usaha yang dia masuki
- kreatif dan ingin Tahu untuk berkembang di bidangnya
- Eksploratic,  tidak berhenti pada pengetahuan saat ini</t>
  </si>
  <si>
    <t>Dwiki Rizwan Nizar</t>
  </si>
  <si>
    <t>Didi Achmadi</t>
  </si>
  <si>
    <t>Aburevah@gmai.com</t>
  </si>
  <si>
    <t>Bappelitbangda kab. Sampang</t>
  </si>
  <si>
    <t>Jl Jamaluddin 18 Sampang</t>
  </si>
  <si>
    <t>(0323)323709</t>
  </si>
  <si>
    <t>Instansi Pemerintah</t>
  </si>
  <si>
    <t>Sistem informasi berbasis Anroid dan Crystal Report</t>
  </si>
  <si>
    <t>Tenaga Teknis TI(Sistem Informasi Perencanaan)</t>
  </si>
  <si>
    <t>Bisa Memahami dan mengerti pengelolaan sistem informasi perencanaan pengembangan yang sudha kami miliki, Berintegritas, kerjasama Tim</t>
  </si>
  <si>
    <t>Elmy Andrean Saifulloh</t>
  </si>
  <si>
    <t>M.Mzulfhaidir</t>
  </si>
  <si>
    <t>Mohammad.Zulchaidir@gmail.com</t>
  </si>
  <si>
    <t>pemkot Surabaya (dinkominfo)</t>
  </si>
  <si>
    <t>Jl. Taman Surya No 1</t>
  </si>
  <si>
    <t>Pemerintahan</t>
  </si>
  <si>
    <t>Aplikasi yang berbasis untuk masyarakat</t>
  </si>
  <si>
    <t>Eko Probo Utomo</t>
  </si>
  <si>
    <t>Norman Erikson Suli</t>
  </si>
  <si>
    <t>082112930711</t>
  </si>
  <si>
    <t>norman.erikson@niaga-logistics.com</t>
  </si>
  <si>
    <t>PT. Sarana Bhakti Timur (Niaga Logistic)</t>
  </si>
  <si>
    <t>Jl. Kalianak S51P, Asemrowo Surabaya</t>
  </si>
  <si>
    <t>0317490256</t>
  </si>
  <si>
    <t>Jasa, EMKL / Forwarding</t>
  </si>
  <si>
    <t>Update Dunia Industri 4.0</t>
  </si>
  <si>
    <t>Analis sistem</t>
  </si>
  <si>
    <t>Magang</t>
  </si>
  <si>
    <t>Update Aspek disiplin ilmu lain terkait IT</t>
  </si>
  <si>
    <t>- Agile, Adaptive, Inovativ, Komunikatif</t>
  </si>
  <si>
    <t>Resa Dwiantoro</t>
  </si>
  <si>
    <t>Muh. Harist Al Gaufiqy</t>
  </si>
  <si>
    <t>Andy Setyawan</t>
  </si>
  <si>
    <t>A_setyawan@telkomsel.co.id</t>
  </si>
  <si>
    <t>PT. Telkomsel</t>
  </si>
  <si>
    <t>Grapari Samarinda Komplek Mall Lembu</t>
  </si>
  <si>
    <t>IT Engginer</t>
  </si>
  <si>
    <t>IT Yang sesuai dengan perkemangan jaman. Saat ini masih banyak dibutuhkan tenaga kerja yang mengerti kaum milenial</t>
  </si>
  <si>
    <t>Edo Dwi Christianto</t>
  </si>
  <si>
    <t>Toni Setiawan Jaya</t>
  </si>
  <si>
    <t>Ira Puspasari</t>
  </si>
  <si>
    <t>085648194805</t>
  </si>
  <si>
    <t>Ira@dinamika.ac.id</t>
  </si>
  <si>
    <t>Pembekalan bhasa oinggris di dunia kerja</t>
  </si>
  <si>
    <t>laboran</t>
  </si>
  <si>
    <t>Bidang Akademik</t>
  </si>
  <si>
    <t>Lulusan yang adaptif, sesuai dengan perkembangan TI saat ini dan kemauan berkembang dan belajar</t>
  </si>
  <si>
    <t>Ian Mahesa Gilang Setyawan</t>
  </si>
  <si>
    <t>Farah Almas Riyanti</t>
  </si>
  <si>
    <t>081131193636</t>
  </si>
  <si>
    <t>Farah.almas@endo.id</t>
  </si>
  <si>
    <t>PT. Endo Indonesia</t>
  </si>
  <si>
    <t>Jl. Raya Menganti/14</t>
  </si>
  <si>
    <t>Distribusi alkes</t>
  </si>
  <si>
    <t>RnD Alat Kesehatan</t>
  </si>
  <si>
    <t>Menguasai lapangan kerja, tidak hanya teori saja</t>
  </si>
  <si>
    <t>Mohamad Zulfi Widipratama</t>
  </si>
  <si>
    <t>Heru Cahyono</t>
  </si>
  <si>
    <t>Heru76cahyono@gmail.com</t>
  </si>
  <si>
    <t>PT. Pakerin</t>
  </si>
  <si>
    <t>Jl. Raya Prambon no 50</t>
  </si>
  <si>
    <t>0321591377-9</t>
  </si>
  <si>
    <t>Industri, Pulp And Paper</t>
  </si>
  <si>
    <t>Materi Listrik Arus Kuat</t>
  </si>
  <si>
    <t>Control DCS dan PLC</t>
  </si>
  <si>
    <t>Tidak ada yang kurang, Lulusan yang bekerja disini Cakap, Mempunyai kemampuan, kualitas dan integritas yang B</t>
  </si>
  <si>
    <t>PLC, DCS, Control Inverter, Programming Network, IoT</t>
  </si>
  <si>
    <t>M. Nizar</t>
  </si>
  <si>
    <t>Moh. Reza Syahrial</t>
  </si>
  <si>
    <t>Moh Reza S</t>
  </si>
  <si>
    <t>Reza.resa42@gmail.com</t>
  </si>
  <si>
    <t>SAVIX AC</t>
  </si>
  <si>
    <t>Jl. Dupak baru II 14</t>
  </si>
  <si>
    <t>031 3557185</t>
  </si>
  <si>
    <t>Rizkyana Surya Viranda</t>
  </si>
  <si>
    <t>Arief Wahyu Wijaya</t>
  </si>
  <si>
    <t>Stiesia Surabaya</t>
  </si>
  <si>
    <t>Jl. Menur Pumpungan No. 30 (Stiesia Surabaya)</t>
  </si>
  <si>
    <t>L4</t>
  </si>
  <si>
    <t>Sascia Alfani Roisa</t>
  </si>
  <si>
    <t>Nurusatik</t>
  </si>
  <si>
    <t>nurusatik71@gmail.com</t>
  </si>
  <si>
    <t>MI Darul Huda</t>
  </si>
  <si>
    <t>Jl. Sekar Putih 448 Mojokerto</t>
  </si>
  <si>
    <t>Publikasi Madrasah</t>
  </si>
  <si>
    <t>Yang semangat membimbing bapak Ibu Guru dalam belajar teknologi</t>
  </si>
  <si>
    <t>M. Fakhrizal Setyahadi</t>
  </si>
  <si>
    <t>I Gede Putra Ardana</t>
  </si>
  <si>
    <t>Bank Mandiri</t>
  </si>
  <si>
    <t>Jl. Basuki Rahmat 2-4 SBY</t>
  </si>
  <si>
    <t>Jasa Perbankan</t>
  </si>
  <si>
    <t>Secara Umum B</t>
  </si>
  <si>
    <t>Muhammad Fuad</t>
  </si>
  <si>
    <t>Aep Rohendi</t>
  </si>
  <si>
    <t>aseprohendi704@gmail.com</t>
  </si>
  <si>
    <t>Sinar Wijaya Group</t>
  </si>
  <si>
    <t>Wisma Nusantara Lt. 17 Jakarta</t>
  </si>
  <si>
    <t>021-39835858</t>
  </si>
  <si>
    <t>Perdagangan / Bisnis (Pengolahan Hasil Hutan)</t>
  </si>
  <si>
    <t>Pengembangan SDM</t>
  </si>
  <si>
    <t>System Administrator</t>
  </si>
  <si>
    <t>Kerja Sama Tim, Pengembangan Diri</t>
  </si>
  <si>
    <t>Memiliki kemampuan beradaptasi dengan B serta tangguh dan tanggap dan memberikan masukan dalam menghadapi permasalahan dibidang teknologi informasi tersebut.</t>
  </si>
  <si>
    <t>R. Rizky Wijaya Kusuma</t>
  </si>
  <si>
    <t>Kusuma</t>
  </si>
  <si>
    <t>PT. Satriya Narendra Wirya</t>
  </si>
  <si>
    <t>Jl. Raya Wisma Lidah Kulon No.mor 22C, Lidah Kulon, Kec. Lakarsantri, Kota SBY, Jawa Timur 60213</t>
  </si>
  <si>
    <t>(031) 99423816</t>
  </si>
  <si>
    <t>Jasa, Outsourching</t>
  </si>
  <si>
    <t>S1 AKUNTANSI</t>
  </si>
  <si>
    <t>Pratiwi Rosadewi Tawa'a</t>
  </si>
  <si>
    <t>Riki Irawan</t>
  </si>
  <si>
    <t>081230621697</t>
  </si>
  <si>
    <t>riki.dconsultingbc@gmail.com</t>
  </si>
  <si>
    <t>CV. Dconsulting Business Consultant</t>
  </si>
  <si>
    <t xml:space="preserve">Ruko Darmo Galeria Blok C 18, Jl. Mayjend Sungkono </t>
  </si>
  <si>
    <t>082132328778</t>
  </si>
  <si>
    <t>Jasa Konsultan</t>
  </si>
  <si>
    <t>Kerjasama dalam lowongan pekerjaan terhadap alumni</t>
  </si>
  <si>
    <t>Perpajakan</t>
  </si>
  <si>
    <t>yang bisa mengintegrasikan semua sistem dalam satu wadah</t>
  </si>
  <si>
    <t>Yunita Devi Paramitha</t>
  </si>
  <si>
    <t>Zudi Permadi</t>
  </si>
  <si>
    <t>kkppermadi@gmail.com</t>
  </si>
  <si>
    <t>kkppermadi</t>
  </si>
  <si>
    <t>Tira Medayu G-2 Surabaya</t>
  </si>
  <si>
    <t>Jasa, Konsultan pajak</t>
  </si>
  <si>
    <t>Integritas Lulusan, Bahasa Inggris, Penggunaan Teknologi Informasi</t>
  </si>
  <si>
    <t>Lulusan yang menguasai dasar dasar ilmu akuntansi dan pajak dan penerapannya dalam teknologi informasi yang muimpuni</t>
  </si>
  <si>
    <t>Ersyva Nadia Putri</t>
  </si>
  <si>
    <t>Choirul Anam</t>
  </si>
  <si>
    <t>Ryan Adi Djauhari</t>
  </si>
  <si>
    <t>ryanadidj@gmail.com</t>
  </si>
  <si>
    <t>Universitas Dinamika - HUMAS</t>
  </si>
  <si>
    <t>Raya Kedung Baruk No.98</t>
  </si>
  <si>
    <t>Komunikasi, media dan broadcasting</t>
  </si>
  <si>
    <t>perlu</t>
  </si>
  <si>
    <t>konten kreatif</t>
  </si>
  <si>
    <t>bisa menguasai komunikasi dan media</t>
  </si>
  <si>
    <t>S1 MANAJEMEN</t>
  </si>
  <si>
    <t>Hernita Kurniasari</t>
  </si>
  <si>
    <t>Siti Zulaikah</t>
  </si>
  <si>
    <t>081335374141</t>
  </si>
  <si>
    <t>avoconsultant.adm@gmail.com</t>
  </si>
  <si>
    <t>PT. Evo Properti Solusindo</t>
  </si>
  <si>
    <t>Jln. Kertomenanggal III/18 Sby</t>
  </si>
  <si>
    <t>082131002791</t>
  </si>
  <si>
    <t>Jual Beli Properti dan Konsultan</t>
  </si>
  <si>
    <t>Teknologi Informasi, Desain dan Digital marketing</t>
  </si>
  <si>
    <t>Teknologi Informasi, konten, Digital Marketing</t>
  </si>
  <si>
    <t>Bahasa Inggris, Penggunaan Teknologi Informasi</t>
  </si>
  <si>
    <t>Teknologi informasi seperti desain konen dan digital marketing, terutama secara praktik . Bukan hanya teori saja, serta terus beradaptasi dengan praktis di bisnis digital</t>
  </si>
  <si>
    <t>Stefani Abelina Tiur Napitupulu</t>
  </si>
  <si>
    <t>Soetandy The</t>
  </si>
  <si>
    <t>PT Intertrend Utama</t>
  </si>
  <si>
    <t>Jl. Industri no.28, Sidoarjo</t>
  </si>
  <si>
    <t>Herlina Kartika Dewi</t>
  </si>
  <si>
    <t>Dian</t>
  </si>
  <si>
    <t>92diandian@gmail.com</t>
  </si>
  <si>
    <t>PT. Ken Sarwa Swastika</t>
  </si>
  <si>
    <t>Jl. Panjang Jiwo Ruko Panji Makmur</t>
  </si>
  <si>
    <t>Perdagangan/Bisnis</t>
  </si>
  <si>
    <t>FDIK</t>
  </si>
  <si>
    <t>KEPEMIMPINAN</t>
  </si>
  <si>
    <t>ETOS KERJA</t>
  </si>
  <si>
    <t>C3</t>
  </si>
  <si>
    <t>KEMAMPUAN BERBAHASA ASING</t>
  </si>
  <si>
    <t>FTI</t>
  </si>
  <si>
    <t>KEAHLIAN BIDANG INFOKOM</t>
  </si>
  <si>
    <t>E3</t>
  </si>
  <si>
    <t>KEMAMPUAN BERKOMUNIKASI</t>
  </si>
  <si>
    <t>F4</t>
  </si>
  <si>
    <t>KERJASAMA TIM</t>
  </si>
  <si>
    <t>G3</t>
  </si>
  <si>
    <t>PENGEMBANGAN DIRI</t>
  </si>
  <si>
    <t>I.1 KEPRIBADIAN</t>
  </si>
  <si>
    <t>I1.1</t>
  </si>
  <si>
    <t>I1.2</t>
  </si>
  <si>
    <t>I1.3</t>
  </si>
  <si>
    <t>I1.4</t>
  </si>
  <si>
    <t>I1.5</t>
  </si>
  <si>
    <t>I.2 TUNTUTAN INDUSTRI 4.0</t>
  </si>
  <si>
    <t>I2.1</t>
  </si>
  <si>
    <t>I2.2</t>
  </si>
  <si>
    <t>I2.3</t>
  </si>
  <si>
    <t>I2.4</t>
  </si>
  <si>
    <t>FEB</t>
  </si>
  <si>
    <t>ETIKA</t>
  </si>
  <si>
    <t>KEAHLIAN BIDANG ILMU</t>
  </si>
  <si>
    <t>PENGGUNAAN TEKNOLOGI INFORMASI</t>
  </si>
  <si>
    <t>SMKS Pawiyatan Surabaya</t>
  </si>
  <si>
    <t>Jl. Tangkis Turi No. 4-6 Surabaya</t>
  </si>
  <si>
    <t>Pendidikan, Jasa</t>
  </si>
  <si>
    <t>Pelatihan IT terbaru</t>
  </si>
  <si>
    <t>Penggunaan Teknologi Informasi, Pengembangan diri</t>
  </si>
  <si>
    <t>Yang menguasai TI terkini</t>
  </si>
  <si>
    <t>S1 Desain Produk</t>
  </si>
  <si>
    <t>Raya Kedung Baruk 98</t>
  </si>
  <si>
    <t>031 - 8721731</t>
  </si>
  <si>
    <t>Sangat Perlu</t>
  </si>
  <si>
    <t>yang mahir menggunakan Aplikasi IT, giat dalam bekerja dan mampu bersosialisasi dalam perusahaan</t>
  </si>
  <si>
    <t>HRD</t>
  </si>
  <si>
    <t>CIMB Niaga Surabaya (PUCANG)</t>
  </si>
  <si>
    <t>Jl. Pucang Anom no. 27, Kertajaya, Gubeng Surabaya 60282</t>
  </si>
  <si>
    <t>(031) 5026123</t>
  </si>
  <si>
    <t>- Memiliki Kemampuan teknis dan non teknis, Memiliki karakter yang baik, Detail dalam mengurai bahasa pemrobraman</t>
  </si>
  <si>
    <t>Sangat Baik (4)</t>
  </si>
  <si>
    <t>Baik (3)</t>
  </si>
  <si>
    <t>Nama Responden</t>
  </si>
  <si>
    <t>Nama Alumni yang bekerja di tempat Bapak / Ibu</t>
  </si>
  <si>
    <t>Nama Perusahaan</t>
  </si>
  <si>
    <t>Apakah memiliki cabang di negara lain?</t>
  </si>
  <si>
    <t>Apakah memiliki cabang di Kota lain?</t>
  </si>
  <si>
    <t>Jenis Perusahaan</t>
  </si>
  <si>
    <t>Kevin</t>
  </si>
  <si>
    <t>PT Karya Digital Indo</t>
  </si>
  <si>
    <t>Ade Rizky</t>
  </si>
  <si>
    <t>PT TODIS KARYA BANGSA</t>
  </si>
  <si>
    <t>Jasa</t>
  </si>
  <si>
    <t>sugarwanto atmaja</t>
  </si>
  <si>
    <t>Kokola Group</t>
  </si>
  <si>
    <t>Armanda Dimas</t>
  </si>
  <si>
    <t>PT Metrodata Electronics, Tbk</t>
  </si>
  <si>
    <t>Aryan Wahyu Kusuma</t>
  </si>
  <si>
    <t>PT Mitracomm Ekasarana</t>
  </si>
  <si>
    <t>Guskoro</t>
  </si>
  <si>
    <t>The Software Practice</t>
  </si>
  <si>
    <t>Andre</t>
  </si>
  <si>
    <t>PT. Akar Inti Teknologi</t>
  </si>
  <si>
    <t>Kepemimpinan</t>
  </si>
  <si>
    <t>Kurang (2)</t>
  </si>
  <si>
    <t>Kemampuan Berbahasa Asing</t>
  </si>
  <si>
    <t>Memiliki pengetahuan terkini untuk perkembangan IT</t>
  </si>
  <si>
    <t>Keahlian Bidang Infokom</t>
  </si>
  <si>
    <t>Yang mampu cepat berlajar dan beradaptasi dengan teknologi terbaru yang di terapkan di perusahaan</t>
  </si>
  <si>
    <t>Mau belajar</t>
  </si>
  <si>
    <t>Eager to learn, easily to adapt.</t>
  </si>
  <si>
    <t>Secara umum, bagaimanakah kinerja lulusan Universitas Dinamika yang bekerja di institusi Bapak/Ibu?</t>
  </si>
  <si>
    <t>Secara umum, menurut Bapak/Ibu, bidang apa yang kurang dikuasai lulusan Universitas Dinamika? (boleh dijawab lebih dari 1)</t>
  </si>
  <si>
    <t>Kriteria lulusan berbasis Teknologi Informasi seperti apakah yang diinginkan Institusi Bapak/Ibu, mohon dituliskan.</t>
  </si>
  <si>
    <t>NIM</t>
  </si>
  <si>
    <t>Diploma</t>
  </si>
  <si>
    <t>Sucofindo Surabaya</t>
  </si>
  <si>
    <t>Jl. Kalibutuh No.215, Tembok Dukuh</t>
  </si>
  <si>
    <t>Lutfi Idham</t>
  </si>
  <si>
    <t>083870883711</t>
  </si>
  <si>
    <t>Inspeksi, Konsultan, Sertifikasi</t>
  </si>
  <si>
    <t>Bahasa Asing</t>
  </si>
  <si>
    <t>Multitasking</t>
  </si>
  <si>
    <t>Mochamad Fuad Asyhary</t>
  </si>
  <si>
    <t>Linda HR Manager</t>
  </si>
  <si>
    <t>Hartono Elektronika</t>
  </si>
  <si>
    <t>Mayjend Yono Suwoyo No.12,</t>
  </si>
  <si>
    <t>(031) 7321212</t>
  </si>
  <si>
    <t>Penjualan Elektronik</t>
  </si>
  <si>
    <t>Mobile</t>
  </si>
  <si>
    <t xml:space="preserve"> Mobile Developer, Analist Sstem, Big Data</t>
  </si>
  <si>
    <t>Event dan Lowongan Kerja</t>
  </si>
  <si>
    <t>ABAP</t>
  </si>
  <si>
    <t>Teknologi Digital Marketing</t>
  </si>
  <si>
    <t>Andrea Hartoko Aji Putra Perdana</t>
  </si>
  <si>
    <t>HRM</t>
  </si>
  <si>
    <t>Infinite Slution</t>
  </si>
  <si>
    <t>Jl Bratang Binangun IX/19 Surabaya
Jawa Timur 60284</t>
  </si>
  <si>
    <t xml:space="preserve"> info@infiplus.net </t>
  </si>
  <si>
    <t>Jasa  Konsultan IT</t>
  </si>
  <si>
    <t>Mengikuti perkembangan teknologi</t>
  </si>
  <si>
    <t>Devva Maulana Alfitrah</t>
  </si>
  <si>
    <t xml:space="preserve">Jl. Medokan Asri Tengah, MA 2 Q-16, Surabaya, Jawa Timur 60295 - Indonesia </t>
  </si>
  <si>
    <t>Wahyudi</t>
  </si>
  <si>
    <t>marketing@sevima.co.id</t>
  </si>
  <si>
    <t>PT. Sentra Vidya Utama</t>
  </si>
  <si>
    <t>Jasa IT Pendidikan</t>
  </si>
  <si>
    <t>Pengembang Software yang mempunyai daya eksplorasi Android (mobile)</t>
  </si>
  <si>
    <t>Daniel Budi Setyawan</t>
  </si>
  <si>
    <t>PT. Bimasakti Multi Sinergi</t>
  </si>
  <si>
    <t>Jl. Delta Raya Utara Jl. Delta Sari Indah</t>
  </si>
  <si>
    <t>Umi Zahro</t>
  </si>
  <si>
    <t>(031) 8535799</t>
  </si>
  <si>
    <t>partnership@bm.co.id</t>
  </si>
  <si>
    <t>Fintech</t>
  </si>
  <si>
    <t>Mampu memahaami masalah dengan cepat, Mampu bekerja sama dengan tim, mampu menganalisan dan memberikan quick solution</t>
  </si>
  <si>
    <t>Pengembangan Diri, Bahasa Inggris</t>
  </si>
  <si>
    <t>Galih Adi Wijaya</t>
  </si>
  <si>
    <t>HR</t>
  </si>
  <si>
    <t>PT. Bumindo Sakti</t>
  </si>
  <si>
    <t xml:space="preserve">Dsn. Larangan RT 009 RW 004, Ds Krikilan KM28, Kec. Driyorejo, Gresik </t>
  </si>
  <si>
    <t xml:space="preserve">bumindosakti@gmail.com </t>
  </si>
  <si>
    <t xml:space="preserve">085-100-24-8000 </t>
  </si>
  <si>
    <t>Jasa Konstruksi</t>
  </si>
  <si>
    <t>Akreditasi D3 Sistem Informasi</t>
  </si>
  <si>
    <t>TAMBAHAN</t>
  </si>
  <si>
    <t>Eko Cahyo Wahyudi</t>
  </si>
  <si>
    <t>PT. Ayu Sejati</t>
  </si>
  <si>
    <t>Jl. Rungkut Industri I No.2, Kendangsari,</t>
  </si>
  <si>
    <t>Produksi</t>
  </si>
  <si>
    <t>Hawari Muhammad Helmi</t>
  </si>
  <si>
    <t>Adrian Moris Kurniawan</t>
  </si>
  <si>
    <t>Agik Saputra Wijaya</t>
  </si>
  <si>
    <t>Kota Surabaya</t>
  </si>
  <si>
    <t>Kota Makassar</t>
  </si>
  <si>
    <t>Oriflame</t>
  </si>
  <si>
    <t>Harian Radar Makassar</t>
  </si>
  <si>
    <t>P&amp;G</t>
  </si>
  <si>
    <t>Produk Skin Care</t>
  </si>
  <si>
    <t>Media</t>
  </si>
  <si>
    <t>Distributor</t>
  </si>
  <si>
    <t>fariz anhar</t>
  </si>
  <si>
    <t>Aneshar Nadira Diona Matahari</t>
  </si>
  <si>
    <t>Timeline studio</t>
  </si>
  <si>
    <t>PT Graha Multi Bintang (Olympic Group)</t>
  </si>
  <si>
    <t>Kab. Sidoarjo</t>
  </si>
  <si>
    <t>Faisal arvia oktavian</t>
  </si>
  <si>
    <t>Andre Juniar Bahruly</t>
  </si>
  <si>
    <t>Alif Indarmawan Putra</t>
  </si>
  <si>
    <t>Printsoft</t>
  </si>
  <si>
    <t>PT. Tirta Fresindo Jaya Plant 2 (Mayora Group)</t>
  </si>
  <si>
    <t>PT. Kasir Pintar Internasional</t>
  </si>
  <si>
    <t>Semampir, Surabaya</t>
  </si>
  <si>
    <t>Pasuruan</t>
  </si>
  <si>
    <t>Ir. Soekarno, Merr - Surabaya</t>
  </si>
  <si>
    <t>Bagus eka pratama putra</t>
  </si>
  <si>
    <t>Nanda Rizka Maulana</t>
  </si>
  <si>
    <t>Randito Ananda Pratama</t>
  </si>
  <si>
    <t>Agum Gumelar Putra</t>
  </si>
  <si>
    <t xml:space="preserve">Dionisius Oktavian Andana Putra </t>
  </si>
  <si>
    <t>AFIF SYAIFUDIN ZAMRONI</t>
  </si>
  <si>
    <t>Moch. Ghifar Virawan</t>
  </si>
  <si>
    <t>Dispendukcapil Surabaya</t>
  </si>
  <si>
    <t>Meratus LIne</t>
  </si>
  <si>
    <t>PT. Sinergi Informatika Semen Indonesia</t>
  </si>
  <si>
    <t>PT. Telkom Indonesia</t>
  </si>
  <si>
    <t>Yayasan Yohannes Gabriel Perwakilan I Surabaya</t>
  </si>
  <si>
    <t>Ninja Xpress</t>
  </si>
  <si>
    <t>PT. Artha Infotama</t>
  </si>
  <si>
    <t>Kab. Gresik</t>
  </si>
  <si>
    <t>Kota Jakarta Pusat</t>
  </si>
  <si>
    <t>Jasa Ekspedisi EMKL</t>
  </si>
  <si>
    <t>Ekspedisi</t>
  </si>
  <si>
    <t>Jasa Aplikasi</t>
  </si>
  <si>
    <t>Mochamad Nur Afandi</t>
  </si>
  <si>
    <t>Yahya Nugroho</t>
  </si>
  <si>
    <t>Muhammad Reza Bintami</t>
  </si>
  <si>
    <t>Revidho Yusuf Demaniqga</t>
  </si>
  <si>
    <t>PT. Seruni Mobile International</t>
  </si>
  <si>
    <t>PT. Infosys Solusi Terpadu</t>
  </si>
  <si>
    <t>Amartha</t>
  </si>
  <si>
    <t>CV. Infinite Solution</t>
  </si>
  <si>
    <t>PT. Suparma Tbk</t>
  </si>
  <si>
    <t>Kota Yogyakarta</t>
  </si>
  <si>
    <t>Kab. Bandung</t>
  </si>
  <si>
    <t>Jasa Branding</t>
  </si>
  <si>
    <t>Industri Plastik</t>
  </si>
  <si>
    <t>Manufaktur Makanan dan Minuman</t>
  </si>
  <si>
    <t>PT. Tangguh Gada Pratama</t>
  </si>
  <si>
    <t>Griya Bhayangkara F2/5</t>
  </si>
  <si>
    <t xml:space="preserve">Outsourcing </t>
  </si>
  <si>
    <t>Mampu menguasai segala bntuk tekhnologi informasi</t>
  </si>
  <si>
    <t>S1 Akuntansi</t>
  </si>
  <si>
    <t>LG Electronics Indonesia</t>
  </si>
  <si>
    <t>Jl. Tegalsari No. 41, Tegalsari, Surabaya</t>
  </si>
  <si>
    <t>031-5475577 ext 113</t>
  </si>
  <si>
    <t>Consumer Electronics</t>
  </si>
  <si>
    <t>Excel Expert</t>
  </si>
  <si>
    <t>Sangat BAik</t>
  </si>
  <si>
    <t xml:space="preserve">Excel </t>
  </si>
  <si>
    <t>Universitas Sunan Bonang Tuban</t>
  </si>
  <si>
    <t>Jl. Wahidin Sudiro Husodo No. 798</t>
  </si>
  <si>
    <t>0356 322025</t>
  </si>
  <si>
    <t>PT. SECOM INDONESIA</t>
  </si>
  <si>
    <t>Karawang, Jabar</t>
  </si>
  <si>
    <t>Perumda Air Minum Batiwakkal</t>
  </si>
  <si>
    <t>Berau, Kaltim</t>
  </si>
  <si>
    <t>BUMD</t>
  </si>
  <si>
    <t>PT Sinergi Informatika Semen Indonesia</t>
  </si>
  <si>
    <t>PT Ruang Raya Indonesia (ruangguru)</t>
  </si>
  <si>
    <t>PT Satona</t>
  </si>
  <si>
    <t>Jl. Raya Kendangsari No.29, Kendangsari</t>
  </si>
  <si>
    <t>Penjualan Barang Kimia</t>
  </si>
  <si>
    <t>Gresik</t>
  </si>
  <si>
    <t>HO - Jakarta</t>
  </si>
  <si>
    <t>PT Transcon Indonesia</t>
  </si>
  <si>
    <t>Jl. Denpasar, RT.1/RW.2, Cilincing, Kec. Cilincing, Jkt Utara, Daerah Khusus Ibukota Jakarta 14120</t>
  </si>
  <si>
    <t>PT. Generasi Multi Indonusa</t>
  </si>
  <si>
    <t xml:space="preserve">Jl. Raya Tandes Lor No.76, Tanjungsari, Kec. Sukomanunggal, Surabaya, </t>
  </si>
  <si>
    <t>Bumi Menara Internusa</t>
  </si>
  <si>
    <t>Margomulyo No.4E, Tandes Kidul, Kec. Tandes, Surabaya</t>
  </si>
  <si>
    <t>Pengolahan Makanan Laut</t>
  </si>
  <si>
    <t>PT. Padepokan Tujuh Sembilan</t>
  </si>
  <si>
    <t xml:space="preserve">Gg. Terasana No.6A, Pasir Kaliki, Kec. Cicendo, Kota Bandung, Jawa Barat </t>
  </si>
  <si>
    <t>Outsourcing IT</t>
  </si>
  <si>
    <t>Suara Surabaya Media</t>
  </si>
  <si>
    <t>multi global persada</t>
  </si>
  <si>
    <t>Cv 45Jaya Meat</t>
  </si>
  <si>
    <t>Baitulmaal Munzalan Indonesia Cabang Palu</t>
  </si>
  <si>
    <t>Dinas Kebudayaan dan Pariwisata</t>
  </si>
  <si>
    <t>Xavier Marks</t>
  </si>
  <si>
    <t>Jalan Raya Bukit Darmo 22-24 Surabaya.</t>
  </si>
  <si>
    <t>Jl. Raya Gading Kirana No.D10, RT.18/RW.8, Klp. Gading Bar., Kec. Klp. Gading, Jkt Utara</t>
  </si>
  <si>
    <t>Radio</t>
  </si>
  <si>
    <t>Distributor Daging</t>
  </si>
  <si>
    <t>Jual Beli Produk Balita</t>
  </si>
  <si>
    <t>Jl. Jenderal Basuki Rahmat Lorong Menara No.1, Birobuli Utara, Kec. Palu Sel., Kota Palu</t>
  </si>
  <si>
    <t>Watutulis, Kec. Prambon, Kabupaten Sidoarjo</t>
  </si>
  <si>
    <t>Disbudporapar Surabaya</t>
  </si>
  <si>
    <t>Pemerintah</t>
  </si>
  <si>
    <t>Badan Amal</t>
  </si>
  <si>
    <t>Jl. Darmokali No.3, Darmo, Kec. Wonokromo</t>
  </si>
  <si>
    <t>Propoerti</t>
  </si>
  <si>
    <t>CV JUANDA JJFK Djaya</t>
  </si>
  <si>
    <r>
      <t xml:space="preserve">SOHO Cornell Fl 2 Citraland </t>
    </r>
    <r>
      <rPr>
        <i/>
        <sz val="11"/>
        <color theme="1"/>
        <rFont val="Calibri"/>
        <family val="2"/>
        <scheme val="minor"/>
      </rPr>
      <t>Surabaya</t>
    </r>
    <r>
      <rPr>
        <sz val="11"/>
        <color theme="1"/>
        <rFont val="Calibri"/>
        <family val="2"/>
        <scheme val="minor"/>
      </rPr>
      <t xml:space="preserve"> Barat</t>
    </r>
  </si>
  <si>
    <t>Jual Beli Aksesoris HP</t>
  </si>
  <si>
    <t>PT Kaenka Intikreasi</t>
  </si>
  <si>
    <t>Jl. Simpang Darmo Permai Selatan III No.2, Pradahkalikendal, Kec. Dukuhpakis</t>
  </si>
  <si>
    <t>Industri Tekstil</t>
  </si>
  <si>
    <t>PT. Fortune Rayatama</t>
  </si>
  <si>
    <t>Toko Emas Bukit Mas</t>
  </si>
  <si>
    <t>Jl. Ngagel Jaya Sel. Surabaya, Baratajaya, Kec. Gubeng</t>
  </si>
  <si>
    <t>Distributor IT</t>
  </si>
  <si>
    <t>Darmo Trade Center Lantai 1 Blok B No.25-27</t>
  </si>
  <si>
    <t>Jual Beli Emas</t>
  </si>
  <si>
    <t>Pelatihan</t>
  </si>
  <si>
    <t>Jumlah Alumni</t>
  </si>
  <si>
    <t>Jumlah responden</t>
  </si>
  <si>
    <t>TS-2</t>
  </si>
  <si>
    <t>TS-3</t>
  </si>
  <si>
    <t>TS-4</t>
  </si>
  <si>
    <t>Th Lulus</t>
  </si>
  <si>
    <t>TS</t>
  </si>
  <si>
    <t>Th Tracer</t>
  </si>
  <si>
    <t>TS-1</t>
  </si>
  <si>
    <t>TS-0</t>
  </si>
  <si>
    <t>Kepribadian</t>
  </si>
  <si>
    <t>Tuntutan Industri 4.0</t>
  </si>
  <si>
    <t>d'Thirtytree cafe</t>
  </si>
  <si>
    <t>Solar Studio</t>
  </si>
  <si>
    <t>Industri, Jasa</t>
  </si>
  <si>
    <t>Sangat Kurang (1)</t>
  </si>
  <si>
    <t>Dhea Tita Putri</t>
  </si>
  <si>
    <t>Edi Sasongko</t>
  </si>
  <si>
    <t>PT. Putra Restu Ibu Abadi</t>
  </si>
  <si>
    <t>Etos Kerja</t>
  </si>
  <si>
    <t>Kerjasama Tim</t>
  </si>
  <si>
    <t>Etik</t>
  </si>
  <si>
    <t>Keahlian berdasarkan bidang ilmu</t>
  </si>
  <si>
    <t>Penggunaan Teknologi Informasi</t>
  </si>
  <si>
    <t>Etika</t>
  </si>
  <si>
    <t>UNIVERSITAS</t>
  </si>
  <si>
    <t>yuwono</t>
  </si>
  <si>
    <t>yoshinda Dwi YDU</t>
  </si>
  <si>
    <t>Fadjar Muliadinata</t>
  </si>
  <si>
    <t>Ivan Widiyanto</t>
  </si>
  <si>
    <t>Catherina S</t>
  </si>
  <si>
    <t>Fendy Mahatma</t>
  </si>
  <si>
    <t>Michael Chandra</t>
  </si>
  <si>
    <t>Joko Santosa</t>
  </si>
  <si>
    <t>Imam Mahmudi S.T</t>
  </si>
  <si>
    <t>Ferdi Landauw</t>
  </si>
  <si>
    <t>Pipit</t>
  </si>
  <si>
    <t>Shinta Pratiwi</t>
  </si>
  <si>
    <t>Fifi Fransisca</t>
  </si>
  <si>
    <t>Yudistira Adi Nugraha</t>
  </si>
  <si>
    <t>Marx Finish</t>
  </si>
  <si>
    <t>Eveline</t>
  </si>
  <si>
    <t>Grace</t>
  </si>
  <si>
    <t>ELIS RISTYORINI, M.PD</t>
  </si>
  <si>
    <t>Susila Harsano</t>
  </si>
  <si>
    <t>Lilik Prasetiyo</t>
  </si>
  <si>
    <t>Ifnu Fajar Pratomo</t>
  </si>
  <si>
    <t>Thohir</t>
  </si>
  <si>
    <t>Rizdhan Hernanda R</t>
  </si>
  <si>
    <t>Risqika Sari, A.Md.</t>
  </si>
  <si>
    <t>Habibullah Tedy Sulistyo Putra</t>
  </si>
  <si>
    <t>Dhevani Dafa Ashilah Salim, Fazril Rizki Tanto Adji, Ilham Fatahillah Ridwan, Ade Prisma Nugraha, Heru Afandi Winata, Nur Mohammad Prima PW, Lulut Fitriyaningrum</t>
  </si>
  <si>
    <t>Filbert Daniel</t>
  </si>
  <si>
    <t>Ferdinand Novan</t>
  </si>
  <si>
    <t>Kristin Angelina</t>
  </si>
  <si>
    <t>Sebastianus Sembara</t>
  </si>
  <si>
    <t>Denny Putra Yudha Pratama</t>
  </si>
  <si>
    <t>Akbar Mahardi Hidayahtullah</t>
  </si>
  <si>
    <t>NADYA SALSABILLAH WIJAYA PUTRI</t>
  </si>
  <si>
    <t>APRIANTO</t>
  </si>
  <si>
    <t>Ekky Febrihandani Rahmawati</t>
  </si>
  <si>
    <t>RIZKY HADI SAPUTRA</t>
  </si>
  <si>
    <t>ANGGER ADHI PRASETYO</t>
  </si>
  <si>
    <t>Enrico Pradana Antoni Putra</t>
  </si>
  <si>
    <t>Althov Zhorif Naufal</t>
  </si>
  <si>
    <t>Mochamad Asy'ari Putra Pratama</t>
  </si>
  <si>
    <t>Adrianus Hernowo Wahyu Pandito</t>
  </si>
  <si>
    <t>TWINDA ASTA NURROHMA</t>
  </si>
  <si>
    <t>Irfan Azhar Fauzi</t>
  </si>
  <si>
    <t>Muhammad Dhika Firmansyah</t>
  </si>
  <si>
    <t>Danang sindhu prasetyo</t>
  </si>
  <si>
    <t>Riyondha Aprilian Brahmantyo</t>
  </si>
  <si>
    <t>inTouch Innovate Indonesia</t>
  </si>
  <si>
    <t>SCOMPTEC</t>
  </si>
  <si>
    <t>Surya Megah Expertindo</t>
  </si>
  <si>
    <t>Universitas Kristen Petra</t>
  </si>
  <si>
    <t>PT Wings Surya</t>
  </si>
  <si>
    <t>Gocement</t>
  </si>
  <si>
    <t>Askarasoft</t>
  </si>
  <si>
    <t>PT Mitra Integrasi Informatika</t>
  </si>
  <si>
    <t>Dinas Sosial Surabaya</t>
  </si>
  <si>
    <t>PT Bank Central Asia Tbk.</t>
  </si>
  <si>
    <t>Koperasi Pelindo Gresik</t>
  </si>
  <si>
    <t>PT INFOMEDIA SOLUSI HUMANIKA</t>
  </si>
  <si>
    <t>Melvee</t>
  </si>
  <si>
    <t>PT Merak Jaya Group</t>
  </si>
  <si>
    <t xml:space="preserve">
PT SUZUKI FINANCE INDONESIA</t>
  </si>
  <si>
    <t>PT. Dewata Kencana Distribusi</t>
  </si>
  <si>
    <t>PT Eldira Cipta Prima</t>
  </si>
  <si>
    <t>SMAN 17 SBY</t>
  </si>
  <si>
    <t>PT Solusi Bangun Indonesia Tbk</t>
  </si>
  <si>
    <t>Madina Mentari Teknologi</t>
  </si>
  <si>
    <t>PT. Eratek Integra Solusindo</t>
  </si>
  <si>
    <t>PT Rekso Nasional Food</t>
  </si>
  <si>
    <t>Jasa, system integrator</t>
  </si>
  <si>
    <t>Jasa, Perdagangan/Bisnis, ICT</t>
  </si>
  <si>
    <t>consumer good</t>
  </si>
  <si>
    <t>Startup</t>
  </si>
  <si>
    <t>Jasa IT</t>
  </si>
  <si>
    <t>Koperasi</t>
  </si>
  <si>
    <t>batik</t>
  </si>
  <si>
    <t>Jasa Konstruksi (beton dan precast)</t>
  </si>
  <si>
    <t>Information Communication Technology</t>
  </si>
  <si>
    <t>Leasing</t>
  </si>
  <si>
    <t>Toko Alat Teknik</t>
  </si>
  <si>
    <t>Sekolahan</t>
  </si>
  <si>
    <t>Industri Bahan Bangunan</t>
  </si>
  <si>
    <t>Jasa Software</t>
  </si>
  <si>
    <t>Franchise Fast Food ( Mc Donals)</t>
  </si>
  <si>
    <t>surabaya</t>
  </si>
  <si>
    <t>Jakarta, Medan</t>
  </si>
  <si>
    <t>Distribusi seluruh indonesia</t>
  </si>
  <si>
    <t>Punya integritas, dan mau belajar</t>
  </si>
  <si>
    <t>Berkemauan untuk upskill, bertanggungjawab, pintar dan berakhlak mulia</t>
  </si>
  <si>
    <t>Mempunyai dari explorasi tinggi, tanggung jawab, team work dan disiplin.</t>
  </si>
  <si>
    <t>Sangat Kurang</t>
  </si>
  <si>
    <t>cukup baik, butuh ada pengembangan di karakter</t>
  </si>
  <si>
    <t>Pengembangan diri, kerjasama dalam tim</t>
  </si>
  <si>
    <t>Keahlian Bidang IT</t>
  </si>
  <si>
    <t>Bahasa Pemrograman</t>
  </si>
  <si>
    <t>Softskill</t>
  </si>
  <si>
    <t>bahasa pemrograman mobil, phyton</t>
  </si>
  <si>
    <t>Bahasa Pemrograman yang dikuasai, phyton, mobile, dll</t>
  </si>
  <si>
    <t>Creative Thinking, Problem Solving</t>
  </si>
  <si>
    <t>Andromeda DwiCahya</t>
  </si>
  <si>
    <t>fredy priyambodo</t>
  </si>
  <si>
    <t>Kiki Purwaningtiyas</t>
  </si>
  <si>
    <t>Munif</t>
  </si>
  <si>
    <t>Ratkusumawati Dewi</t>
  </si>
  <si>
    <t>Devi Arishanti</t>
  </si>
  <si>
    <t>Mizan, S.Sos</t>
  </si>
  <si>
    <t>PT Master Mat Indonesia</t>
  </si>
  <si>
    <t>PT. Camilla Wisata</t>
  </si>
  <si>
    <t>SD Al Uswah 2</t>
  </si>
  <si>
    <t>Tekstil</t>
  </si>
  <si>
    <t>Supplier Alat Teknik</t>
  </si>
  <si>
    <t>Biro Travel</t>
  </si>
  <si>
    <t>Anna</t>
  </si>
  <si>
    <t>Amelia Nurmawati</t>
  </si>
  <si>
    <t>Endik</t>
  </si>
  <si>
    <t>Budi</t>
  </si>
  <si>
    <t>Benny Helika Samudra S.E., M.M</t>
  </si>
  <si>
    <t>Armindya Ladyka</t>
  </si>
  <si>
    <t>Galuh Icha Wulan Setya Putri</t>
  </si>
  <si>
    <t>Dewi Ayuningtyas AW</t>
  </si>
  <si>
    <t>Mellisa Angeline Hahuly</t>
  </si>
  <si>
    <t>Mayangviodita</t>
  </si>
  <si>
    <t>PT FIF GROUP</t>
  </si>
  <si>
    <t>PT. Anugerah Mineral Energi Lestari</t>
  </si>
  <si>
    <t>PT. ADZRA CIPTA KONSULINDO</t>
  </si>
  <si>
    <t>CV Papua Sejahtera</t>
  </si>
  <si>
    <t>Grapari Bangkalan</t>
  </si>
  <si>
    <t>Pertambangan</t>
  </si>
  <si>
    <t>Ya, Papua</t>
  </si>
  <si>
    <t>`</t>
  </si>
  <si>
    <t>DKV</t>
  </si>
  <si>
    <t>S1 Manajemen</t>
  </si>
  <si>
    <t>Despro</t>
  </si>
  <si>
    <t>Profiti</t>
  </si>
  <si>
    <t>Cukup (2)</t>
  </si>
  <si>
    <t>Kurang (1)</t>
  </si>
  <si>
    <t>Keahlian di bidang TI</t>
  </si>
  <si>
    <t>Kemampuan berbahasa asing (Inggris)</t>
  </si>
  <si>
    <t>E4</t>
  </si>
  <si>
    <t>G4</t>
  </si>
  <si>
    <t>b</t>
  </si>
  <si>
    <t>Andi Prasetyo</t>
  </si>
  <si>
    <t>Rina Kartika</t>
  </si>
  <si>
    <t>Budi Santosa</t>
  </si>
  <si>
    <t>Dwi Lestari</t>
  </si>
  <si>
    <t>Galih Ramadhan</t>
  </si>
  <si>
    <t>Kevin Wijaya</t>
  </si>
  <si>
    <t>Felicia Gunawan</t>
  </si>
  <si>
    <t>Steven Kusuma</t>
  </si>
  <si>
    <t>Gloria Setiawan</t>
  </si>
  <si>
    <t>Jessica Limantara</t>
  </si>
  <si>
    <t>Adrian Kurniawan</t>
  </si>
  <si>
    <t>MataKreatif Agency</t>
  </si>
  <si>
    <t>Studio Kelas Tiga</t>
  </si>
  <si>
    <t>Pixelpop.id</t>
  </si>
  <si>
    <t>Cipta Rupa Visual</t>
  </si>
  <si>
    <t>Monoline Studio</t>
  </si>
  <si>
    <t>Creavisi Mediaworks</t>
  </si>
  <si>
    <t>Inovatif Kreasi Mandiri</t>
  </si>
  <si>
    <t>Lensa Visual Group</t>
  </si>
  <si>
    <t>Viraloka Agency</t>
  </si>
  <si>
    <t>DesignHaus</t>
  </si>
  <si>
    <t>Kolase Kreatif Indonesia</t>
  </si>
  <si>
    <t>Andre Santoso</t>
  </si>
  <si>
    <t>SFA</t>
  </si>
  <si>
    <t>Michelle Lie</t>
  </si>
  <si>
    <t>Graphene Studio</t>
  </si>
  <si>
    <t>Agency</t>
  </si>
  <si>
    <t>Studio Youtube</t>
  </si>
  <si>
    <t>Event Orgenizer</t>
  </si>
  <si>
    <t>Swasta</t>
  </si>
  <si>
    <t>Agency Branding</t>
  </si>
  <si>
    <t>Branding Adv</t>
  </si>
  <si>
    <t>Advertising</t>
  </si>
  <si>
    <t>Event Jasa</t>
  </si>
  <si>
    <t>PT Krearte Mitra Artisan</t>
  </si>
  <si>
    <t>Kimia farma</t>
  </si>
  <si>
    <t>PT Persada Indah Muda</t>
  </si>
  <si>
    <t>CV. Adyatma</t>
  </si>
  <si>
    <t>PT Sinar Bacan Khatulistiwa</t>
  </si>
  <si>
    <t>TNJ Solar Industri</t>
  </si>
  <si>
    <t>PT E‑T‑A Indonesia</t>
  </si>
  <si>
    <t>MJB</t>
  </si>
  <si>
    <t>JP</t>
  </si>
  <si>
    <t>PT Borwita Citra Prima</t>
  </si>
  <si>
    <t>Crunchaus Salads (tenant</t>
  </si>
  <si>
    <t>Lippo Group</t>
  </si>
  <si>
    <t>Elcoblast Indonesia</t>
  </si>
  <si>
    <t>Arlindo Anugrah Sejahtera. PT</t>
  </si>
  <si>
    <t xml:space="preserve">Mulia Jaya Variasi </t>
  </si>
  <si>
    <t>BCP</t>
  </si>
  <si>
    <t>Koperasi Serba Usaha Dana Mandiri</t>
  </si>
  <si>
    <t>SMKS Bahrul Ulum Surabaya</t>
  </si>
  <si>
    <t>PT Bangun Indonesia Maju</t>
  </si>
  <si>
    <r>
      <t>PT Artha Guna Wisata</t>
    </r>
    <r>
      <rPr>
        <sz val="11"/>
        <color rgb="FF000000"/>
        <rFont val="Calibri"/>
        <family val="2"/>
      </rPr>
      <t xml:space="preserve"> (Travel Agent)</t>
    </r>
  </si>
  <si>
    <t>PT Langgeng Makmur Industri Tbk</t>
  </si>
  <si>
    <t>PT Alim Ampuh Jaya Steel</t>
  </si>
  <si>
    <r>
      <t>Anemer, PT</t>
    </r>
    <r>
      <rPr>
        <sz val="11"/>
        <color rgb="FF000000"/>
        <rFont val="Calibri"/>
        <family val="2"/>
      </rPr>
      <t xml:space="preserve"> </t>
    </r>
  </si>
  <si>
    <t>Perdagangan</t>
  </si>
  <si>
    <t>Indsutri Tambang</t>
  </si>
  <si>
    <t>Industri Listrik</t>
  </si>
  <si>
    <t>Beton dan Precast</t>
  </si>
  <si>
    <t>Distributor - Principal</t>
  </si>
  <si>
    <t>Jual</t>
  </si>
  <si>
    <t>Manufaktur</t>
  </si>
  <si>
    <t>Jasa Travel</t>
  </si>
  <si>
    <t>Graphic Design</t>
  </si>
  <si>
    <t>Perusahaan swasta (3)</t>
  </si>
  <si>
    <t>Confidental</t>
  </si>
  <si>
    <t>Kanvas Digital Indonesia</t>
  </si>
  <si>
    <t>Thrive</t>
  </si>
  <si>
    <t>Ashanty Group</t>
  </si>
  <si>
    <t>Hanmart</t>
  </si>
  <si>
    <t>PT. Excelso Multirasa</t>
  </si>
  <si>
    <t>WIKLAN</t>
  </si>
  <si>
    <t>rungkut menanggal harapan j25</t>
  </si>
  <si>
    <t>Pasar Nostalgia Bratang Lantai 2 Blok D23 Bratang Binangun Gubeng Surabaya</t>
  </si>
  <si>
    <t>Rungkut, Surabaya . Jatim</t>
  </si>
  <si>
    <t>Jl. Bratang Wetan Gg IA No 8 Surabaya</t>
  </si>
  <si>
    <t>jl bendul merisi Gg besar selatan no 54B, kec wonocolo, surabaya 60239</t>
  </si>
  <si>
    <t>Jambangan 4 no.22 Jambangan, Kec. Jambangan, Surabaya, 60232, Jawa Timur</t>
  </si>
  <si>
    <t>Retail, Franchise</t>
  </si>
  <si>
    <t>Balitecture Property</t>
  </si>
  <si>
    <t>Bank sinarmas</t>
  </si>
  <si>
    <t>Bengkel Print Indonesia</t>
  </si>
  <si>
    <t>Mampu mengikuti perkembangan teknologi informasi secara berkelanjutan.</t>
  </si>
  <si>
    <t>Memiliki dasar pemrograman yang kuat dan adaptif terhadap berbagai bahasa baru.</t>
  </si>
  <si>
    <t>Cepat beradaptasi dalam lingkungan kerja berbasis teknologi digital.</t>
  </si>
  <si>
    <t>Mampu berpikir kritis dan menyelesaikan masalah teknologi dengan efisien.</t>
  </si>
  <si>
    <t>Tidak hanya menguasai teknikal, tetapi juga mampu menyampaikan ide dengan baik.</t>
  </si>
  <si>
    <t>Mampu bekerja di bawah tekanan dengan tetap fokus pada target.</t>
  </si>
  <si>
    <t>Mau menerima kritik dan melakukan perbaikan diri secara berkelanjutan.</t>
  </si>
  <si>
    <t>Memiliki integritas dan etika kerja yang tinggi dalam pengelolaan data.</t>
  </si>
  <si>
    <t>Mampu melakukan dokumentasi teknis dengan baik.</t>
  </si>
  <si>
    <t>Bersedia belajar secara mandiri di luar jam kerja jika dibutuhkan.</t>
  </si>
  <si>
    <t>Mempunyai ketertarikan pada inovasi digital.</t>
  </si>
  <si>
    <t>Fleksibel dalam menghadapi perubahan teknologi yang cepat.</t>
  </si>
  <si>
    <t>Mampu mempelajari framework baru dengan cepat.</t>
  </si>
  <si>
    <t>Memiliki skill manajemen waktu dan tugas dengan baik.</t>
  </si>
  <si>
    <t>Sebastianus Anugrah Kristriwibowo</t>
  </si>
  <si>
    <t>Aprianto</t>
  </si>
  <si>
    <t>Eka Hirinda Zulfa</t>
  </si>
  <si>
    <t>Ferdinand Novan Christian</t>
  </si>
  <si>
    <t>Ivan Widiyanto, S.Kom</t>
  </si>
  <si>
    <t>Yuwono</t>
  </si>
  <si>
    <t>PT LEN INDUSTRI (Persero)</t>
  </si>
  <si>
    <t>Riliv</t>
  </si>
  <si>
    <t>Elektronika industri dan prasarana</t>
  </si>
  <si>
    <t>Platform kesehatan mental</t>
  </si>
  <si>
    <t>Mampu multitasking dalam proyek IT yang kompleks.</t>
  </si>
  <si>
    <t>Berorientasi pada hasil dan efisiensi kerja.</t>
  </si>
  <si>
    <t>Punya semangat inovasi dan eksperimen teknologi.</t>
  </si>
  <si>
    <t>Familiar dengan DevOps dan siklus pengembangan perangkat lunak.</t>
  </si>
  <si>
    <t>Dapat bekerja secara remote dengan produktif.</t>
  </si>
  <si>
    <t>Memiliki pengalaman magang atau proyek teknologi nyata.</t>
  </si>
  <si>
    <t>Terbiasa belajar melalui platform online seperti Coursera, Udemy, dsb.</t>
  </si>
  <si>
    <t>Menguasai komunikasi dalam Bahasa Inggris, terutama dalam konteks IT.</t>
  </si>
  <si>
    <t>Memiliki portofolio proyek yang dapat ditunjukkan.</t>
  </si>
  <si>
    <t>Mampu berpikir agile dan mengikuti metodologi scrum.</t>
  </si>
  <si>
    <t>Aktif mencari solusi inovatif untuk masalah teknologi yang ada.</t>
  </si>
  <si>
    <t>Mampu membangun relasi baik dengan tim IT maupun non-IT.</t>
  </si>
  <si>
    <t>Tidak mudah menyerah dalam menghadapi bug atau error sistem.</t>
  </si>
  <si>
    <t>Mengetahui prinsip-prinsip user experience dan interface design.</t>
  </si>
  <si>
    <t>Mampu menganalisis kebutuhan sistem dari sisi pengguna.</t>
  </si>
  <si>
    <t>Bersedia terus mengembangkan diri lewat sertifikasi profesional.</t>
  </si>
  <si>
    <t>Terbiasa membuat laporan berkala tentang hasil kerja teknis.</t>
  </si>
  <si>
    <t>Teknologi Ai</t>
  </si>
  <si>
    <t>Penggunaan teknologi informasi</t>
  </si>
  <si>
    <t>No</t>
  </si>
  <si>
    <t xml:space="preserve">Aspek Penilaian </t>
  </si>
  <si>
    <t>Hasil Penilaian 
(%)</t>
  </si>
  <si>
    <t>Responden</t>
  </si>
  <si>
    <t>Th. Lulus</t>
  </si>
  <si>
    <t>Adikrisna Pradiptya</t>
  </si>
  <si>
    <t>Rivaldi Eka Putra</t>
  </si>
  <si>
    <t>Akhmat Hidayatulloh</t>
  </si>
  <si>
    <t>Angger Lis Samsudi</t>
  </si>
  <si>
    <t>Sumardiono</t>
  </si>
  <si>
    <t>moh. khoeruddin mz</t>
  </si>
  <si>
    <t>Erwin Setiawan</t>
  </si>
  <si>
    <t>Rika Yuliastanti</t>
  </si>
  <si>
    <t>Dinas Perindustrian dan Perdagangan Kota Blitar</t>
  </si>
  <si>
    <t>PT. Sinko Prima Alloy</t>
  </si>
  <si>
    <t>PT. Tera Kreasi Semesta</t>
  </si>
  <si>
    <t>STIE Mahardika</t>
  </si>
  <si>
    <t>Instansi Pemerintahan</t>
  </si>
  <si>
    <t>Kemampuan Berkomunikasi</t>
  </si>
  <si>
    <t>Rezza Bagus Afif Amana</t>
  </si>
  <si>
    <t>Aris Yudha</t>
  </si>
  <si>
    <t>Urban Azkarq Tirtha</t>
  </si>
  <si>
    <t>PT DIANSARI PURI PLASTINDO</t>
  </si>
  <si>
    <t>Surabaya dan Gresik</t>
  </si>
  <si>
    <t>Dyahwike</t>
  </si>
  <si>
    <t>PT BERDIKARI MEUBEL NUSANTARA</t>
  </si>
  <si>
    <t xml:space="preserve">Cornelius waris triwijayanto
</t>
  </si>
  <si>
    <t>Edward Soenarjo</t>
  </si>
  <si>
    <t>PT Diansari Puri Plastindo</t>
  </si>
  <si>
    <t>Starkgarage</t>
  </si>
  <si>
    <t>Febi Wulan</t>
  </si>
  <si>
    <t>Cantika Serojawati</t>
  </si>
  <si>
    <t>Nurulita</t>
  </si>
  <si>
    <t>PT. Solusi Mahkota Dental</t>
  </si>
  <si>
    <t>PT. Lintas Samudra Jaya</t>
  </si>
  <si>
    <t>PT Seribu Satu Rasa</t>
  </si>
  <si>
    <t>Guruh Putra Gunung</t>
  </si>
  <si>
    <t>Afrillya Ayu A</t>
  </si>
  <si>
    <t>Arief Esha Nugroho</t>
  </si>
  <si>
    <t>Industri, Jasa, Perdagangan/Bisnis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</si>
</sst>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sz val="11"/>
      <color rgb="FF000000"/>
      <name val="Arial Narrow"/>
      <family val="2"/>
    </font>
    <font>
      <b/>
      <sz val="11"/>
      <color rgb="FF000000"/>
      <name val="Arial Narrow"/>
      <family val="2"/>
    </font>
    <font>
      <u/>
      <sz val="11"/>
      <color rgb="FF0563C1"/>
      <name val="Arial Narrow"/>
      <family val="2"/>
    </font>
    <font>
      <b/>
      <sz val="18"/>
      <color theme="1"/>
      <name val="Calibri"/>
      <family val="2"/>
      <scheme val="minor"/>
    </font>
    <font>
      <b/>
      <sz val="10"/>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
      <sz val="10"/>
      <color theme="1"/>
      <name val="Arial"/>
      <family val="2"/>
    </font>
    <font>
      <i/>
      <sz val="11"/>
      <color theme="1"/>
      <name val="Calibri"/>
      <family val="2"/>
      <scheme val="minor"/>
    </font>
    <font>
      <b/>
      <sz val="22"/>
      <color theme="1"/>
      <name val="Calibri"/>
      <family val="2"/>
      <scheme val="minor"/>
    </font>
    <font>
      <sz val="11"/>
      <color rgb="FF000000"/>
      <name val="Calibri"/>
      <family val="2"/>
    </font>
    <font>
      <sz val="11"/>
      <color theme="1"/>
      <name val="Calibri"/>
      <family val="2"/>
      <scheme val="minor"/>
    </font>
    <font>
      <sz val="11"/>
      <color rgb="FFFF0000"/>
      <name val="Calibri"/>
      <family val="2"/>
      <scheme val="minor"/>
    </font>
    <font>
      <b/>
      <sz val="11"/>
      <color rgb="FFFF0000"/>
      <name val="Calibri"/>
      <family val="2"/>
      <scheme val="minor"/>
    </font>
    <font>
      <sz val="10"/>
      <color theme="1"/>
      <name val="Calibri"/>
      <family val="2"/>
      <scheme val="minor"/>
    </font>
    <font>
      <sz val="9"/>
      <color theme="1"/>
      <name val="Calibri"/>
      <family val="2"/>
      <scheme val="minor"/>
    </font>
  </fonts>
  <fills count="29">
    <fill>
      <patternFill patternType="none"/>
    </fill>
    <fill>
      <patternFill patternType="gray125"/>
    </fill>
    <fill>
      <patternFill patternType="solid">
        <fgColor rgb="FFBFBFBF"/>
        <bgColor rgb="FFBFBFBF"/>
      </patternFill>
    </fill>
    <fill>
      <patternFill patternType="solid">
        <fgColor rgb="FFBDD6EE"/>
        <bgColor rgb="FFBDD6EE"/>
      </patternFill>
    </fill>
    <fill>
      <patternFill patternType="solid">
        <fgColor rgb="FFFBE4D5"/>
        <bgColor rgb="FFFBE4D5"/>
      </patternFill>
    </fill>
    <fill>
      <patternFill patternType="solid">
        <fgColor rgb="FFFFD965"/>
        <bgColor rgb="FFFFD965"/>
      </patternFill>
    </fill>
    <fill>
      <patternFill patternType="solid">
        <fgColor rgb="FF8EAADB"/>
        <bgColor rgb="FF8EAADB"/>
      </patternFill>
    </fill>
    <fill>
      <patternFill patternType="solid">
        <fgColor rgb="FFC5E0B3"/>
        <bgColor rgb="FFC5E0B3"/>
      </patternFill>
    </fill>
    <fill>
      <patternFill patternType="solid">
        <fgColor rgb="FFFFC000"/>
        <bgColor rgb="FFFFC000"/>
      </patternFill>
    </fill>
    <fill>
      <patternFill patternType="solid">
        <fgColor rgb="FF00B0F0"/>
        <bgColor rgb="FF00B0F0"/>
      </patternFill>
    </fill>
    <fill>
      <patternFill patternType="solid">
        <fgColor rgb="FF92D050"/>
        <bgColor rgb="FF92D050"/>
      </patternFill>
    </fill>
    <fill>
      <patternFill patternType="solid">
        <fgColor rgb="FFFF9999"/>
        <bgColor rgb="FFFF9999"/>
      </patternFill>
    </fill>
    <fill>
      <patternFill patternType="solid">
        <fgColor rgb="FFBF9000"/>
        <bgColor rgb="FFBF9000"/>
      </patternFill>
    </fill>
    <fill>
      <patternFill patternType="solid">
        <fgColor rgb="FFF4B083"/>
        <bgColor rgb="FFF4B083"/>
      </patternFill>
    </fill>
    <fill>
      <patternFill patternType="solid">
        <fgColor rgb="FF9CC2E5"/>
        <bgColor rgb="FF9CC2E5"/>
      </patternFill>
    </fill>
    <fill>
      <patternFill patternType="solid">
        <fgColor theme="8" tint="0.79998168889431442"/>
        <bgColor theme="8" tint="0.79998168889431442"/>
      </patternFill>
    </fill>
    <fill>
      <patternFill patternType="solid">
        <fgColor rgb="FFFFFF00"/>
        <bgColor rgb="FFFFFF00"/>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8DB3E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1" tint="4.9989318521683403E-2"/>
        <bgColor indexed="64"/>
      </patternFill>
    </fill>
    <fill>
      <patternFill patternType="solid">
        <fgColor theme="1"/>
        <bgColor indexed="64"/>
      </patternFill>
    </fill>
    <fill>
      <patternFill patternType="solid">
        <fgColor rgb="FFD9E7FD"/>
        <bgColor indexed="64"/>
      </patternFill>
    </fill>
    <fill>
      <patternFill patternType="solid">
        <fgColor theme="9"/>
        <bgColor indexed="64"/>
      </patternFill>
    </fill>
    <fill>
      <patternFill patternType="solid">
        <fgColor theme="0"/>
        <bgColor indexed="64"/>
      </patternFill>
    </fill>
    <fill>
      <patternFill patternType="gray125">
        <bgColor theme="3" tint="0.59999389629810485"/>
      </patternFill>
    </fill>
    <fill>
      <patternFill patternType="gray125">
        <bgColor rgb="FFD9D9D9"/>
      </patternFill>
    </fill>
  </fills>
  <borders count="4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top style="thin">
        <color rgb="FF000000"/>
      </top>
      <bottom style="thin">
        <color theme="4" tint="0.39997558519241921"/>
      </bottom>
      <diagonal/>
    </border>
    <border>
      <left/>
      <right/>
      <top/>
      <bottom style="thin">
        <color rgb="FF000000"/>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theme="4" tint="0.39997558519241921"/>
      </right>
      <top style="thin">
        <color rgb="FF000000"/>
      </top>
      <bottom style="thin">
        <color rgb="FF000000"/>
      </bottom>
      <diagonal/>
    </border>
    <border>
      <left style="thin">
        <color rgb="FF000000"/>
      </left>
      <right style="thin">
        <color theme="4" tint="0.39997558519241921"/>
      </right>
      <top/>
      <bottom style="thin">
        <color rgb="FF000000"/>
      </bottom>
      <diagonal/>
    </border>
    <border>
      <left style="medium">
        <color rgb="FFCCCCCC"/>
      </left>
      <right style="medium">
        <color rgb="FFCCCCCC"/>
      </right>
      <top style="medium">
        <color rgb="FFCCCCCC"/>
      </top>
      <bottom style="medium">
        <color rgb="FFCCCCCC"/>
      </bottom>
      <diagonal/>
    </border>
    <border>
      <left/>
      <right style="thin">
        <color auto="1"/>
      </right>
      <top style="thin">
        <color auto="1"/>
      </top>
      <bottom style="thin">
        <color auto="1"/>
      </bottom>
      <diagonal/>
    </border>
    <border>
      <left style="medium">
        <color rgb="FFCCCCCC"/>
      </left>
      <right/>
      <top style="medium">
        <color rgb="FFCCCCCC"/>
      </top>
      <bottom style="medium">
        <color rgb="FFCCCCCC"/>
      </bottom>
      <diagonal/>
    </border>
    <border>
      <left style="thin">
        <color rgb="FF000000"/>
      </left>
      <right style="thin">
        <color rgb="FF000000"/>
      </right>
      <top style="thin">
        <color theme="1"/>
      </top>
      <bottom style="thin">
        <color theme="4" tint="0.39997558519241921"/>
      </bottom>
      <diagonal/>
    </border>
    <border>
      <left style="thin">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medium">
        <color rgb="FFCCCCCC"/>
      </left>
      <right style="medium">
        <color rgb="FFCCCCCC"/>
      </right>
      <top style="medium">
        <color rgb="FFCCCCCC"/>
      </top>
      <bottom style="medium">
        <color rgb="FF8CB5F9"/>
      </bottom>
      <diagonal/>
    </border>
    <border>
      <left style="medium">
        <color rgb="FFCCCCCC"/>
      </left>
      <right style="medium">
        <color rgb="FFCCCCCC"/>
      </right>
      <top style="medium">
        <color rgb="FFCCCCCC"/>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
    <xf numFmtId="0" fontId="0" fillId="0" borderId="0"/>
    <xf numFmtId="0" fontId="6" fillId="0" borderId="0" applyNumberFormat="0" applyFill="0" applyBorder="0" applyAlignment="0" applyProtection="0"/>
    <xf numFmtId="0" fontId="12" fillId="0" borderId="0"/>
    <xf numFmtId="9" fontId="13" fillId="0" borderId="0" applyFont="0" applyFill="0" applyBorder="0" applyAlignment="0" applyProtection="0"/>
  </cellStyleXfs>
  <cellXfs count="247">
    <xf numFmtId="0" fontId="0" fillId="0" borderId="0" xfId="0"/>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2" borderId="4" xfId="0" applyFont="1" applyFill="1" applyBorder="1" applyAlignment="1">
      <alignment horizontal="left" vertical="center" wrapText="1"/>
    </xf>
    <xf numFmtId="0" fontId="1" fillId="2" borderId="4" xfId="0" quotePrefix="1"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14" borderId="4" xfId="0" applyFont="1" applyFill="1" applyBorder="1" applyAlignment="1">
      <alignment horizontal="left" vertical="center" wrapText="1"/>
    </xf>
    <xf numFmtId="0" fontId="1" fillId="14"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6" xfId="0" quotePrefix="1"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3" borderId="6"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1" fillId="14" borderId="6" xfId="0" applyFont="1" applyFill="1" applyBorder="1" applyAlignment="1">
      <alignment horizontal="left" vertical="center" wrapText="1"/>
    </xf>
    <xf numFmtId="0" fontId="1" fillId="14" borderId="7"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1" fillId="14" borderId="0" xfId="0" applyFont="1" applyFill="1" applyAlignment="1">
      <alignment horizontal="left" vertical="center" wrapText="1"/>
    </xf>
    <xf numFmtId="0" fontId="2" fillId="0" borderId="9" xfId="0" applyFont="1" applyBorder="1" applyAlignment="1">
      <alignment horizontal="center" vertical="center"/>
    </xf>
    <xf numFmtId="0" fontId="2" fillId="0" borderId="9" xfId="0" applyFont="1" applyBorder="1" applyAlignment="1">
      <alignment horizontal="center"/>
    </xf>
    <xf numFmtId="0" fontId="2" fillId="0" borderId="3" xfId="0" applyFont="1" applyBorder="1" applyAlignment="1">
      <alignment horizontal="center" vertical="center"/>
    </xf>
    <xf numFmtId="164" fontId="0" fillId="0" borderId="3" xfId="0" applyNumberFormat="1" applyBorder="1" applyAlignment="1">
      <alignment horizontal="center"/>
    </xf>
    <xf numFmtId="164" fontId="0" fillId="0" borderId="10" xfId="0" applyNumberFormat="1" applyBorder="1" applyAlignment="1">
      <alignment horizontal="center"/>
    </xf>
    <xf numFmtId="0" fontId="1" fillId="0" borderId="3" xfId="0" applyFont="1" applyBorder="1" applyAlignment="1">
      <alignment horizontal="center"/>
    </xf>
    <xf numFmtId="164" fontId="1" fillId="16" borderId="3" xfId="0" applyNumberFormat="1" applyFont="1" applyFill="1" applyBorder="1" applyAlignment="1">
      <alignment horizontal="center"/>
    </xf>
    <xf numFmtId="10" fontId="1" fillId="8" borderId="10" xfId="0" applyNumberFormat="1" applyFont="1" applyFill="1" applyBorder="1" applyAlignment="1">
      <alignment horizontal="center"/>
    </xf>
    <xf numFmtId="0" fontId="4" fillId="0" borderId="0" xfId="0" applyFont="1"/>
    <xf numFmtId="0" fontId="1" fillId="15" borderId="11" xfId="0" applyFont="1" applyFill="1" applyBorder="1" applyAlignment="1">
      <alignment horizontal="center" vertical="center" wrapText="1"/>
    </xf>
    <xf numFmtId="0" fontId="1" fillId="0" borderId="11" xfId="0" applyFont="1" applyBorder="1" applyAlignment="1">
      <alignment horizontal="center" vertical="center"/>
    </xf>
    <xf numFmtId="9" fontId="0" fillId="0" borderId="3" xfId="0" applyNumberFormat="1" applyBorder="1" applyAlignment="1">
      <alignment horizontal="center"/>
    </xf>
    <xf numFmtId="0" fontId="1" fillId="0" borderId="12" xfId="0" applyFont="1" applyBorder="1" applyAlignment="1">
      <alignment horizontal="center"/>
    </xf>
    <xf numFmtId="164" fontId="1" fillId="16" borderId="12" xfId="0" applyNumberFormat="1" applyFont="1" applyFill="1" applyBorder="1" applyAlignment="1">
      <alignment horizontal="center"/>
    </xf>
    <xf numFmtId="0" fontId="1" fillId="15" borderId="13" xfId="0" applyFont="1" applyFill="1" applyBorder="1" applyAlignment="1">
      <alignment horizontal="center" vertical="center" wrapText="1"/>
    </xf>
    <xf numFmtId="0" fontId="1" fillId="0" borderId="13" xfId="0" applyFont="1" applyBorder="1" applyAlignment="1">
      <alignment horizontal="center" vertical="center"/>
    </xf>
    <xf numFmtId="0" fontId="0" fillId="18" borderId="14" xfId="0" applyFill="1" applyBorder="1" applyAlignment="1">
      <alignment horizontal="center"/>
    </xf>
    <xf numFmtId="0" fontId="5" fillId="19" borderId="11" xfId="0" applyFont="1" applyFill="1" applyBorder="1" applyAlignment="1">
      <alignment horizontal="center" vertical="center" wrapText="1"/>
    </xf>
    <xf numFmtId="0" fontId="0" fillId="18" borderId="15" xfId="0" applyFill="1" applyBorder="1" applyAlignment="1">
      <alignment horizontal="center"/>
    </xf>
    <xf numFmtId="0" fontId="0" fillId="18" borderId="16" xfId="0" applyFill="1" applyBorder="1" applyAlignment="1">
      <alignment horizontal="center"/>
    </xf>
    <xf numFmtId="0" fontId="0" fillId="0" borderId="17" xfId="0" applyBorder="1"/>
    <xf numFmtId="0" fontId="0" fillId="0" borderId="18" xfId="0" applyBorder="1"/>
    <xf numFmtId="164" fontId="0" fillId="0" borderId="12" xfId="0" applyNumberFormat="1" applyBorder="1" applyAlignment="1">
      <alignment horizontal="center"/>
    </xf>
    <xf numFmtId="164" fontId="0" fillId="0" borderId="19" xfId="0" applyNumberFormat="1" applyBorder="1" applyAlignment="1">
      <alignment horizontal="center"/>
    </xf>
    <xf numFmtId="0" fontId="0" fillId="0" borderId="20" xfId="0" applyBorder="1" applyAlignment="1">
      <alignment horizontal="right"/>
    </xf>
    <xf numFmtId="0" fontId="0" fillId="0" borderId="18" xfId="0" applyBorder="1" applyAlignment="1">
      <alignment horizontal="right"/>
    </xf>
    <xf numFmtId="164" fontId="7" fillId="0" borderId="9" xfId="0" applyNumberFormat="1" applyFont="1" applyBorder="1" applyAlignment="1">
      <alignment horizontal="center"/>
    </xf>
    <xf numFmtId="164" fontId="7" fillId="0" borderId="12" xfId="0" applyNumberFormat="1" applyFont="1" applyBorder="1" applyAlignment="1">
      <alignment horizontal="center"/>
    </xf>
    <xf numFmtId="0" fontId="1" fillId="15" borderId="4" xfId="0" applyFont="1" applyFill="1" applyBorder="1" applyAlignment="1">
      <alignment horizontal="center" vertical="center" wrapText="1"/>
    </xf>
    <xf numFmtId="164" fontId="7" fillId="0" borderId="21" xfId="0" applyNumberFormat="1" applyFont="1" applyBorder="1" applyAlignment="1">
      <alignment horizontal="center"/>
    </xf>
    <xf numFmtId="164" fontId="7" fillId="0" borderId="19" xfId="0" applyNumberFormat="1" applyFont="1" applyBorder="1" applyAlignment="1">
      <alignment horizontal="center"/>
    </xf>
    <xf numFmtId="0" fontId="1" fillId="0" borderId="11" xfId="0" applyFont="1" applyBorder="1" applyAlignment="1">
      <alignment horizontal="center" vertical="center" wrapText="1"/>
    </xf>
    <xf numFmtId="0" fontId="1" fillId="20" borderId="4" xfId="0" applyFont="1" applyFill="1" applyBorder="1" applyAlignment="1">
      <alignment horizontal="center" vertical="center" wrapText="1"/>
    </xf>
    <xf numFmtId="0" fontId="3" fillId="2" borderId="4" xfId="1" applyFont="1" applyFill="1" applyBorder="1" applyAlignment="1">
      <alignment horizontal="center" vertical="center" wrapText="1"/>
    </xf>
    <xf numFmtId="0" fontId="1" fillId="13" borderId="4" xfId="0" quotePrefix="1" applyFont="1" applyFill="1" applyBorder="1" applyAlignment="1">
      <alignment horizontal="center" vertical="center" wrapText="1"/>
    </xf>
    <xf numFmtId="0" fontId="1" fillId="14" borderId="3" xfId="0" applyFont="1" applyFill="1" applyBorder="1" applyAlignment="1">
      <alignment horizontal="left" vertical="center" wrapText="1"/>
    </xf>
    <xf numFmtId="0" fontId="1" fillId="20" borderId="4"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1" fillId="2" borderId="23" xfId="0" quotePrefix="1" applyFont="1" applyFill="1" applyBorder="1" applyAlignment="1">
      <alignment horizontal="center" vertical="center" wrapText="1"/>
    </xf>
    <xf numFmtId="0" fontId="3" fillId="2" borderId="23"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4" borderId="23"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7" borderId="23" xfId="0" applyFont="1" applyFill="1" applyBorder="1" applyAlignment="1">
      <alignment horizontal="center" vertical="center" wrapText="1"/>
    </xf>
    <xf numFmtId="0" fontId="1" fillId="8" borderId="23" xfId="0" applyFont="1" applyFill="1" applyBorder="1" applyAlignment="1">
      <alignment horizontal="center" vertical="center" wrapText="1"/>
    </xf>
    <xf numFmtId="0" fontId="1" fillId="9" borderId="23"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1" fillId="12" borderId="23" xfId="0" applyFont="1" applyFill="1" applyBorder="1" applyAlignment="1">
      <alignment horizontal="center" vertical="center" wrapText="1"/>
    </xf>
    <xf numFmtId="0" fontId="1" fillId="13" borderId="23" xfId="0" applyFont="1" applyFill="1" applyBorder="1" applyAlignment="1">
      <alignment horizontal="center" vertical="center" wrapText="1"/>
    </xf>
    <xf numFmtId="0" fontId="1" fillId="14" borderId="23" xfId="0" applyFont="1" applyFill="1" applyBorder="1" applyAlignment="1">
      <alignment horizontal="center" vertical="center" wrapText="1"/>
    </xf>
    <xf numFmtId="0" fontId="1" fillId="14" borderId="23" xfId="0" applyFont="1" applyFill="1" applyBorder="1" applyAlignment="1">
      <alignment horizontal="left" vertical="center" wrapText="1"/>
    </xf>
    <xf numFmtId="0" fontId="1" fillId="14" borderId="24" xfId="0" applyFont="1" applyFill="1" applyBorder="1" applyAlignment="1">
      <alignment horizontal="left" vertical="center" wrapText="1"/>
    </xf>
    <xf numFmtId="0" fontId="1" fillId="14" borderId="24" xfId="0" quotePrefix="1" applyFont="1" applyFill="1" applyBorder="1" applyAlignment="1">
      <alignment horizontal="left" vertical="center" wrapText="1"/>
    </xf>
    <xf numFmtId="0" fontId="1" fillId="14" borderId="25" xfId="0" applyFont="1" applyFill="1" applyBorder="1" applyAlignment="1">
      <alignment horizontal="left" vertical="center" wrapText="1"/>
    </xf>
    <xf numFmtId="0" fontId="2" fillId="14" borderId="22" xfId="0" applyFont="1" applyFill="1" applyBorder="1" applyAlignment="1">
      <alignment horizontal="center" vertical="center" wrapText="1"/>
    </xf>
    <xf numFmtId="0" fontId="1" fillId="0" borderId="22"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center"/>
    </xf>
    <xf numFmtId="0" fontId="0" fillId="0" borderId="3" xfId="0" applyBorder="1" applyAlignment="1">
      <alignment horizontal="center"/>
    </xf>
    <xf numFmtId="0" fontId="0" fillId="0" borderId="3" xfId="0" applyBorder="1"/>
    <xf numFmtId="0" fontId="7" fillId="0" borderId="0" xfId="0" applyFont="1" applyAlignment="1">
      <alignment horizontal="center"/>
    </xf>
    <xf numFmtId="0" fontId="7" fillId="0" borderId="0" xfId="0" applyFont="1" applyAlignment="1">
      <alignment horizontal="center" vertical="center"/>
    </xf>
    <xf numFmtId="0" fontId="9" fillId="0" borderId="26" xfId="0" applyFont="1" applyBorder="1" applyAlignment="1">
      <alignment vertical="center" wrapText="1"/>
    </xf>
    <xf numFmtId="0" fontId="0" fillId="0" borderId="3" xfId="0" applyBorder="1" applyAlignment="1">
      <alignment horizontal="center" vertical="center"/>
    </xf>
    <xf numFmtId="0" fontId="0" fillId="0" borderId="0" xfId="0" applyAlignment="1">
      <alignment vertical="center"/>
    </xf>
    <xf numFmtId="0" fontId="0" fillId="0" borderId="27" xfId="0" applyBorder="1" applyAlignment="1">
      <alignment horizontal="center" vertical="center"/>
    </xf>
    <xf numFmtId="0" fontId="0" fillId="0" borderId="27" xfId="0" applyBorder="1" applyAlignment="1">
      <alignment horizontal="center"/>
    </xf>
    <xf numFmtId="0" fontId="9" fillId="0" borderId="3" xfId="0" applyFont="1" applyBorder="1" applyAlignment="1">
      <alignment horizontal="center" vertical="center" wrapText="1"/>
    </xf>
    <xf numFmtId="0" fontId="9" fillId="0" borderId="28" xfId="0" applyFont="1" applyBorder="1" applyAlignment="1">
      <alignment vertical="center" wrapText="1"/>
    </xf>
    <xf numFmtId="0" fontId="0" fillId="0" borderId="0" xfId="0" applyAlignment="1">
      <alignment horizontal="center" vertical="center"/>
    </xf>
    <xf numFmtId="0" fontId="0" fillId="0" borderId="3" xfId="0" applyBorder="1" applyAlignment="1">
      <alignment vertical="center" wrapText="1"/>
    </xf>
    <xf numFmtId="0" fontId="0" fillId="0" borderId="27" xfId="0" applyBorder="1" applyAlignment="1">
      <alignment horizontal="center" vertical="center" wrapText="1"/>
    </xf>
    <xf numFmtId="0" fontId="1" fillId="0" borderId="29" xfId="0" applyFont="1" applyBorder="1" applyAlignment="1">
      <alignment horizontal="center" vertical="center" wrapText="1"/>
    </xf>
    <xf numFmtId="0" fontId="6" fillId="2" borderId="4" xfId="1" applyFill="1" applyBorder="1" applyAlignment="1">
      <alignment horizontal="center" vertical="center" wrapText="1"/>
    </xf>
    <xf numFmtId="0" fontId="0" fillId="21" borderId="3" xfId="0" applyFill="1" applyBorder="1" applyAlignment="1">
      <alignment horizontal="center"/>
    </xf>
    <xf numFmtId="0" fontId="1" fillId="20" borderId="1" xfId="0" applyFont="1" applyFill="1" applyBorder="1" applyAlignment="1">
      <alignment horizontal="center" vertical="center" wrapText="1"/>
    </xf>
    <xf numFmtId="0" fontId="1" fillId="2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14" borderId="2" xfId="0" applyFont="1" applyFill="1" applyBorder="1" applyAlignment="1">
      <alignment horizontal="left" vertical="center" wrapText="1"/>
    </xf>
    <xf numFmtId="0" fontId="1" fillId="20" borderId="0" xfId="0" applyFont="1" applyFill="1" applyAlignment="1">
      <alignment horizontal="center" vertical="center" wrapText="1"/>
    </xf>
    <xf numFmtId="0" fontId="1" fillId="20"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12" borderId="0" xfId="0" applyFont="1" applyFill="1" applyAlignment="1">
      <alignment horizontal="center" vertical="center" wrapText="1"/>
    </xf>
    <xf numFmtId="0" fontId="1" fillId="13" borderId="0" xfId="0" applyFont="1" applyFill="1" applyAlignment="1">
      <alignment horizontal="center" vertical="center" wrapText="1"/>
    </xf>
    <xf numFmtId="0" fontId="1" fillId="14" borderId="0" xfId="0" applyFont="1" applyFill="1" applyAlignment="1">
      <alignment horizontal="center" vertical="center" wrapText="1"/>
    </xf>
    <xf numFmtId="0" fontId="1" fillId="2" borderId="0" xfId="0" quotePrefix="1" applyFont="1" applyFill="1" applyAlignment="1">
      <alignment horizontal="center" vertical="center" wrapText="1"/>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1" fontId="0" fillId="0" borderId="3" xfId="0" applyNumberFormat="1" applyBorder="1" applyAlignment="1">
      <alignment horizontal="center"/>
    </xf>
    <xf numFmtId="0" fontId="9" fillId="0" borderId="26" xfId="0" applyFont="1" applyBorder="1" applyAlignment="1">
      <alignment wrapText="1"/>
    </xf>
    <xf numFmtId="0" fontId="0" fillId="0" borderId="30" xfId="0" applyBorder="1" applyAlignment="1">
      <alignment horizontal="center"/>
    </xf>
    <xf numFmtId="0" fontId="9" fillId="0" borderId="0" xfId="0" applyFont="1"/>
    <xf numFmtId="0" fontId="7" fillId="22" borderId="0" xfId="0" applyFont="1" applyFill="1" applyAlignment="1">
      <alignment horizontal="center" vertical="center"/>
    </xf>
    <xf numFmtId="0" fontId="0" fillId="22" borderId="0" xfId="0" applyFill="1"/>
    <xf numFmtId="0" fontId="7" fillId="22" borderId="0" xfId="0" applyFont="1" applyFill="1" applyAlignment="1">
      <alignment horizontal="center"/>
    </xf>
    <xf numFmtId="0" fontId="7" fillId="0" borderId="20" xfId="0" applyFont="1" applyBorder="1" applyAlignment="1">
      <alignment horizontal="center" vertical="center"/>
    </xf>
    <xf numFmtId="0" fontId="2" fillId="0" borderId="21" xfId="0" applyFont="1" applyBorder="1" applyAlignment="1">
      <alignment horizontal="center"/>
    </xf>
    <xf numFmtId="0" fontId="2" fillId="0" borderId="17" xfId="0" applyFont="1" applyBorder="1" applyAlignment="1">
      <alignment horizontal="center" vertical="center"/>
    </xf>
    <xf numFmtId="9" fontId="0" fillId="0" borderId="3" xfId="0" applyNumberFormat="1" applyBorder="1" applyAlignment="1">
      <alignment horizontal="center" vertical="center"/>
    </xf>
    <xf numFmtId="0" fontId="1" fillId="21" borderId="17" xfId="0" applyFont="1" applyFill="1" applyBorder="1" applyAlignment="1">
      <alignment horizontal="center"/>
    </xf>
    <xf numFmtId="0" fontId="2" fillId="21" borderId="17" xfId="0" applyFont="1" applyFill="1" applyBorder="1" applyAlignment="1">
      <alignment horizontal="center" vertical="center"/>
    </xf>
    <xf numFmtId="0" fontId="2" fillId="0" borderId="17" xfId="0" applyFont="1" applyBorder="1" applyAlignment="1">
      <alignment horizontal="center"/>
    </xf>
    <xf numFmtId="0" fontId="7" fillId="21" borderId="18" xfId="0" applyFont="1" applyFill="1" applyBorder="1" applyAlignment="1">
      <alignment horizontal="center" vertical="center"/>
    </xf>
    <xf numFmtId="10" fontId="1" fillId="8" borderId="19" xfId="0" applyNumberFormat="1" applyFont="1" applyFill="1" applyBorder="1" applyAlignment="1">
      <alignment horizontal="center"/>
    </xf>
    <xf numFmtId="0" fontId="7" fillId="23" borderId="0" xfId="0" applyFont="1" applyFill="1" applyAlignment="1">
      <alignment horizontal="center" vertical="center"/>
    </xf>
    <xf numFmtId="0" fontId="0" fillId="23" borderId="0" xfId="0" applyFill="1"/>
    <xf numFmtId="0" fontId="7" fillId="23" borderId="0" xfId="0" applyFont="1" applyFill="1" applyAlignment="1">
      <alignment horizontal="center"/>
    </xf>
    <xf numFmtId="0" fontId="9" fillId="0" borderId="37" xfId="0" applyFont="1" applyBorder="1" applyAlignment="1">
      <alignment wrapText="1"/>
    </xf>
    <xf numFmtId="0" fontId="9" fillId="24" borderId="37" xfId="0" applyFont="1" applyFill="1" applyBorder="1" applyAlignment="1">
      <alignment wrapText="1"/>
    </xf>
    <xf numFmtId="0" fontId="9" fillId="0" borderId="26" xfId="0" applyFont="1" applyBorder="1" applyAlignment="1">
      <alignment vertical="center"/>
    </xf>
    <xf numFmtId="0" fontId="0" fillId="17" borderId="11" xfId="0" applyFill="1" applyBorder="1" applyAlignment="1">
      <alignment horizontal="center" vertical="center" wrapText="1"/>
    </xf>
    <xf numFmtId="0" fontId="9" fillId="0" borderId="38" xfId="0" applyFont="1" applyBorder="1" applyAlignment="1">
      <alignment wrapText="1"/>
    </xf>
    <xf numFmtId="9" fontId="1" fillId="16" borderId="3" xfId="0" applyNumberFormat="1" applyFont="1" applyFill="1" applyBorder="1" applyAlignment="1">
      <alignment horizontal="center"/>
    </xf>
    <xf numFmtId="0" fontId="9" fillId="24" borderId="26" xfId="0" applyFont="1" applyFill="1" applyBorder="1" applyAlignment="1">
      <alignment wrapText="1"/>
    </xf>
    <xf numFmtId="9" fontId="0" fillId="0" borderId="12" xfId="0" applyNumberFormat="1" applyBorder="1" applyAlignment="1">
      <alignment horizontal="center"/>
    </xf>
    <xf numFmtId="0" fontId="7" fillId="0" borderId="39" xfId="0" applyFont="1" applyBorder="1" applyAlignment="1">
      <alignment horizontal="center" vertical="center"/>
    </xf>
    <xf numFmtId="0" fontId="9" fillId="0" borderId="0" xfId="0" applyFont="1" applyAlignment="1">
      <alignment wrapText="1"/>
    </xf>
    <xf numFmtId="10" fontId="0" fillId="0" borderId="3" xfId="0" applyNumberFormat="1" applyBorder="1" applyAlignment="1">
      <alignment horizontal="center" vertical="center"/>
    </xf>
    <xf numFmtId="0" fontId="9" fillId="0" borderId="0" xfId="0" applyFont="1" applyAlignment="1">
      <alignment horizontal="center" vertical="center" wrapText="1"/>
    </xf>
    <xf numFmtId="9" fontId="7" fillId="0" borderId="9" xfId="0" applyNumberFormat="1" applyFont="1" applyBorder="1" applyAlignment="1">
      <alignment horizontal="center"/>
    </xf>
    <xf numFmtId="9" fontId="7" fillId="0" borderId="21" xfId="0" applyNumberFormat="1" applyFont="1" applyBorder="1" applyAlignment="1">
      <alignment horizontal="center"/>
    </xf>
    <xf numFmtId="9" fontId="7" fillId="0" borderId="12" xfId="0" applyNumberFormat="1" applyFont="1" applyBorder="1" applyAlignment="1">
      <alignment horizontal="center"/>
    </xf>
    <xf numFmtId="9" fontId="7" fillId="0" borderId="19" xfId="0" applyNumberFormat="1" applyFont="1" applyBorder="1" applyAlignment="1">
      <alignment horizontal="center"/>
    </xf>
    <xf numFmtId="9" fontId="0" fillId="0" borderId="0" xfId="0" applyNumberFormat="1"/>
    <xf numFmtId="9" fontId="0" fillId="0" borderId="17" xfId="0" applyNumberFormat="1" applyBorder="1"/>
    <xf numFmtId="9" fontId="0" fillId="0" borderId="18" xfId="0" applyNumberFormat="1" applyBorder="1"/>
    <xf numFmtId="9" fontId="0" fillId="0" borderId="20" xfId="0" applyNumberFormat="1" applyBorder="1" applyAlignment="1">
      <alignment horizontal="right"/>
    </xf>
    <xf numFmtId="9" fontId="0" fillId="0" borderId="18" xfId="0" applyNumberFormat="1" applyBorder="1" applyAlignment="1">
      <alignment horizontal="right"/>
    </xf>
    <xf numFmtId="0" fontId="0" fillId="25" borderId="17" xfId="0" applyFill="1" applyBorder="1"/>
    <xf numFmtId="164" fontId="0" fillId="25" borderId="3" xfId="0" applyNumberFormat="1" applyFill="1" applyBorder="1" applyAlignment="1">
      <alignment horizontal="center"/>
    </xf>
    <xf numFmtId="164" fontId="0" fillId="25" borderId="10" xfId="0" applyNumberFormat="1" applyFill="1" applyBorder="1" applyAlignment="1">
      <alignment horizontal="center"/>
    </xf>
    <xf numFmtId="0" fontId="0" fillId="0" borderId="40" xfId="0" applyBorder="1"/>
    <xf numFmtId="0" fontId="12" fillId="0" borderId="0" xfId="0" applyFont="1"/>
    <xf numFmtId="0" fontId="12" fillId="0" borderId="0" xfId="2"/>
    <xf numFmtId="0" fontId="12" fillId="0" borderId="40" xfId="2" applyBorder="1"/>
    <xf numFmtId="0" fontId="0" fillId="0" borderId="0" xfId="0" applyAlignment="1">
      <alignment wrapText="1"/>
    </xf>
    <xf numFmtId="0" fontId="7" fillId="26" borderId="0" xfId="0" applyFont="1" applyFill="1" applyAlignment="1">
      <alignment horizontal="center" vertical="center"/>
    </xf>
    <xf numFmtId="0" fontId="0" fillId="26" borderId="0" xfId="0" applyFill="1"/>
    <xf numFmtId="0" fontId="7" fillId="26" borderId="0" xfId="0" applyFont="1" applyFill="1" applyAlignment="1">
      <alignment horizontal="center"/>
    </xf>
    <xf numFmtId="0" fontId="15" fillId="23" borderId="0" xfId="0" applyFont="1" applyFill="1" applyAlignment="1">
      <alignment horizontal="center" vertical="center"/>
    </xf>
    <xf numFmtId="0" fontId="14" fillId="23" borderId="0" xfId="0" applyFont="1" applyFill="1"/>
    <xf numFmtId="0" fontId="15" fillId="23" borderId="0" xfId="0" applyFont="1" applyFill="1" applyAlignment="1">
      <alignment horizontal="center"/>
    </xf>
    <xf numFmtId="0" fontId="13" fillId="0" borderId="0" xfId="0" applyFont="1"/>
    <xf numFmtId="0" fontId="16" fillId="0" borderId="3" xfId="0" applyFont="1" applyBorder="1" applyAlignment="1">
      <alignment horizontal="center" vertical="center" wrapText="1"/>
    </xf>
    <xf numFmtId="0" fontId="16" fillId="0" borderId="3" xfId="0" applyFont="1" applyBorder="1" applyAlignment="1">
      <alignment vertical="center" wrapText="1"/>
    </xf>
    <xf numFmtId="9" fontId="16" fillId="21" borderId="3" xfId="3" applyFont="1" applyFill="1" applyBorder="1" applyAlignment="1">
      <alignment horizontal="center" vertical="center" wrapText="1"/>
    </xf>
    <xf numFmtId="0" fontId="5" fillId="27" borderId="3" xfId="0" applyFont="1" applyFill="1" applyBorder="1" applyAlignment="1">
      <alignment horizontal="center" vertical="center" wrapText="1"/>
    </xf>
    <xf numFmtId="0" fontId="17" fillId="28" borderId="3" xfId="0" applyFont="1" applyFill="1" applyBorder="1" applyAlignment="1">
      <alignment horizontal="center" vertical="center" wrapText="1"/>
    </xf>
    <xf numFmtId="9" fontId="0" fillId="0" borderId="3" xfId="3" applyFont="1" applyBorder="1" applyAlignment="1">
      <alignment horizontal="center"/>
    </xf>
    <xf numFmtId="0" fontId="0" fillId="0" borderId="0" xfId="0" applyAlignment="1">
      <alignment horizontal="left" vertical="center"/>
    </xf>
    <xf numFmtId="0" fontId="5" fillId="27" borderId="3" xfId="0" applyFont="1" applyFill="1" applyBorder="1" applyAlignment="1">
      <alignment horizontal="center" vertical="center" wrapText="1"/>
    </xf>
    <xf numFmtId="0" fontId="0" fillId="17" borderId="11" xfId="0" applyFill="1" applyBorder="1" applyAlignment="1">
      <alignment horizontal="center" vertical="center" wrapText="1"/>
    </xf>
    <xf numFmtId="0" fontId="5" fillId="19" borderId="11"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14" borderId="8"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6" xfId="0" applyFont="1" applyBorder="1" applyAlignment="1">
      <alignment horizontal="center" vertical="center"/>
    </xf>
    <xf numFmtId="0" fontId="5" fillId="19" borderId="11" xfId="0" applyFont="1" applyFill="1" applyBorder="1" applyAlignment="1">
      <alignment horizontal="center" wrapText="1"/>
    </xf>
    <xf numFmtId="0" fontId="5" fillId="27" borderId="3" xfId="0" applyFont="1" applyFill="1" applyBorder="1" applyAlignment="1">
      <alignment horizontal="center" vertical="center" wrapText="1"/>
    </xf>
    <xf numFmtId="0" fontId="0" fillId="0" borderId="30" xfId="0" applyFill="1" applyBorder="1" applyAlignment="1">
      <alignment horizontal="center"/>
    </xf>
    <xf numFmtId="164" fontId="16" fillId="21" borderId="3" xfId="3" applyNumberFormat="1" applyFont="1" applyFill="1" applyBorder="1" applyAlignment="1">
      <alignment horizontal="center" vertical="center" wrapText="1"/>
    </xf>
  </cellXfs>
  <cellStyles count="4">
    <cellStyle name="Hyperlink" xfId="1" builtinId="8"/>
    <cellStyle name="Normal" xfId="0" builtinId="0"/>
    <cellStyle name="Normal 2" xfId="2"/>
    <cellStyle name="Percent" xfId="3" builtinId="5"/>
  </cellStyles>
  <dxfs count="6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border outline="0">
        <right style="medium">
          <color rgb="FFCCCCCC"/>
        </right>
      </border>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11"/>
        <color rgb="FF0563C1"/>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color rgb="FF000000"/>
        <name val="Arial Narrow"/>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right style="medium">
          <color rgb="FFCCCCCC"/>
        </right>
      </border>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right style="medium">
          <color rgb="FFCCCCCC"/>
        </right>
      </border>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right style="medium">
          <color rgb="FFCCCCCC"/>
        </right>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color rgb="FF000000"/>
        <name val="Arial Narrow"/>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11"/>
        <color rgb="FF0563C1"/>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Narrow"/>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Narrow"/>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theme="4" tint="0.39997558519241921"/>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1"/>
        <color rgb="FF0563C1"/>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bgColor auto="1"/>
        </patternFill>
      </fill>
      <alignment textRotation="0" wrapText="1" indent="0" justifyLastLine="0" shrinkToFit="0" readingOrder="0"/>
    </dxf>
    <dxf>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1"/>
        <color rgb="FF000000"/>
        <name val="Arial Narrow"/>
        <scheme val="none"/>
      </font>
      <fill>
        <patternFill patternType="none">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theme="1"/>
        </top>
        <bottom style="thin">
          <color theme="4" tint="0.39997558519241921"/>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none">
          <bgColor auto="1"/>
        </patternFill>
      </fill>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theme="4" tint="0.39997558519241921"/>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1"/>
        <color rgb="FF0563C1"/>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bgColor auto="1"/>
        </patternFill>
      </fill>
      <alignment textRotation="0" wrapText="1" indent="0" justifyLastLine="0" shrinkToFit="0" readingOrder="0"/>
    </dxf>
    <dxf>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1"/>
        <color rgb="FF000000"/>
        <name val="Arial Narrow"/>
        <scheme val="none"/>
      </font>
      <fill>
        <patternFill patternType="none">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theme="1"/>
        </top>
        <bottom style="thin">
          <color theme="4" tint="0.39997558519241921"/>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none">
          <bgColor auto="1"/>
        </patternFill>
      </fill>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theme="4" tint="0.39997558519241921"/>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4B083"/>
          <bgColor rgb="FFF4B08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9000"/>
          <bgColor rgb="FFBF9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9999"/>
          <bgColor rgb="FFFF9999"/>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92D050"/>
          <bgColor rgb="FF92D05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00B0F0"/>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C000"/>
          <bgColor rgb="FFFFC00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C5E0B3"/>
          <bgColor rgb="FFC5E0B3"/>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8EAADB"/>
          <bgColor rgb="FF8EAADB"/>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FD965"/>
          <bgColor rgb="FFFFD96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FBE4D5"/>
          <bgColor rgb="FFFBE4D5"/>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DD6EE"/>
          <bgColor rgb="FFBDD6EE"/>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1"/>
        <color rgb="FF0563C1"/>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Narrow"/>
        <scheme val="none"/>
      </font>
      <fill>
        <patternFill patternType="solid">
          <fgColor rgb="FFBFBFBF"/>
          <bgColor rgb="FFBFBFBF"/>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bgColor auto="1"/>
        </patternFill>
      </fill>
      <alignment textRotation="0" wrapText="1" indent="0" justifyLastLine="0" shrinkToFit="0" readingOrder="0"/>
    </dxf>
    <dxf>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1"/>
        <color rgb="FF000000"/>
        <name val="Arial Narrow"/>
        <scheme val="none"/>
      </font>
      <fill>
        <patternFill patternType="none">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theme="1"/>
        </top>
        <bottom style="thin">
          <color theme="4" tint="0.39997558519241921"/>
        </bottom>
      </border>
    </dxf>
    <dxf>
      <font>
        <b val="0"/>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none">
          <bgColor auto="1"/>
        </patternFill>
      </fill>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1"/>
        <color rgb="FF000000"/>
        <name val="Arial Narrow"/>
        <scheme val="none"/>
      </font>
      <fill>
        <patternFill patternType="solid">
          <fgColor rgb="FF9CC2E5"/>
          <bgColor rgb="FF9CC2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3" name="TblUniv2016" displayName="TblUniv2016" ref="B2:BE65" totalsRowShown="0" headerRowDxfId="618" dataDxfId="617">
  <autoFilter ref="B2:BE65"/>
  <sortState ref="B3:BE65">
    <sortCondition ref="B2:B65"/>
  </sortState>
  <tableColumns count="56">
    <tableColumn id="1" name="th lulus" dataDxfId="616"/>
    <tableColumn id="57" name="Program Pendidikan" dataDxfId="615"/>
    <tableColumn id="2" name="Prodi" dataDxfId="614"/>
    <tableColumn id="3" name="Nim" dataDxfId="613"/>
    <tableColumn id="4" name="Nama Alumni" dataDxfId="612"/>
    <tableColumn id="5" name="A1" dataDxfId="611"/>
    <tableColumn id="6" name="A2" dataDxfId="610"/>
    <tableColumn id="7" name="A3" dataDxfId="609"/>
    <tableColumn id="8" name="A4" dataDxfId="608"/>
    <tableColumn id="9" name="A5" dataDxfId="607"/>
    <tableColumn id="10" name="A6" dataDxfId="606"/>
    <tableColumn id="11" name="A7" dataDxfId="605"/>
    <tableColumn id="12" name="A8" dataDxfId="604"/>
    <tableColumn id="13" name="A9 Bulan" dataDxfId="603"/>
    <tableColumn id="14" name="B1" dataDxfId="602"/>
    <tableColumn id="15" name="B2" dataDxfId="601"/>
    <tableColumn id="16" name="B3" dataDxfId="600"/>
    <tableColumn id="17" name="B4" dataDxfId="599"/>
    <tableColumn id="18" name="B5" dataDxfId="598"/>
    <tableColumn id="19" name="C1" dataDxfId="597"/>
    <tableColumn id="20" name="C2" dataDxfId="596"/>
    <tableColumn id="21" name="D1" dataDxfId="595"/>
    <tableColumn id="22" name="D2" dataDxfId="594"/>
    <tableColumn id="23" name="E1" dataDxfId="593"/>
    <tableColumn id="24" name="E2" dataDxfId="592"/>
    <tableColumn id="25" name="F1" dataDxfId="591"/>
    <tableColumn id="26" name="F2" dataDxfId="590"/>
    <tableColumn id="27" name="F3" dataDxfId="589"/>
    <tableColumn id="28" name="G1" dataDxfId="588"/>
    <tableColumn id="29" name="G2" dataDxfId="587"/>
    <tableColumn id="30" name="H1" dataDxfId="586"/>
    <tableColumn id="31" name="H2" dataDxfId="585"/>
    <tableColumn id="32" name="H3" dataDxfId="584"/>
    <tableColumn id="33" name="H4" dataDxfId="583"/>
    <tableColumn id="34" name="I. a1" dataDxfId="582"/>
    <tableColumn id="35" name="I. a2" dataDxfId="581"/>
    <tableColumn id="36" name="I. a3" dataDxfId="580"/>
    <tableColumn id="37" name="I. a4" dataDxfId="579"/>
    <tableColumn id="38" name="I. a5" dataDxfId="578"/>
    <tableColumn id="39" name="I. b1" dataDxfId="577"/>
    <tableColumn id="40" name="I. b2" dataDxfId="576"/>
    <tableColumn id="41" name="I. b3" dataDxfId="575"/>
    <tableColumn id="42" name="I. b4" dataDxfId="574"/>
    <tableColumn id="43" name="J1" dataDxfId="573"/>
    <tableColumn id="44" name="J2" dataDxfId="572"/>
    <tableColumn id="45" name="J3" dataDxfId="571"/>
    <tableColumn id="46" name="J4" dataDxfId="570"/>
    <tableColumn id="47" name="K1" dataDxfId="569"/>
    <tableColumn id="48" name="K2" dataDxfId="568"/>
    <tableColumn id="49" name="K3" dataDxfId="567"/>
    <tableColumn id="50" name="K4" dataDxfId="566"/>
    <tableColumn id="51" name="K5" dataDxfId="565"/>
    <tableColumn id="52" name="K6" dataDxfId="564"/>
    <tableColumn id="53" name="L1" dataDxfId="563"/>
    <tableColumn id="54" name="L2" dataDxfId="562"/>
    <tableColumn id="55" name="L3" dataDxfId="561"/>
  </tableColumns>
  <tableStyleInfo name="TableStyleLight20" showFirstColumn="0" showLastColumn="0" showRowStripes="1" showColumnStripes="0"/>
</table>
</file>

<file path=xl/tables/table2.xml><?xml version="1.0" encoding="utf-8"?>
<table xmlns="http://schemas.openxmlformats.org/spreadsheetml/2006/main" id="1" name="TblUniv2017" displayName="TblUniv2017" ref="B2:BE58" totalsRowShown="0" headerRowDxfId="560" dataDxfId="559">
  <autoFilter ref="B2:BE58">
    <filterColumn colId="2">
      <filters>
        <filter val="D3 Sistem Informasi"/>
      </filters>
    </filterColumn>
  </autoFilter>
  <sortState ref="B3:BE58">
    <sortCondition ref="B2:B58"/>
  </sortState>
  <tableColumns count="56">
    <tableColumn id="1" name="th lulus" dataDxfId="558"/>
    <tableColumn id="57" name="Program Pendidikan" dataDxfId="557"/>
    <tableColumn id="2" name="Prodi" dataDxfId="556"/>
    <tableColumn id="3" name="Nim" dataDxfId="555"/>
    <tableColumn id="4" name="Nama Alumni" dataDxfId="554"/>
    <tableColumn id="5" name="A1" dataDxfId="553"/>
    <tableColumn id="6" name="A2" dataDxfId="552"/>
    <tableColumn id="7" name="A3" dataDxfId="551"/>
    <tableColumn id="8" name="A4" dataDxfId="550"/>
    <tableColumn id="9" name="A5" dataDxfId="549"/>
    <tableColumn id="10" name="A6" dataDxfId="548"/>
    <tableColumn id="11" name="A7" dataDxfId="547"/>
    <tableColumn id="12" name="A8" dataDxfId="546"/>
    <tableColumn id="13" name="A9 Bulan" dataDxfId="545"/>
    <tableColumn id="14" name="B1" dataDxfId="544"/>
    <tableColumn id="15" name="B2" dataDxfId="543"/>
    <tableColumn id="16" name="B3" dataDxfId="542"/>
    <tableColumn id="17" name="B4" dataDxfId="541"/>
    <tableColumn id="18" name="B5" dataDxfId="540"/>
    <tableColumn id="19" name="C1" dataDxfId="539"/>
    <tableColumn id="20" name="C2" dataDxfId="538"/>
    <tableColumn id="21" name="D1" dataDxfId="537"/>
    <tableColumn id="22" name="D2" dataDxfId="536"/>
    <tableColumn id="23" name="E1" dataDxfId="535"/>
    <tableColumn id="24" name="E2" dataDxfId="534"/>
    <tableColumn id="25" name="F1" dataDxfId="533"/>
    <tableColumn id="26" name="F2" dataDxfId="532"/>
    <tableColumn id="27" name="F3" dataDxfId="531"/>
    <tableColumn id="28" name="G1" dataDxfId="530"/>
    <tableColumn id="29" name="G2" dataDxfId="529"/>
    <tableColumn id="30" name="H1" dataDxfId="528"/>
    <tableColumn id="31" name="H2" dataDxfId="527"/>
    <tableColumn id="32" name="H3" dataDxfId="526"/>
    <tableColumn id="33" name="H4" dataDxfId="525"/>
    <tableColumn id="34" name="I. a1" dataDxfId="524"/>
    <tableColumn id="35" name="I. a2" dataDxfId="523"/>
    <tableColumn id="36" name="I. a3" dataDxfId="522"/>
    <tableColumn id="37" name="I. a4" dataDxfId="521"/>
    <tableColumn id="38" name="I. a5" dataDxfId="520"/>
    <tableColumn id="39" name="I. b1" dataDxfId="519"/>
    <tableColumn id="40" name="I. b2" dataDxfId="518"/>
    <tableColumn id="41" name="I. b3" dataDxfId="517"/>
    <tableColumn id="42" name="I. b4" dataDxfId="516"/>
    <tableColumn id="43" name="J1" dataDxfId="515"/>
    <tableColumn id="44" name="J2" dataDxfId="514"/>
    <tableColumn id="45" name="J3" dataDxfId="513"/>
    <tableColumn id="46" name="J4" dataDxfId="512"/>
    <tableColumn id="47" name="K1" dataDxfId="511"/>
    <tableColumn id="48" name="K2" dataDxfId="510"/>
    <tableColumn id="49" name="K3" dataDxfId="509"/>
    <tableColumn id="50" name="K4" dataDxfId="508"/>
    <tableColumn id="51" name="K5" dataDxfId="507"/>
    <tableColumn id="52" name="K6" dataDxfId="506"/>
    <tableColumn id="53" name="L1" dataDxfId="505"/>
    <tableColumn id="54" name="L2" dataDxfId="504"/>
    <tableColumn id="55" name="L3" dataDxfId="503"/>
  </tableColumns>
  <tableStyleInfo name="TableStyleLight20" showFirstColumn="0" showLastColumn="0" showRowStripes="1" showColumnStripes="0"/>
</table>
</file>

<file path=xl/tables/table3.xml><?xml version="1.0" encoding="utf-8"?>
<table xmlns="http://schemas.openxmlformats.org/spreadsheetml/2006/main" id="2" name="TblUniv2018" displayName="TblUniv2018" ref="B2:BE8" totalsRowShown="0" headerRowDxfId="502" dataDxfId="501">
  <autoFilter ref="B2:BE8"/>
  <sortState ref="B3:BE8">
    <sortCondition ref="B2:B8"/>
  </sortState>
  <tableColumns count="56">
    <tableColumn id="1" name="th lulus" dataDxfId="500"/>
    <tableColumn id="57" name="Program Pendidikan" dataDxfId="499"/>
    <tableColumn id="2" name="Prodi" dataDxfId="498"/>
    <tableColumn id="3" name="Nim" dataDxfId="497"/>
    <tableColumn id="4" name="Nama Alumni" dataDxfId="496"/>
    <tableColumn id="5" name="A1" dataDxfId="495"/>
    <tableColumn id="6" name="A2" dataDxfId="494"/>
    <tableColumn id="7" name="A3" dataDxfId="493"/>
    <tableColumn id="8" name="A4" dataDxfId="492"/>
    <tableColumn id="9" name="A5" dataDxfId="491"/>
    <tableColumn id="10" name="A6" dataDxfId="490"/>
    <tableColumn id="11" name="A7" dataDxfId="489"/>
    <tableColumn id="12" name="A8" dataDxfId="488"/>
    <tableColumn id="13" name="A9 Bulan" dataDxfId="487"/>
    <tableColumn id="14" name="B1" dataDxfId="486"/>
    <tableColumn id="15" name="B2" dataDxfId="485"/>
    <tableColumn id="16" name="B3" dataDxfId="484"/>
    <tableColumn id="17" name="B4" dataDxfId="483"/>
    <tableColumn id="18" name="B5" dataDxfId="482"/>
    <tableColumn id="19" name="C1" dataDxfId="481"/>
    <tableColumn id="20" name="C2" dataDxfId="480"/>
    <tableColumn id="21" name="D1" dataDxfId="479"/>
    <tableColumn id="22" name="D2" dataDxfId="478"/>
    <tableColumn id="23" name="E1" dataDxfId="477"/>
    <tableColumn id="24" name="E2" dataDxfId="476"/>
    <tableColumn id="25" name="F1" dataDxfId="475"/>
    <tableColumn id="26" name="F2" dataDxfId="474"/>
    <tableColumn id="27" name="F3" dataDxfId="473"/>
    <tableColumn id="28" name="G1" dataDxfId="472"/>
    <tableColumn id="29" name="G2" dataDxfId="471"/>
    <tableColumn id="30" name="H1" dataDxfId="470"/>
    <tableColumn id="31" name="H2" dataDxfId="469"/>
    <tableColumn id="32" name="H3" dataDxfId="468"/>
    <tableColumn id="33" name="H4" dataDxfId="467"/>
    <tableColumn id="34" name="I. a1" dataDxfId="466"/>
    <tableColumn id="35" name="I. a2" dataDxfId="465"/>
    <tableColumn id="36" name="I. a3" dataDxfId="464"/>
    <tableColumn id="37" name="I. a4" dataDxfId="463"/>
    <tableColumn id="38" name="I. a5" dataDxfId="462"/>
    <tableColumn id="39" name="I. b1" dataDxfId="461"/>
    <tableColumn id="40" name="I. b2" dataDxfId="460"/>
    <tableColumn id="41" name="I. b3" dataDxfId="459"/>
    <tableColumn id="42" name="I. b4" dataDxfId="458"/>
    <tableColumn id="43" name="J1" dataDxfId="457"/>
    <tableColumn id="44" name="J2" dataDxfId="456"/>
    <tableColumn id="45" name="J3" dataDxfId="455"/>
    <tableColumn id="46" name="J4" dataDxfId="454"/>
    <tableColumn id="47" name="K1" dataDxfId="453"/>
    <tableColumn id="48" name="K2" dataDxfId="452"/>
    <tableColumn id="49" name="K3" dataDxfId="451"/>
    <tableColumn id="50" name="K4" dataDxfId="450"/>
    <tableColumn id="51" name="K5" dataDxfId="449"/>
    <tableColumn id="52" name="K6" dataDxfId="448"/>
    <tableColumn id="53" name="L1" dataDxfId="447"/>
    <tableColumn id="54" name="L2" dataDxfId="446"/>
    <tableColumn id="55" name="L3" dataDxfId="445"/>
  </tableColumns>
  <tableStyleInfo name="TableStyleLight20" showFirstColumn="0" showLastColumn="0" showRowStripes="1" showColumnStripes="0"/>
</table>
</file>

<file path=xl/tables/table4.xml><?xml version="1.0" encoding="utf-8"?>
<table xmlns="http://schemas.openxmlformats.org/spreadsheetml/2006/main" id="4" name="TblUniv2019" displayName="TblUniv2019" ref="B2:BE33" totalsRowShown="0" headerRowDxfId="444">
  <autoFilter ref="B2:BE33">
    <filterColumn colId="3">
      <filters>
        <filter val="14390100029"/>
        <filter val="16390100001"/>
        <filter val="16390100005"/>
        <filter val="16390100014"/>
      </filters>
    </filterColumn>
  </autoFilter>
  <sortState ref="B3:BE12">
    <sortCondition ref="B2:B12"/>
  </sortState>
  <tableColumns count="56">
    <tableColumn id="1" name="th lulus" dataDxfId="443"/>
    <tableColumn id="57" name="Program Pendidikan" dataDxfId="442"/>
    <tableColumn id="2" name="Prodi" dataDxfId="441"/>
    <tableColumn id="3" name="Nim" dataDxfId="440"/>
    <tableColumn id="4" name="Nama Alumni" dataDxfId="439"/>
    <tableColumn id="5" name="A1" dataDxfId="438"/>
    <tableColumn id="6" name="A2" dataDxfId="437"/>
    <tableColumn id="7" name="A3" dataDxfId="436"/>
    <tableColumn id="8" name="A4" dataDxfId="435"/>
    <tableColumn id="9" name="A5" dataDxfId="434"/>
    <tableColumn id="10" name="A6" dataDxfId="433"/>
    <tableColumn id="11" name="A7" dataDxfId="432"/>
    <tableColumn id="12" name="A8" dataDxfId="431"/>
    <tableColumn id="13" name="A9 Bulan" dataDxfId="430"/>
    <tableColumn id="14" name="B1" dataDxfId="429"/>
    <tableColumn id="15" name="B2" dataDxfId="428"/>
    <tableColumn id="16" name="B3" dataDxfId="427"/>
    <tableColumn id="17" name="B4" dataDxfId="426"/>
    <tableColumn id="18" name="B5" dataDxfId="425"/>
    <tableColumn id="19" name="C1" dataDxfId="424"/>
    <tableColumn id="20" name="C2" dataDxfId="423"/>
    <tableColumn id="21" name="D1" dataDxfId="422"/>
    <tableColumn id="22" name="D2" dataDxfId="421"/>
    <tableColumn id="23" name="E1" dataDxfId="420"/>
    <tableColumn id="24" name="E2" dataDxfId="419"/>
    <tableColumn id="25" name="F1" dataDxfId="418"/>
    <tableColumn id="26" name="F2" dataDxfId="417"/>
    <tableColumn id="27" name="F3" dataDxfId="416"/>
    <tableColumn id="28" name="G1" dataDxfId="415"/>
    <tableColumn id="29" name="G2" dataDxfId="414"/>
    <tableColumn id="30" name="H1" dataDxfId="413"/>
    <tableColumn id="31" name="H2" dataDxfId="412"/>
    <tableColumn id="32" name="H3" dataDxfId="411"/>
    <tableColumn id="33" name="H4" dataDxfId="410"/>
    <tableColumn id="34" name="I. a1" dataDxfId="409"/>
    <tableColumn id="35" name="I. a2" dataDxfId="408"/>
    <tableColumn id="36" name="I. a3" dataDxfId="407"/>
    <tableColumn id="37" name="I. a4" dataDxfId="406"/>
    <tableColumn id="38" name="I. a5" dataDxfId="405"/>
    <tableColumn id="39" name="I. b1" dataDxfId="404"/>
    <tableColumn id="40" name="I. b2" dataDxfId="403"/>
    <tableColumn id="41" name="I. b3" dataDxfId="402"/>
    <tableColumn id="42" name="I. b4" dataDxfId="401"/>
    <tableColumn id="43" name="J1" dataDxfId="400"/>
    <tableColumn id="44" name="J2" dataDxfId="399"/>
    <tableColumn id="45" name="J3" dataDxfId="398"/>
    <tableColumn id="46" name="J4" dataDxfId="397"/>
    <tableColumn id="47" name="K1" dataDxfId="396"/>
    <tableColumn id="48" name="K2" dataDxfId="395"/>
    <tableColumn id="49" name="K3" dataDxfId="394"/>
    <tableColumn id="50" name="K4" dataDxfId="393"/>
    <tableColumn id="51" name="K5" dataDxfId="392"/>
    <tableColumn id="52" name="K6" dataDxfId="391"/>
    <tableColumn id="53" name="L1" dataDxfId="390"/>
    <tableColumn id="54" name="L2" dataDxfId="389"/>
    <tableColumn id="55" name="L3" dataDxfId="388"/>
  </tableColumns>
  <tableStyleInfo name="TableStyleLight20" showFirstColumn="0" showLastColumn="0" showRowStripes="1" showColumnStripes="0"/>
</table>
</file>

<file path=xl/tables/table5.xml><?xml version="1.0" encoding="utf-8"?>
<table xmlns="http://schemas.openxmlformats.org/spreadsheetml/2006/main" id="5" name="TblUniv20196" displayName="TblUniv20196" ref="B2:BA39" totalsRowShown="0" headerRowDxfId="387">
  <autoFilter ref="B2:BA39">
    <filterColumn colId="2">
      <filters>
        <filter val="S1 Sistem Informasi"/>
      </filters>
    </filterColumn>
  </autoFilter>
  <sortState ref="B3:BF36">
    <sortCondition ref="B2:B39"/>
  </sortState>
  <tableColumns count="52">
    <tableColumn id="1" name="th lulus" dataDxfId="386"/>
    <tableColumn id="57" name="Program Pendidikan" dataDxfId="385"/>
    <tableColumn id="2" name="Prodi" dataDxfId="384"/>
    <tableColumn id="8" name="A4" dataDxfId="383"/>
    <tableColumn id="9" name="A5" dataDxfId="382"/>
    <tableColumn id="10" name="A6" dataDxfId="381"/>
    <tableColumn id="11" name="A7" dataDxfId="380"/>
    <tableColumn id="12" name="A8" dataDxfId="379"/>
    <tableColumn id="13" name="A9 Bulan" dataDxfId="378"/>
    <tableColumn id="14" name="B1" dataDxfId="377"/>
    <tableColumn id="15" name="B2" dataDxfId="376"/>
    <tableColumn id="16" name="B3" dataDxfId="375"/>
    <tableColumn id="17" name="B4" dataDxfId="374"/>
    <tableColumn id="18" name="B5" dataDxfId="373"/>
    <tableColumn id="19" name="C1" dataDxfId="372"/>
    <tableColumn id="20" name="C2" dataDxfId="371"/>
    <tableColumn id="21" name="D1" dataDxfId="370"/>
    <tableColumn id="22" name="D2" dataDxfId="369"/>
    <tableColumn id="23" name="E1" dataDxfId="368"/>
    <tableColumn id="24" name="E2" dataDxfId="367"/>
    <tableColumn id="25" name="F1" dataDxfId="366"/>
    <tableColumn id="26" name="F2" dataDxfId="365"/>
    <tableColumn id="27" name="F3" dataDxfId="364"/>
    <tableColumn id="28" name="G1" dataDxfId="363"/>
    <tableColumn id="29" name="G2" dataDxfId="362"/>
    <tableColumn id="30" name="H1" dataDxfId="361"/>
    <tableColumn id="31" name="H2" dataDxfId="360"/>
    <tableColumn id="32" name="H3" dataDxfId="359"/>
    <tableColumn id="33" name="H4" dataDxfId="358"/>
    <tableColumn id="34" name="I. a1" dataDxfId="357"/>
    <tableColumn id="35" name="I. a2" dataDxfId="356"/>
    <tableColumn id="36" name="I. a3" dataDxfId="355"/>
    <tableColumn id="37" name="I. a4" dataDxfId="354"/>
    <tableColumn id="38" name="I. a5" dataDxfId="353"/>
    <tableColumn id="39" name="I. b1" dataDxfId="352"/>
    <tableColumn id="40" name="I. b2" dataDxfId="351"/>
    <tableColumn id="41" name="I. b3" dataDxfId="350"/>
    <tableColumn id="42" name="I. b4" dataDxfId="349"/>
    <tableColumn id="43" name="J1" dataDxfId="348"/>
    <tableColumn id="44" name="J2" dataDxfId="347"/>
    <tableColumn id="45" name="J3" dataDxfId="346"/>
    <tableColumn id="46" name="J4" dataDxfId="345"/>
    <tableColumn id="47" name="K1" dataDxfId="344"/>
    <tableColumn id="48" name="K2" dataDxfId="343"/>
    <tableColumn id="49" name="K3" dataDxfId="342"/>
    <tableColumn id="50" name="K4" dataDxfId="341"/>
    <tableColumn id="51" name="K5" dataDxfId="340"/>
    <tableColumn id="52" name="K6" dataDxfId="339"/>
    <tableColumn id="53" name="L1" dataDxfId="338"/>
    <tableColumn id="54" name="L2" dataDxfId="337"/>
    <tableColumn id="55" name="L3" dataDxfId="336"/>
    <tableColumn id="58" name="L4" dataDxfId="335"/>
  </tableColumns>
  <tableStyleInfo name="TableStyleLight20" showFirstColumn="0" showLastColumn="0" showRowStripes="1" showColumnStripes="0"/>
</table>
</file>

<file path=xl/tables/table6.xml><?xml version="1.0" encoding="utf-8"?>
<table xmlns="http://schemas.openxmlformats.org/spreadsheetml/2006/main" id="6" name="Table6" displayName="Table6" ref="B2:AL12" totalsRowShown="0" headerRowDxfId="334" dataDxfId="333" tableBorderDxfId="332">
  <autoFilter ref="B2:AL12"/>
  <sortState ref="B3:AR17">
    <sortCondition ref="B2:B17"/>
  </sortState>
  <tableColumns count="37">
    <tableColumn id="1" name="Prodi" dataDxfId="331"/>
    <tableColumn id="4" name="Nama Responden" dataDxfId="330"/>
    <tableColumn id="5" name="Nama Perusahaan" dataDxfId="329"/>
    <tableColumn id="9" name="B1" dataDxfId="328"/>
    <tableColumn id="10" name="B2" dataDxfId="327"/>
    <tableColumn id="11" name="B3" dataDxfId="326"/>
    <tableColumn id="13" name="C1" dataDxfId="325"/>
    <tableColumn id="14" name="C2" dataDxfId="324"/>
    <tableColumn id="15" name="C3" dataDxfId="323"/>
    <tableColumn id="16" name="D1" dataDxfId="322"/>
    <tableColumn id="44" name="D2" dataDxfId="321"/>
    <tableColumn id="18" name="E1" dataDxfId="320"/>
    <tableColumn id="19" name="E2" dataDxfId="319"/>
    <tableColumn id="20" name="E3" dataDxfId="318"/>
    <tableColumn id="12" name="E4" dataDxfId="317"/>
    <tableColumn id="21" name="F1" dataDxfId="316"/>
    <tableColumn id="22" name="F2" dataDxfId="315"/>
    <tableColumn id="23" name="F3" dataDxfId="314"/>
    <tableColumn id="24" name="F4" dataDxfId="313"/>
    <tableColumn id="25" name="G1" dataDxfId="312"/>
    <tableColumn id="26" name="G2" dataDxfId="311"/>
    <tableColumn id="27" name="G3" dataDxfId="310"/>
    <tableColumn id="17" name="G4" dataDxfId="309"/>
    <tableColumn id="28" name="H1" dataDxfId="308"/>
    <tableColumn id="29" name="H2" dataDxfId="307"/>
    <tableColumn id="30" name="H3" dataDxfId="306"/>
    <tableColumn id="32" name="I1.1" dataDxfId="305"/>
    <tableColumn id="33" name="I1.2" dataDxfId="304"/>
    <tableColumn id="34" name="I1.3" dataDxfId="303"/>
    <tableColumn id="35" name="I1.4" dataDxfId="302"/>
    <tableColumn id="36" name="I1.5" dataDxfId="301"/>
    <tableColumn id="37" name="I2.1" dataDxfId="300"/>
    <tableColumn id="38" name="I2.2" dataDxfId="299"/>
    <tableColumn id="39" name="I2.3" dataDxfId="298"/>
    <tableColumn id="40" name="I2.4" dataDxfId="297"/>
    <tableColumn id="41" name="Secara umum, bagaimanakah kinerja lulusan Universitas Dinamika yang bekerja di institusi Bapak/Ibu?" dataDxfId="296"/>
    <tableColumn id="43" name="Kriteria lulusan berbasis Teknologi Informasi seperti apakah yang diinginkan Institusi Bapak/Ibu, mohon dituliskan." dataDxfId="295"/>
  </tableColumns>
  <tableStyleInfo name="TableStyleMedium2" showFirstColumn="0" showLastColumn="0" showRowStripes="1" showColumnStripes="0"/>
</table>
</file>

<file path=xl/tables/table7.xml><?xml version="1.0" encoding="utf-8"?>
<table xmlns="http://schemas.openxmlformats.org/spreadsheetml/2006/main" id="9" name="Table9" displayName="Table9" ref="B15:AK43" totalsRowShown="0" headerRowDxfId="294" dataDxfId="293">
  <autoFilter ref="B15:AK43"/>
  <tableColumns count="36">
    <tableColumn id="1" name="Prodi" dataDxfId="292"/>
    <tableColumn id="5" name="Nama Perusahaan" dataDxfId="291"/>
    <tableColumn id="6" name="Jenis Perusahaan" dataDxfId="290"/>
    <tableColumn id="7" name="Apakah memiliki cabang di Kota lain?" dataDxfId="289"/>
    <tableColumn id="8" name="Apakah memiliki cabang di negara lain?" dataDxfId="288"/>
    <tableColumn id="9" name="B1" dataDxfId="287"/>
    <tableColumn id="10" name="B2" dataDxfId="286"/>
    <tableColumn id="11" name="B3" dataDxfId="285"/>
    <tableColumn id="12" name="B4" dataDxfId="284"/>
    <tableColumn id="13" name="B5" dataDxfId="283"/>
    <tableColumn id="14" name="C1" dataDxfId="282"/>
    <tableColumn id="15" name="C2" dataDxfId="281"/>
    <tableColumn id="16" name="D1" dataDxfId="280"/>
    <tableColumn id="17" name="D2" dataDxfId="279"/>
    <tableColumn id="18" name="E1" dataDxfId="278"/>
    <tableColumn id="19" name="E2" dataDxfId="277"/>
    <tableColumn id="20" name="E3" dataDxfId="276"/>
    <tableColumn id="21" name="F1" dataDxfId="275"/>
    <tableColumn id="22" name="F2" dataDxfId="274"/>
    <tableColumn id="23" name="F3" dataDxfId="273"/>
    <tableColumn id="24" name="G1" dataDxfId="272"/>
    <tableColumn id="25" name="G2" dataDxfId="271"/>
    <tableColumn id="26" name="G3" dataDxfId="270"/>
    <tableColumn id="27" name="H1" dataDxfId="269"/>
    <tableColumn id="28" name="H2" dataDxfId="268"/>
    <tableColumn id="29" name="H3" dataDxfId="267"/>
    <tableColumn id="30" name="H4" dataDxfId="266"/>
    <tableColumn id="31" name="I1.1" dataDxfId="265"/>
    <tableColumn id="32" name="I1.2" dataDxfId="264"/>
    <tableColumn id="33" name="I1.3" dataDxfId="263"/>
    <tableColumn id="34" name="I1.4" dataDxfId="262"/>
    <tableColumn id="35" name="I1.5" dataDxfId="261"/>
    <tableColumn id="36" name="I2.1" dataDxfId="260"/>
    <tableColumn id="37" name="I2.2" dataDxfId="259"/>
    <tableColumn id="38" name="I2.3" dataDxfId="258"/>
    <tableColumn id="39" name="I2.4" dataDxfId="257"/>
  </tableColumns>
  <tableStyleInfo name="TableStyleMedium2" showFirstColumn="0" showLastColumn="0" showRowStripes="1" showColumnStripes="0"/>
</table>
</file>

<file path=xl/tables/table8.xml><?xml version="1.0" encoding="utf-8"?>
<table xmlns="http://schemas.openxmlformats.org/spreadsheetml/2006/main" id="10" name="Table10" displayName="Table10" ref="B47:AM49" totalsRowShown="0" headerRowDxfId="256" dataDxfId="255">
  <autoFilter ref="B47:AM49"/>
  <tableColumns count="38">
    <tableColumn id="1" name="Prodi" dataDxfId="254"/>
    <tableColumn id="2" name="NIM"/>
    <tableColumn id="3" name="Nama Alumni yang bekerja di tempat Bapak / Ibu" dataDxfId="253"/>
    <tableColumn id="4" name="Nama Responden" dataDxfId="252"/>
    <tableColumn id="5" name="Nama Perusahaan" dataDxfId="251"/>
    <tableColumn id="6" name="Jenis Perusahaan" dataDxfId="250"/>
    <tableColumn id="7" name="Apakah memiliki cabang di Kota lain?" dataDxfId="249"/>
    <tableColumn id="8" name="Apakah memiliki cabang di negara lain?" dataDxfId="248"/>
    <tableColumn id="9" name="B1" dataDxfId="247"/>
    <tableColumn id="10" name="B2" dataDxfId="246"/>
    <tableColumn id="11" name="B3" dataDxfId="245"/>
    <tableColumn id="12" name="B4" dataDxfId="244"/>
    <tableColumn id="13" name="C1" dataDxfId="243"/>
    <tableColumn id="14" name="C2" dataDxfId="242"/>
    <tableColumn id="15" name="D1" dataDxfId="241"/>
    <tableColumn id="16" name="D2" dataDxfId="240"/>
    <tableColumn id="17" name="E1" dataDxfId="239"/>
    <tableColumn id="18" name="E2" dataDxfId="238"/>
    <tableColumn id="19" name="F1" dataDxfId="237"/>
    <tableColumn id="20" name="F2" dataDxfId="236"/>
    <tableColumn id="21" name="F3" dataDxfId="235"/>
    <tableColumn id="22" name="F4" dataDxfId="234"/>
    <tableColumn id="23" name="G1" dataDxfId="233"/>
    <tableColumn id="24" name="G2" dataDxfId="232"/>
    <tableColumn id="25" name="G3" dataDxfId="231"/>
    <tableColumn id="26" name="H1" dataDxfId="230"/>
    <tableColumn id="27" name="H2" dataDxfId="229"/>
    <tableColumn id="28" name="H3" dataDxfId="228"/>
    <tableColumn id="29" name="H4" dataDxfId="227"/>
    <tableColumn id="30" name="I1.1" dataDxfId="226"/>
    <tableColumn id="31" name="I1.2" dataDxfId="225"/>
    <tableColumn id="32" name="I1.3" dataDxfId="224"/>
    <tableColumn id="33" name="I1.4" dataDxfId="223"/>
    <tableColumn id="34" name="I1.5" dataDxfId="222"/>
    <tableColumn id="35" name="I2.1" dataDxfId="221"/>
    <tableColumn id="36" name="I2.2" dataDxfId="220"/>
    <tableColumn id="37" name="I2.3" dataDxfId="219"/>
    <tableColumn id="38" name="I2.4" dataDxfId="218"/>
  </tableColumns>
  <tableStyleInfo name="TableStyleMedium2" showFirstColumn="0" showLastColumn="0" showRowStripes="1" showColumnStripes="0"/>
</table>
</file>

<file path=xl/tables/table9.xml><?xml version="1.0" encoding="utf-8"?>
<table xmlns="http://schemas.openxmlformats.org/spreadsheetml/2006/main" id="11" name="Table612" displayName="Table612" ref="B2:AQ24" totalsRowShown="0" headerRowDxfId="217" dataDxfId="216" tableBorderDxfId="215">
  <autoFilter ref="B2:AQ24"/>
  <sortState ref="B3:AR27">
    <sortCondition ref="B2:B27"/>
  </sortState>
  <tableColumns count="42">
    <tableColumn id="1" name="Prodi"/>
    <tableColumn id="3" name="Nama Alumni yang bekerja di tempat Bapak / Ibu"/>
    <tableColumn id="4" name="Nama Responden"/>
    <tableColumn id="5" name="Nama Perusahaan"/>
    <tableColumn id="6" name="Jenis Perusahaan" dataDxfId="214"/>
    <tableColumn id="7" name="Apakah memiliki cabang di Kota lain?" dataDxfId="213"/>
    <tableColumn id="8" name="Apakah memiliki cabang di negara lain?" dataDxfId="212"/>
    <tableColumn id="9" name="B1" dataDxfId="211"/>
    <tableColumn id="10" name="B2" dataDxfId="210"/>
    <tableColumn id="11" name="B3" dataDxfId="209"/>
    <tableColumn id="12" name="B4" dataDxfId="208"/>
    <tableColumn id="13" name="C1" dataDxfId="207"/>
    <tableColumn id="14" name="C2" dataDxfId="206"/>
    <tableColumn id="15" name="C3" dataDxfId="205"/>
    <tableColumn id="16" name="D1" dataDxfId="204"/>
    <tableColumn id="17" name="D2" dataDxfId="203"/>
    <tableColumn id="18" name="E1" dataDxfId="202"/>
    <tableColumn id="19" name="E2" dataDxfId="201"/>
    <tableColumn id="20" name="E3" dataDxfId="200"/>
    <tableColumn id="21" name="F1" dataDxfId="199"/>
    <tableColumn id="22" name="F2" dataDxfId="198"/>
    <tableColumn id="23" name="F3" dataDxfId="197"/>
    <tableColumn id="24" name="F4" dataDxfId="196"/>
    <tableColumn id="25" name="G1" dataDxfId="195"/>
    <tableColumn id="26" name="G2" dataDxfId="194"/>
    <tableColumn id="27" name="G3" dataDxfId="193"/>
    <tableColumn id="28" name="H1" dataDxfId="192"/>
    <tableColumn id="29" name="H2" dataDxfId="191"/>
    <tableColumn id="30" name="H3" dataDxfId="190"/>
    <tableColumn id="31" name="H4" dataDxfId="189"/>
    <tableColumn id="32" name="I1.1" dataDxfId="188"/>
    <tableColumn id="33" name="I1.2" dataDxfId="187"/>
    <tableColumn id="34" name="I1.3" dataDxfId="186"/>
    <tableColumn id="35" name="I1.4" dataDxfId="185"/>
    <tableColumn id="36" name="I1.5" dataDxfId="184"/>
    <tableColumn id="37" name="I2.1" dataDxfId="183"/>
    <tableColumn id="38" name="I2.2" dataDxfId="182"/>
    <tableColumn id="39" name="I2.3" dataDxfId="181"/>
    <tableColumn id="40" name="I2.4" dataDxfId="180"/>
    <tableColumn id="41" name="Secara umum, bagaimanakah kinerja lulusan Universitas Dinamika yang bekerja di institusi Bapak/Ibu?" dataDxfId="179"/>
    <tableColumn id="42" name="Secara umum, menurut Bapak/Ibu, bidang apa yang kurang dikuasai lulusan Universitas Dinamika? (boleh dijawab lebih dari 1)" dataDxfId="178"/>
    <tableColumn id="43" name="Kriteria lulusan berbasis Teknologi Informasi seperti apakah yang diinginkan Institusi Bapak/Ibu, mohon dituliskan." dataDxfId="177"/>
  </tableColumns>
  <tableStyleInfo name="TableStyleMedium2" showFirstColumn="0" showLastColumn="0" showRowStripes="1" showColumnStripes="0"/>
</table>
</file>

<file path=xl/tables/table10.xml><?xml version="1.0" encoding="utf-8"?>
<table xmlns="http://schemas.openxmlformats.org/spreadsheetml/2006/main" id="12" name="Table913" displayName="Table913" ref="B32:AL67" totalsRowShown="0" headerRowDxfId="176" dataDxfId="175">
  <autoFilter ref="B32:AL67"/>
  <tableColumns count="37">
    <tableColumn id="1" name="Prodi" dataDxfId="174"/>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B5"/>
    <tableColumn id="14" name="C1"/>
    <tableColumn id="15" name="C2"/>
    <tableColumn id="16" name="D1"/>
    <tableColumn id="17" name="D2"/>
    <tableColumn id="18" name="E1"/>
    <tableColumn id="19" name="E2"/>
    <tableColumn id="20" name="E3"/>
    <tableColumn id="21" name="F1"/>
    <tableColumn id="22" name="F2"/>
    <tableColumn id="23" name="F3"/>
    <tableColumn id="24" name="G1"/>
    <tableColumn id="25" name="G2"/>
    <tableColumn id="26" name="G3"/>
    <tableColumn id="27" name="H1"/>
    <tableColumn id="28" name="H2"/>
    <tableColumn id="29" name="H3"/>
    <tableColumn id="30" name="H4"/>
    <tableColumn id="31" name="I1.1"/>
    <tableColumn id="32" name="I1.2"/>
    <tableColumn id="33" name="I1.3"/>
    <tableColumn id="34" name="I1.4"/>
    <tableColumn id="35" name="I1.5"/>
    <tableColumn id="36" name="I2.1"/>
    <tableColumn id="37" name="I2.2"/>
    <tableColumn id="38" name="I2.3"/>
    <tableColumn id="39" name="I2.4"/>
  </tableColumns>
  <tableStyleInfo name="TableStyleMedium2" showFirstColumn="0" showLastColumn="0" showRowStripes="1" showColumnStripes="0"/>
</table>
</file>

<file path=xl/tables/table11.xml><?xml version="1.0" encoding="utf-8"?>
<table xmlns="http://schemas.openxmlformats.org/spreadsheetml/2006/main" id="13" name="Table1014" displayName="Table1014" ref="B72:AM77" totalsRowShown="0" headerRowDxfId="173" dataDxfId="172">
  <autoFilter ref="B72:AM77"/>
  <tableColumns count="38">
    <tableColumn id="1" name="Prodi" dataDxfId="171"/>
    <tableColumn id="2" name="NIM"/>
    <tableColumn id="3" name="Nama Alumni yang bekerja di tempat Bapak / Ibu"/>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C1"/>
    <tableColumn id="14" name="C2"/>
    <tableColumn id="15" name="D1"/>
    <tableColumn id="16" name="D2"/>
    <tableColumn id="17" name="E1"/>
    <tableColumn id="18" name="E2"/>
    <tableColumn id="19" name="F1"/>
    <tableColumn id="20" name="F2"/>
    <tableColumn id="21" name="F3"/>
    <tableColumn id="22" name="F4"/>
    <tableColumn id="23" name="G1"/>
    <tableColumn id="24" name="G2"/>
    <tableColumn id="25" name="G3"/>
    <tableColumn id="26" name="H1"/>
    <tableColumn id="27" name="H2"/>
    <tableColumn id="28" name="H3"/>
    <tableColumn id="29" name="H4"/>
    <tableColumn id="30" name="I1.1"/>
    <tableColumn id="31" name="I1.2"/>
    <tableColumn id="32" name="I1.3"/>
    <tableColumn id="33" name="I1.4"/>
    <tableColumn id="34" name="I1.5"/>
    <tableColumn id="35" name="I2.1"/>
    <tableColumn id="36" name="I2.2"/>
    <tableColumn id="37" name="I2.3"/>
    <tableColumn id="38" name="I2.4"/>
  </tableColumns>
  <tableStyleInfo name="TableStyleMedium2" showFirstColumn="0" showLastColumn="0" showRowStripes="1" showColumnStripes="0"/>
</table>
</file>

<file path=xl/tables/table12.xml><?xml version="1.0" encoding="utf-8"?>
<table xmlns="http://schemas.openxmlformats.org/spreadsheetml/2006/main" id="8" name="Table6129" displayName="Table6129" ref="B2:AQ18" totalsRowShown="0" headerRowDxfId="170" dataDxfId="169" tableBorderDxfId="168">
  <autoFilter ref="B2:AQ18"/>
  <sortState ref="B3:AR27">
    <sortCondition ref="B2:B27"/>
  </sortState>
  <tableColumns count="42">
    <tableColumn id="1" name="Prodi"/>
    <tableColumn id="3" name="Nama Alumni yang bekerja di tempat Bapak / Ibu"/>
    <tableColumn id="4" name="Nama Responden"/>
    <tableColumn id="5" name="Nama Perusahaan"/>
    <tableColumn id="6" name="Jenis Perusahaan" dataDxfId="167"/>
    <tableColumn id="7" name="Apakah memiliki cabang di Kota lain?" dataDxfId="166"/>
    <tableColumn id="8" name="Apakah memiliki cabang di negara lain?" dataDxfId="165"/>
    <tableColumn id="9" name="B1" dataDxfId="164"/>
    <tableColumn id="10" name="B2" dataDxfId="163"/>
    <tableColumn id="11" name="B3" dataDxfId="162"/>
    <tableColumn id="12" name="B4" dataDxfId="161"/>
    <tableColumn id="13" name="C1" dataDxfId="160"/>
    <tableColumn id="14" name="C2" dataDxfId="159"/>
    <tableColumn id="15" name="C3" dataDxfId="158"/>
    <tableColumn id="16" name="D1" dataDxfId="157"/>
    <tableColumn id="17" name="D2" dataDxfId="156"/>
    <tableColumn id="18" name="E1" dataDxfId="155"/>
    <tableColumn id="19" name="E2" dataDxfId="154"/>
    <tableColumn id="20" name="E3" dataDxfId="153"/>
    <tableColumn id="21" name="F1" dataDxfId="152"/>
    <tableColumn id="22" name="F2" dataDxfId="151"/>
    <tableColumn id="23" name="F3" dataDxfId="150"/>
    <tableColumn id="24" name="F4" dataDxfId="149"/>
    <tableColumn id="25" name="G1" dataDxfId="148"/>
    <tableColumn id="26" name="G2" dataDxfId="147"/>
    <tableColumn id="27" name="G3" dataDxfId="146"/>
    <tableColumn id="28" name="H1" dataDxfId="145"/>
    <tableColumn id="29" name="H2" dataDxfId="144"/>
    <tableColumn id="30" name="H3" dataDxfId="143"/>
    <tableColumn id="31" name="H4" dataDxfId="142"/>
    <tableColumn id="32" name="I1.1" dataDxfId="141"/>
    <tableColumn id="33" name="I1.2" dataDxfId="140"/>
    <tableColumn id="34" name="I1.3" dataDxfId="139"/>
    <tableColumn id="35" name="I1.4" dataDxfId="138"/>
    <tableColumn id="36" name="I1.5" dataDxfId="137"/>
    <tableColumn id="37" name="I2.1" dataDxfId="136"/>
    <tableColumn id="38" name="I2.2" dataDxfId="135"/>
    <tableColumn id="39" name="I2.3" dataDxfId="134"/>
    <tableColumn id="40" name="I2.4" dataDxfId="133"/>
    <tableColumn id="41" name="Secara umum, bagaimanakah kinerja lulusan Universitas Dinamika yang bekerja di institusi Bapak/Ibu?" dataDxfId="132"/>
    <tableColumn id="42" name="Secara umum, menurut Bapak/Ibu, bidang apa yang kurang dikuasai lulusan Universitas Dinamika? (boleh dijawab lebih dari 1)" dataDxfId="131"/>
    <tableColumn id="43" name="Kriteria lulusan berbasis Teknologi Informasi seperti apakah yang diinginkan Institusi Bapak/Ibu, mohon dituliskan." dataDxfId="130"/>
  </tableColumns>
  <tableStyleInfo name="TableStyleMedium2" showFirstColumn="0" showLastColumn="0" showRowStripes="1" showColumnStripes="0"/>
</table>
</file>

<file path=xl/tables/table13.xml><?xml version="1.0" encoding="utf-8"?>
<table xmlns="http://schemas.openxmlformats.org/spreadsheetml/2006/main" id="14" name="Table91315" displayName="Table91315" ref="B26:AL33" totalsRowShown="0" headerRowDxfId="129" dataDxfId="128">
  <autoFilter ref="B26:AL33"/>
  <tableColumns count="37">
    <tableColumn id="1" name="Prodi" dataDxfId="127"/>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B5"/>
    <tableColumn id="14" name="C1"/>
    <tableColumn id="15" name="C2"/>
    <tableColumn id="16" name="D1"/>
    <tableColumn id="17" name="D2"/>
    <tableColumn id="18" name="E1"/>
    <tableColumn id="19" name="E2"/>
    <tableColumn id="20" name="E3"/>
    <tableColumn id="21" name="F1"/>
    <tableColumn id="22" name="F2"/>
    <tableColumn id="23" name="F3"/>
    <tableColumn id="24" name="G1"/>
    <tableColumn id="25" name="G2"/>
    <tableColumn id="26" name="G3"/>
    <tableColumn id="27" name="H1"/>
    <tableColumn id="28" name="H2"/>
    <tableColumn id="29" name="H3"/>
    <tableColumn id="30" name="H4"/>
    <tableColumn id="31" name="I1.1"/>
    <tableColumn id="32" name="I1.2"/>
    <tableColumn id="33" name="I1.3"/>
    <tableColumn id="34" name="I1.4"/>
    <tableColumn id="35" name="I1.5"/>
    <tableColumn id="36" name="I2.1"/>
    <tableColumn id="37" name="I2.2"/>
    <tableColumn id="38" name="I2.3"/>
    <tableColumn id="39" name="I2.4"/>
  </tableColumns>
  <tableStyleInfo name="TableStyleMedium2" showFirstColumn="0" showLastColumn="0" showRowStripes="1" showColumnStripes="0"/>
</table>
</file>

<file path=xl/tables/table14.xml><?xml version="1.0" encoding="utf-8"?>
<table xmlns="http://schemas.openxmlformats.org/spreadsheetml/2006/main" id="15" name="Table101416" displayName="Table101416" ref="B38:AM40" totalsRowShown="0" headerRowDxfId="126" dataDxfId="125">
  <autoFilter ref="B38:AM40"/>
  <tableColumns count="38">
    <tableColumn id="1" name="Prodi" dataDxfId="124"/>
    <tableColumn id="2" name="NIM"/>
    <tableColumn id="3" name="Nama Alumni yang bekerja di tempat Bapak / Ibu"/>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C1"/>
    <tableColumn id="14" name="C2"/>
    <tableColumn id="15" name="D1"/>
    <tableColumn id="16" name="D2"/>
    <tableColumn id="17" name="E1"/>
    <tableColumn id="18" name="E2"/>
    <tableColumn id="19" name="F1"/>
    <tableColumn id="20" name="F2"/>
    <tableColumn id="21" name="F3"/>
    <tableColumn id="22" name="F4"/>
    <tableColumn id="23" name="G1"/>
    <tableColumn id="24" name="G2"/>
    <tableColumn id="25" name="G3"/>
    <tableColumn id="26" name="H1"/>
    <tableColumn id="27" name="H2"/>
    <tableColumn id="28" name="H3"/>
    <tableColumn id="29" name="H4"/>
    <tableColumn id="30" name="I1.1"/>
    <tableColumn id="31" name="I1.2"/>
    <tableColumn id="32" name="I1.3"/>
    <tableColumn id="33" name="I1.4"/>
    <tableColumn id="34" name="I1.5"/>
    <tableColumn id="35" name="I2.1"/>
    <tableColumn id="36" name="I2.2"/>
    <tableColumn id="37" name="I2.3"/>
    <tableColumn id="38" name="I2.4"/>
  </tableColumns>
  <tableStyleInfo name="TableStyleMedium2" showFirstColumn="0" showLastColumn="0" showRowStripes="1" showColumnStripes="0"/>
</table>
</file>

<file path=xl/tables/table15.xml><?xml version="1.0" encoding="utf-8"?>
<table xmlns="http://schemas.openxmlformats.org/spreadsheetml/2006/main" id="7" name="TblUniv201968" displayName="TblUniv201968" ref="B2:BF28" totalsRowShown="0" headerRowDxfId="123">
  <autoFilter ref="B2:BF28">
    <filterColumn colId="0">
      <filters>
        <filter val="2020"/>
      </filters>
    </filterColumn>
  </autoFilter>
  <sortState ref="B3:BE27">
    <sortCondition ref="B2:B27"/>
  </sortState>
  <tableColumns count="57">
    <tableColumn id="1" name="th lulus" dataDxfId="122"/>
    <tableColumn id="57" name="Program Pendidikan" dataDxfId="121"/>
    <tableColumn id="2" name="Prodi" dataDxfId="120"/>
    <tableColumn id="3" name="Nim" dataDxfId="119"/>
    <tableColumn id="4" name="Nama Alumni" dataDxfId="118"/>
    <tableColumn id="5" name="A1" dataDxfId="117"/>
    <tableColumn id="6" name="A2" dataDxfId="116"/>
    <tableColumn id="7" name="A3" dataDxfId="115"/>
    <tableColumn id="8" name="A4" dataDxfId="114"/>
    <tableColumn id="9" name="A5" dataDxfId="113"/>
    <tableColumn id="10" name="A6" dataDxfId="112"/>
    <tableColumn id="11" name="A7" dataDxfId="111"/>
    <tableColumn id="12" name="A8" dataDxfId="110"/>
    <tableColumn id="13" name="A9 Bulan" dataDxfId="109"/>
    <tableColumn id="14" name="B1" dataDxfId="108"/>
    <tableColumn id="15" name="B2" dataDxfId="107"/>
    <tableColumn id="16" name="B3" dataDxfId="106"/>
    <tableColumn id="17" name="B4" dataDxfId="105"/>
    <tableColumn id="18" name="B5" dataDxfId="104"/>
    <tableColumn id="19" name="C1" dataDxfId="103"/>
    <tableColumn id="20" name="C2" dataDxfId="102"/>
    <tableColumn id="21" name="D1" dataDxfId="101"/>
    <tableColumn id="22" name="D2" dataDxfId="100"/>
    <tableColumn id="23" name="E1" dataDxfId="99"/>
    <tableColumn id="24" name="E2" dataDxfId="98"/>
    <tableColumn id="25" name="F1" dataDxfId="97"/>
    <tableColumn id="26" name="F2" dataDxfId="96"/>
    <tableColumn id="27" name="F3" dataDxfId="95"/>
    <tableColumn id="28" name="G1" dataDxfId="94"/>
    <tableColumn id="29" name="G2" dataDxfId="93"/>
    <tableColumn id="30" name="H1" dataDxfId="92"/>
    <tableColumn id="31" name="H2" dataDxfId="91"/>
    <tableColumn id="32" name="H3" dataDxfId="90"/>
    <tableColumn id="33" name="H4" dataDxfId="89"/>
    <tableColumn id="34" name="I. a1" dataDxfId="88"/>
    <tableColumn id="35" name="I. a2" dataDxfId="87"/>
    <tableColumn id="36" name="I. a3" dataDxfId="86"/>
    <tableColumn id="37" name="I. a4" dataDxfId="85"/>
    <tableColumn id="38" name="I. a5" dataDxfId="84"/>
    <tableColumn id="39" name="I. b1" dataDxfId="83"/>
    <tableColumn id="40" name="I. b2" dataDxfId="82"/>
    <tableColumn id="41" name="I. b3" dataDxfId="81"/>
    <tableColumn id="42" name="I. b4" dataDxfId="80"/>
    <tableColumn id="43" name="J1" dataDxfId="79"/>
    <tableColumn id="44" name="J2" dataDxfId="78"/>
    <tableColumn id="45" name="J3" dataDxfId="77"/>
    <tableColumn id="46" name="J4" dataDxfId="76"/>
    <tableColumn id="47" name="K1" dataDxfId="75"/>
    <tableColumn id="48" name="K2" dataDxfId="74"/>
    <tableColumn id="49" name="K3" dataDxfId="73"/>
    <tableColumn id="50" name="K4" dataDxfId="72"/>
    <tableColumn id="51" name="K5" dataDxfId="71"/>
    <tableColumn id="52" name="K6" dataDxfId="70"/>
    <tableColumn id="53" name="L1" dataDxfId="69"/>
    <tableColumn id="54" name="L2" dataDxfId="68"/>
    <tableColumn id="55" name="L3" dataDxfId="67"/>
    <tableColumn id="58" name="L4" dataDxfId="66"/>
  </tableColumns>
  <tableStyleInfo name="TableStyleLight20" showFirstColumn="0" showLastColumn="0" showRowStripes="1" showColumnStripes="0"/>
</table>
</file>

<file path=xl/tables/table16.xml><?xml version="1.0" encoding="utf-8"?>
<table xmlns="http://schemas.openxmlformats.org/spreadsheetml/2006/main" id="16" name="Table612917" displayName="Table612917" ref="B2:AQ6" totalsRowShown="0" headerRowDxfId="65" dataDxfId="64" tableBorderDxfId="63">
  <autoFilter ref="B2:AQ6"/>
  <sortState ref="B3:AR27">
    <sortCondition ref="B2:B27"/>
  </sortState>
  <tableColumns count="42">
    <tableColumn id="1" name="Prodi"/>
    <tableColumn id="3" name="Nama Alumni yang bekerja di tempat Bapak / Ibu"/>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C1"/>
    <tableColumn id="14" name="C2"/>
    <tableColumn id="15" name="C3"/>
    <tableColumn id="16" name="D1"/>
    <tableColumn id="17" name="D2"/>
    <tableColumn id="18" name="E1"/>
    <tableColumn id="19" name="E2"/>
    <tableColumn id="20" name="E3"/>
    <tableColumn id="21" name="F1"/>
    <tableColumn id="22" name="F2"/>
    <tableColumn id="23" name="F3"/>
    <tableColumn id="24" name="F4"/>
    <tableColumn id="25" name="G1"/>
    <tableColumn id="26" name="G2"/>
    <tableColumn id="27" name="G3"/>
    <tableColumn id="28" name="H1"/>
    <tableColumn id="29" name="H2"/>
    <tableColumn id="30" name="H3"/>
    <tableColumn id="31" name="H4"/>
    <tableColumn id="32" name="I1.1"/>
    <tableColumn id="33" name="I1.2"/>
    <tableColumn id="34" name="I1.3"/>
    <tableColumn id="35" name="I1.4"/>
    <tableColumn id="36" name="I1.5"/>
    <tableColumn id="37" name="I2.1"/>
    <tableColumn id="38" name="I2.2"/>
    <tableColumn id="39" name="I2.3"/>
    <tableColumn id="40" name="I2.4"/>
    <tableColumn id="41" name="Secara umum, bagaimanakah kinerja lulusan Universitas Dinamika yang bekerja di institusi Bapak/Ibu?"/>
    <tableColumn id="42" name="Secara umum, menurut Bapak/Ibu, bidang apa yang kurang dikuasai lulusan Universitas Dinamika? (boleh dijawab lebih dari 1)"/>
    <tableColumn id="43" name="Kriteria lulusan berbasis Teknologi Informasi seperti apakah yang diinginkan Institusi Bapak/Ibu, mohon dituliskan." dataDxfId="62"/>
  </tableColumns>
  <tableStyleInfo name="TableStyleMedium2" showFirstColumn="0" showLastColumn="0" showRowStripes="1" showColumnStripes="0"/>
</table>
</file>

<file path=xl/tables/table17.xml><?xml version="1.0" encoding="utf-8"?>
<table xmlns="http://schemas.openxmlformats.org/spreadsheetml/2006/main" id="17" name="Table9131518" displayName="Table9131518" ref="B14:AL18" totalsRowShown="0" headerRowDxfId="61" dataDxfId="60">
  <autoFilter ref="B14:AL18"/>
  <tableColumns count="37">
    <tableColumn id="1" name="Prodi" dataDxfId="59"/>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B5"/>
    <tableColumn id="14" name="C1"/>
    <tableColumn id="15" name="C2"/>
    <tableColumn id="16" name="D1"/>
    <tableColumn id="17" name="D2"/>
    <tableColumn id="18" name="E1"/>
    <tableColumn id="19" name="E2"/>
    <tableColumn id="20" name="E3"/>
    <tableColumn id="21" name="F1"/>
    <tableColumn id="22" name="F2"/>
    <tableColumn id="23" name="F3"/>
    <tableColumn id="24" name="G1"/>
    <tableColumn id="25" name="G2"/>
    <tableColumn id="26" name="G3"/>
    <tableColumn id="27" name="H1"/>
    <tableColumn id="28" name="H2"/>
    <tableColumn id="29" name="H3"/>
    <tableColumn id="30" name="H4"/>
    <tableColumn id="31" name="I1.1"/>
    <tableColumn id="32" name="I1.2"/>
    <tableColumn id="33" name="I1.3"/>
    <tableColumn id="34" name="I1.4"/>
    <tableColumn id="35" name="I1.5"/>
    <tableColumn id="36" name="I2.1"/>
    <tableColumn id="37" name="I2.2"/>
    <tableColumn id="38" name="I2.3"/>
    <tableColumn id="39" name="I2.4"/>
  </tableColumns>
  <tableStyleInfo name="TableStyleMedium2" showFirstColumn="0" showLastColumn="0" showRowStripes="1" showColumnStripes="0"/>
</table>
</file>

<file path=xl/tables/table18.xml><?xml version="1.0" encoding="utf-8"?>
<table xmlns="http://schemas.openxmlformats.org/spreadsheetml/2006/main" id="18" name="Table10141619" displayName="Table10141619" ref="B23:AM27" totalsRowShown="0" headerRowDxfId="58" dataDxfId="57">
  <autoFilter ref="B23:AM27"/>
  <tableColumns count="38">
    <tableColumn id="1" name="Prodi" dataDxfId="56"/>
    <tableColumn id="2" name="NIM"/>
    <tableColumn id="3" name="Nama Alumni yang bekerja di tempat Bapak / Ibu"/>
    <tableColumn id="4" name="Nama Responden"/>
    <tableColumn id="5" name="Nama Perusahaan"/>
    <tableColumn id="6" name="Jenis Perusahaan"/>
    <tableColumn id="7" name="Apakah memiliki cabang di Kota lain?"/>
    <tableColumn id="8" name="Apakah memiliki cabang di negara lain?"/>
    <tableColumn id="9" name="B1"/>
    <tableColumn id="10" name="B2"/>
    <tableColumn id="11" name="B3"/>
    <tableColumn id="12" name="B4"/>
    <tableColumn id="13" name="C1"/>
    <tableColumn id="14" name="C2"/>
    <tableColumn id="15" name="D1"/>
    <tableColumn id="16" name="D2"/>
    <tableColumn id="17" name="E1"/>
    <tableColumn id="18" name="E2"/>
    <tableColumn id="19" name="F1"/>
    <tableColumn id="20" name="F2"/>
    <tableColumn id="21" name="F3"/>
    <tableColumn id="22" name="F4"/>
    <tableColumn id="23" name="G1"/>
    <tableColumn id="24" name="G2"/>
    <tableColumn id="25" name="G3"/>
    <tableColumn id="26" name="H1"/>
    <tableColumn id="27" name="H2"/>
    <tableColumn id="28" name="H3"/>
    <tableColumn id="29" name="H4"/>
    <tableColumn id="30" name="I1.1"/>
    <tableColumn id="31" name="I1.2"/>
    <tableColumn id="32" name="I1.3"/>
    <tableColumn id="33" name="I1.4"/>
    <tableColumn id="34" name="I1.5"/>
    <tableColumn id="35" name="I2.1"/>
    <tableColumn id="36" name="I2.2"/>
    <tableColumn id="37" name="I2.3"/>
    <tableColumn id="38" name="I2.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egarheru@andromeda.co.id" TargetMode="External"/><Relationship Id="rId13" Type="http://schemas.openxmlformats.org/officeDocument/2006/relationships/hyperlink" Target="mailto:idiarto@telkom.co.id" TargetMode="External"/><Relationship Id="rId18" Type="http://schemas.openxmlformats.org/officeDocument/2006/relationships/hyperlink" Target="mailto:Fanino@rkzsby.com" TargetMode="External"/><Relationship Id="rId3" Type="http://schemas.openxmlformats.org/officeDocument/2006/relationships/hyperlink" Target="mailto:bca.travel@gmail.com" TargetMode="External"/><Relationship Id="rId7" Type="http://schemas.openxmlformats.org/officeDocument/2006/relationships/hyperlink" Target="mailto:tan.meilie@yahoo.com" TargetMode="External"/><Relationship Id="rId12" Type="http://schemas.openxmlformats.org/officeDocument/2006/relationships/hyperlink" Target="mailto:Ilmanza.kurniawan@semenindonesia.com" TargetMode="External"/><Relationship Id="rId17" Type="http://schemas.openxmlformats.org/officeDocument/2006/relationships/hyperlink" Target="mailto:Arifinspire7@gmail.com" TargetMode="External"/><Relationship Id="rId2" Type="http://schemas.openxmlformats.org/officeDocument/2006/relationships/hyperlink" Target="mailto:hrd.mssby@gmail.com" TargetMode="External"/><Relationship Id="rId16" Type="http://schemas.openxmlformats.org/officeDocument/2006/relationships/hyperlink" Target="mailto:Dinajt90@gmail.com" TargetMode="External"/><Relationship Id="rId20" Type="http://schemas.openxmlformats.org/officeDocument/2006/relationships/table" Target="../tables/table1.xml"/><Relationship Id="rId1" Type="http://schemas.openxmlformats.org/officeDocument/2006/relationships/hyperlink" Target="mailto:Janu.Bagus@aplog.com" TargetMode="External"/><Relationship Id="rId6" Type="http://schemas.openxmlformats.org/officeDocument/2006/relationships/hyperlink" Target="mailto:rahman.isnaini@indonet.co.id" TargetMode="External"/><Relationship Id="rId11" Type="http://schemas.openxmlformats.org/officeDocument/2006/relationships/hyperlink" Target="mailto:alfi@alive-resort.com" TargetMode="External"/><Relationship Id="rId5" Type="http://schemas.openxmlformats.org/officeDocument/2006/relationships/hyperlink" Target="mailto:Wiyluyustanti@unesa.ac.id" TargetMode="External"/><Relationship Id="rId15" Type="http://schemas.openxmlformats.org/officeDocument/2006/relationships/hyperlink" Target="mailto:dimas@agatos.com" TargetMode="External"/><Relationship Id="rId10" Type="http://schemas.openxmlformats.org/officeDocument/2006/relationships/hyperlink" Target="mailto:adegede@gmail.com" TargetMode="External"/><Relationship Id="rId19" Type="http://schemas.openxmlformats.org/officeDocument/2006/relationships/hyperlink" Target="mailto:dana@boga-jatim.id" TargetMode="External"/><Relationship Id="rId4" Type="http://schemas.openxmlformats.org/officeDocument/2006/relationships/hyperlink" Target="mailto:info@mikrobot.com" TargetMode="External"/><Relationship Id="rId9" Type="http://schemas.openxmlformats.org/officeDocument/2006/relationships/hyperlink" Target="mailto:tegarheru@andromeda.co.id" TargetMode="External"/><Relationship Id="rId14" Type="http://schemas.openxmlformats.org/officeDocument/2006/relationships/hyperlink" Target="mailto:amrihwidyawati@btn.co.i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karyautama.stel@gmail.com" TargetMode="External"/><Relationship Id="rId18" Type="http://schemas.openxmlformats.org/officeDocument/2006/relationships/hyperlink" Target="mailto:Yongki@fantasktic.com" TargetMode="External"/><Relationship Id="rId26" Type="http://schemas.openxmlformats.org/officeDocument/2006/relationships/hyperlink" Target="mailto:norman.erikson@niaga-logistics.com" TargetMode="External"/><Relationship Id="rId39" Type="http://schemas.openxmlformats.org/officeDocument/2006/relationships/hyperlink" Target="mailto:agustina@dinamika.ac.id" TargetMode="External"/><Relationship Id="rId21" Type="http://schemas.openxmlformats.org/officeDocument/2006/relationships/hyperlink" Target="mailto:Aries.kurniawan@lapan.co.id" TargetMode="External"/><Relationship Id="rId34" Type="http://schemas.openxmlformats.org/officeDocument/2006/relationships/hyperlink" Target="mailto:romeo@ray.co.id" TargetMode="External"/><Relationship Id="rId42" Type="http://schemas.openxmlformats.org/officeDocument/2006/relationships/hyperlink" Target="mailto:Reza.resa42@gmail.com" TargetMode="External"/><Relationship Id="rId47" Type="http://schemas.openxmlformats.org/officeDocument/2006/relationships/hyperlink" Target="mailto:Sutomo@dinamika.ac.id" TargetMode="External"/><Relationship Id="rId7" Type="http://schemas.openxmlformats.org/officeDocument/2006/relationships/hyperlink" Target="mailto:Captain.surockboyo@gmail.com" TargetMode="External"/><Relationship Id="rId2" Type="http://schemas.openxmlformats.org/officeDocument/2006/relationships/hyperlink" Target="mailto:mfaisal_tgp@yahoo.com" TargetMode="External"/><Relationship Id="rId16" Type="http://schemas.openxmlformats.org/officeDocument/2006/relationships/hyperlink" Target="mailto:sigitpangestu88@gmail.com" TargetMode="External"/><Relationship Id="rId29" Type="http://schemas.openxmlformats.org/officeDocument/2006/relationships/hyperlink" Target="mailto:romeo@ray.co.id" TargetMode="External"/><Relationship Id="rId11" Type="http://schemas.openxmlformats.org/officeDocument/2006/relationships/hyperlink" Target="mailto:meme_melin@rocketmail.com" TargetMode="External"/><Relationship Id="rId24" Type="http://schemas.openxmlformats.org/officeDocument/2006/relationships/hyperlink" Target="mailto:meli@dinamika@.ac.id" TargetMode="External"/><Relationship Id="rId32" Type="http://schemas.openxmlformats.org/officeDocument/2006/relationships/hyperlink" Target="mailto:hrd@genesysindonesia.com" TargetMode="External"/><Relationship Id="rId37" Type="http://schemas.openxmlformats.org/officeDocument/2006/relationships/hyperlink" Target="mailto:WennyChorniawati@yahoo.co.id" TargetMode="External"/><Relationship Id="rId40" Type="http://schemas.openxmlformats.org/officeDocument/2006/relationships/hyperlink" Target="mailto:Maryadi23@gmail.com" TargetMode="External"/><Relationship Id="rId45" Type="http://schemas.openxmlformats.org/officeDocument/2006/relationships/hyperlink" Target="mailto:Ira@dinamika.ac.id" TargetMode="External"/><Relationship Id="rId5" Type="http://schemas.openxmlformats.org/officeDocument/2006/relationships/hyperlink" Target="mailto:Yefta.tsw@gmail.com" TargetMode="External"/><Relationship Id="rId15" Type="http://schemas.openxmlformats.org/officeDocument/2006/relationships/hyperlink" Target="mailto:Aburevah@gmai.com" TargetMode="External"/><Relationship Id="rId23" Type="http://schemas.openxmlformats.org/officeDocument/2006/relationships/hyperlink" Target="mailto:Andrew@garasilabs.com" TargetMode="External"/><Relationship Id="rId28" Type="http://schemas.openxmlformats.org/officeDocument/2006/relationships/hyperlink" Target="mailto:romeo@ray.co.id" TargetMode="External"/><Relationship Id="rId36" Type="http://schemas.openxmlformats.org/officeDocument/2006/relationships/hyperlink" Target="mailto:Sutomo@dinamika.ac.id" TargetMode="External"/><Relationship Id="rId49" Type="http://schemas.openxmlformats.org/officeDocument/2006/relationships/table" Target="../tables/table2.xml"/><Relationship Id="rId10" Type="http://schemas.openxmlformats.org/officeDocument/2006/relationships/hyperlink" Target="mailto:alinnga.fajar@gmail.com" TargetMode="External"/><Relationship Id="rId19" Type="http://schemas.openxmlformats.org/officeDocument/2006/relationships/hyperlink" Target="mailto:Yudihasoyo@gmail.com" TargetMode="External"/><Relationship Id="rId31" Type="http://schemas.openxmlformats.org/officeDocument/2006/relationships/hyperlink" Target="mailto:hrd@genesysindonesia.com" TargetMode="External"/><Relationship Id="rId44" Type="http://schemas.openxmlformats.org/officeDocument/2006/relationships/hyperlink" Target="mailto:Ira@dinamika.ac.id" TargetMode="External"/><Relationship Id="rId4" Type="http://schemas.openxmlformats.org/officeDocument/2006/relationships/hyperlink" Target="mailto:info@wellracom.co.id" TargetMode="External"/><Relationship Id="rId9" Type="http://schemas.openxmlformats.org/officeDocument/2006/relationships/hyperlink" Target="mailto:mansa@hakiki.com" TargetMode="External"/><Relationship Id="rId14" Type="http://schemas.openxmlformats.org/officeDocument/2006/relationships/hyperlink" Target="mailto:Muhammad.Badrunami@gmail.com" TargetMode="External"/><Relationship Id="rId22" Type="http://schemas.openxmlformats.org/officeDocument/2006/relationships/hyperlink" Target="mailto:Sekar@dinamika.ac.id" TargetMode="External"/><Relationship Id="rId27" Type="http://schemas.openxmlformats.org/officeDocument/2006/relationships/hyperlink" Target="mailto:Sutomo@dinamika.ac.id" TargetMode="External"/><Relationship Id="rId30" Type="http://schemas.openxmlformats.org/officeDocument/2006/relationships/hyperlink" Target="mailto:romeo@ray.co.id" TargetMode="External"/><Relationship Id="rId35" Type="http://schemas.openxmlformats.org/officeDocument/2006/relationships/hyperlink" Target="mailto:romeo@ray.co.id" TargetMode="External"/><Relationship Id="rId43" Type="http://schemas.openxmlformats.org/officeDocument/2006/relationships/hyperlink" Target="mailto:Heru76cahyono@gmail.com" TargetMode="External"/><Relationship Id="rId48" Type="http://schemas.openxmlformats.org/officeDocument/2006/relationships/hyperlink" Target="mailto:Farah.almas@endo.id" TargetMode="External"/><Relationship Id="rId8" Type="http://schemas.openxmlformats.org/officeDocument/2006/relationships/hyperlink" Target="mailto:Recruitment@merakjaya.co.id" TargetMode="External"/><Relationship Id="rId3" Type="http://schemas.openxmlformats.org/officeDocument/2006/relationships/hyperlink" Target="mailto:Gunawan@dinamika.ac.id" TargetMode="External"/><Relationship Id="rId12" Type="http://schemas.openxmlformats.org/officeDocument/2006/relationships/hyperlink" Target="mailto:antoboga8@gmail.com" TargetMode="External"/><Relationship Id="rId17" Type="http://schemas.openxmlformats.org/officeDocument/2006/relationships/hyperlink" Target="mailto:hrdpapayadas@gmail.com" TargetMode="External"/><Relationship Id="rId25" Type="http://schemas.openxmlformats.org/officeDocument/2006/relationships/hyperlink" Target="mailto:Mohammad.Zulchaidir@gmail.com" TargetMode="External"/><Relationship Id="rId33" Type="http://schemas.openxmlformats.org/officeDocument/2006/relationships/hyperlink" Target="mailto:Andrew@garasilabs.com" TargetMode="External"/><Relationship Id="rId38" Type="http://schemas.openxmlformats.org/officeDocument/2006/relationships/hyperlink" Target="mailto:agustina@dinamika.ac.id" TargetMode="External"/><Relationship Id="rId46" Type="http://schemas.openxmlformats.org/officeDocument/2006/relationships/hyperlink" Target="mailto:Ira@dinamika.ac.id" TargetMode="External"/><Relationship Id="rId20" Type="http://schemas.openxmlformats.org/officeDocument/2006/relationships/hyperlink" Target="mailto:Asutandharu@gmail.com" TargetMode="External"/><Relationship Id="rId41" Type="http://schemas.openxmlformats.org/officeDocument/2006/relationships/hyperlink" Target="mailto:A_setyawan@telkomsel.co.id" TargetMode="External"/><Relationship Id="rId1" Type="http://schemas.openxmlformats.org/officeDocument/2006/relationships/hyperlink" Target="mailto:nandhikusuma@gmail.com" TargetMode="External"/><Relationship Id="rId6" Type="http://schemas.openxmlformats.org/officeDocument/2006/relationships/hyperlink" Target="mailto:Agus.Hidayat@slackware_id.or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arketing@sevima.co.id" TargetMode="External"/><Relationship Id="rId2" Type="http://schemas.openxmlformats.org/officeDocument/2006/relationships/hyperlink" Target="mailto:aseprohendi704@gmail.com" TargetMode="External"/><Relationship Id="rId1" Type="http://schemas.openxmlformats.org/officeDocument/2006/relationships/hyperlink" Target="mailto:nurusatik71@gmail.com" TargetMode="External"/><Relationship Id="rId5" Type="http://schemas.openxmlformats.org/officeDocument/2006/relationships/table" Target="../tables/table3.xml"/><Relationship Id="rId4" Type="http://schemas.openxmlformats.org/officeDocument/2006/relationships/hyperlink" Target="mailto:partnership@bm.co.i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iki.dconsultingbc@gmail.com" TargetMode="External"/><Relationship Id="rId2" Type="http://schemas.openxmlformats.org/officeDocument/2006/relationships/hyperlink" Target="mailto:kkppermadi@gmail.com" TargetMode="External"/><Relationship Id="rId1" Type="http://schemas.openxmlformats.org/officeDocument/2006/relationships/hyperlink" Target="mailto:kkppermadi@gmail.com" TargetMode="External"/><Relationship Id="rId6" Type="http://schemas.openxmlformats.org/officeDocument/2006/relationships/table" Target="../tables/table4.xml"/><Relationship Id="rId5" Type="http://schemas.openxmlformats.org/officeDocument/2006/relationships/printerSettings" Target="../printerSettings/printerSettings1.bin"/><Relationship Id="rId4" Type="http://schemas.openxmlformats.org/officeDocument/2006/relationships/hyperlink" Target="mailto:avoconsultant.adm@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8" Type="http://schemas.openxmlformats.org/officeDocument/2006/relationships/hyperlink" Target="mailto:Agus.Hidayat@slackware_id.org" TargetMode="External"/><Relationship Id="rId13" Type="http://schemas.openxmlformats.org/officeDocument/2006/relationships/hyperlink" Target="mailto:bumindosakti@gmail.com" TargetMode="External"/><Relationship Id="rId3" Type="http://schemas.openxmlformats.org/officeDocument/2006/relationships/hyperlink" Target="mailto:Captain.surockboyo@gmail.com" TargetMode="External"/><Relationship Id="rId7" Type="http://schemas.openxmlformats.org/officeDocument/2006/relationships/hyperlink" Target="mailto:Yefta.tsw@gmail.com" TargetMode="External"/><Relationship Id="rId12" Type="http://schemas.openxmlformats.org/officeDocument/2006/relationships/hyperlink" Target="mailto:bumindosakti@gmail.com" TargetMode="External"/><Relationship Id="rId2" Type="http://schemas.openxmlformats.org/officeDocument/2006/relationships/hyperlink" Target="mailto:Agus.Hidayat@slackware_id.org" TargetMode="External"/><Relationship Id="rId1" Type="http://schemas.openxmlformats.org/officeDocument/2006/relationships/hyperlink" Target="mailto:Yefta.tsw@gmail.com" TargetMode="External"/><Relationship Id="rId6" Type="http://schemas.openxmlformats.org/officeDocument/2006/relationships/hyperlink" Target="mailto:bumindosakti@gmail.com" TargetMode="External"/><Relationship Id="rId11" Type="http://schemas.openxmlformats.org/officeDocument/2006/relationships/hyperlink" Target="mailto:partnership@bm.co.id" TargetMode="External"/><Relationship Id="rId5" Type="http://schemas.openxmlformats.org/officeDocument/2006/relationships/hyperlink" Target="mailto:partnership@bm.co.id" TargetMode="External"/><Relationship Id="rId15" Type="http://schemas.openxmlformats.org/officeDocument/2006/relationships/table" Target="../tables/table15.xml"/><Relationship Id="rId10" Type="http://schemas.openxmlformats.org/officeDocument/2006/relationships/hyperlink" Target="mailto:Recruitment@merakjaya.co.id" TargetMode="External"/><Relationship Id="rId4" Type="http://schemas.openxmlformats.org/officeDocument/2006/relationships/hyperlink" Target="mailto:Recruitment@merakjaya.co.id" TargetMode="External"/><Relationship Id="rId9" Type="http://schemas.openxmlformats.org/officeDocument/2006/relationships/hyperlink" Target="mailto:Captain.surockboyo@gmail.com" TargetMode="External"/><Relationship Id="rId14"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4.bin"/><Relationship Id="rId4"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E316"/>
  <sheetViews>
    <sheetView topLeftCell="A103" zoomScale="70" zoomScaleNormal="70" workbookViewId="0">
      <selection activeCell="C126" sqref="C126"/>
    </sheetView>
  </sheetViews>
  <sheetFormatPr defaultRowHeight="15" x14ac:dyDescent="0.25"/>
  <cols>
    <col min="1" max="1" width="2.5703125" customWidth="1"/>
    <col min="2" max="2" width="60.7109375" bestFit="1" customWidth="1"/>
    <col min="3" max="3" width="20.5703125" customWidth="1"/>
    <col min="4" max="4" width="25" bestFit="1" customWidth="1"/>
    <col min="5" max="5" width="13.28515625" customWidth="1"/>
    <col min="6" max="6" width="31.7109375" bestFit="1" customWidth="1"/>
    <col min="7" max="7" width="26.140625" bestFit="1" customWidth="1"/>
    <col min="8" max="8" width="4.5703125" customWidth="1"/>
    <col min="9" max="9" width="46.7109375" bestFit="1" customWidth="1"/>
    <col min="10" max="10" width="22.140625" customWidth="1"/>
    <col min="11" max="11" width="20.140625" customWidth="1"/>
    <col min="12" max="12" width="15.28515625" customWidth="1"/>
    <col min="13" max="13" width="18.28515625" customWidth="1"/>
    <col min="14" max="14" width="14" customWidth="1"/>
    <col min="15" max="15" width="6.28515625" customWidth="1"/>
    <col min="16" max="16" width="46.7109375" bestFit="1" customWidth="1"/>
    <col min="17" max="17" width="16.85546875" bestFit="1" customWidth="1"/>
    <col min="18" max="18" width="10.5703125" customWidth="1"/>
    <col min="19" max="19" width="8.7109375" customWidth="1"/>
    <col min="20" max="20" width="11.855468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7.85546875" bestFit="1"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7.5703125" bestFit="1" customWidth="1"/>
    <col min="48" max="48" width="30.7109375" customWidth="1"/>
    <col min="49" max="49" width="30" customWidth="1"/>
    <col min="50" max="51" width="7.85546875" bestFit="1" customWidth="1"/>
    <col min="52" max="52" width="8.85546875" bestFit="1" customWidth="1"/>
    <col min="53" max="53" width="7.85546875" bestFit="1" customWidth="1"/>
    <col min="54" max="54" width="39.28515625" customWidth="1"/>
    <col min="55" max="55" width="10.42578125" bestFit="1" customWidth="1"/>
    <col min="56" max="56" width="73.7109375" customWidth="1"/>
    <col min="57" max="57" width="98.28515625" bestFit="1" customWidth="1"/>
  </cols>
  <sheetData>
    <row r="1" spans="2:57"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7" ht="33" x14ac:dyDescent="0.25">
      <c r="B2" s="1" t="s">
        <v>13</v>
      </c>
      <c r="C2" s="1" t="s">
        <v>66</v>
      </c>
      <c r="D2" s="1" t="s">
        <v>14</v>
      </c>
      <c r="E2" s="1" t="s">
        <v>15</v>
      </c>
      <c r="F2" s="1" t="s">
        <v>16</v>
      </c>
      <c r="G2" s="40" t="s">
        <v>17</v>
      </c>
      <c r="H2" s="40" t="s">
        <v>18</v>
      </c>
      <c r="I2" s="40" t="s">
        <v>19</v>
      </c>
      <c r="J2" s="40" t="s">
        <v>20</v>
      </c>
      <c r="K2" s="40" t="s">
        <v>21</v>
      </c>
      <c r="L2" s="40" t="s">
        <v>22</v>
      </c>
      <c r="M2" s="40" t="s">
        <v>23</v>
      </c>
      <c r="N2" s="40" t="s">
        <v>24</v>
      </c>
      <c r="O2" s="40" t="s">
        <v>25</v>
      </c>
      <c r="P2" s="41" t="s">
        <v>26</v>
      </c>
      <c r="Q2" s="41" t="s">
        <v>27</v>
      </c>
      <c r="R2" s="41" t="s">
        <v>28</v>
      </c>
      <c r="S2" s="41" t="s">
        <v>29</v>
      </c>
      <c r="T2" s="41" t="s">
        <v>30</v>
      </c>
      <c r="U2" s="42" t="s">
        <v>31</v>
      </c>
      <c r="V2" s="42" t="s">
        <v>32</v>
      </c>
      <c r="W2" s="43" t="s">
        <v>33</v>
      </c>
      <c r="X2" s="43" t="s">
        <v>34</v>
      </c>
      <c r="Y2" s="44" t="s">
        <v>35</v>
      </c>
      <c r="Z2" s="44" t="s">
        <v>36</v>
      </c>
      <c r="AA2" s="45" t="s">
        <v>37</v>
      </c>
      <c r="AB2" s="45" t="s">
        <v>38</v>
      </c>
      <c r="AC2" s="45" t="s">
        <v>39</v>
      </c>
      <c r="AD2" s="46" t="s">
        <v>40</v>
      </c>
      <c r="AE2" s="46" t="s">
        <v>41</v>
      </c>
      <c r="AF2" s="47" t="s">
        <v>42</v>
      </c>
      <c r="AG2" s="47" t="s">
        <v>43</v>
      </c>
      <c r="AH2" s="47" t="s">
        <v>44</v>
      </c>
      <c r="AI2" s="47" t="s">
        <v>45</v>
      </c>
      <c r="AJ2" s="48" t="s">
        <v>46</v>
      </c>
      <c r="AK2" s="48" t="s">
        <v>47</v>
      </c>
      <c r="AL2" s="48" t="s">
        <v>48</v>
      </c>
      <c r="AM2" s="48" t="s">
        <v>49</v>
      </c>
      <c r="AN2" s="48" t="s">
        <v>50</v>
      </c>
      <c r="AO2" s="49" t="s">
        <v>51</v>
      </c>
      <c r="AP2" s="49" t="s">
        <v>52</v>
      </c>
      <c r="AQ2" s="49" t="s">
        <v>53</v>
      </c>
      <c r="AR2" s="49" t="s">
        <v>54</v>
      </c>
      <c r="AS2" s="50" t="s">
        <v>55</v>
      </c>
      <c r="AT2" s="50" t="s">
        <v>56</v>
      </c>
      <c r="AU2" s="50" t="s">
        <v>57</v>
      </c>
      <c r="AV2" s="50" t="s">
        <v>58</v>
      </c>
      <c r="AW2" s="51" t="s">
        <v>11</v>
      </c>
      <c r="AX2" s="51" t="s">
        <v>59</v>
      </c>
      <c r="AY2" s="51" t="s">
        <v>60</v>
      </c>
      <c r="AZ2" s="51" t="s">
        <v>61</v>
      </c>
      <c r="BA2" s="51" t="s">
        <v>62</v>
      </c>
      <c r="BB2" s="51" t="s">
        <v>63</v>
      </c>
      <c r="BC2" s="52" t="s">
        <v>12</v>
      </c>
      <c r="BD2" s="52" t="s">
        <v>64</v>
      </c>
      <c r="BE2" s="53" t="s">
        <v>65</v>
      </c>
    </row>
    <row r="3" spans="2:57" ht="66" x14ac:dyDescent="0.25">
      <c r="B3" s="1">
        <v>2016</v>
      </c>
      <c r="C3" s="1" t="s">
        <v>73</v>
      </c>
      <c r="D3" s="1" t="s">
        <v>67</v>
      </c>
      <c r="E3" s="2">
        <v>13390150004</v>
      </c>
      <c r="F3" s="2" t="s">
        <v>77</v>
      </c>
      <c r="G3" s="3" t="s">
        <v>78</v>
      </c>
      <c r="H3" s="4" t="s">
        <v>79</v>
      </c>
      <c r="I3" s="5" t="s">
        <v>80</v>
      </c>
      <c r="J3" s="6" t="s">
        <v>81</v>
      </c>
      <c r="K3" s="6" t="s">
        <v>82</v>
      </c>
      <c r="L3" s="4" t="s">
        <v>83</v>
      </c>
      <c r="M3" s="6" t="s">
        <v>84</v>
      </c>
      <c r="N3" s="6">
        <v>1</v>
      </c>
      <c r="O3" s="6">
        <v>1</v>
      </c>
      <c r="P3" s="7" t="s">
        <v>69</v>
      </c>
      <c r="Q3" s="7" t="s">
        <v>1</v>
      </c>
      <c r="R3" s="7" t="s">
        <v>1</v>
      </c>
      <c r="S3" s="7" t="s">
        <v>1</v>
      </c>
      <c r="T3" s="7" t="s">
        <v>69</v>
      </c>
      <c r="U3" s="8" t="s">
        <v>75</v>
      </c>
      <c r="V3" s="8" t="s">
        <v>69</v>
      </c>
      <c r="W3" s="9" t="s">
        <v>1</v>
      </c>
      <c r="X3" s="9" t="s">
        <v>1</v>
      </c>
      <c r="Y3" s="10" t="s">
        <v>1</v>
      </c>
      <c r="Z3" s="10" t="s">
        <v>1</v>
      </c>
      <c r="AA3" s="11" t="s">
        <v>69</v>
      </c>
      <c r="AB3" s="11" t="s">
        <v>69</v>
      </c>
      <c r="AC3" s="11" t="s">
        <v>69</v>
      </c>
      <c r="AD3" s="12" t="s">
        <v>69</v>
      </c>
      <c r="AE3" s="12" t="s">
        <v>1</v>
      </c>
      <c r="AF3" s="13" t="s">
        <v>1</v>
      </c>
      <c r="AG3" s="13" t="s">
        <v>1</v>
      </c>
      <c r="AH3" s="13" t="s">
        <v>69</v>
      </c>
      <c r="AI3" s="13" t="s">
        <v>69</v>
      </c>
      <c r="AJ3" s="14" t="s">
        <v>1</v>
      </c>
      <c r="AK3" s="14" t="s">
        <v>75</v>
      </c>
      <c r="AL3" s="14" t="s">
        <v>69</v>
      </c>
      <c r="AM3" s="14" t="s">
        <v>1</v>
      </c>
      <c r="AN3" s="14" t="s">
        <v>69</v>
      </c>
      <c r="AO3" s="15" t="s">
        <v>1</v>
      </c>
      <c r="AP3" s="15" t="s">
        <v>69</v>
      </c>
      <c r="AQ3" s="15" t="s">
        <v>1</v>
      </c>
      <c r="AR3" s="15" t="s">
        <v>1</v>
      </c>
      <c r="AS3" s="16" t="s">
        <v>70</v>
      </c>
      <c r="AT3" s="16"/>
      <c r="AU3" s="16" t="s">
        <v>71</v>
      </c>
      <c r="AV3" s="16"/>
      <c r="AW3" s="17" t="s">
        <v>72</v>
      </c>
      <c r="AX3" s="17" t="s">
        <v>72</v>
      </c>
      <c r="AY3" s="17" t="s">
        <v>72</v>
      </c>
      <c r="AZ3" s="17" t="s">
        <v>71</v>
      </c>
      <c r="BA3" s="17" t="s">
        <v>72</v>
      </c>
      <c r="BB3" s="17"/>
      <c r="BC3" s="18" t="s">
        <v>69</v>
      </c>
      <c r="BD3" s="19"/>
      <c r="BE3" s="20"/>
    </row>
    <row r="4" spans="2:57" ht="33" x14ac:dyDescent="0.25">
      <c r="B4" s="1">
        <v>2016</v>
      </c>
      <c r="C4" s="1" t="s">
        <v>73</v>
      </c>
      <c r="D4" s="1" t="s">
        <v>67</v>
      </c>
      <c r="E4" s="2">
        <v>12390150001</v>
      </c>
      <c r="F4" s="2" t="s">
        <v>85</v>
      </c>
      <c r="G4" s="3" t="s">
        <v>86</v>
      </c>
      <c r="H4" s="6" t="s">
        <v>68</v>
      </c>
      <c r="I4" s="5" t="s">
        <v>68</v>
      </c>
      <c r="J4" s="6" t="s">
        <v>87</v>
      </c>
      <c r="K4" s="6" t="s">
        <v>68</v>
      </c>
      <c r="L4" s="6" t="s">
        <v>68</v>
      </c>
      <c r="M4" s="6" t="s">
        <v>88</v>
      </c>
      <c r="N4" s="6">
        <v>5</v>
      </c>
      <c r="O4" s="6">
        <v>60</v>
      </c>
      <c r="P4" s="7" t="s">
        <v>69</v>
      </c>
      <c r="Q4" s="7" t="s">
        <v>69</v>
      </c>
      <c r="R4" s="7" t="s">
        <v>69</v>
      </c>
      <c r="S4" s="7" t="s">
        <v>69</v>
      </c>
      <c r="T4" s="7" t="s">
        <v>69</v>
      </c>
      <c r="U4" s="8" t="s">
        <v>1</v>
      </c>
      <c r="V4" s="8" t="s">
        <v>69</v>
      </c>
      <c r="W4" s="9" t="s">
        <v>69</v>
      </c>
      <c r="X4" s="9" t="s">
        <v>69</v>
      </c>
      <c r="Y4" s="10" t="s">
        <v>1</v>
      </c>
      <c r="Z4" s="10" t="s">
        <v>69</v>
      </c>
      <c r="AA4" s="11" t="s">
        <v>69</v>
      </c>
      <c r="AB4" s="11" t="s">
        <v>69</v>
      </c>
      <c r="AC4" s="11" t="s">
        <v>69</v>
      </c>
      <c r="AD4" s="12" t="s">
        <v>69</v>
      </c>
      <c r="AE4" s="12" t="s">
        <v>69</v>
      </c>
      <c r="AF4" s="13" t="s">
        <v>69</v>
      </c>
      <c r="AG4" s="13" t="s">
        <v>69</v>
      </c>
      <c r="AH4" s="13" t="s">
        <v>1</v>
      </c>
      <c r="AI4" s="13" t="s">
        <v>69</v>
      </c>
      <c r="AJ4" s="14" t="s">
        <v>69</v>
      </c>
      <c r="AK4" s="14" t="s">
        <v>69</v>
      </c>
      <c r="AL4" s="14" t="s">
        <v>69</v>
      </c>
      <c r="AM4" s="14" t="s">
        <v>69</v>
      </c>
      <c r="AN4" s="14" t="s">
        <v>69</v>
      </c>
      <c r="AO4" s="15" t="s">
        <v>69</v>
      </c>
      <c r="AP4" s="15" t="s">
        <v>1</v>
      </c>
      <c r="AQ4" s="15" t="s">
        <v>69</v>
      </c>
      <c r="AR4" s="15" t="s">
        <v>69</v>
      </c>
      <c r="AS4" s="16" t="s">
        <v>76</v>
      </c>
      <c r="AT4" s="16" t="s">
        <v>68</v>
      </c>
      <c r="AU4" s="16" t="s">
        <v>72</v>
      </c>
      <c r="AV4" s="16" t="s">
        <v>68</v>
      </c>
      <c r="AW4" s="17" t="s">
        <v>71</v>
      </c>
      <c r="AX4" s="17" t="s">
        <v>71</v>
      </c>
      <c r="AY4" s="17" t="s">
        <v>72</v>
      </c>
      <c r="AZ4" s="17" t="s">
        <v>72</v>
      </c>
      <c r="BA4" s="17" t="s">
        <v>71</v>
      </c>
      <c r="BB4" s="17" t="s">
        <v>68</v>
      </c>
      <c r="BC4" s="18" t="s">
        <v>69</v>
      </c>
      <c r="BD4" s="19" t="s">
        <v>89</v>
      </c>
      <c r="BE4" s="20" t="s">
        <v>68</v>
      </c>
    </row>
    <row r="5" spans="2:57" ht="66" x14ac:dyDescent="0.25">
      <c r="B5" s="1">
        <v>2016</v>
      </c>
      <c r="C5" s="1" t="s">
        <v>73</v>
      </c>
      <c r="D5" s="1" t="s">
        <v>90</v>
      </c>
      <c r="E5" s="2">
        <v>12390100006</v>
      </c>
      <c r="F5" s="2" t="s">
        <v>95</v>
      </c>
      <c r="G5" s="3" t="s">
        <v>96</v>
      </c>
      <c r="H5" s="4" t="s">
        <v>97</v>
      </c>
      <c r="I5" s="5" t="s">
        <v>98</v>
      </c>
      <c r="J5" s="6" t="s">
        <v>99</v>
      </c>
      <c r="K5" s="6" t="s">
        <v>100</v>
      </c>
      <c r="L5" s="6">
        <v>313579374</v>
      </c>
      <c r="M5" s="6" t="s">
        <v>101</v>
      </c>
      <c r="N5" s="6">
        <v>1</v>
      </c>
      <c r="O5" s="6">
        <v>12</v>
      </c>
      <c r="P5" s="7" t="s">
        <v>1</v>
      </c>
      <c r="Q5" s="7" t="s">
        <v>1</v>
      </c>
      <c r="R5" s="7" t="s">
        <v>1</v>
      </c>
      <c r="S5" s="7" t="s">
        <v>1</v>
      </c>
      <c r="T5" s="7" t="s">
        <v>69</v>
      </c>
      <c r="U5" s="8" t="s">
        <v>1</v>
      </c>
      <c r="V5" s="8" t="s">
        <v>1</v>
      </c>
      <c r="W5" s="9" t="s">
        <v>75</v>
      </c>
      <c r="X5" s="9" t="s">
        <v>75</v>
      </c>
      <c r="Y5" s="10" t="s">
        <v>1</v>
      </c>
      <c r="Z5" s="10" t="s">
        <v>1</v>
      </c>
      <c r="AA5" s="11" t="s">
        <v>1</v>
      </c>
      <c r="AB5" s="11" t="s">
        <v>1</v>
      </c>
      <c r="AC5" s="11" t="s">
        <v>1</v>
      </c>
      <c r="AD5" s="12" t="s">
        <v>1</v>
      </c>
      <c r="AE5" s="12" t="s">
        <v>1</v>
      </c>
      <c r="AF5" s="13" t="s">
        <v>1</v>
      </c>
      <c r="AG5" s="13" t="s">
        <v>1</v>
      </c>
      <c r="AH5" s="13" t="s">
        <v>1</v>
      </c>
      <c r="AI5" s="13" t="s">
        <v>1</v>
      </c>
      <c r="AJ5" s="14" t="s">
        <v>1</v>
      </c>
      <c r="AK5" s="14" t="s">
        <v>1</v>
      </c>
      <c r="AL5" s="14" t="s">
        <v>1</v>
      </c>
      <c r="AM5" s="14" t="s">
        <v>1</v>
      </c>
      <c r="AN5" s="14" t="s">
        <v>1</v>
      </c>
      <c r="AO5" s="15" t="s">
        <v>1</v>
      </c>
      <c r="AP5" s="15" t="s">
        <v>1</v>
      </c>
      <c r="AQ5" s="15" t="s">
        <v>1</v>
      </c>
      <c r="AR5" s="15" t="s">
        <v>1</v>
      </c>
      <c r="AS5" s="16" t="s">
        <v>70</v>
      </c>
      <c r="AT5" s="16" t="s">
        <v>102</v>
      </c>
      <c r="AU5" s="16" t="s">
        <v>71</v>
      </c>
      <c r="AV5" s="16" t="s">
        <v>103</v>
      </c>
      <c r="AW5" s="17" t="s">
        <v>72</v>
      </c>
      <c r="AX5" s="17" t="s">
        <v>72</v>
      </c>
      <c r="AY5" s="17" t="s">
        <v>71</v>
      </c>
      <c r="AZ5" s="17" t="s">
        <v>72</v>
      </c>
      <c r="BA5" s="17" t="s">
        <v>72</v>
      </c>
      <c r="BB5" s="17"/>
      <c r="BC5" s="18" t="s">
        <v>1</v>
      </c>
      <c r="BD5" s="19" t="s">
        <v>104</v>
      </c>
      <c r="BE5" s="20" t="s">
        <v>105</v>
      </c>
    </row>
    <row r="6" spans="2:57" ht="49.5" x14ac:dyDescent="0.25">
      <c r="B6" s="1">
        <v>2016</v>
      </c>
      <c r="C6" s="1" t="s">
        <v>73</v>
      </c>
      <c r="D6" s="1" t="s">
        <v>90</v>
      </c>
      <c r="E6" s="2">
        <v>13390100011</v>
      </c>
      <c r="F6" s="2" t="s">
        <v>106</v>
      </c>
      <c r="G6" s="3" t="s">
        <v>68</v>
      </c>
      <c r="H6" s="6" t="s">
        <v>68</v>
      </c>
      <c r="I6" s="5" t="s">
        <v>68</v>
      </c>
      <c r="J6" s="6" t="s">
        <v>107</v>
      </c>
      <c r="K6" s="6" t="s">
        <v>108</v>
      </c>
      <c r="L6" s="6" t="s">
        <v>68</v>
      </c>
      <c r="M6" s="6" t="s">
        <v>109</v>
      </c>
      <c r="N6" s="6">
        <v>1</v>
      </c>
      <c r="O6" s="6">
        <v>12</v>
      </c>
      <c r="P6" s="7" t="s">
        <v>1</v>
      </c>
      <c r="Q6" s="7" t="s">
        <v>1</v>
      </c>
      <c r="R6" s="7" t="s">
        <v>1</v>
      </c>
      <c r="S6" s="7" t="s">
        <v>1</v>
      </c>
      <c r="T6" s="7" t="s">
        <v>69</v>
      </c>
      <c r="U6" s="8" t="s">
        <v>1</v>
      </c>
      <c r="V6" s="8" t="s">
        <v>1</v>
      </c>
      <c r="W6" s="9" t="s">
        <v>75</v>
      </c>
      <c r="X6" s="9" t="s">
        <v>75</v>
      </c>
      <c r="Y6" s="10" t="s">
        <v>69</v>
      </c>
      <c r="Z6" s="10" t="s">
        <v>69</v>
      </c>
      <c r="AA6" s="11" t="s">
        <v>69</v>
      </c>
      <c r="AB6" s="11" t="s">
        <v>69</v>
      </c>
      <c r="AC6" s="11" t="s">
        <v>69</v>
      </c>
      <c r="AD6" s="12" t="s">
        <v>69</v>
      </c>
      <c r="AE6" s="12" t="s">
        <v>69</v>
      </c>
      <c r="AF6" s="13" t="s">
        <v>1</v>
      </c>
      <c r="AG6" s="13" t="s">
        <v>1</v>
      </c>
      <c r="AH6" s="13" t="s">
        <v>1</v>
      </c>
      <c r="AI6" s="13" t="s">
        <v>1</v>
      </c>
      <c r="AJ6" s="14" t="s">
        <v>1</v>
      </c>
      <c r="AK6" s="14" t="s">
        <v>1</v>
      </c>
      <c r="AL6" s="14" t="s">
        <v>1</v>
      </c>
      <c r="AM6" s="14" t="s">
        <v>1</v>
      </c>
      <c r="AN6" s="14" t="s">
        <v>1</v>
      </c>
      <c r="AO6" s="15" t="s">
        <v>69</v>
      </c>
      <c r="AP6" s="15" t="s">
        <v>69</v>
      </c>
      <c r="AQ6" s="15" t="s">
        <v>69</v>
      </c>
      <c r="AR6" s="15" t="s">
        <v>69</v>
      </c>
      <c r="AS6" s="16" t="s">
        <v>70</v>
      </c>
      <c r="AT6" s="16" t="s">
        <v>68</v>
      </c>
      <c r="AU6" s="16" t="s">
        <v>71</v>
      </c>
      <c r="AV6" s="16" t="s">
        <v>68</v>
      </c>
      <c r="AW6" s="17" t="s">
        <v>72</v>
      </c>
      <c r="AX6" s="17" t="s">
        <v>72</v>
      </c>
      <c r="AY6" s="17" t="s">
        <v>72</v>
      </c>
      <c r="AZ6" s="17" t="s">
        <v>72</v>
      </c>
      <c r="BA6" s="17" t="s">
        <v>72</v>
      </c>
      <c r="BB6" s="17" t="s">
        <v>68</v>
      </c>
      <c r="BC6" s="18" t="s">
        <v>1</v>
      </c>
      <c r="BD6" s="19" t="s">
        <v>68</v>
      </c>
      <c r="BE6" s="20" t="s">
        <v>68</v>
      </c>
    </row>
    <row r="7" spans="2:57" ht="49.5" x14ac:dyDescent="0.25">
      <c r="B7" s="1">
        <v>2016</v>
      </c>
      <c r="C7" s="1" t="s">
        <v>73</v>
      </c>
      <c r="D7" s="1" t="s">
        <v>90</v>
      </c>
      <c r="E7" s="2">
        <v>13390100013</v>
      </c>
      <c r="F7" s="2" t="s">
        <v>110</v>
      </c>
      <c r="G7" s="3" t="s">
        <v>111</v>
      </c>
      <c r="H7" s="6"/>
      <c r="I7" s="5" t="s">
        <v>112</v>
      </c>
      <c r="J7" s="6" t="s">
        <v>113</v>
      </c>
      <c r="K7" s="6" t="s">
        <v>114</v>
      </c>
      <c r="L7" s="6">
        <v>2981040</v>
      </c>
      <c r="M7" s="6" t="s">
        <v>74</v>
      </c>
      <c r="N7" s="6">
        <v>4</v>
      </c>
      <c r="O7" s="6">
        <v>60</v>
      </c>
      <c r="P7" s="7" t="s">
        <v>69</v>
      </c>
      <c r="Q7" s="7" t="s">
        <v>69</v>
      </c>
      <c r="R7" s="7" t="s">
        <v>1</v>
      </c>
      <c r="S7" s="7" t="s">
        <v>1</v>
      </c>
      <c r="T7" s="7" t="s">
        <v>1</v>
      </c>
      <c r="U7" s="8" t="s">
        <v>69</v>
      </c>
      <c r="V7" s="8" t="s">
        <v>69</v>
      </c>
      <c r="W7" s="9" t="s">
        <v>1</v>
      </c>
      <c r="X7" s="9" t="s">
        <v>1</v>
      </c>
      <c r="Y7" s="10" t="s">
        <v>69</v>
      </c>
      <c r="Z7" s="10" t="s">
        <v>69</v>
      </c>
      <c r="AA7" s="11" t="s">
        <v>69</v>
      </c>
      <c r="AB7" s="11" t="s">
        <v>69</v>
      </c>
      <c r="AC7" s="11" t="s">
        <v>69</v>
      </c>
      <c r="AD7" s="12" t="s">
        <v>69</v>
      </c>
      <c r="AE7" s="12" t="s">
        <v>69</v>
      </c>
      <c r="AF7" s="13" t="s">
        <v>69</v>
      </c>
      <c r="AG7" s="13" t="s">
        <v>69</v>
      </c>
      <c r="AH7" s="13" t="s">
        <v>69</v>
      </c>
      <c r="AI7" s="13" t="s">
        <v>69</v>
      </c>
      <c r="AJ7" s="14" t="s">
        <v>69</v>
      </c>
      <c r="AK7" s="14" t="s">
        <v>69</v>
      </c>
      <c r="AL7" s="14" t="s">
        <v>69</v>
      </c>
      <c r="AM7" s="14" t="s">
        <v>69</v>
      </c>
      <c r="AN7" s="14" t="s">
        <v>69</v>
      </c>
      <c r="AO7" s="15" t="s">
        <v>69</v>
      </c>
      <c r="AP7" s="15" t="s">
        <v>69</v>
      </c>
      <c r="AQ7" s="15" t="s">
        <v>69</v>
      </c>
      <c r="AR7" s="15" t="s">
        <v>69</v>
      </c>
      <c r="AS7" s="16" t="s">
        <v>70</v>
      </c>
      <c r="AT7" s="16" t="s">
        <v>115</v>
      </c>
      <c r="AU7" s="16" t="s">
        <v>71</v>
      </c>
      <c r="AV7" s="16" t="s">
        <v>116</v>
      </c>
      <c r="AW7" s="17" t="s">
        <v>71</v>
      </c>
      <c r="AX7" s="17" t="s">
        <v>72</v>
      </c>
      <c r="AY7" s="17" t="s">
        <v>71</v>
      </c>
      <c r="AZ7" s="17" t="s">
        <v>72</v>
      </c>
      <c r="BA7" s="17" t="s">
        <v>72</v>
      </c>
      <c r="BB7" s="17" t="s">
        <v>117</v>
      </c>
      <c r="BC7" s="18" t="s">
        <v>1</v>
      </c>
      <c r="BD7" s="19" t="s">
        <v>118</v>
      </c>
      <c r="BE7" s="20" t="s">
        <v>119</v>
      </c>
    </row>
    <row r="8" spans="2:57" ht="66" x14ac:dyDescent="0.25">
      <c r="B8" s="1">
        <v>2016</v>
      </c>
      <c r="C8" s="1" t="s">
        <v>73</v>
      </c>
      <c r="D8" s="1" t="s">
        <v>90</v>
      </c>
      <c r="E8" s="2">
        <v>13390100021</v>
      </c>
      <c r="F8" s="2" t="s">
        <v>120</v>
      </c>
      <c r="G8" s="3" t="s">
        <v>121</v>
      </c>
      <c r="H8" s="4" t="s">
        <v>122</v>
      </c>
      <c r="I8" s="5"/>
      <c r="J8" s="6" t="s">
        <v>123</v>
      </c>
      <c r="K8" s="6" t="s">
        <v>124</v>
      </c>
      <c r="L8" s="6"/>
      <c r="M8" s="6" t="s">
        <v>125</v>
      </c>
      <c r="N8" s="6">
        <v>1</v>
      </c>
      <c r="O8" s="6">
        <v>12</v>
      </c>
      <c r="P8" s="7" t="s">
        <v>1</v>
      </c>
      <c r="Q8" s="7" t="s">
        <v>69</v>
      </c>
      <c r="R8" s="7" t="s">
        <v>1</v>
      </c>
      <c r="S8" s="7" t="s">
        <v>69</v>
      </c>
      <c r="T8" s="7" t="s">
        <v>69</v>
      </c>
      <c r="U8" s="8" t="s">
        <v>1</v>
      </c>
      <c r="V8" s="8" t="s">
        <v>1</v>
      </c>
      <c r="W8" s="9" t="s">
        <v>1</v>
      </c>
      <c r="X8" s="9" t="s">
        <v>1</v>
      </c>
      <c r="Y8" s="10" t="s">
        <v>69</v>
      </c>
      <c r="Z8" s="10" t="s">
        <v>1</v>
      </c>
      <c r="AA8" s="11" t="s">
        <v>69</v>
      </c>
      <c r="AB8" s="11" t="s">
        <v>1</v>
      </c>
      <c r="AC8" s="11" t="s">
        <v>1</v>
      </c>
      <c r="AD8" s="12" t="s">
        <v>1</v>
      </c>
      <c r="AE8" s="12" t="s">
        <v>1</v>
      </c>
      <c r="AF8" s="13" t="s">
        <v>69</v>
      </c>
      <c r="AG8" s="13" t="s">
        <v>1</v>
      </c>
      <c r="AH8" s="13" t="s">
        <v>69</v>
      </c>
      <c r="AI8" s="13" t="s">
        <v>1</v>
      </c>
      <c r="AJ8" s="14" t="s">
        <v>1</v>
      </c>
      <c r="AK8" s="14" t="s">
        <v>69</v>
      </c>
      <c r="AL8" s="14" t="s">
        <v>1</v>
      </c>
      <c r="AM8" s="14" t="s">
        <v>1</v>
      </c>
      <c r="AN8" s="14" t="s">
        <v>1</v>
      </c>
      <c r="AO8" s="15" t="s">
        <v>1</v>
      </c>
      <c r="AP8" s="15" t="s">
        <v>1</v>
      </c>
      <c r="AQ8" s="15" t="s">
        <v>1</v>
      </c>
      <c r="AR8" s="15" t="s">
        <v>1</v>
      </c>
      <c r="AS8" s="16" t="s">
        <v>70</v>
      </c>
      <c r="AT8" s="16"/>
      <c r="AU8" s="16" t="s">
        <v>71</v>
      </c>
      <c r="AV8" s="16"/>
      <c r="AW8" s="17" t="s">
        <v>72</v>
      </c>
      <c r="AX8" s="17" t="s">
        <v>72</v>
      </c>
      <c r="AY8" s="17" t="s">
        <v>72</v>
      </c>
      <c r="AZ8" s="17" t="s">
        <v>71</v>
      </c>
      <c r="BA8" s="17" t="s">
        <v>72</v>
      </c>
      <c r="BB8" s="17"/>
      <c r="BC8" s="18" t="s">
        <v>1</v>
      </c>
      <c r="BD8" s="19" t="s">
        <v>94</v>
      </c>
      <c r="BE8" s="20" t="s">
        <v>126</v>
      </c>
    </row>
    <row r="9" spans="2:57" ht="66" x14ac:dyDescent="0.25">
      <c r="B9" s="1">
        <v>2016</v>
      </c>
      <c r="C9" s="1" t="s">
        <v>128</v>
      </c>
      <c r="D9" s="1" t="s">
        <v>127</v>
      </c>
      <c r="E9" s="2">
        <v>12510160042</v>
      </c>
      <c r="F9" s="2" t="s">
        <v>129</v>
      </c>
      <c r="G9" s="3" t="s">
        <v>130</v>
      </c>
      <c r="H9" s="4" t="s">
        <v>131</v>
      </c>
      <c r="I9" s="5" t="s">
        <v>68</v>
      </c>
      <c r="J9" s="6" t="s">
        <v>132</v>
      </c>
      <c r="K9" s="6" t="s">
        <v>133</v>
      </c>
      <c r="L9" s="6" t="s">
        <v>134</v>
      </c>
      <c r="M9" s="6" t="s">
        <v>74</v>
      </c>
      <c r="N9" s="6">
        <v>2</v>
      </c>
      <c r="O9" s="6">
        <v>4</v>
      </c>
      <c r="P9" s="7" t="s">
        <v>69</v>
      </c>
      <c r="Q9" s="7" t="s">
        <v>69</v>
      </c>
      <c r="R9" s="7" t="s">
        <v>69</v>
      </c>
      <c r="S9" s="7" t="s">
        <v>69</v>
      </c>
      <c r="T9" s="7" t="s">
        <v>69</v>
      </c>
      <c r="U9" s="8" t="s">
        <v>1</v>
      </c>
      <c r="V9" s="8" t="s">
        <v>1</v>
      </c>
      <c r="W9" s="9" t="s">
        <v>1</v>
      </c>
      <c r="X9" s="9" t="s">
        <v>1</v>
      </c>
      <c r="Y9" s="10" t="s">
        <v>69</v>
      </c>
      <c r="Z9" s="10" t="s">
        <v>69</v>
      </c>
      <c r="AA9" s="11" t="s">
        <v>69</v>
      </c>
      <c r="AB9" s="11" t="s">
        <v>69</v>
      </c>
      <c r="AC9" s="11" t="s">
        <v>69</v>
      </c>
      <c r="AD9" s="12" t="s">
        <v>1</v>
      </c>
      <c r="AE9" s="12" t="s">
        <v>69</v>
      </c>
      <c r="AF9" s="13" t="s">
        <v>1</v>
      </c>
      <c r="AG9" s="13" t="s">
        <v>1</v>
      </c>
      <c r="AH9" s="13" t="s">
        <v>69</v>
      </c>
      <c r="AI9" s="13" t="s">
        <v>1</v>
      </c>
      <c r="AJ9" s="14" t="s">
        <v>69</v>
      </c>
      <c r="AK9" s="14" t="s">
        <v>69</v>
      </c>
      <c r="AL9" s="14" t="s">
        <v>1</v>
      </c>
      <c r="AM9" s="14" t="s">
        <v>1</v>
      </c>
      <c r="AN9" s="14" t="s">
        <v>1</v>
      </c>
      <c r="AO9" s="15" t="s">
        <v>69</v>
      </c>
      <c r="AP9" s="15" t="s">
        <v>69</v>
      </c>
      <c r="AQ9" s="15" t="s">
        <v>1</v>
      </c>
      <c r="AR9" s="15" t="s">
        <v>69</v>
      </c>
      <c r="AS9" s="16" t="s">
        <v>70</v>
      </c>
      <c r="AT9" s="16" t="s">
        <v>135</v>
      </c>
      <c r="AU9" s="16" t="s">
        <v>71</v>
      </c>
      <c r="AV9" s="16" t="s">
        <v>136</v>
      </c>
      <c r="AW9" s="17" t="s">
        <v>71</v>
      </c>
      <c r="AX9" s="17" t="s">
        <v>71</v>
      </c>
      <c r="AY9" s="17" t="s">
        <v>71</v>
      </c>
      <c r="AZ9" s="17" t="s">
        <v>71</v>
      </c>
      <c r="BA9" s="17" t="s">
        <v>72</v>
      </c>
      <c r="BB9" s="17" t="s">
        <v>137</v>
      </c>
      <c r="BC9" s="18" t="s">
        <v>69</v>
      </c>
      <c r="BD9" s="19" t="s">
        <v>138</v>
      </c>
      <c r="BE9" s="20" t="s">
        <v>139</v>
      </c>
    </row>
    <row r="10" spans="2:57" ht="66" x14ac:dyDescent="0.25">
      <c r="B10" s="1">
        <v>2016</v>
      </c>
      <c r="C10" s="1" t="s">
        <v>141</v>
      </c>
      <c r="D10" s="1" t="s">
        <v>142</v>
      </c>
      <c r="E10" s="2">
        <v>12420100008</v>
      </c>
      <c r="F10" s="2" t="s">
        <v>144</v>
      </c>
      <c r="G10" s="3" t="s">
        <v>145</v>
      </c>
      <c r="H10" s="4" t="s">
        <v>146</v>
      </c>
      <c r="I10" s="5" t="s">
        <v>147</v>
      </c>
      <c r="J10" s="6" t="s">
        <v>148</v>
      </c>
      <c r="K10" s="6" t="s">
        <v>149</v>
      </c>
      <c r="L10" s="6" t="s">
        <v>68</v>
      </c>
      <c r="M10" s="6" t="s">
        <v>150</v>
      </c>
      <c r="N10" s="6">
        <v>1</v>
      </c>
      <c r="O10" s="6">
        <v>12</v>
      </c>
      <c r="P10" s="7" t="s">
        <v>1</v>
      </c>
      <c r="Q10" s="7" t="s">
        <v>1</v>
      </c>
      <c r="R10" s="7" t="s">
        <v>1</v>
      </c>
      <c r="S10" s="7" t="s">
        <v>1</v>
      </c>
      <c r="T10" s="7" t="s">
        <v>1</v>
      </c>
      <c r="U10" s="8" t="s">
        <v>1</v>
      </c>
      <c r="V10" s="8" t="s">
        <v>1</v>
      </c>
      <c r="W10" s="9" t="s">
        <v>1</v>
      </c>
      <c r="X10" s="9" t="s">
        <v>1</v>
      </c>
      <c r="Y10" s="10" t="s">
        <v>1</v>
      </c>
      <c r="Z10" s="10" t="s">
        <v>1</v>
      </c>
      <c r="AA10" s="11" t="s">
        <v>1</v>
      </c>
      <c r="AB10" s="11" t="s">
        <v>1</v>
      </c>
      <c r="AC10" s="11" t="s">
        <v>1</v>
      </c>
      <c r="AD10" s="12" t="s">
        <v>1</v>
      </c>
      <c r="AE10" s="12" t="s">
        <v>1</v>
      </c>
      <c r="AF10" s="13" t="s">
        <v>1</v>
      </c>
      <c r="AG10" s="13" t="s">
        <v>1</v>
      </c>
      <c r="AH10" s="13" t="s">
        <v>1</v>
      </c>
      <c r="AI10" s="13" t="s">
        <v>1</v>
      </c>
      <c r="AJ10" s="14" t="s">
        <v>1</v>
      </c>
      <c r="AK10" s="14" t="s">
        <v>1</v>
      </c>
      <c r="AL10" s="14" t="s">
        <v>1</v>
      </c>
      <c r="AM10" s="14" t="s">
        <v>1</v>
      </c>
      <c r="AN10" s="14" t="s">
        <v>1</v>
      </c>
      <c r="AO10" s="15" t="s">
        <v>1</v>
      </c>
      <c r="AP10" s="15" t="s">
        <v>1</v>
      </c>
      <c r="AQ10" s="15" t="s">
        <v>1</v>
      </c>
      <c r="AR10" s="15" t="s">
        <v>1</v>
      </c>
      <c r="AS10" s="16" t="s">
        <v>151</v>
      </c>
      <c r="AT10" s="16" t="s">
        <v>68</v>
      </c>
      <c r="AU10" s="16" t="s">
        <v>71</v>
      </c>
      <c r="AV10" s="16" t="s">
        <v>152</v>
      </c>
      <c r="AW10" s="17" t="s">
        <v>72</v>
      </c>
      <c r="AX10" s="17" t="s">
        <v>72</v>
      </c>
      <c r="AY10" s="17" t="s">
        <v>68</v>
      </c>
      <c r="AZ10" s="17" t="s">
        <v>71</v>
      </c>
      <c r="BA10" s="17" t="s">
        <v>72</v>
      </c>
      <c r="BB10" s="17" t="s">
        <v>153</v>
      </c>
      <c r="BC10" s="18" t="s">
        <v>1</v>
      </c>
      <c r="BD10" s="19" t="s">
        <v>94</v>
      </c>
      <c r="BE10" s="20" t="s">
        <v>154</v>
      </c>
    </row>
    <row r="11" spans="2:57" ht="66" x14ac:dyDescent="0.25">
      <c r="B11" s="1">
        <v>2016</v>
      </c>
      <c r="C11" s="1" t="s">
        <v>141</v>
      </c>
      <c r="D11" s="1" t="s">
        <v>142</v>
      </c>
      <c r="E11" s="2">
        <v>12420100016</v>
      </c>
      <c r="F11" s="2" t="s">
        <v>155</v>
      </c>
      <c r="G11" s="3" t="s">
        <v>156</v>
      </c>
      <c r="H11" s="4" t="s">
        <v>157</v>
      </c>
      <c r="I11" s="5" t="s">
        <v>158</v>
      </c>
      <c r="J11" s="6" t="s">
        <v>159</v>
      </c>
      <c r="K11" s="6" t="s">
        <v>160</v>
      </c>
      <c r="L11" s="4" t="s">
        <v>161</v>
      </c>
      <c r="M11" s="6" t="s">
        <v>109</v>
      </c>
      <c r="N11" s="6">
        <v>1</v>
      </c>
      <c r="O11" s="6">
        <v>6</v>
      </c>
      <c r="P11" s="7" t="s">
        <v>1</v>
      </c>
      <c r="Q11" s="7" t="s">
        <v>1</v>
      </c>
      <c r="R11" s="7" t="s">
        <v>1</v>
      </c>
      <c r="S11" s="7" t="s">
        <v>1</v>
      </c>
      <c r="T11" s="7" t="s">
        <v>1</v>
      </c>
      <c r="U11" s="8" t="s">
        <v>1</v>
      </c>
      <c r="V11" s="8" t="s">
        <v>1</v>
      </c>
      <c r="W11" s="9" t="s">
        <v>1</v>
      </c>
      <c r="X11" s="9" t="s">
        <v>1</v>
      </c>
      <c r="Y11" s="10" t="s">
        <v>1</v>
      </c>
      <c r="Z11" s="10" t="s">
        <v>1</v>
      </c>
      <c r="AA11" s="11" t="s">
        <v>1</v>
      </c>
      <c r="AB11" s="11" t="s">
        <v>1</v>
      </c>
      <c r="AC11" s="11" t="s">
        <v>1</v>
      </c>
      <c r="AD11" s="12" t="s">
        <v>1</v>
      </c>
      <c r="AE11" s="12" t="s">
        <v>1</v>
      </c>
      <c r="AF11" s="13" t="s">
        <v>1</v>
      </c>
      <c r="AG11" s="13" t="s">
        <v>1</v>
      </c>
      <c r="AH11" s="13" t="s">
        <v>1</v>
      </c>
      <c r="AI11" s="13" t="s">
        <v>1</v>
      </c>
      <c r="AJ11" s="14" t="s">
        <v>1</v>
      </c>
      <c r="AK11" s="14" t="s">
        <v>1</v>
      </c>
      <c r="AL11" s="14" t="s">
        <v>1</v>
      </c>
      <c r="AM11" s="14" t="s">
        <v>1</v>
      </c>
      <c r="AN11" s="14" t="s">
        <v>1</v>
      </c>
      <c r="AO11" s="15" t="s">
        <v>75</v>
      </c>
      <c r="AP11" s="15" t="s">
        <v>1</v>
      </c>
      <c r="AQ11" s="15" t="s">
        <v>1</v>
      </c>
      <c r="AR11" s="15" t="s">
        <v>1</v>
      </c>
      <c r="AS11" s="16" t="s">
        <v>151</v>
      </c>
      <c r="AT11" s="16"/>
      <c r="AU11" s="16" t="s">
        <v>71</v>
      </c>
      <c r="AV11" s="16"/>
      <c r="AW11" s="17" t="s">
        <v>72</v>
      </c>
      <c r="AX11" s="17" t="s">
        <v>72</v>
      </c>
      <c r="AY11" s="17" t="s">
        <v>72</v>
      </c>
      <c r="AZ11" s="17" t="s">
        <v>71</v>
      </c>
      <c r="BA11" s="17" t="s">
        <v>72</v>
      </c>
      <c r="BB11" s="17" t="s">
        <v>68</v>
      </c>
      <c r="BC11" s="18" t="s">
        <v>1</v>
      </c>
      <c r="BD11" s="19" t="s">
        <v>162</v>
      </c>
      <c r="BE11" s="20" t="s">
        <v>163</v>
      </c>
    </row>
    <row r="12" spans="2:57" ht="16.5" x14ac:dyDescent="0.25">
      <c r="B12" s="1">
        <v>2016</v>
      </c>
      <c r="C12" s="1" t="s">
        <v>141</v>
      </c>
      <c r="D12" s="1" t="s">
        <v>142</v>
      </c>
      <c r="E12" s="2">
        <v>12420100049</v>
      </c>
      <c r="F12" s="2" t="s">
        <v>164</v>
      </c>
      <c r="G12" s="3" t="s">
        <v>165</v>
      </c>
      <c r="H12" s="6">
        <v>82257650673</v>
      </c>
      <c r="I12" s="5" t="s">
        <v>166</v>
      </c>
      <c r="J12" s="6" t="s">
        <v>167</v>
      </c>
      <c r="K12" s="6" t="s">
        <v>68</v>
      </c>
      <c r="L12" s="6" t="s">
        <v>68</v>
      </c>
      <c r="M12" s="6" t="s">
        <v>68</v>
      </c>
      <c r="N12" s="6" t="s">
        <v>68</v>
      </c>
      <c r="O12" s="6">
        <v>12</v>
      </c>
      <c r="P12" s="7" t="s">
        <v>75</v>
      </c>
      <c r="Q12" s="7" t="s">
        <v>1</v>
      </c>
      <c r="R12" s="7" t="s">
        <v>75</v>
      </c>
      <c r="S12" s="7" t="s">
        <v>69</v>
      </c>
      <c r="T12" s="7" t="s">
        <v>1</v>
      </c>
      <c r="U12" s="8" t="s">
        <v>1</v>
      </c>
      <c r="V12" s="8" t="s">
        <v>1</v>
      </c>
      <c r="W12" s="9" t="s">
        <v>168</v>
      </c>
      <c r="X12" s="9" t="s">
        <v>168</v>
      </c>
      <c r="Y12" s="10" t="s">
        <v>75</v>
      </c>
      <c r="Z12" s="10" t="s">
        <v>168</v>
      </c>
      <c r="AA12" s="11" t="s">
        <v>75</v>
      </c>
      <c r="AB12" s="11" t="s">
        <v>1</v>
      </c>
      <c r="AC12" s="11" t="s">
        <v>75</v>
      </c>
      <c r="AD12" s="12" t="s">
        <v>1</v>
      </c>
      <c r="AE12" s="12" t="s">
        <v>168</v>
      </c>
      <c r="AF12" s="13" t="s">
        <v>1</v>
      </c>
      <c r="AG12" s="13" t="s">
        <v>168</v>
      </c>
      <c r="AH12" s="13" t="s">
        <v>1</v>
      </c>
      <c r="AI12" s="13" t="s">
        <v>75</v>
      </c>
      <c r="AJ12" s="14" t="s">
        <v>1</v>
      </c>
      <c r="AK12" s="14" t="s">
        <v>1</v>
      </c>
      <c r="AL12" s="14" t="s">
        <v>1</v>
      </c>
      <c r="AM12" s="14" t="s">
        <v>75</v>
      </c>
      <c r="AN12" s="14" t="s">
        <v>75</v>
      </c>
      <c r="AO12" s="15" t="s">
        <v>75</v>
      </c>
      <c r="AP12" s="15" t="s">
        <v>1</v>
      </c>
      <c r="AQ12" s="15" t="s">
        <v>75</v>
      </c>
      <c r="AR12" s="15" t="s">
        <v>75</v>
      </c>
      <c r="AS12" s="16" t="s">
        <v>76</v>
      </c>
      <c r="AT12" s="16" t="s">
        <v>68</v>
      </c>
      <c r="AU12" s="16" t="s">
        <v>72</v>
      </c>
      <c r="AV12" s="16" t="s">
        <v>68</v>
      </c>
      <c r="AW12" s="17" t="s">
        <v>72</v>
      </c>
      <c r="AX12" s="17" t="s">
        <v>72</v>
      </c>
      <c r="AY12" s="17" t="s">
        <v>72</v>
      </c>
      <c r="AZ12" s="17" t="s">
        <v>72</v>
      </c>
      <c r="BA12" s="17" t="s">
        <v>72</v>
      </c>
      <c r="BB12" s="17" t="s">
        <v>68</v>
      </c>
      <c r="BC12" s="18" t="s">
        <v>1</v>
      </c>
      <c r="BD12" s="19" t="s">
        <v>169</v>
      </c>
      <c r="BE12" s="20" t="s">
        <v>68</v>
      </c>
    </row>
    <row r="13" spans="2:57" ht="66" x14ac:dyDescent="0.25">
      <c r="B13" s="1">
        <v>2016</v>
      </c>
      <c r="C13" s="1" t="s">
        <v>141</v>
      </c>
      <c r="D13" s="1" t="s">
        <v>142</v>
      </c>
      <c r="E13" s="2">
        <v>12420100062</v>
      </c>
      <c r="F13" s="2" t="s">
        <v>170</v>
      </c>
      <c r="G13" s="3" t="s">
        <v>171</v>
      </c>
      <c r="H13" s="4" t="s">
        <v>172</v>
      </c>
      <c r="I13" s="5" t="s">
        <v>173</v>
      </c>
      <c r="J13" s="6" t="s">
        <v>174</v>
      </c>
      <c r="K13" s="6" t="s">
        <v>175</v>
      </c>
      <c r="L13" s="4" t="s">
        <v>176</v>
      </c>
      <c r="M13" s="6" t="s">
        <v>177</v>
      </c>
      <c r="N13" s="6">
        <v>7</v>
      </c>
      <c r="O13" s="6">
        <v>4</v>
      </c>
      <c r="P13" s="7" t="s">
        <v>1</v>
      </c>
      <c r="Q13" s="7" t="s">
        <v>1</v>
      </c>
      <c r="R13" s="7" t="s">
        <v>1</v>
      </c>
      <c r="S13" s="7" t="s">
        <v>1</v>
      </c>
      <c r="T13" s="7" t="s">
        <v>1</v>
      </c>
      <c r="U13" s="8" t="s">
        <v>1</v>
      </c>
      <c r="V13" s="8" t="s">
        <v>1</v>
      </c>
      <c r="W13" s="9" t="s">
        <v>75</v>
      </c>
      <c r="X13" s="9" t="s">
        <v>75</v>
      </c>
      <c r="Y13" s="10" t="s">
        <v>1</v>
      </c>
      <c r="Z13" s="10" t="s">
        <v>75</v>
      </c>
      <c r="AA13" s="11" t="s">
        <v>1</v>
      </c>
      <c r="AB13" s="11" t="s">
        <v>1</v>
      </c>
      <c r="AC13" s="11" t="s">
        <v>1</v>
      </c>
      <c r="AD13" s="12" t="s">
        <v>1</v>
      </c>
      <c r="AE13" s="12" t="s">
        <v>75</v>
      </c>
      <c r="AF13" s="13" t="s">
        <v>75</v>
      </c>
      <c r="AG13" s="13" t="s">
        <v>75</v>
      </c>
      <c r="AH13" s="13" t="s">
        <v>75</v>
      </c>
      <c r="AI13" s="13" t="s">
        <v>75</v>
      </c>
      <c r="AJ13" s="14" t="s">
        <v>75</v>
      </c>
      <c r="AK13" s="14" t="s">
        <v>75</v>
      </c>
      <c r="AL13" s="14" t="s">
        <v>1</v>
      </c>
      <c r="AM13" s="14" t="s">
        <v>75</v>
      </c>
      <c r="AN13" s="14" t="s">
        <v>75</v>
      </c>
      <c r="AO13" s="15" t="s">
        <v>75</v>
      </c>
      <c r="AP13" s="15" t="s">
        <v>75</v>
      </c>
      <c r="AQ13" s="15" t="s">
        <v>75</v>
      </c>
      <c r="AR13" s="15" t="s">
        <v>75</v>
      </c>
      <c r="AS13" s="16" t="s">
        <v>70</v>
      </c>
      <c r="AT13" s="16" t="s">
        <v>68</v>
      </c>
      <c r="AU13" s="16" t="s">
        <v>71</v>
      </c>
      <c r="AV13" s="16" t="s">
        <v>68</v>
      </c>
      <c r="AW13" s="17" t="s">
        <v>71</v>
      </c>
      <c r="AX13" s="17" t="s">
        <v>72</v>
      </c>
      <c r="AY13" s="17" t="s">
        <v>71</v>
      </c>
      <c r="AZ13" s="17" t="s">
        <v>71</v>
      </c>
      <c r="BA13" s="17" t="s">
        <v>71</v>
      </c>
      <c r="BB13" s="17" t="s">
        <v>178</v>
      </c>
      <c r="BC13" s="18" t="s">
        <v>1</v>
      </c>
      <c r="BD13" s="19" t="s">
        <v>162</v>
      </c>
      <c r="BE13" s="20" t="s">
        <v>179</v>
      </c>
    </row>
    <row r="14" spans="2:57" ht="66" x14ac:dyDescent="0.25">
      <c r="B14" s="1">
        <v>2016</v>
      </c>
      <c r="C14" s="1" t="s">
        <v>141</v>
      </c>
      <c r="D14" s="1" t="s">
        <v>142</v>
      </c>
      <c r="E14" s="2">
        <v>12420100068</v>
      </c>
      <c r="F14" s="2" t="s">
        <v>180</v>
      </c>
      <c r="G14" s="3" t="s">
        <v>181</v>
      </c>
      <c r="H14" s="4" t="s">
        <v>182</v>
      </c>
      <c r="I14" s="5" t="s">
        <v>183</v>
      </c>
      <c r="J14" s="6" t="s">
        <v>184</v>
      </c>
      <c r="K14" s="6" t="s">
        <v>185</v>
      </c>
      <c r="L14" s="4" t="s">
        <v>186</v>
      </c>
      <c r="M14" s="6" t="s">
        <v>187</v>
      </c>
      <c r="N14" s="6">
        <v>1</v>
      </c>
      <c r="O14" s="6">
        <v>6</v>
      </c>
      <c r="P14" s="7" t="s">
        <v>1</v>
      </c>
      <c r="Q14" s="7" t="s">
        <v>69</v>
      </c>
      <c r="R14" s="7" t="s">
        <v>1</v>
      </c>
      <c r="S14" s="7" t="s">
        <v>69</v>
      </c>
      <c r="T14" s="7" t="s">
        <v>1</v>
      </c>
      <c r="U14" s="8" t="s">
        <v>1</v>
      </c>
      <c r="V14" s="8" t="s">
        <v>1</v>
      </c>
      <c r="W14" s="9" t="s">
        <v>1</v>
      </c>
      <c r="X14" s="9" t="s">
        <v>69</v>
      </c>
      <c r="Y14" s="10" t="s">
        <v>69</v>
      </c>
      <c r="Z14" s="10" t="s">
        <v>69</v>
      </c>
      <c r="AA14" s="11" t="s">
        <v>69</v>
      </c>
      <c r="AB14" s="11" t="s">
        <v>1</v>
      </c>
      <c r="AC14" s="11" t="s">
        <v>1</v>
      </c>
      <c r="AD14" s="12" t="s">
        <v>1</v>
      </c>
      <c r="AE14" s="12" t="s">
        <v>75</v>
      </c>
      <c r="AF14" s="13" t="s">
        <v>1</v>
      </c>
      <c r="AG14" s="13" t="s">
        <v>1</v>
      </c>
      <c r="AH14" s="13" t="s">
        <v>1</v>
      </c>
      <c r="AI14" s="13" t="s">
        <v>75</v>
      </c>
      <c r="AJ14" s="14" t="s">
        <v>1</v>
      </c>
      <c r="AK14" s="14" t="s">
        <v>75</v>
      </c>
      <c r="AL14" s="14" t="s">
        <v>1</v>
      </c>
      <c r="AM14" s="14" t="s">
        <v>69</v>
      </c>
      <c r="AN14" s="14" t="s">
        <v>75</v>
      </c>
      <c r="AO14" s="15" t="s">
        <v>1</v>
      </c>
      <c r="AP14" s="15" t="s">
        <v>1</v>
      </c>
      <c r="AQ14" s="15" t="s">
        <v>75</v>
      </c>
      <c r="AR14" s="15" t="s">
        <v>1</v>
      </c>
      <c r="AS14" s="16" t="s">
        <v>76</v>
      </c>
      <c r="AT14" s="16" t="s">
        <v>68</v>
      </c>
      <c r="AU14" s="16" t="s">
        <v>71</v>
      </c>
      <c r="AV14" s="16" t="s">
        <v>68</v>
      </c>
      <c r="AW14" s="17" t="s">
        <v>71</v>
      </c>
      <c r="AX14" s="17" t="s">
        <v>72</v>
      </c>
      <c r="AY14" s="17" t="s">
        <v>71</v>
      </c>
      <c r="AZ14" s="17" t="s">
        <v>71</v>
      </c>
      <c r="BA14" s="17" t="s">
        <v>72</v>
      </c>
      <c r="BB14" s="17" t="s">
        <v>68</v>
      </c>
      <c r="BC14" s="18" t="s">
        <v>1</v>
      </c>
      <c r="BD14" s="19" t="s">
        <v>91</v>
      </c>
      <c r="BE14" s="20" t="s">
        <v>188</v>
      </c>
    </row>
    <row r="15" spans="2:57" ht="66" x14ac:dyDescent="0.25">
      <c r="B15" s="1">
        <v>2016</v>
      </c>
      <c r="C15" s="1" t="s">
        <v>141</v>
      </c>
      <c r="D15" s="1" t="s">
        <v>142</v>
      </c>
      <c r="E15" s="2">
        <v>12420100075</v>
      </c>
      <c r="F15" s="2" t="s">
        <v>189</v>
      </c>
      <c r="G15" s="3" t="s">
        <v>190</v>
      </c>
      <c r="H15" s="4" t="s">
        <v>191</v>
      </c>
      <c r="I15" s="5" t="s">
        <v>192</v>
      </c>
      <c r="J15" s="6" t="s">
        <v>193</v>
      </c>
      <c r="K15" s="6" t="s">
        <v>194</v>
      </c>
      <c r="L15" s="4" t="s">
        <v>195</v>
      </c>
      <c r="M15" s="6" t="s">
        <v>196</v>
      </c>
      <c r="N15" s="6">
        <v>1</v>
      </c>
      <c r="O15" s="6">
        <v>12</v>
      </c>
      <c r="P15" s="7" t="s">
        <v>1</v>
      </c>
      <c r="Q15" s="7" t="s">
        <v>1</v>
      </c>
      <c r="R15" s="7" t="s">
        <v>1</v>
      </c>
      <c r="S15" s="7" t="s">
        <v>1</v>
      </c>
      <c r="T15" s="7" t="s">
        <v>1</v>
      </c>
      <c r="U15" s="8" t="s">
        <v>69</v>
      </c>
      <c r="V15" s="8" t="s">
        <v>69</v>
      </c>
      <c r="W15" s="9" t="s">
        <v>75</v>
      </c>
      <c r="X15" s="9" t="s">
        <v>75</v>
      </c>
      <c r="Y15" s="10" t="s">
        <v>69</v>
      </c>
      <c r="Z15" s="10" t="s">
        <v>69</v>
      </c>
      <c r="AA15" s="11" t="s">
        <v>1</v>
      </c>
      <c r="AB15" s="11" t="s">
        <v>1</v>
      </c>
      <c r="AC15" s="11" t="s">
        <v>1</v>
      </c>
      <c r="AD15" s="12" t="s">
        <v>1</v>
      </c>
      <c r="AE15" s="12" t="s">
        <v>1</v>
      </c>
      <c r="AF15" s="13" t="s">
        <v>1</v>
      </c>
      <c r="AG15" s="13" t="s">
        <v>69</v>
      </c>
      <c r="AH15" s="13" t="s">
        <v>69</v>
      </c>
      <c r="AI15" s="13" t="s">
        <v>69</v>
      </c>
      <c r="AJ15" s="14" t="s">
        <v>1</v>
      </c>
      <c r="AK15" s="14" t="s">
        <v>1</v>
      </c>
      <c r="AL15" s="14" t="s">
        <v>69</v>
      </c>
      <c r="AM15" s="14" t="s">
        <v>1</v>
      </c>
      <c r="AN15" s="14" t="s">
        <v>1</v>
      </c>
      <c r="AO15" s="15" t="s">
        <v>75</v>
      </c>
      <c r="AP15" s="15" t="s">
        <v>69</v>
      </c>
      <c r="AQ15" s="15" t="s">
        <v>1</v>
      </c>
      <c r="AR15" s="15" t="s">
        <v>1</v>
      </c>
      <c r="AS15" s="16" t="s">
        <v>151</v>
      </c>
      <c r="AT15" s="16"/>
      <c r="AU15" s="16" t="s">
        <v>72</v>
      </c>
      <c r="AV15" s="16"/>
      <c r="AW15" s="17" t="s">
        <v>72</v>
      </c>
      <c r="AX15" s="17" t="s">
        <v>72</v>
      </c>
      <c r="AY15" s="17" t="s">
        <v>71</v>
      </c>
      <c r="AZ15" s="17" t="s">
        <v>71</v>
      </c>
      <c r="BA15" s="17" t="s">
        <v>72</v>
      </c>
      <c r="BB15" s="17" t="s">
        <v>68</v>
      </c>
      <c r="BC15" s="18" t="s">
        <v>1</v>
      </c>
      <c r="BD15" s="19" t="s">
        <v>68</v>
      </c>
      <c r="BE15" s="20" t="s">
        <v>68</v>
      </c>
    </row>
    <row r="16" spans="2:57" ht="66" x14ac:dyDescent="0.25">
      <c r="B16" s="1">
        <v>2016</v>
      </c>
      <c r="C16" s="1" t="s">
        <v>141</v>
      </c>
      <c r="D16" s="1" t="s">
        <v>197</v>
      </c>
      <c r="E16" s="2">
        <v>8410100375</v>
      </c>
      <c r="F16" s="2" t="s">
        <v>205</v>
      </c>
      <c r="G16" s="3" t="s">
        <v>206</v>
      </c>
      <c r="H16" s="4" t="s">
        <v>207</v>
      </c>
      <c r="I16" s="5" t="s">
        <v>68</v>
      </c>
      <c r="J16" s="6" t="s">
        <v>208</v>
      </c>
      <c r="K16" s="6" t="s">
        <v>209</v>
      </c>
      <c r="L16" s="6" t="s">
        <v>210</v>
      </c>
      <c r="M16" s="6" t="s">
        <v>74</v>
      </c>
      <c r="N16" s="6">
        <v>1</v>
      </c>
      <c r="O16" s="6">
        <v>12</v>
      </c>
      <c r="P16" s="7" t="s">
        <v>1</v>
      </c>
      <c r="Q16" s="7" t="s">
        <v>69</v>
      </c>
      <c r="R16" s="7" t="s">
        <v>1</v>
      </c>
      <c r="S16" s="7" t="s">
        <v>69</v>
      </c>
      <c r="T16" s="7" t="s">
        <v>69</v>
      </c>
      <c r="U16" s="8" t="s">
        <v>69</v>
      </c>
      <c r="V16" s="8" t="s">
        <v>69</v>
      </c>
      <c r="W16" s="9" t="s">
        <v>75</v>
      </c>
      <c r="X16" s="9" t="s">
        <v>75</v>
      </c>
      <c r="Y16" s="10" t="s">
        <v>69</v>
      </c>
      <c r="Z16" s="10" t="s">
        <v>69</v>
      </c>
      <c r="AA16" s="11" t="s">
        <v>1</v>
      </c>
      <c r="AB16" s="11" t="s">
        <v>1</v>
      </c>
      <c r="AC16" s="11" t="s">
        <v>1</v>
      </c>
      <c r="AD16" s="12" t="s">
        <v>1</v>
      </c>
      <c r="AE16" s="12" t="s">
        <v>1</v>
      </c>
      <c r="AF16" s="13" t="s">
        <v>1</v>
      </c>
      <c r="AG16" s="13" t="s">
        <v>1</v>
      </c>
      <c r="AH16" s="13" t="s">
        <v>1</v>
      </c>
      <c r="AI16" s="13" t="s">
        <v>1</v>
      </c>
      <c r="AJ16" s="14" t="s">
        <v>1</v>
      </c>
      <c r="AK16" s="14" t="s">
        <v>1</v>
      </c>
      <c r="AL16" s="14" t="s">
        <v>1</v>
      </c>
      <c r="AM16" s="14" t="s">
        <v>1</v>
      </c>
      <c r="AN16" s="14" t="s">
        <v>1</v>
      </c>
      <c r="AO16" s="15" t="s">
        <v>1</v>
      </c>
      <c r="AP16" s="15" t="s">
        <v>69</v>
      </c>
      <c r="AQ16" s="15" t="s">
        <v>69</v>
      </c>
      <c r="AR16" s="15" t="s">
        <v>1</v>
      </c>
      <c r="AS16" s="16" t="s">
        <v>70</v>
      </c>
      <c r="AT16" s="16" t="s">
        <v>211</v>
      </c>
      <c r="AU16" s="16" t="s">
        <v>71</v>
      </c>
      <c r="AV16" s="16" t="s">
        <v>68</v>
      </c>
      <c r="AW16" s="17" t="s">
        <v>71</v>
      </c>
      <c r="AX16" s="17" t="s">
        <v>71</v>
      </c>
      <c r="AY16" s="17" t="s">
        <v>71</v>
      </c>
      <c r="AZ16" s="17" t="s">
        <v>71</v>
      </c>
      <c r="BA16" s="17" t="s">
        <v>72</v>
      </c>
      <c r="BB16" s="17" t="s">
        <v>212</v>
      </c>
      <c r="BC16" s="18" t="s">
        <v>1</v>
      </c>
      <c r="BD16" s="19" t="s">
        <v>213</v>
      </c>
      <c r="BE16" s="20"/>
    </row>
    <row r="17" spans="2:57" ht="66" x14ac:dyDescent="0.25">
      <c r="B17" s="1">
        <v>2016</v>
      </c>
      <c r="C17" s="1" t="s">
        <v>141</v>
      </c>
      <c r="D17" s="1" t="s">
        <v>197</v>
      </c>
      <c r="E17" s="2">
        <v>8410100454</v>
      </c>
      <c r="F17" s="2" t="s">
        <v>214</v>
      </c>
      <c r="G17" s="3" t="s">
        <v>215</v>
      </c>
      <c r="H17" s="4" t="s">
        <v>216</v>
      </c>
      <c r="I17" s="5" t="s">
        <v>217</v>
      </c>
      <c r="J17" s="6" t="s">
        <v>218</v>
      </c>
      <c r="K17" s="6" t="s">
        <v>219</v>
      </c>
      <c r="L17" s="6" t="s">
        <v>68</v>
      </c>
      <c r="M17" s="6" t="s">
        <v>220</v>
      </c>
      <c r="N17" s="6">
        <v>1</v>
      </c>
      <c r="O17" s="6">
        <v>24</v>
      </c>
      <c r="P17" s="7" t="s">
        <v>1</v>
      </c>
      <c r="Q17" s="7" t="s">
        <v>69</v>
      </c>
      <c r="R17" s="7" t="s">
        <v>1</v>
      </c>
      <c r="S17" s="7" t="s">
        <v>1</v>
      </c>
      <c r="T17" s="7" t="s">
        <v>1</v>
      </c>
      <c r="U17" s="8" t="s">
        <v>69</v>
      </c>
      <c r="V17" s="8" t="s">
        <v>1</v>
      </c>
      <c r="W17" s="9" t="s">
        <v>1</v>
      </c>
      <c r="X17" s="9" t="s">
        <v>1</v>
      </c>
      <c r="Y17" s="10" t="s">
        <v>1</v>
      </c>
      <c r="Z17" s="10" t="s">
        <v>1</v>
      </c>
      <c r="AA17" s="11" t="s">
        <v>69</v>
      </c>
      <c r="AB17" s="11" t="s">
        <v>1</v>
      </c>
      <c r="AC17" s="11" t="s">
        <v>1</v>
      </c>
      <c r="AD17" s="12" t="s">
        <v>69</v>
      </c>
      <c r="AE17" s="12" t="s">
        <v>1</v>
      </c>
      <c r="AF17" s="13" t="s">
        <v>1</v>
      </c>
      <c r="AG17" s="13" t="s">
        <v>1</v>
      </c>
      <c r="AH17" s="13" t="s">
        <v>69</v>
      </c>
      <c r="AI17" s="13" t="s">
        <v>69</v>
      </c>
      <c r="AJ17" s="14" t="s">
        <v>1</v>
      </c>
      <c r="AK17" s="14" t="s">
        <v>1</v>
      </c>
      <c r="AL17" s="14" t="s">
        <v>1</v>
      </c>
      <c r="AM17" s="14" t="s">
        <v>1</v>
      </c>
      <c r="AN17" s="14" t="s">
        <v>69</v>
      </c>
      <c r="AO17" s="15" t="s">
        <v>1</v>
      </c>
      <c r="AP17" s="15" t="s">
        <v>1</v>
      </c>
      <c r="AQ17" s="15" t="s">
        <v>1</v>
      </c>
      <c r="AR17" s="15" t="s">
        <v>1</v>
      </c>
      <c r="AS17" s="16" t="s">
        <v>68</v>
      </c>
      <c r="AT17" s="16" t="s">
        <v>68</v>
      </c>
      <c r="AU17" s="16" t="s">
        <v>68</v>
      </c>
      <c r="AV17" s="16" t="s">
        <v>68</v>
      </c>
      <c r="AW17" s="17" t="s">
        <v>72</v>
      </c>
      <c r="AX17" s="17" t="s">
        <v>72</v>
      </c>
      <c r="AY17" s="17" t="s">
        <v>71</v>
      </c>
      <c r="AZ17" s="17" t="s">
        <v>221</v>
      </c>
      <c r="BA17" s="17" t="s">
        <v>72</v>
      </c>
      <c r="BB17" s="17" t="s">
        <v>68</v>
      </c>
      <c r="BC17" s="18" t="s">
        <v>1</v>
      </c>
      <c r="BD17" s="19" t="s">
        <v>222</v>
      </c>
      <c r="BE17" s="20" t="s">
        <v>68</v>
      </c>
    </row>
    <row r="18" spans="2:57" ht="66" x14ac:dyDescent="0.25">
      <c r="B18" s="1">
        <v>2016</v>
      </c>
      <c r="C18" s="1" t="s">
        <v>141</v>
      </c>
      <c r="D18" s="1" t="s">
        <v>197</v>
      </c>
      <c r="E18" s="2">
        <v>8410100471</v>
      </c>
      <c r="F18" s="2" t="s">
        <v>223</v>
      </c>
      <c r="G18" s="3" t="s">
        <v>224</v>
      </c>
      <c r="H18" s="4" t="s">
        <v>225</v>
      </c>
      <c r="I18" s="5" t="s">
        <v>226</v>
      </c>
      <c r="J18" s="6" t="s">
        <v>227</v>
      </c>
      <c r="K18" s="6" t="s">
        <v>228</v>
      </c>
      <c r="L18" s="4" t="s">
        <v>198</v>
      </c>
      <c r="M18" s="6" t="s">
        <v>74</v>
      </c>
      <c r="N18" s="6">
        <v>1</v>
      </c>
      <c r="O18" s="6">
        <v>204</v>
      </c>
      <c r="P18" s="7" t="s">
        <v>1</v>
      </c>
      <c r="Q18" s="7" t="s">
        <v>1</v>
      </c>
      <c r="R18" s="7" t="s">
        <v>1</v>
      </c>
      <c r="S18" s="7" t="s">
        <v>69</v>
      </c>
      <c r="T18" s="7" t="s">
        <v>69</v>
      </c>
      <c r="U18" s="8" t="s">
        <v>1</v>
      </c>
      <c r="V18" s="8" t="s">
        <v>1</v>
      </c>
      <c r="W18" s="9" t="s">
        <v>75</v>
      </c>
      <c r="X18" s="9" t="s">
        <v>75</v>
      </c>
      <c r="Y18" s="10" t="s">
        <v>69</v>
      </c>
      <c r="Z18" s="10" t="s">
        <v>69</v>
      </c>
      <c r="AA18" s="11" t="s">
        <v>69</v>
      </c>
      <c r="AB18" s="11" t="s">
        <v>69</v>
      </c>
      <c r="AC18" s="11" t="s">
        <v>1</v>
      </c>
      <c r="AD18" s="12" t="s">
        <v>1</v>
      </c>
      <c r="AE18" s="12" t="s">
        <v>1</v>
      </c>
      <c r="AF18" s="13" t="s">
        <v>1</v>
      </c>
      <c r="AG18" s="13" t="s">
        <v>1</v>
      </c>
      <c r="AH18" s="13" t="s">
        <v>1</v>
      </c>
      <c r="AI18" s="13" t="s">
        <v>1</v>
      </c>
      <c r="AJ18" s="14" t="s">
        <v>1</v>
      </c>
      <c r="AK18" s="14" t="s">
        <v>1</v>
      </c>
      <c r="AL18" s="14" t="s">
        <v>1</v>
      </c>
      <c r="AM18" s="14" t="s">
        <v>1</v>
      </c>
      <c r="AN18" s="14" t="s">
        <v>1</v>
      </c>
      <c r="AO18" s="15" t="s">
        <v>1</v>
      </c>
      <c r="AP18" s="15" t="s">
        <v>1</v>
      </c>
      <c r="AQ18" s="15" t="s">
        <v>1</v>
      </c>
      <c r="AR18" s="15" t="s">
        <v>1</v>
      </c>
      <c r="AS18" s="16" t="s">
        <v>70</v>
      </c>
      <c r="AT18" s="16" t="s">
        <v>68</v>
      </c>
      <c r="AU18" s="16" t="s">
        <v>71</v>
      </c>
      <c r="AV18" s="16" t="s">
        <v>68</v>
      </c>
      <c r="AW18" s="17" t="s">
        <v>72</v>
      </c>
      <c r="AX18" s="17" t="s">
        <v>71</v>
      </c>
      <c r="AY18" s="17" t="s">
        <v>71</v>
      </c>
      <c r="AZ18" s="17" t="s">
        <v>71</v>
      </c>
      <c r="BA18" s="17" t="s">
        <v>71</v>
      </c>
      <c r="BB18" s="17" t="s">
        <v>229</v>
      </c>
      <c r="BC18" s="18" t="s">
        <v>1</v>
      </c>
      <c r="BD18" s="19" t="s">
        <v>230</v>
      </c>
      <c r="BE18" s="20" t="s">
        <v>231</v>
      </c>
    </row>
    <row r="19" spans="2:57" ht="23.25" customHeight="1" x14ac:dyDescent="0.25">
      <c r="B19" s="1">
        <v>2016</v>
      </c>
      <c r="C19" s="1" t="s">
        <v>141</v>
      </c>
      <c r="D19" s="1" t="s">
        <v>197</v>
      </c>
      <c r="E19" s="2">
        <v>9410100018</v>
      </c>
      <c r="F19" s="2" t="s">
        <v>232</v>
      </c>
      <c r="G19" s="3" t="s">
        <v>233</v>
      </c>
      <c r="H19" s="4" t="s">
        <v>234</v>
      </c>
      <c r="I19" s="5" t="s">
        <v>235</v>
      </c>
      <c r="J19" s="6" t="s">
        <v>236</v>
      </c>
      <c r="K19" s="6" t="s">
        <v>237</v>
      </c>
      <c r="L19" s="6" t="s">
        <v>238</v>
      </c>
      <c r="M19" s="6" t="s">
        <v>239</v>
      </c>
      <c r="N19" s="6">
        <v>2</v>
      </c>
      <c r="O19" s="6">
        <v>24</v>
      </c>
      <c r="P19" s="7" t="s">
        <v>69</v>
      </c>
      <c r="Q19" s="7" t="s">
        <v>69</v>
      </c>
      <c r="R19" s="7" t="s">
        <v>69</v>
      </c>
      <c r="S19" s="7" t="s">
        <v>69</v>
      </c>
      <c r="T19" s="7" t="s">
        <v>69</v>
      </c>
      <c r="U19" s="8" t="s">
        <v>69</v>
      </c>
      <c r="V19" s="8" t="s">
        <v>69</v>
      </c>
      <c r="W19" s="9" t="s">
        <v>1</v>
      </c>
      <c r="X19" s="9" t="s">
        <v>1</v>
      </c>
      <c r="Y19" s="10" t="s">
        <v>69</v>
      </c>
      <c r="Z19" s="10" t="s">
        <v>69</v>
      </c>
      <c r="AA19" s="11" t="s">
        <v>69</v>
      </c>
      <c r="AB19" s="11" t="s">
        <v>69</v>
      </c>
      <c r="AC19" s="11" t="s">
        <v>69</v>
      </c>
      <c r="AD19" s="12" t="s">
        <v>69</v>
      </c>
      <c r="AE19" s="12" t="s">
        <v>69</v>
      </c>
      <c r="AF19" s="13" t="s">
        <v>69</v>
      </c>
      <c r="AG19" s="13" t="s">
        <v>69</v>
      </c>
      <c r="AH19" s="13" t="s">
        <v>69</v>
      </c>
      <c r="AI19" s="13" t="s">
        <v>69</v>
      </c>
      <c r="AJ19" s="14" t="s">
        <v>69</v>
      </c>
      <c r="AK19" s="14" t="s">
        <v>69</v>
      </c>
      <c r="AL19" s="14" t="s">
        <v>69</v>
      </c>
      <c r="AM19" s="14" t="s">
        <v>69</v>
      </c>
      <c r="AN19" s="14" t="s">
        <v>69</v>
      </c>
      <c r="AO19" s="15" t="s">
        <v>1</v>
      </c>
      <c r="AP19" s="15" t="s">
        <v>1</v>
      </c>
      <c r="AQ19" s="15" t="s">
        <v>1</v>
      </c>
      <c r="AR19" s="15" t="s">
        <v>69</v>
      </c>
      <c r="AS19" s="16" t="s">
        <v>70</v>
      </c>
      <c r="AT19" s="16" t="s">
        <v>240</v>
      </c>
      <c r="AU19" s="16" t="s">
        <v>71</v>
      </c>
      <c r="AV19" s="16" t="s">
        <v>241</v>
      </c>
      <c r="AW19" s="17" t="s">
        <v>71</v>
      </c>
      <c r="AX19" s="17" t="s">
        <v>71</v>
      </c>
      <c r="AY19" s="17" t="s">
        <v>71</v>
      </c>
      <c r="AZ19" s="17" t="s">
        <v>71</v>
      </c>
      <c r="BA19" s="17" t="s">
        <v>68</v>
      </c>
      <c r="BB19" s="17" t="s">
        <v>68</v>
      </c>
      <c r="BC19" s="18" t="s">
        <v>1</v>
      </c>
      <c r="BD19" s="19" t="s">
        <v>242</v>
      </c>
      <c r="BE19" s="20" t="s">
        <v>68</v>
      </c>
    </row>
    <row r="20" spans="2:57" ht="13.5" customHeight="1" x14ac:dyDescent="0.25">
      <c r="B20" s="1">
        <v>2016</v>
      </c>
      <c r="C20" s="1" t="s">
        <v>141</v>
      </c>
      <c r="D20" s="1" t="s">
        <v>197</v>
      </c>
      <c r="E20" s="2">
        <v>9410100060</v>
      </c>
      <c r="F20" s="2" t="s">
        <v>243</v>
      </c>
      <c r="G20" s="3" t="s">
        <v>244</v>
      </c>
      <c r="H20" s="4" t="s">
        <v>245</v>
      </c>
      <c r="I20" s="5" t="s">
        <v>246</v>
      </c>
      <c r="J20" s="6" t="s">
        <v>247</v>
      </c>
      <c r="K20" s="6" t="s">
        <v>248</v>
      </c>
      <c r="L20" s="4" t="s">
        <v>249</v>
      </c>
      <c r="M20" s="6" t="s">
        <v>250</v>
      </c>
      <c r="N20" s="6">
        <v>1</v>
      </c>
      <c r="O20" s="6">
        <v>24</v>
      </c>
      <c r="P20" s="7" t="s">
        <v>1</v>
      </c>
      <c r="Q20" s="7" t="s">
        <v>1</v>
      </c>
      <c r="R20" s="7" t="s">
        <v>69</v>
      </c>
      <c r="S20" s="7" t="s">
        <v>1</v>
      </c>
      <c r="T20" s="7" t="s">
        <v>1</v>
      </c>
      <c r="U20" s="8" t="s">
        <v>75</v>
      </c>
      <c r="V20" s="8" t="s">
        <v>1</v>
      </c>
      <c r="W20" s="9" t="s">
        <v>1</v>
      </c>
      <c r="X20" s="9" t="s">
        <v>1</v>
      </c>
      <c r="Y20" s="10" t="s">
        <v>1</v>
      </c>
      <c r="Z20" s="10" t="s">
        <v>1</v>
      </c>
      <c r="AA20" s="11" t="s">
        <v>1</v>
      </c>
      <c r="AB20" s="11" t="s">
        <v>1</v>
      </c>
      <c r="AC20" s="11" t="s">
        <v>1</v>
      </c>
      <c r="AD20" s="12" t="s">
        <v>1</v>
      </c>
      <c r="AE20" s="12" t="s">
        <v>1</v>
      </c>
      <c r="AF20" s="13" t="s">
        <v>75</v>
      </c>
      <c r="AG20" s="13" t="s">
        <v>1</v>
      </c>
      <c r="AH20" s="13" t="s">
        <v>1</v>
      </c>
      <c r="AI20" s="13" t="s">
        <v>69</v>
      </c>
      <c r="AJ20" s="14" t="s">
        <v>1</v>
      </c>
      <c r="AK20" s="14" t="s">
        <v>75</v>
      </c>
      <c r="AL20" s="14" t="s">
        <v>1</v>
      </c>
      <c r="AM20" s="14" t="s">
        <v>1</v>
      </c>
      <c r="AN20" s="14" t="s">
        <v>1</v>
      </c>
      <c r="AO20" s="15" t="s">
        <v>1</v>
      </c>
      <c r="AP20" s="15" t="s">
        <v>1</v>
      </c>
      <c r="AQ20" s="15" t="s">
        <v>75</v>
      </c>
      <c r="AR20" s="15" t="s">
        <v>1</v>
      </c>
      <c r="AS20" s="16" t="s">
        <v>70</v>
      </c>
      <c r="AT20" s="16" t="s">
        <v>251</v>
      </c>
      <c r="AU20" s="16" t="s">
        <v>71</v>
      </c>
      <c r="AV20" s="16" t="s">
        <v>252</v>
      </c>
      <c r="AW20" s="17" t="s">
        <v>71</v>
      </c>
      <c r="AX20" s="17" t="s">
        <v>71</v>
      </c>
      <c r="AY20" s="17" t="s">
        <v>71</v>
      </c>
      <c r="AZ20" s="17" t="s">
        <v>71</v>
      </c>
      <c r="BA20" s="17" t="s">
        <v>71</v>
      </c>
      <c r="BB20" s="17" t="s">
        <v>253</v>
      </c>
      <c r="BC20" s="18" t="s">
        <v>1</v>
      </c>
      <c r="BD20" s="19" t="s">
        <v>254</v>
      </c>
      <c r="BE20" s="20" t="s">
        <v>255</v>
      </c>
    </row>
    <row r="21" spans="2:57" ht="66" x14ac:dyDescent="0.25">
      <c r="B21" s="1">
        <v>2016</v>
      </c>
      <c r="C21" s="1" t="s">
        <v>141</v>
      </c>
      <c r="D21" s="1" t="s">
        <v>197</v>
      </c>
      <c r="E21" s="2">
        <v>9410100154</v>
      </c>
      <c r="F21" s="2" t="s">
        <v>256</v>
      </c>
      <c r="G21" s="3" t="s">
        <v>257</v>
      </c>
      <c r="H21" s="4" t="s">
        <v>258</v>
      </c>
      <c r="I21" s="5" t="s">
        <v>259</v>
      </c>
      <c r="J21" s="6" t="s">
        <v>260</v>
      </c>
      <c r="K21" s="6" t="s">
        <v>261</v>
      </c>
      <c r="L21" s="6" t="s">
        <v>68</v>
      </c>
      <c r="M21" s="6" t="s">
        <v>93</v>
      </c>
      <c r="N21" s="6">
        <v>5</v>
      </c>
      <c r="O21" s="6">
        <v>12</v>
      </c>
      <c r="P21" s="7" t="s">
        <v>69</v>
      </c>
      <c r="Q21" s="7" t="s">
        <v>69</v>
      </c>
      <c r="R21" s="7" t="s">
        <v>69</v>
      </c>
      <c r="S21" s="7" t="s">
        <v>69</v>
      </c>
      <c r="T21" s="7" t="s">
        <v>69</v>
      </c>
      <c r="U21" s="8" t="s">
        <v>1</v>
      </c>
      <c r="V21" s="8" t="s">
        <v>69</v>
      </c>
      <c r="W21" s="9" t="s">
        <v>1</v>
      </c>
      <c r="X21" s="9" t="s">
        <v>1</v>
      </c>
      <c r="Y21" s="10" t="s">
        <v>69</v>
      </c>
      <c r="Z21" s="10" t="s">
        <v>69</v>
      </c>
      <c r="AA21" s="11" t="s">
        <v>69</v>
      </c>
      <c r="AB21" s="11" t="s">
        <v>1</v>
      </c>
      <c r="AC21" s="11" t="s">
        <v>69</v>
      </c>
      <c r="AD21" s="12" t="s">
        <v>69</v>
      </c>
      <c r="AE21" s="12" t="s">
        <v>69</v>
      </c>
      <c r="AF21" s="13" t="s">
        <v>69</v>
      </c>
      <c r="AG21" s="13" t="s">
        <v>1</v>
      </c>
      <c r="AH21" s="13" t="s">
        <v>69</v>
      </c>
      <c r="AI21" s="13" t="s">
        <v>69</v>
      </c>
      <c r="AJ21" s="14" t="s">
        <v>69</v>
      </c>
      <c r="AK21" s="14" t="s">
        <v>69</v>
      </c>
      <c r="AL21" s="14" t="s">
        <v>69</v>
      </c>
      <c r="AM21" s="14" t="s">
        <v>69</v>
      </c>
      <c r="AN21" s="14" t="s">
        <v>69</v>
      </c>
      <c r="AO21" s="15" t="s">
        <v>69</v>
      </c>
      <c r="AP21" s="15" t="s">
        <v>69</v>
      </c>
      <c r="AQ21" s="15" t="s">
        <v>69</v>
      </c>
      <c r="AR21" s="15" t="s">
        <v>69</v>
      </c>
      <c r="AS21" s="16" t="s">
        <v>70</v>
      </c>
      <c r="AT21" s="16"/>
      <c r="AU21" s="16" t="s">
        <v>71</v>
      </c>
      <c r="AV21" s="16"/>
      <c r="AW21" s="17" t="s">
        <v>71</v>
      </c>
      <c r="AX21" s="17" t="s">
        <v>72</v>
      </c>
      <c r="AY21" s="17" t="s">
        <v>72</v>
      </c>
      <c r="AZ21" s="17" t="s">
        <v>71</v>
      </c>
      <c r="BA21" s="17" t="s">
        <v>72</v>
      </c>
      <c r="BB21" s="17"/>
      <c r="BC21" s="18" t="s">
        <v>69</v>
      </c>
      <c r="BD21" s="19" t="s">
        <v>204</v>
      </c>
      <c r="BE21" s="20" t="s">
        <v>262</v>
      </c>
    </row>
    <row r="22" spans="2:57" ht="33" x14ac:dyDescent="0.25">
      <c r="B22" s="1">
        <v>2016</v>
      </c>
      <c r="C22" s="1" t="s">
        <v>141</v>
      </c>
      <c r="D22" s="1" t="s">
        <v>197</v>
      </c>
      <c r="E22" s="2">
        <v>9410100170</v>
      </c>
      <c r="F22" s="2" t="s">
        <v>263</v>
      </c>
      <c r="G22" s="3" t="s">
        <v>264</v>
      </c>
      <c r="H22" s="6" t="s">
        <v>68</v>
      </c>
      <c r="I22" s="5" t="s">
        <v>265</v>
      </c>
      <c r="J22" s="6" t="s">
        <v>266</v>
      </c>
      <c r="K22" s="6" t="s">
        <v>267</v>
      </c>
      <c r="L22" s="6" t="s">
        <v>268</v>
      </c>
      <c r="M22" s="6" t="s">
        <v>269</v>
      </c>
      <c r="N22" s="6">
        <v>1</v>
      </c>
      <c r="O22" s="6">
        <v>12</v>
      </c>
      <c r="P22" s="7" t="s">
        <v>1</v>
      </c>
      <c r="Q22" s="7" t="s">
        <v>1</v>
      </c>
      <c r="R22" s="7" t="s">
        <v>1</v>
      </c>
      <c r="S22" s="7" t="s">
        <v>1</v>
      </c>
      <c r="T22" s="7" t="s">
        <v>1</v>
      </c>
      <c r="U22" s="8" t="s">
        <v>69</v>
      </c>
      <c r="V22" s="8" t="s">
        <v>1</v>
      </c>
      <c r="W22" s="9" t="s">
        <v>75</v>
      </c>
      <c r="X22" s="9" t="s">
        <v>75</v>
      </c>
      <c r="Y22" s="10" t="s">
        <v>1</v>
      </c>
      <c r="Z22" s="10" t="s">
        <v>1</v>
      </c>
      <c r="AA22" s="11" t="s">
        <v>1</v>
      </c>
      <c r="AB22" s="11" t="s">
        <v>1</v>
      </c>
      <c r="AC22" s="11" t="s">
        <v>1</v>
      </c>
      <c r="AD22" s="12" t="s">
        <v>1</v>
      </c>
      <c r="AE22" s="12" t="s">
        <v>1</v>
      </c>
      <c r="AF22" s="13" t="s">
        <v>1</v>
      </c>
      <c r="AG22" s="13" t="s">
        <v>1</v>
      </c>
      <c r="AH22" s="13" t="s">
        <v>1</v>
      </c>
      <c r="AI22" s="13" t="s">
        <v>69</v>
      </c>
      <c r="AJ22" s="14" t="s">
        <v>69</v>
      </c>
      <c r="AK22" s="14" t="s">
        <v>1</v>
      </c>
      <c r="AL22" s="14" t="s">
        <v>69</v>
      </c>
      <c r="AM22" s="14" t="s">
        <v>1</v>
      </c>
      <c r="AN22" s="14" t="s">
        <v>1</v>
      </c>
      <c r="AO22" s="15" t="s">
        <v>1</v>
      </c>
      <c r="AP22" s="15" t="s">
        <v>1</v>
      </c>
      <c r="AQ22" s="15" t="s">
        <v>1</v>
      </c>
      <c r="AR22" s="15" t="s">
        <v>1</v>
      </c>
      <c r="AS22" s="16" t="s">
        <v>76</v>
      </c>
      <c r="AT22" s="16" t="s">
        <v>68</v>
      </c>
      <c r="AU22" s="16" t="s">
        <v>71</v>
      </c>
      <c r="AV22" s="16" t="s">
        <v>270</v>
      </c>
      <c r="AW22" s="17" t="s">
        <v>71</v>
      </c>
      <c r="AX22" s="17" t="s">
        <v>71</v>
      </c>
      <c r="AY22" s="17" t="s">
        <v>71</v>
      </c>
      <c r="AZ22" s="17" t="s">
        <v>71</v>
      </c>
      <c r="BA22" s="17" t="s">
        <v>72</v>
      </c>
      <c r="BB22" s="17" t="s">
        <v>271</v>
      </c>
      <c r="BC22" s="18" t="s">
        <v>69</v>
      </c>
      <c r="BD22" s="19" t="s">
        <v>94</v>
      </c>
      <c r="BE22" s="20" t="s">
        <v>68</v>
      </c>
    </row>
    <row r="23" spans="2:57" ht="82.5" x14ac:dyDescent="0.25">
      <c r="B23" s="1">
        <v>2016</v>
      </c>
      <c r="C23" s="1" t="s">
        <v>141</v>
      </c>
      <c r="D23" s="1" t="s">
        <v>197</v>
      </c>
      <c r="E23" s="2">
        <v>9410100195</v>
      </c>
      <c r="F23" s="2" t="s">
        <v>272</v>
      </c>
      <c r="G23" s="3" t="s">
        <v>273</v>
      </c>
      <c r="H23" s="6" t="s">
        <v>274</v>
      </c>
      <c r="I23" s="5" t="s">
        <v>68</v>
      </c>
      <c r="J23" s="6" t="s">
        <v>275</v>
      </c>
      <c r="K23" s="6" t="s">
        <v>276</v>
      </c>
      <c r="L23" s="6" t="s">
        <v>277</v>
      </c>
      <c r="M23" s="6" t="s">
        <v>109</v>
      </c>
      <c r="N23" s="6">
        <v>1</v>
      </c>
      <c r="O23" s="6">
        <v>60</v>
      </c>
      <c r="P23" s="7" t="s">
        <v>69</v>
      </c>
      <c r="Q23" s="7" t="s">
        <v>69</v>
      </c>
      <c r="R23" s="7" t="s">
        <v>1</v>
      </c>
      <c r="S23" s="7" t="s">
        <v>69</v>
      </c>
      <c r="T23" s="7" t="s">
        <v>69</v>
      </c>
      <c r="U23" s="8" t="s">
        <v>1</v>
      </c>
      <c r="V23" s="8" t="s">
        <v>69</v>
      </c>
      <c r="W23" s="9" t="s">
        <v>69</v>
      </c>
      <c r="X23" s="9" t="s">
        <v>69</v>
      </c>
      <c r="Y23" s="10" t="s">
        <v>69</v>
      </c>
      <c r="Z23" s="10" t="s">
        <v>69</v>
      </c>
      <c r="AA23" s="11" t="s">
        <v>1</v>
      </c>
      <c r="AB23" s="11" t="s">
        <v>1</v>
      </c>
      <c r="AC23" s="11" t="s">
        <v>69</v>
      </c>
      <c r="AD23" s="12" t="s">
        <v>1</v>
      </c>
      <c r="AE23" s="12" t="s">
        <v>1</v>
      </c>
      <c r="AF23" s="13" t="s">
        <v>1</v>
      </c>
      <c r="AG23" s="13" t="s">
        <v>1</v>
      </c>
      <c r="AH23" s="13" t="s">
        <v>1</v>
      </c>
      <c r="AI23" s="13" t="s">
        <v>69</v>
      </c>
      <c r="AJ23" s="14" t="s">
        <v>69</v>
      </c>
      <c r="AK23" s="14" t="s">
        <v>1</v>
      </c>
      <c r="AL23" s="14" t="s">
        <v>1</v>
      </c>
      <c r="AM23" s="14" t="s">
        <v>69</v>
      </c>
      <c r="AN23" s="14" t="s">
        <v>69</v>
      </c>
      <c r="AO23" s="15" t="s">
        <v>69</v>
      </c>
      <c r="AP23" s="15" t="s">
        <v>1</v>
      </c>
      <c r="AQ23" s="15" t="s">
        <v>1</v>
      </c>
      <c r="AR23" s="15" t="s">
        <v>1</v>
      </c>
      <c r="AS23" s="16" t="s">
        <v>76</v>
      </c>
      <c r="AT23" s="16" t="s">
        <v>68</v>
      </c>
      <c r="AU23" s="16" t="s">
        <v>71</v>
      </c>
      <c r="AV23" s="16" t="s">
        <v>278</v>
      </c>
      <c r="AW23" s="17" t="s">
        <v>72</v>
      </c>
      <c r="AX23" s="17" t="s">
        <v>72</v>
      </c>
      <c r="AY23" s="17" t="s">
        <v>72</v>
      </c>
      <c r="AZ23" s="17" t="s">
        <v>221</v>
      </c>
      <c r="BA23" s="17" t="s">
        <v>72</v>
      </c>
      <c r="BB23" s="17"/>
      <c r="BC23" s="18" t="s">
        <v>69</v>
      </c>
      <c r="BD23" s="19" t="s">
        <v>169</v>
      </c>
      <c r="BE23" s="20" t="s">
        <v>68</v>
      </c>
    </row>
    <row r="24" spans="2:57" ht="66" x14ac:dyDescent="0.25">
      <c r="B24" s="1">
        <v>2016</v>
      </c>
      <c r="C24" s="1" t="s">
        <v>141</v>
      </c>
      <c r="D24" s="1" t="s">
        <v>197</v>
      </c>
      <c r="E24" s="2">
        <v>9410100235</v>
      </c>
      <c r="F24" s="2" t="s">
        <v>279</v>
      </c>
      <c r="G24" s="3" t="s">
        <v>280</v>
      </c>
      <c r="H24" s="4" t="s">
        <v>281</v>
      </c>
      <c r="I24" s="5" t="s">
        <v>282</v>
      </c>
      <c r="J24" s="6" t="s">
        <v>283</v>
      </c>
      <c r="K24" s="6" t="s">
        <v>284</v>
      </c>
      <c r="L24" s="6" t="s">
        <v>285</v>
      </c>
      <c r="M24" s="6" t="s">
        <v>286</v>
      </c>
      <c r="N24" s="6">
        <v>9</v>
      </c>
      <c r="O24" s="6">
        <v>24</v>
      </c>
      <c r="P24" s="7" t="s">
        <v>69</v>
      </c>
      <c r="Q24" s="7" t="s">
        <v>69</v>
      </c>
      <c r="R24" s="7" t="s">
        <v>69</v>
      </c>
      <c r="S24" s="7" t="s">
        <v>69</v>
      </c>
      <c r="T24" s="7" t="s">
        <v>69</v>
      </c>
      <c r="U24" s="8" t="s">
        <v>1</v>
      </c>
      <c r="V24" s="8" t="s">
        <v>69</v>
      </c>
      <c r="W24" s="9" t="s">
        <v>69</v>
      </c>
      <c r="X24" s="9" t="s">
        <v>69</v>
      </c>
      <c r="Y24" s="10" t="s">
        <v>69</v>
      </c>
      <c r="Z24" s="10" t="s">
        <v>69</v>
      </c>
      <c r="AA24" s="11" t="s">
        <v>69</v>
      </c>
      <c r="AB24" s="11" t="s">
        <v>69</v>
      </c>
      <c r="AC24" s="11" t="s">
        <v>69</v>
      </c>
      <c r="AD24" s="12" t="s">
        <v>69</v>
      </c>
      <c r="AE24" s="12" t="s">
        <v>69</v>
      </c>
      <c r="AF24" s="13" t="s">
        <v>69</v>
      </c>
      <c r="AG24" s="13" t="s">
        <v>69</v>
      </c>
      <c r="AH24" s="13" t="s">
        <v>69</v>
      </c>
      <c r="AI24" s="13" t="s">
        <v>69</v>
      </c>
      <c r="AJ24" s="14" t="s">
        <v>69</v>
      </c>
      <c r="AK24" s="14" t="s">
        <v>69</v>
      </c>
      <c r="AL24" s="14" t="s">
        <v>69</v>
      </c>
      <c r="AM24" s="14" t="s">
        <v>69</v>
      </c>
      <c r="AN24" s="14" t="s">
        <v>69</v>
      </c>
      <c r="AO24" s="15" t="s">
        <v>69</v>
      </c>
      <c r="AP24" s="15" t="s">
        <v>69</v>
      </c>
      <c r="AQ24" s="15" t="s">
        <v>69</v>
      </c>
      <c r="AR24" s="15" t="s">
        <v>69</v>
      </c>
      <c r="AS24" s="16" t="s">
        <v>70</v>
      </c>
      <c r="AT24" s="16" t="s">
        <v>287</v>
      </c>
      <c r="AU24" s="16" t="s">
        <v>71</v>
      </c>
      <c r="AV24" s="16" t="s">
        <v>288</v>
      </c>
      <c r="AW24" s="17" t="s">
        <v>72</v>
      </c>
      <c r="AX24" s="17" t="s">
        <v>72</v>
      </c>
      <c r="AY24" s="17" t="s">
        <v>71</v>
      </c>
      <c r="AZ24" s="17" t="s">
        <v>72</v>
      </c>
      <c r="BA24" s="17" t="s">
        <v>72</v>
      </c>
      <c r="BB24" s="17" t="s">
        <v>68</v>
      </c>
      <c r="BC24" s="18" t="s">
        <v>69</v>
      </c>
      <c r="BD24" s="19" t="s">
        <v>289</v>
      </c>
      <c r="BE24" s="20" t="s">
        <v>290</v>
      </c>
    </row>
    <row r="25" spans="2:57" ht="66" x14ac:dyDescent="0.25">
      <c r="B25" s="1">
        <v>2016</v>
      </c>
      <c r="C25" s="1" t="s">
        <v>141</v>
      </c>
      <c r="D25" s="1" t="s">
        <v>197</v>
      </c>
      <c r="E25" s="2">
        <v>9410100252</v>
      </c>
      <c r="F25" s="2" t="s">
        <v>291</v>
      </c>
      <c r="G25" s="3" t="s">
        <v>292</v>
      </c>
      <c r="H25" s="6" t="s">
        <v>293</v>
      </c>
      <c r="I25" s="5" t="s">
        <v>294</v>
      </c>
      <c r="J25" s="6" t="s">
        <v>295</v>
      </c>
      <c r="K25" s="6" t="s">
        <v>296</v>
      </c>
      <c r="L25" s="6" t="s">
        <v>297</v>
      </c>
      <c r="M25" s="6" t="s">
        <v>298</v>
      </c>
      <c r="N25" s="6">
        <v>3</v>
      </c>
      <c r="O25" s="6">
        <v>3</v>
      </c>
      <c r="P25" s="7" t="s">
        <v>1</v>
      </c>
      <c r="Q25" s="7" t="s">
        <v>1</v>
      </c>
      <c r="R25" s="7" t="s">
        <v>1</v>
      </c>
      <c r="S25" s="7" t="s">
        <v>1</v>
      </c>
      <c r="T25" s="7" t="s">
        <v>1</v>
      </c>
      <c r="U25" s="8" t="s">
        <v>1</v>
      </c>
      <c r="V25" s="8" t="s">
        <v>1</v>
      </c>
      <c r="W25" s="9" t="s">
        <v>75</v>
      </c>
      <c r="X25" s="9" t="s">
        <v>75</v>
      </c>
      <c r="Y25" s="10" t="s">
        <v>1</v>
      </c>
      <c r="Z25" s="10" t="s">
        <v>1</v>
      </c>
      <c r="AA25" s="11" t="s">
        <v>1</v>
      </c>
      <c r="AB25" s="11" t="s">
        <v>1</v>
      </c>
      <c r="AC25" s="11" t="s">
        <v>1</v>
      </c>
      <c r="AD25" s="12" t="s">
        <v>1</v>
      </c>
      <c r="AE25" s="12" t="s">
        <v>1</v>
      </c>
      <c r="AF25" s="13" t="s">
        <v>1</v>
      </c>
      <c r="AG25" s="13" t="s">
        <v>1</v>
      </c>
      <c r="AH25" s="13" t="s">
        <v>1</v>
      </c>
      <c r="AI25" s="13" t="s">
        <v>1</v>
      </c>
      <c r="AJ25" s="14" t="s">
        <v>1</v>
      </c>
      <c r="AK25" s="14" t="s">
        <v>1</v>
      </c>
      <c r="AL25" s="14" t="s">
        <v>1</v>
      </c>
      <c r="AM25" s="14" t="s">
        <v>1</v>
      </c>
      <c r="AN25" s="14" t="s">
        <v>1</v>
      </c>
      <c r="AO25" s="15" t="s">
        <v>1</v>
      </c>
      <c r="AP25" s="15" t="s">
        <v>1</v>
      </c>
      <c r="AQ25" s="15" t="s">
        <v>1</v>
      </c>
      <c r="AR25" s="15" t="s">
        <v>1</v>
      </c>
      <c r="AS25" s="16" t="s">
        <v>70</v>
      </c>
      <c r="AT25" s="16" t="s">
        <v>68</v>
      </c>
      <c r="AU25" s="16" t="s">
        <v>71</v>
      </c>
      <c r="AV25" s="16"/>
      <c r="AW25" s="17" t="s">
        <v>72</v>
      </c>
      <c r="AX25" s="17" t="s">
        <v>72</v>
      </c>
      <c r="AY25" s="17" t="s">
        <v>71</v>
      </c>
      <c r="AZ25" s="17" t="s">
        <v>71</v>
      </c>
      <c r="BA25" s="17" t="s">
        <v>72</v>
      </c>
      <c r="BB25" s="17"/>
      <c r="BC25" s="18" t="s">
        <v>1</v>
      </c>
      <c r="BD25" s="19" t="s">
        <v>213</v>
      </c>
      <c r="BE25" s="20" t="s">
        <v>299</v>
      </c>
    </row>
    <row r="26" spans="2:57" ht="66" x14ac:dyDescent="0.25">
      <c r="B26" s="1">
        <v>2016</v>
      </c>
      <c r="C26" s="1" t="s">
        <v>141</v>
      </c>
      <c r="D26" s="1" t="s">
        <v>197</v>
      </c>
      <c r="E26" s="2">
        <v>10410100049</v>
      </c>
      <c r="F26" s="2" t="s">
        <v>300</v>
      </c>
      <c r="G26" s="3" t="s">
        <v>301</v>
      </c>
      <c r="H26" s="4" t="s">
        <v>302</v>
      </c>
      <c r="I26" s="5" t="s">
        <v>303</v>
      </c>
      <c r="J26" s="6" t="s">
        <v>304</v>
      </c>
      <c r="K26" s="6" t="s">
        <v>305</v>
      </c>
      <c r="L26" s="4" t="s">
        <v>306</v>
      </c>
      <c r="M26" s="6" t="s">
        <v>93</v>
      </c>
      <c r="N26" s="6">
        <v>1</v>
      </c>
      <c r="O26" s="6">
        <v>24</v>
      </c>
      <c r="P26" s="7" t="s">
        <v>69</v>
      </c>
      <c r="Q26" s="7" t="s">
        <v>69</v>
      </c>
      <c r="R26" s="7" t="s">
        <v>69</v>
      </c>
      <c r="S26" s="7" t="s">
        <v>69</v>
      </c>
      <c r="T26" s="7" t="s">
        <v>69</v>
      </c>
      <c r="U26" s="8" t="s">
        <v>1</v>
      </c>
      <c r="V26" s="8" t="s">
        <v>69</v>
      </c>
      <c r="W26" s="9" t="s">
        <v>1</v>
      </c>
      <c r="X26" s="9" t="s">
        <v>1</v>
      </c>
      <c r="Y26" s="10" t="s">
        <v>69</v>
      </c>
      <c r="Z26" s="10" t="s">
        <v>69</v>
      </c>
      <c r="AA26" s="11" t="s">
        <v>69</v>
      </c>
      <c r="AB26" s="11" t="s">
        <v>69</v>
      </c>
      <c r="AC26" s="11" t="s">
        <v>69</v>
      </c>
      <c r="AD26" s="12" t="s">
        <v>69</v>
      </c>
      <c r="AE26" s="12" t="s">
        <v>1</v>
      </c>
      <c r="AF26" s="13" t="s">
        <v>1</v>
      </c>
      <c r="AG26" s="13" t="s">
        <v>1</v>
      </c>
      <c r="AH26" s="13" t="s">
        <v>69</v>
      </c>
      <c r="AI26" s="13" t="s">
        <v>69</v>
      </c>
      <c r="AJ26" s="14" t="s">
        <v>69</v>
      </c>
      <c r="AK26" s="14" t="s">
        <v>1</v>
      </c>
      <c r="AL26" s="14" t="s">
        <v>69</v>
      </c>
      <c r="AM26" s="14" t="s">
        <v>69</v>
      </c>
      <c r="AN26" s="14" t="s">
        <v>69</v>
      </c>
      <c r="AO26" s="15" t="s">
        <v>69</v>
      </c>
      <c r="AP26" s="15" t="s">
        <v>69</v>
      </c>
      <c r="AQ26" s="15" t="s">
        <v>69</v>
      </c>
      <c r="AR26" s="15" t="s">
        <v>69</v>
      </c>
      <c r="AS26" s="16" t="s">
        <v>70</v>
      </c>
      <c r="AT26" s="16" t="s">
        <v>307</v>
      </c>
      <c r="AU26" s="16" t="s">
        <v>71</v>
      </c>
      <c r="AV26" s="16" t="s">
        <v>308</v>
      </c>
      <c r="AW26" s="17" t="s">
        <v>309</v>
      </c>
      <c r="AX26" s="17" t="s">
        <v>309</v>
      </c>
      <c r="AY26" s="17" t="s">
        <v>310</v>
      </c>
      <c r="AZ26" s="17" t="s">
        <v>310</v>
      </c>
      <c r="BA26" s="17" t="s">
        <v>309</v>
      </c>
      <c r="BB26" s="17" t="s">
        <v>68</v>
      </c>
      <c r="BC26" s="18" t="s">
        <v>69</v>
      </c>
      <c r="BD26" s="19" t="s">
        <v>213</v>
      </c>
      <c r="BE26" s="20" t="s">
        <v>68</v>
      </c>
    </row>
    <row r="27" spans="2:57" ht="66" x14ac:dyDescent="0.25">
      <c r="B27" s="1">
        <v>2016</v>
      </c>
      <c r="C27" s="1" t="s">
        <v>141</v>
      </c>
      <c r="D27" s="1" t="s">
        <v>197</v>
      </c>
      <c r="E27" s="2">
        <v>10410100066</v>
      </c>
      <c r="F27" s="2" t="s">
        <v>311</v>
      </c>
      <c r="G27" s="3" t="s">
        <v>312</v>
      </c>
      <c r="H27" s="6" t="s">
        <v>313</v>
      </c>
      <c r="I27" s="5" t="s">
        <v>314</v>
      </c>
      <c r="J27" s="6" t="s">
        <v>315</v>
      </c>
      <c r="K27" s="6" t="s">
        <v>316</v>
      </c>
      <c r="L27" s="6" t="s">
        <v>317</v>
      </c>
      <c r="M27" s="6" t="s">
        <v>318</v>
      </c>
      <c r="N27" s="6">
        <v>1</v>
      </c>
      <c r="O27" s="6">
        <v>24</v>
      </c>
      <c r="P27" s="7" t="s">
        <v>1</v>
      </c>
      <c r="Q27" s="7" t="s">
        <v>1</v>
      </c>
      <c r="R27" s="7" t="s">
        <v>1</v>
      </c>
      <c r="S27" s="7" t="s">
        <v>69</v>
      </c>
      <c r="T27" s="7" t="s">
        <v>69</v>
      </c>
      <c r="U27" s="8" t="s">
        <v>1</v>
      </c>
      <c r="V27" s="8" t="s">
        <v>1</v>
      </c>
      <c r="W27" s="9" t="s">
        <v>1</v>
      </c>
      <c r="X27" s="9" t="s">
        <v>1</v>
      </c>
      <c r="Y27" s="10" t="s">
        <v>1</v>
      </c>
      <c r="Z27" s="10" t="s">
        <v>1</v>
      </c>
      <c r="AA27" s="11" t="s">
        <v>69</v>
      </c>
      <c r="AB27" s="11" t="s">
        <v>69</v>
      </c>
      <c r="AC27" s="11" t="s">
        <v>69</v>
      </c>
      <c r="AD27" s="12" t="s">
        <v>1</v>
      </c>
      <c r="AE27" s="12" t="s">
        <v>1</v>
      </c>
      <c r="AF27" s="13" t="s">
        <v>1</v>
      </c>
      <c r="AG27" s="13" t="s">
        <v>1</v>
      </c>
      <c r="AH27" s="13" t="s">
        <v>1</v>
      </c>
      <c r="AI27" s="13" t="s">
        <v>1</v>
      </c>
      <c r="AJ27" s="14" t="s">
        <v>1</v>
      </c>
      <c r="AK27" s="14" t="s">
        <v>1</v>
      </c>
      <c r="AL27" s="14" t="s">
        <v>1</v>
      </c>
      <c r="AM27" s="14" t="s">
        <v>1</v>
      </c>
      <c r="AN27" s="14" t="s">
        <v>1</v>
      </c>
      <c r="AO27" s="15" t="s">
        <v>1</v>
      </c>
      <c r="AP27" s="15" t="s">
        <v>1</v>
      </c>
      <c r="AQ27" s="15" t="s">
        <v>1</v>
      </c>
      <c r="AR27" s="15" t="s">
        <v>1</v>
      </c>
      <c r="AS27" s="16" t="s">
        <v>70</v>
      </c>
      <c r="AT27" s="16" t="s">
        <v>68</v>
      </c>
      <c r="AU27" s="16" t="s">
        <v>71</v>
      </c>
      <c r="AV27" s="16" t="s">
        <v>68</v>
      </c>
      <c r="AW27" s="17" t="s">
        <v>71</v>
      </c>
      <c r="AX27" s="17" t="s">
        <v>72</v>
      </c>
      <c r="AY27" s="17" t="s">
        <v>71</v>
      </c>
      <c r="AZ27" s="17" t="s">
        <v>71</v>
      </c>
      <c r="BA27" s="17" t="s">
        <v>71</v>
      </c>
      <c r="BB27" s="17" t="s">
        <v>68</v>
      </c>
      <c r="BC27" s="18" t="s">
        <v>1</v>
      </c>
      <c r="BD27" s="19" t="s">
        <v>140</v>
      </c>
      <c r="BE27" s="20" t="s">
        <v>319</v>
      </c>
    </row>
    <row r="28" spans="2:57" ht="82.5" x14ac:dyDescent="0.25">
      <c r="B28" s="1">
        <v>2016</v>
      </c>
      <c r="C28" s="1" t="s">
        <v>141</v>
      </c>
      <c r="D28" s="1" t="s">
        <v>197</v>
      </c>
      <c r="E28" s="2">
        <v>10410100088</v>
      </c>
      <c r="F28" s="2" t="s">
        <v>320</v>
      </c>
      <c r="G28" s="3" t="s">
        <v>321</v>
      </c>
      <c r="H28" s="4" t="s">
        <v>322</v>
      </c>
      <c r="I28" s="5" t="s">
        <v>323</v>
      </c>
      <c r="J28" s="6" t="s">
        <v>324</v>
      </c>
      <c r="K28" s="6" t="s">
        <v>325</v>
      </c>
      <c r="L28" s="4" t="s">
        <v>322</v>
      </c>
      <c r="M28" s="6" t="s">
        <v>326</v>
      </c>
      <c r="N28" s="6">
        <v>1</v>
      </c>
      <c r="O28" s="6">
        <v>24</v>
      </c>
      <c r="P28" s="7" t="s">
        <v>1</v>
      </c>
      <c r="Q28" s="7" t="s">
        <v>1</v>
      </c>
      <c r="R28" s="7" t="s">
        <v>1</v>
      </c>
      <c r="S28" s="7" t="s">
        <v>1</v>
      </c>
      <c r="T28" s="7" t="s">
        <v>1</v>
      </c>
      <c r="U28" s="8" t="s">
        <v>1</v>
      </c>
      <c r="V28" s="8" t="s">
        <v>1</v>
      </c>
      <c r="W28" s="9" t="s">
        <v>1</v>
      </c>
      <c r="X28" s="9" t="s">
        <v>1</v>
      </c>
      <c r="Y28" s="10" t="s">
        <v>1</v>
      </c>
      <c r="Z28" s="10" t="s">
        <v>1</v>
      </c>
      <c r="AA28" s="11" t="s">
        <v>1</v>
      </c>
      <c r="AB28" s="11" t="s">
        <v>1</v>
      </c>
      <c r="AC28" s="11" t="s">
        <v>1</v>
      </c>
      <c r="AD28" s="12" t="s">
        <v>1</v>
      </c>
      <c r="AE28" s="12" t="s">
        <v>1</v>
      </c>
      <c r="AF28" s="13" t="s">
        <v>1</v>
      </c>
      <c r="AG28" s="13" t="s">
        <v>1</v>
      </c>
      <c r="AH28" s="13" t="s">
        <v>1</v>
      </c>
      <c r="AI28" s="13" t="s">
        <v>1</v>
      </c>
      <c r="AJ28" s="14" t="s">
        <v>1</v>
      </c>
      <c r="AK28" s="14" t="s">
        <v>1</v>
      </c>
      <c r="AL28" s="14" t="s">
        <v>1</v>
      </c>
      <c r="AM28" s="14" t="s">
        <v>1</v>
      </c>
      <c r="AN28" s="14" t="s">
        <v>1</v>
      </c>
      <c r="AO28" s="15" t="s">
        <v>1</v>
      </c>
      <c r="AP28" s="15" t="s">
        <v>1</v>
      </c>
      <c r="AQ28" s="15" t="s">
        <v>1</v>
      </c>
      <c r="AR28" s="15" t="s">
        <v>1</v>
      </c>
      <c r="AS28" s="16" t="s">
        <v>70</v>
      </c>
      <c r="AT28" s="16" t="s">
        <v>327</v>
      </c>
      <c r="AU28" s="16" t="s">
        <v>71</v>
      </c>
      <c r="AV28" s="16" t="s">
        <v>328</v>
      </c>
      <c r="AW28" s="17" t="s">
        <v>71</v>
      </c>
      <c r="AX28" s="17" t="s">
        <v>71</v>
      </c>
      <c r="AY28" s="17" t="s">
        <v>71</v>
      </c>
      <c r="AZ28" s="17" t="s">
        <v>71</v>
      </c>
      <c r="BA28" s="17" t="s">
        <v>71</v>
      </c>
      <c r="BB28" s="17" t="s">
        <v>329</v>
      </c>
      <c r="BC28" s="18" t="s">
        <v>1</v>
      </c>
      <c r="BD28" s="19" t="s">
        <v>330</v>
      </c>
      <c r="BE28" s="20" t="s">
        <v>331</v>
      </c>
    </row>
    <row r="29" spans="2:57" ht="66" x14ac:dyDescent="0.25">
      <c r="B29" s="1">
        <v>2016</v>
      </c>
      <c r="C29" s="1" t="s">
        <v>141</v>
      </c>
      <c r="D29" s="1" t="s">
        <v>197</v>
      </c>
      <c r="E29" s="2">
        <v>10410100104</v>
      </c>
      <c r="F29" s="2" t="s">
        <v>332</v>
      </c>
      <c r="G29" s="3" t="s">
        <v>333</v>
      </c>
      <c r="H29" s="4" t="s">
        <v>334</v>
      </c>
      <c r="I29" s="5" t="s">
        <v>335</v>
      </c>
      <c r="J29" s="6" t="s">
        <v>336</v>
      </c>
      <c r="K29" s="6" t="s">
        <v>337</v>
      </c>
      <c r="L29" s="4" t="s">
        <v>338</v>
      </c>
      <c r="M29" s="6" t="s">
        <v>339</v>
      </c>
      <c r="N29" s="6">
        <v>1</v>
      </c>
      <c r="O29" s="6">
        <v>12</v>
      </c>
      <c r="P29" s="7" t="s">
        <v>69</v>
      </c>
      <c r="Q29" s="7" t="s">
        <v>69</v>
      </c>
      <c r="R29" s="7" t="s">
        <v>69</v>
      </c>
      <c r="S29" s="7" t="s">
        <v>69</v>
      </c>
      <c r="T29" s="7" t="s">
        <v>69</v>
      </c>
      <c r="U29" s="8" t="s">
        <v>1</v>
      </c>
      <c r="V29" s="8" t="s">
        <v>69</v>
      </c>
      <c r="W29" s="9" t="s">
        <v>69</v>
      </c>
      <c r="X29" s="9" t="s">
        <v>69</v>
      </c>
      <c r="Y29" s="10" t="s">
        <v>69</v>
      </c>
      <c r="Z29" s="10" t="s">
        <v>69</v>
      </c>
      <c r="AA29" s="11" t="s">
        <v>1</v>
      </c>
      <c r="AB29" s="11" t="s">
        <v>69</v>
      </c>
      <c r="AC29" s="11" t="s">
        <v>69</v>
      </c>
      <c r="AD29" s="12" t="s">
        <v>69</v>
      </c>
      <c r="AE29" s="12" t="s">
        <v>1</v>
      </c>
      <c r="AF29" s="13" t="s">
        <v>69</v>
      </c>
      <c r="AG29" s="13" t="s">
        <v>69</v>
      </c>
      <c r="AH29" s="13" t="s">
        <v>69</v>
      </c>
      <c r="AI29" s="13" t="s">
        <v>69</v>
      </c>
      <c r="AJ29" s="14" t="s">
        <v>1</v>
      </c>
      <c r="AK29" s="14" t="s">
        <v>1</v>
      </c>
      <c r="AL29" s="14" t="s">
        <v>69</v>
      </c>
      <c r="AM29" s="14" t="s">
        <v>69</v>
      </c>
      <c r="AN29" s="14" t="s">
        <v>69</v>
      </c>
      <c r="AO29" s="15" t="s">
        <v>1</v>
      </c>
      <c r="AP29" s="15" t="s">
        <v>1</v>
      </c>
      <c r="AQ29" s="15" t="s">
        <v>69</v>
      </c>
      <c r="AR29" s="15" t="s">
        <v>69</v>
      </c>
      <c r="AS29" s="16" t="s">
        <v>70</v>
      </c>
      <c r="AT29" s="16" t="s">
        <v>340</v>
      </c>
      <c r="AU29" s="16" t="s">
        <v>71</v>
      </c>
      <c r="AV29" s="16" t="s">
        <v>341</v>
      </c>
      <c r="AW29" s="17" t="s">
        <v>72</v>
      </c>
      <c r="AX29" s="17" t="s">
        <v>72</v>
      </c>
      <c r="AY29" s="17" t="s">
        <v>71</v>
      </c>
      <c r="AZ29" s="17" t="s">
        <v>71</v>
      </c>
      <c r="BA29" s="17" t="s">
        <v>72</v>
      </c>
      <c r="BB29" s="17" t="s">
        <v>342</v>
      </c>
      <c r="BC29" s="18" t="s">
        <v>69</v>
      </c>
      <c r="BD29" s="19" t="s">
        <v>343</v>
      </c>
      <c r="BE29" s="20" t="s">
        <v>344</v>
      </c>
    </row>
    <row r="30" spans="2:57" ht="66" x14ac:dyDescent="0.25">
      <c r="B30" s="1">
        <v>2016</v>
      </c>
      <c r="C30" s="1" t="s">
        <v>141</v>
      </c>
      <c r="D30" s="1" t="s">
        <v>197</v>
      </c>
      <c r="E30" s="2">
        <v>10410100106</v>
      </c>
      <c r="F30" s="2" t="s">
        <v>345</v>
      </c>
      <c r="G30" s="3" t="s">
        <v>346</v>
      </c>
      <c r="H30" s="4" t="s">
        <v>234</v>
      </c>
      <c r="I30" s="5" t="s">
        <v>235</v>
      </c>
      <c r="J30" s="6" t="s">
        <v>347</v>
      </c>
      <c r="K30" s="6" t="s">
        <v>348</v>
      </c>
      <c r="L30" s="4" t="s">
        <v>349</v>
      </c>
      <c r="M30" s="6" t="s">
        <v>350</v>
      </c>
      <c r="N30" s="6">
        <v>2</v>
      </c>
      <c r="O30" s="6">
        <v>24</v>
      </c>
      <c r="P30" s="7" t="s">
        <v>69</v>
      </c>
      <c r="Q30" s="7" t="s">
        <v>69</v>
      </c>
      <c r="R30" s="7" t="s">
        <v>69</v>
      </c>
      <c r="S30" s="7" t="s">
        <v>69</v>
      </c>
      <c r="T30" s="7" t="s">
        <v>69</v>
      </c>
      <c r="U30" s="8" t="s">
        <v>69</v>
      </c>
      <c r="V30" s="8" t="s">
        <v>69</v>
      </c>
      <c r="W30" s="9" t="s">
        <v>1</v>
      </c>
      <c r="X30" s="9" t="s">
        <v>1</v>
      </c>
      <c r="Y30" s="10" t="s">
        <v>69</v>
      </c>
      <c r="Z30" s="10" t="s">
        <v>69</v>
      </c>
      <c r="AA30" s="11" t="s">
        <v>69</v>
      </c>
      <c r="AB30" s="11" t="s">
        <v>69</v>
      </c>
      <c r="AC30" s="11" t="s">
        <v>69</v>
      </c>
      <c r="AD30" s="12" t="s">
        <v>69</v>
      </c>
      <c r="AE30" s="12" t="s">
        <v>69</v>
      </c>
      <c r="AF30" s="13" t="s">
        <v>69</v>
      </c>
      <c r="AG30" s="13" t="s">
        <v>69</v>
      </c>
      <c r="AH30" s="13" t="s">
        <v>69</v>
      </c>
      <c r="AI30" s="13" t="s">
        <v>69</v>
      </c>
      <c r="AJ30" s="14" t="s">
        <v>69</v>
      </c>
      <c r="AK30" s="14" t="s">
        <v>69</v>
      </c>
      <c r="AL30" s="14" t="s">
        <v>69</v>
      </c>
      <c r="AM30" s="14" t="s">
        <v>69</v>
      </c>
      <c r="AN30" s="14" t="s">
        <v>69</v>
      </c>
      <c r="AO30" s="15" t="s">
        <v>1</v>
      </c>
      <c r="AP30" s="15" t="s">
        <v>1</v>
      </c>
      <c r="AQ30" s="15" t="s">
        <v>1</v>
      </c>
      <c r="AR30" s="15" t="s">
        <v>69</v>
      </c>
      <c r="AS30" s="16" t="s">
        <v>70</v>
      </c>
      <c r="AT30" s="16" t="s">
        <v>351</v>
      </c>
      <c r="AU30" s="16" t="s">
        <v>71</v>
      </c>
      <c r="AV30" s="16" t="s">
        <v>352</v>
      </c>
      <c r="AW30" s="17" t="s">
        <v>71</v>
      </c>
      <c r="AX30" s="17" t="s">
        <v>71</v>
      </c>
      <c r="AY30" s="17" t="s">
        <v>71</v>
      </c>
      <c r="AZ30" s="17" t="s">
        <v>71</v>
      </c>
      <c r="BA30" s="17" t="s">
        <v>68</v>
      </c>
      <c r="BB30" s="17" t="s">
        <v>68</v>
      </c>
      <c r="BC30" s="18" t="s">
        <v>1</v>
      </c>
      <c r="BD30" s="19"/>
      <c r="BE30" s="20" t="s">
        <v>353</v>
      </c>
    </row>
    <row r="31" spans="2:57" ht="49.5" x14ac:dyDescent="0.25">
      <c r="B31" s="1">
        <v>2016</v>
      </c>
      <c r="C31" s="1" t="s">
        <v>141</v>
      </c>
      <c r="D31" s="1" t="s">
        <v>197</v>
      </c>
      <c r="E31" s="2">
        <v>10410100107</v>
      </c>
      <c r="F31" s="2" t="s">
        <v>354</v>
      </c>
      <c r="G31" s="3" t="s">
        <v>355</v>
      </c>
      <c r="H31" s="6" t="s">
        <v>68</v>
      </c>
      <c r="I31" s="5" t="s">
        <v>68</v>
      </c>
      <c r="J31" s="6" t="s">
        <v>356</v>
      </c>
      <c r="K31" s="6" t="s">
        <v>357</v>
      </c>
      <c r="L31" s="6" t="s">
        <v>68</v>
      </c>
      <c r="M31" s="6" t="s">
        <v>358</v>
      </c>
      <c r="N31" s="6">
        <v>1</v>
      </c>
      <c r="O31" s="6">
        <v>12</v>
      </c>
      <c r="P31" s="7" t="s">
        <v>69</v>
      </c>
      <c r="Q31" s="7" t="s">
        <v>69</v>
      </c>
      <c r="R31" s="7" t="s">
        <v>69</v>
      </c>
      <c r="S31" s="7" t="s">
        <v>69</v>
      </c>
      <c r="T31" s="7" t="s">
        <v>69</v>
      </c>
      <c r="U31" s="8" t="s">
        <v>1</v>
      </c>
      <c r="V31" s="8" t="s">
        <v>69</v>
      </c>
      <c r="W31" s="9" t="s">
        <v>1</v>
      </c>
      <c r="X31" s="9" t="s">
        <v>1</v>
      </c>
      <c r="Y31" s="10" t="s">
        <v>69</v>
      </c>
      <c r="Z31" s="10" t="s">
        <v>69</v>
      </c>
      <c r="AA31" s="11" t="s">
        <v>69</v>
      </c>
      <c r="AB31" s="11" t="s">
        <v>69</v>
      </c>
      <c r="AC31" s="11" t="s">
        <v>69</v>
      </c>
      <c r="AD31" s="12" t="s">
        <v>69</v>
      </c>
      <c r="AE31" s="12" t="s">
        <v>1</v>
      </c>
      <c r="AF31" s="13" t="s">
        <v>69</v>
      </c>
      <c r="AG31" s="13" t="s">
        <v>69</v>
      </c>
      <c r="AH31" s="13" t="s">
        <v>69</v>
      </c>
      <c r="AI31" s="13" t="s">
        <v>69</v>
      </c>
      <c r="AJ31" s="14" t="s">
        <v>1</v>
      </c>
      <c r="AK31" s="14" t="s">
        <v>1</v>
      </c>
      <c r="AL31" s="14" t="s">
        <v>69</v>
      </c>
      <c r="AM31" s="14" t="s">
        <v>69</v>
      </c>
      <c r="AN31" s="14" t="s">
        <v>69</v>
      </c>
      <c r="AO31" s="15" t="s">
        <v>1</v>
      </c>
      <c r="AP31" s="15" t="s">
        <v>1</v>
      </c>
      <c r="AQ31" s="15" t="s">
        <v>1</v>
      </c>
      <c r="AR31" s="15" t="s">
        <v>69</v>
      </c>
      <c r="AS31" s="16" t="s">
        <v>70</v>
      </c>
      <c r="AT31" s="16" t="s">
        <v>68</v>
      </c>
      <c r="AU31" s="16" t="s">
        <v>71</v>
      </c>
      <c r="AV31" s="16" t="s">
        <v>68</v>
      </c>
      <c r="AW31" s="17" t="s">
        <v>71</v>
      </c>
      <c r="AX31" s="17" t="s">
        <v>71</v>
      </c>
      <c r="AY31" s="17" t="s">
        <v>72</v>
      </c>
      <c r="AZ31" s="17" t="s">
        <v>72</v>
      </c>
      <c r="BA31" s="17" t="s">
        <v>72</v>
      </c>
      <c r="BB31" s="17" t="s">
        <v>68</v>
      </c>
      <c r="BC31" s="18" t="s">
        <v>1</v>
      </c>
      <c r="BD31" s="19" t="s">
        <v>68</v>
      </c>
      <c r="BE31" s="20" t="s">
        <v>68</v>
      </c>
    </row>
    <row r="32" spans="2:57" ht="60" customHeight="1" x14ac:dyDescent="0.25">
      <c r="B32" s="1">
        <v>2016</v>
      </c>
      <c r="C32" s="1" t="s">
        <v>141</v>
      </c>
      <c r="D32" s="1" t="s">
        <v>197</v>
      </c>
      <c r="E32" s="2">
        <v>10410100120</v>
      </c>
      <c r="F32" s="2" t="s">
        <v>359</v>
      </c>
      <c r="G32" s="3" t="s">
        <v>360</v>
      </c>
      <c r="H32" s="4" t="s">
        <v>361</v>
      </c>
      <c r="I32" s="5" t="s">
        <v>362</v>
      </c>
      <c r="J32" s="6" t="s">
        <v>363</v>
      </c>
      <c r="K32" s="6" t="s">
        <v>364</v>
      </c>
      <c r="L32" s="6" t="s">
        <v>68</v>
      </c>
      <c r="M32" s="6">
        <v>2</v>
      </c>
      <c r="N32" s="6">
        <v>2</v>
      </c>
      <c r="O32" s="6">
        <v>60</v>
      </c>
      <c r="P32" s="7" t="s">
        <v>1</v>
      </c>
      <c r="Q32" s="7" t="s">
        <v>1</v>
      </c>
      <c r="R32" s="7" t="s">
        <v>1</v>
      </c>
      <c r="S32" s="7" t="s">
        <v>1</v>
      </c>
      <c r="T32" s="7" t="s">
        <v>1</v>
      </c>
      <c r="U32" s="8" t="s">
        <v>69</v>
      </c>
      <c r="V32" s="8" t="s">
        <v>1</v>
      </c>
      <c r="W32" s="9" t="s">
        <v>75</v>
      </c>
      <c r="X32" s="9" t="s">
        <v>1</v>
      </c>
      <c r="Y32" s="10" t="s">
        <v>69</v>
      </c>
      <c r="Z32" s="10" t="s">
        <v>69</v>
      </c>
      <c r="AA32" s="11" t="s">
        <v>1</v>
      </c>
      <c r="AB32" s="11" t="s">
        <v>1</v>
      </c>
      <c r="AC32" s="11" t="s">
        <v>1</v>
      </c>
      <c r="AD32" s="12" t="s">
        <v>1</v>
      </c>
      <c r="AE32" s="12" t="s">
        <v>1</v>
      </c>
      <c r="AF32" s="13" t="s">
        <v>1</v>
      </c>
      <c r="AG32" s="13" t="s">
        <v>1</v>
      </c>
      <c r="AH32" s="13" t="s">
        <v>69</v>
      </c>
      <c r="AI32" s="13" t="s">
        <v>1</v>
      </c>
      <c r="AJ32" s="14" t="s">
        <v>1</v>
      </c>
      <c r="AK32" s="14" t="s">
        <v>1</v>
      </c>
      <c r="AL32" s="14" t="s">
        <v>1</v>
      </c>
      <c r="AM32" s="14" t="s">
        <v>1</v>
      </c>
      <c r="AN32" s="14" t="s">
        <v>1</v>
      </c>
      <c r="AO32" s="15" t="s">
        <v>1</v>
      </c>
      <c r="AP32" s="15" t="s">
        <v>1</v>
      </c>
      <c r="AQ32" s="15" t="s">
        <v>75</v>
      </c>
      <c r="AR32" s="15" t="s">
        <v>1</v>
      </c>
      <c r="AS32" s="16" t="s">
        <v>76</v>
      </c>
      <c r="AT32" s="16" t="s">
        <v>68</v>
      </c>
      <c r="AU32" s="16" t="s">
        <v>71</v>
      </c>
      <c r="AV32" s="16" t="s">
        <v>68</v>
      </c>
      <c r="AW32" s="17" t="s">
        <v>71</v>
      </c>
      <c r="AX32" s="17" t="s">
        <v>71</v>
      </c>
      <c r="AY32" s="17" t="s">
        <v>71</v>
      </c>
      <c r="AZ32" s="17" t="s">
        <v>71</v>
      </c>
      <c r="BA32" s="17" t="s">
        <v>72</v>
      </c>
      <c r="BB32" s="17" t="s">
        <v>68</v>
      </c>
      <c r="BC32" s="18" t="s">
        <v>365</v>
      </c>
      <c r="BD32" s="19" t="s">
        <v>94</v>
      </c>
      <c r="BE32" s="20" t="s">
        <v>366</v>
      </c>
    </row>
    <row r="33" spans="2:57" ht="66" x14ac:dyDescent="0.25">
      <c r="B33" s="1">
        <v>2016</v>
      </c>
      <c r="C33" s="1" t="s">
        <v>141</v>
      </c>
      <c r="D33" s="1" t="s">
        <v>197</v>
      </c>
      <c r="E33" s="2">
        <v>10410100188</v>
      </c>
      <c r="F33" s="2" t="s">
        <v>367</v>
      </c>
      <c r="G33" s="3" t="s">
        <v>368</v>
      </c>
      <c r="H33" s="4" t="s">
        <v>369</v>
      </c>
      <c r="I33" s="5" t="s">
        <v>370</v>
      </c>
      <c r="J33" s="6" t="s">
        <v>371</v>
      </c>
      <c r="K33" s="6" t="s">
        <v>372</v>
      </c>
      <c r="L33" s="6" t="s">
        <v>68</v>
      </c>
      <c r="M33" s="6" t="s">
        <v>199</v>
      </c>
      <c r="N33" s="6">
        <v>1</v>
      </c>
      <c r="O33" s="6">
        <v>12</v>
      </c>
      <c r="P33" s="7" t="s">
        <v>1</v>
      </c>
      <c r="Q33" s="7" t="s">
        <v>69</v>
      </c>
      <c r="R33" s="7" t="s">
        <v>1</v>
      </c>
      <c r="S33" s="7" t="s">
        <v>1</v>
      </c>
      <c r="T33" s="7" t="s">
        <v>1</v>
      </c>
      <c r="U33" s="8" t="s">
        <v>1</v>
      </c>
      <c r="V33" s="8" t="s">
        <v>1</v>
      </c>
      <c r="W33" s="9" t="s">
        <v>75</v>
      </c>
      <c r="X33" s="9" t="s">
        <v>75</v>
      </c>
      <c r="Y33" s="10" t="s">
        <v>69</v>
      </c>
      <c r="Z33" s="10" t="s">
        <v>69</v>
      </c>
      <c r="AA33" s="11" t="s">
        <v>1</v>
      </c>
      <c r="AB33" s="11" t="s">
        <v>1</v>
      </c>
      <c r="AC33" s="11" t="s">
        <v>1</v>
      </c>
      <c r="AD33" s="12" t="s">
        <v>1</v>
      </c>
      <c r="AE33" s="12" t="s">
        <v>1</v>
      </c>
      <c r="AF33" s="13" t="s">
        <v>1</v>
      </c>
      <c r="AG33" s="13" t="s">
        <v>1</v>
      </c>
      <c r="AH33" s="13" t="s">
        <v>69</v>
      </c>
      <c r="AI33" s="13" t="s">
        <v>69</v>
      </c>
      <c r="AJ33" s="14" t="s">
        <v>1</v>
      </c>
      <c r="AK33" s="14" t="s">
        <v>1</v>
      </c>
      <c r="AL33" s="14" t="s">
        <v>1</v>
      </c>
      <c r="AM33" s="14" t="s">
        <v>1</v>
      </c>
      <c r="AN33" s="14" t="s">
        <v>1</v>
      </c>
      <c r="AO33" s="15" t="s">
        <v>1</v>
      </c>
      <c r="AP33" s="15" t="s">
        <v>1</v>
      </c>
      <c r="AQ33" s="15" t="s">
        <v>1</v>
      </c>
      <c r="AR33" s="15" t="s">
        <v>1</v>
      </c>
      <c r="AS33" s="16" t="s">
        <v>70</v>
      </c>
      <c r="AT33" s="16" t="s">
        <v>373</v>
      </c>
      <c r="AU33" s="16" t="s">
        <v>71</v>
      </c>
      <c r="AV33" s="16" t="s">
        <v>374</v>
      </c>
      <c r="AW33" s="17" t="s">
        <v>71</v>
      </c>
      <c r="AX33" s="17" t="s">
        <v>71</v>
      </c>
      <c r="AY33" s="17" t="s">
        <v>71</v>
      </c>
      <c r="AZ33" s="17" t="s">
        <v>71</v>
      </c>
      <c r="BA33" s="17" t="s">
        <v>71</v>
      </c>
      <c r="BB33" s="17" t="s">
        <v>375</v>
      </c>
      <c r="BC33" s="18" t="s">
        <v>1</v>
      </c>
      <c r="BD33" s="19" t="s">
        <v>94</v>
      </c>
      <c r="BE33" s="20" t="s">
        <v>376</v>
      </c>
    </row>
    <row r="34" spans="2:57" ht="66" x14ac:dyDescent="0.25">
      <c r="B34" s="1">
        <v>2016</v>
      </c>
      <c r="C34" s="1" t="s">
        <v>141</v>
      </c>
      <c r="D34" s="1" t="s">
        <v>197</v>
      </c>
      <c r="E34" s="2">
        <v>10410100209</v>
      </c>
      <c r="F34" s="2" t="s">
        <v>377</v>
      </c>
      <c r="G34" s="3" t="s">
        <v>378</v>
      </c>
      <c r="H34" s="4" t="s">
        <v>379</v>
      </c>
      <c r="I34" s="5" t="s">
        <v>380</v>
      </c>
      <c r="J34" s="6" t="s">
        <v>381</v>
      </c>
      <c r="K34" s="6" t="s">
        <v>382</v>
      </c>
      <c r="L34" s="4" t="s">
        <v>383</v>
      </c>
      <c r="M34" s="6" t="s">
        <v>384</v>
      </c>
      <c r="N34" s="6">
        <v>10</v>
      </c>
      <c r="O34" s="6">
        <v>12</v>
      </c>
      <c r="P34" s="7" t="s">
        <v>1</v>
      </c>
      <c r="Q34" s="7" t="s">
        <v>1</v>
      </c>
      <c r="R34" s="7" t="s">
        <v>1</v>
      </c>
      <c r="S34" s="7" t="s">
        <v>1</v>
      </c>
      <c r="T34" s="7" t="s">
        <v>1</v>
      </c>
      <c r="U34" s="8" t="s">
        <v>1</v>
      </c>
      <c r="V34" s="8" t="s">
        <v>1</v>
      </c>
      <c r="W34" s="9" t="s">
        <v>75</v>
      </c>
      <c r="X34" s="9" t="s">
        <v>1</v>
      </c>
      <c r="Y34" s="10" t="s">
        <v>1</v>
      </c>
      <c r="Z34" s="10" t="s">
        <v>1</v>
      </c>
      <c r="AA34" s="11" t="s">
        <v>1</v>
      </c>
      <c r="AB34" s="11" t="s">
        <v>1</v>
      </c>
      <c r="AC34" s="11" t="s">
        <v>1</v>
      </c>
      <c r="AD34" s="12" t="s">
        <v>1</v>
      </c>
      <c r="AE34" s="12" t="s">
        <v>1</v>
      </c>
      <c r="AF34" s="13" t="s">
        <v>1</v>
      </c>
      <c r="AG34" s="13" t="s">
        <v>1</v>
      </c>
      <c r="AH34" s="13" t="s">
        <v>1</v>
      </c>
      <c r="AI34" s="13" t="s">
        <v>69</v>
      </c>
      <c r="AJ34" s="14" t="s">
        <v>1</v>
      </c>
      <c r="AK34" s="14" t="s">
        <v>1</v>
      </c>
      <c r="AL34" s="14" t="s">
        <v>1</v>
      </c>
      <c r="AM34" s="14" t="s">
        <v>1</v>
      </c>
      <c r="AN34" s="14" t="s">
        <v>1</v>
      </c>
      <c r="AO34" s="15" t="s">
        <v>1</v>
      </c>
      <c r="AP34" s="15" t="s">
        <v>1</v>
      </c>
      <c r="AQ34" s="15" t="s">
        <v>75</v>
      </c>
      <c r="AR34" s="15" t="s">
        <v>69</v>
      </c>
      <c r="AS34" s="16" t="s">
        <v>70</v>
      </c>
      <c r="AT34" s="16" t="s">
        <v>385</v>
      </c>
      <c r="AU34" s="16" t="s">
        <v>71</v>
      </c>
      <c r="AV34" s="16" t="s">
        <v>386</v>
      </c>
      <c r="AW34" s="17" t="s">
        <v>71</v>
      </c>
      <c r="AX34" s="17" t="s">
        <v>71</v>
      </c>
      <c r="AY34" s="17" t="s">
        <v>71</v>
      </c>
      <c r="AZ34" s="17" t="s">
        <v>71</v>
      </c>
      <c r="BA34" s="17" t="s">
        <v>72</v>
      </c>
      <c r="BB34" s="17"/>
      <c r="BC34" s="18" t="s">
        <v>1</v>
      </c>
      <c r="BD34" s="19" t="s">
        <v>387</v>
      </c>
      <c r="BE34" s="20"/>
    </row>
    <row r="35" spans="2:57" ht="66" x14ac:dyDescent="0.25">
      <c r="B35" s="1">
        <v>2016</v>
      </c>
      <c r="C35" s="1" t="s">
        <v>141</v>
      </c>
      <c r="D35" s="1" t="s">
        <v>197</v>
      </c>
      <c r="E35" s="2">
        <v>10410100240</v>
      </c>
      <c r="F35" s="2" t="s">
        <v>388</v>
      </c>
      <c r="G35" s="3" t="s">
        <v>389</v>
      </c>
      <c r="H35" s="4" t="s">
        <v>390</v>
      </c>
      <c r="I35" s="5" t="s">
        <v>391</v>
      </c>
      <c r="J35" s="6" t="s">
        <v>392</v>
      </c>
      <c r="K35" s="6" t="s">
        <v>393</v>
      </c>
      <c r="L35" s="4" t="s">
        <v>394</v>
      </c>
      <c r="M35" s="6" t="s">
        <v>143</v>
      </c>
      <c r="N35" s="6">
        <v>1</v>
      </c>
      <c r="O35" s="6">
        <v>12</v>
      </c>
      <c r="P35" s="7" t="s">
        <v>1</v>
      </c>
      <c r="Q35" s="7" t="s">
        <v>1</v>
      </c>
      <c r="R35" s="7" t="s">
        <v>1</v>
      </c>
      <c r="S35" s="7" t="s">
        <v>1</v>
      </c>
      <c r="T35" s="7" t="s">
        <v>1</v>
      </c>
      <c r="U35" s="8" t="s">
        <v>1</v>
      </c>
      <c r="V35" s="8" t="s">
        <v>1</v>
      </c>
      <c r="W35" s="9" t="s">
        <v>75</v>
      </c>
      <c r="X35" s="9" t="s">
        <v>1</v>
      </c>
      <c r="Y35" s="10" t="s">
        <v>69</v>
      </c>
      <c r="Z35" s="10" t="s">
        <v>69</v>
      </c>
      <c r="AA35" s="11" t="s">
        <v>1</v>
      </c>
      <c r="AB35" s="11" t="s">
        <v>1</v>
      </c>
      <c r="AC35" s="11" t="s">
        <v>1</v>
      </c>
      <c r="AD35" s="12" t="s">
        <v>69</v>
      </c>
      <c r="AE35" s="12" t="s">
        <v>1</v>
      </c>
      <c r="AF35" s="13" t="s">
        <v>1</v>
      </c>
      <c r="AG35" s="13" t="s">
        <v>1</v>
      </c>
      <c r="AH35" s="13" t="s">
        <v>1</v>
      </c>
      <c r="AI35" s="13" t="s">
        <v>75</v>
      </c>
      <c r="AJ35" s="14" t="s">
        <v>1</v>
      </c>
      <c r="AK35" s="14" t="s">
        <v>69</v>
      </c>
      <c r="AL35" s="14" t="s">
        <v>69</v>
      </c>
      <c r="AM35" s="14" t="s">
        <v>69</v>
      </c>
      <c r="AN35" s="14" t="s">
        <v>1</v>
      </c>
      <c r="AO35" s="15" t="s">
        <v>69</v>
      </c>
      <c r="AP35" s="15" t="s">
        <v>1</v>
      </c>
      <c r="AQ35" s="15" t="s">
        <v>1</v>
      </c>
      <c r="AR35" s="15" t="s">
        <v>1</v>
      </c>
      <c r="AS35" s="16" t="s">
        <v>70</v>
      </c>
      <c r="AT35" s="16" t="s">
        <v>395</v>
      </c>
      <c r="AU35" s="16" t="s">
        <v>71</v>
      </c>
      <c r="AV35" s="16" t="s">
        <v>396</v>
      </c>
      <c r="AW35" s="17" t="s">
        <v>72</v>
      </c>
      <c r="AX35" s="17" t="s">
        <v>72</v>
      </c>
      <c r="AY35" s="17" t="s">
        <v>71</v>
      </c>
      <c r="AZ35" s="17" t="s">
        <v>72</v>
      </c>
      <c r="BA35" s="17" t="s">
        <v>71</v>
      </c>
      <c r="BB35" s="17" t="s">
        <v>68</v>
      </c>
      <c r="BC35" s="18" t="s">
        <v>1</v>
      </c>
      <c r="BD35" s="19" t="s">
        <v>94</v>
      </c>
      <c r="BE35" s="20" t="s">
        <v>397</v>
      </c>
    </row>
    <row r="36" spans="2:57" ht="66" x14ac:dyDescent="0.25">
      <c r="B36" s="1">
        <v>2016</v>
      </c>
      <c r="C36" s="1" t="s">
        <v>141</v>
      </c>
      <c r="D36" s="1" t="s">
        <v>197</v>
      </c>
      <c r="E36" s="2">
        <v>11410100020</v>
      </c>
      <c r="F36" s="2" t="s">
        <v>398</v>
      </c>
      <c r="G36" s="3" t="s">
        <v>399</v>
      </c>
      <c r="H36" s="4" t="s">
        <v>400</v>
      </c>
      <c r="I36" s="5" t="s">
        <v>401</v>
      </c>
      <c r="J36" s="6" t="s">
        <v>402</v>
      </c>
      <c r="K36" s="6" t="s">
        <v>403</v>
      </c>
      <c r="L36" s="4" t="s">
        <v>404</v>
      </c>
      <c r="M36" s="6" t="s">
        <v>405</v>
      </c>
      <c r="N36" s="6">
        <v>2</v>
      </c>
      <c r="O36" s="6">
        <v>60</v>
      </c>
      <c r="P36" s="7" t="s">
        <v>1</v>
      </c>
      <c r="Q36" s="7" t="s">
        <v>1</v>
      </c>
      <c r="R36" s="7" t="s">
        <v>1</v>
      </c>
      <c r="S36" s="7" t="s">
        <v>69</v>
      </c>
      <c r="T36" s="7" t="s">
        <v>1</v>
      </c>
      <c r="U36" s="8" t="s">
        <v>1</v>
      </c>
      <c r="V36" s="8" t="s">
        <v>1</v>
      </c>
      <c r="W36" s="9" t="s">
        <v>75</v>
      </c>
      <c r="X36" s="9" t="s">
        <v>1</v>
      </c>
      <c r="Y36" s="10" t="s">
        <v>1</v>
      </c>
      <c r="Z36" s="10" t="s">
        <v>1</v>
      </c>
      <c r="AA36" s="11" t="s">
        <v>1</v>
      </c>
      <c r="AB36" s="11" t="s">
        <v>1</v>
      </c>
      <c r="AC36" s="11" t="s">
        <v>1</v>
      </c>
      <c r="AD36" s="12" t="s">
        <v>1</v>
      </c>
      <c r="AE36" s="12" t="s">
        <v>1</v>
      </c>
      <c r="AF36" s="13" t="s">
        <v>1</v>
      </c>
      <c r="AG36" s="13" t="s">
        <v>75</v>
      </c>
      <c r="AH36" s="13" t="s">
        <v>1</v>
      </c>
      <c r="AI36" s="13" t="s">
        <v>1</v>
      </c>
      <c r="AJ36" s="14" t="s">
        <v>1</v>
      </c>
      <c r="AK36" s="14" t="s">
        <v>1</v>
      </c>
      <c r="AL36" s="14" t="s">
        <v>1</v>
      </c>
      <c r="AM36" s="14" t="s">
        <v>1</v>
      </c>
      <c r="AN36" s="14" t="s">
        <v>1</v>
      </c>
      <c r="AO36" s="15" t="s">
        <v>75</v>
      </c>
      <c r="AP36" s="15" t="s">
        <v>75</v>
      </c>
      <c r="AQ36" s="15" t="s">
        <v>75</v>
      </c>
      <c r="AR36" s="15" t="s">
        <v>1</v>
      </c>
      <c r="AS36" s="16" t="s">
        <v>70</v>
      </c>
      <c r="AT36" s="16" t="s">
        <v>406</v>
      </c>
      <c r="AU36" s="16" t="s">
        <v>68</v>
      </c>
      <c r="AV36" s="16" t="s">
        <v>68</v>
      </c>
      <c r="AW36" s="17" t="s">
        <v>72</v>
      </c>
      <c r="AX36" s="17" t="s">
        <v>72</v>
      </c>
      <c r="AY36" s="17" t="s">
        <v>71</v>
      </c>
      <c r="AZ36" s="17" t="s">
        <v>72</v>
      </c>
      <c r="BA36" s="17" t="s">
        <v>72</v>
      </c>
      <c r="BB36" s="17" t="s">
        <v>68</v>
      </c>
      <c r="BC36" s="18" t="s">
        <v>1</v>
      </c>
      <c r="BD36" s="19" t="s">
        <v>68</v>
      </c>
      <c r="BE36" s="20" t="s">
        <v>407</v>
      </c>
    </row>
    <row r="37" spans="2:57" ht="66" x14ac:dyDescent="0.25">
      <c r="B37" s="1">
        <v>2016</v>
      </c>
      <c r="C37" s="1" t="s">
        <v>141</v>
      </c>
      <c r="D37" s="1" t="s">
        <v>197</v>
      </c>
      <c r="E37" s="2">
        <v>11410100031</v>
      </c>
      <c r="F37" s="2" t="s">
        <v>408</v>
      </c>
      <c r="G37" s="3" t="s">
        <v>399</v>
      </c>
      <c r="H37" s="4" t="s">
        <v>400</v>
      </c>
      <c r="I37" s="5" t="s">
        <v>401</v>
      </c>
      <c r="J37" s="6" t="s">
        <v>402</v>
      </c>
      <c r="K37" s="6" t="s">
        <v>403</v>
      </c>
      <c r="L37" s="4" t="s">
        <v>404</v>
      </c>
      <c r="M37" s="6" t="s">
        <v>405</v>
      </c>
      <c r="N37" s="6">
        <v>2</v>
      </c>
      <c r="O37" s="6">
        <v>60</v>
      </c>
      <c r="P37" s="7" t="s">
        <v>1</v>
      </c>
      <c r="Q37" s="7" t="s">
        <v>1</v>
      </c>
      <c r="R37" s="7" t="s">
        <v>1</v>
      </c>
      <c r="S37" s="7" t="s">
        <v>69</v>
      </c>
      <c r="T37" s="7" t="s">
        <v>1</v>
      </c>
      <c r="U37" s="8" t="s">
        <v>1</v>
      </c>
      <c r="V37" s="8" t="s">
        <v>1</v>
      </c>
      <c r="W37" s="9" t="s">
        <v>75</v>
      </c>
      <c r="X37" s="9" t="s">
        <v>1</v>
      </c>
      <c r="Y37" s="10" t="s">
        <v>1</v>
      </c>
      <c r="Z37" s="10" t="s">
        <v>1</v>
      </c>
      <c r="AA37" s="11" t="s">
        <v>1</v>
      </c>
      <c r="AB37" s="11" t="s">
        <v>1</v>
      </c>
      <c r="AC37" s="11" t="s">
        <v>1</v>
      </c>
      <c r="AD37" s="12" t="s">
        <v>1</v>
      </c>
      <c r="AE37" s="12" t="s">
        <v>1</v>
      </c>
      <c r="AF37" s="13" t="s">
        <v>1</v>
      </c>
      <c r="AG37" s="13" t="s">
        <v>75</v>
      </c>
      <c r="AH37" s="13" t="s">
        <v>1</v>
      </c>
      <c r="AI37" s="13" t="s">
        <v>1</v>
      </c>
      <c r="AJ37" s="14" t="s">
        <v>1</v>
      </c>
      <c r="AK37" s="14" t="s">
        <v>1</v>
      </c>
      <c r="AL37" s="14" t="s">
        <v>1</v>
      </c>
      <c r="AM37" s="14" t="s">
        <v>1</v>
      </c>
      <c r="AN37" s="14" t="s">
        <v>1</v>
      </c>
      <c r="AO37" s="15" t="s">
        <v>75</v>
      </c>
      <c r="AP37" s="15" t="s">
        <v>75</v>
      </c>
      <c r="AQ37" s="15" t="s">
        <v>75</v>
      </c>
      <c r="AR37" s="15" t="s">
        <v>1</v>
      </c>
      <c r="AS37" s="16" t="s">
        <v>70</v>
      </c>
      <c r="AT37" s="16" t="s">
        <v>406</v>
      </c>
      <c r="AU37" s="16" t="s">
        <v>68</v>
      </c>
      <c r="AV37" s="16" t="s">
        <v>68</v>
      </c>
      <c r="AW37" s="17" t="s">
        <v>72</v>
      </c>
      <c r="AX37" s="17" t="s">
        <v>72</v>
      </c>
      <c r="AY37" s="17" t="s">
        <v>71</v>
      </c>
      <c r="AZ37" s="17" t="s">
        <v>72</v>
      </c>
      <c r="BA37" s="17" t="s">
        <v>72</v>
      </c>
      <c r="BB37" s="17" t="s">
        <v>68</v>
      </c>
      <c r="BC37" s="18" t="s">
        <v>1</v>
      </c>
      <c r="BD37" s="19" t="s">
        <v>68</v>
      </c>
      <c r="BE37" s="20" t="s">
        <v>407</v>
      </c>
    </row>
    <row r="38" spans="2:57" ht="66" x14ac:dyDescent="0.25">
      <c r="B38" s="1">
        <v>2016</v>
      </c>
      <c r="C38" s="1" t="s">
        <v>141</v>
      </c>
      <c r="D38" s="1" t="s">
        <v>197</v>
      </c>
      <c r="E38" s="2">
        <v>11410100042</v>
      </c>
      <c r="F38" s="2" t="s">
        <v>409</v>
      </c>
      <c r="G38" s="3" t="s">
        <v>410</v>
      </c>
      <c r="H38" s="4" t="s">
        <v>411</v>
      </c>
      <c r="I38" s="5" t="s">
        <v>412</v>
      </c>
      <c r="J38" s="6" t="s">
        <v>413</v>
      </c>
      <c r="K38" s="6" t="s">
        <v>414</v>
      </c>
      <c r="L38" s="4" t="s">
        <v>415</v>
      </c>
      <c r="M38" s="6" t="s">
        <v>416</v>
      </c>
      <c r="N38" s="6">
        <v>1</v>
      </c>
      <c r="O38" s="6">
        <v>6</v>
      </c>
      <c r="P38" s="7" t="s">
        <v>69</v>
      </c>
      <c r="Q38" s="7" t="s">
        <v>69</v>
      </c>
      <c r="R38" s="7" t="s">
        <v>69</v>
      </c>
      <c r="S38" s="7" t="s">
        <v>69</v>
      </c>
      <c r="T38" s="7" t="s">
        <v>69</v>
      </c>
      <c r="U38" s="8" t="s">
        <v>69</v>
      </c>
      <c r="V38" s="8" t="s">
        <v>69</v>
      </c>
      <c r="W38" s="9" t="s">
        <v>1</v>
      </c>
      <c r="X38" s="9" t="s">
        <v>1</v>
      </c>
      <c r="Y38" s="10" t="s">
        <v>69</v>
      </c>
      <c r="Z38" s="10" t="s">
        <v>69</v>
      </c>
      <c r="AA38" s="11" t="s">
        <v>69</v>
      </c>
      <c r="AB38" s="11" t="s">
        <v>69</v>
      </c>
      <c r="AC38" s="11" t="s">
        <v>69</v>
      </c>
      <c r="AD38" s="12" t="s">
        <v>69</v>
      </c>
      <c r="AE38" s="12" t="s">
        <v>69</v>
      </c>
      <c r="AF38" s="13" t="s">
        <v>1</v>
      </c>
      <c r="AG38" s="13" t="s">
        <v>1</v>
      </c>
      <c r="AH38" s="13" t="s">
        <v>1</v>
      </c>
      <c r="AI38" s="13" t="s">
        <v>1</v>
      </c>
      <c r="AJ38" s="14" t="s">
        <v>69</v>
      </c>
      <c r="AK38" s="14" t="s">
        <v>69</v>
      </c>
      <c r="AL38" s="14" t="s">
        <v>69</v>
      </c>
      <c r="AM38" s="14" t="s">
        <v>69</v>
      </c>
      <c r="AN38" s="14" t="s">
        <v>69</v>
      </c>
      <c r="AO38" s="15" t="s">
        <v>69</v>
      </c>
      <c r="AP38" s="15" t="s">
        <v>69</v>
      </c>
      <c r="AQ38" s="15" t="s">
        <v>69</v>
      </c>
      <c r="AR38" s="15" t="s">
        <v>69</v>
      </c>
      <c r="AS38" s="16" t="s">
        <v>417</v>
      </c>
      <c r="AT38" s="16" t="s">
        <v>418</v>
      </c>
      <c r="AU38" s="16" t="s">
        <v>71</v>
      </c>
      <c r="AV38" s="16" t="s">
        <v>419</v>
      </c>
      <c r="AW38" s="17" t="s">
        <v>72</v>
      </c>
      <c r="AX38" s="17" t="s">
        <v>71</v>
      </c>
      <c r="AY38" s="17" t="s">
        <v>71</v>
      </c>
      <c r="AZ38" s="17" t="s">
        <v>71</v>
      </c>
      <c r="BA38" s="17" t="s">
        <v>71</v>
      </c>
      <c r="BB38" s="17" t="s">
        <v>420</v>
      </c>
      <c r="BC38" s="18" t="s">
        <v>69</v>
      </c>
      <c r="BD38" s="19" t="s">
        <v>68</v>
      </c>
      <c r="BE38" s="20" t="s">
        <v>421</v>
      </c>
    </row>
    <row r="39" spans="2:57" ht="66" x14ac:dyDescent="0.25">
      <c r="B39" s="1">
        <v>2016</v>
      </c>
      <c r="C39" s="1" t="s">
        <v>141</v>
      </c>
      <c r="D39" s="1" t="s">
        <v>197</v>
      </c>
      <c r="E39" s="2">
        <v>11410100073</v>
      </c>
      <c r="F39" s="2" t="s">
        <v>422</v>
      </c>
      <c r="G39" s="3" t="s">
        <v>423</v>
      </c>
      <c r="H39" s="4" t="s">
        <v>424</v>
      </c>
      <c r="I39" s="5" t="s">
        <v>425</v>
      </c>
      <c r="J39" s="6" t="s">
        <v>426</v>
      </c>
      <c r="K39" s="6" t="s">
        <v>427</v>
      </c>
      <c r="L39" s="6" t="s">
        <v>428</v>
      </c>
      <c r="M39" s="6" t="s">
        <v>429</v>
      </c>
      <c r="N39" s="6">
        <v>5</v>
      </c>
      <c r="O39" s="6">
        <v>24</v>
      </c>
      <c r="P39" s="7" t="s">
        <v>69</v>
      </c>
      <c r="Q39" s="7" t="s">
        <v>69</v>
      </c>
      <c r="R39" s="7" t="s">
        <v>69</v>
      </c>
      <c r="S39" s="7" t="s">
        <v>69</v>
      </c>
      <c r="T39" s="7" t="s">
        <v>69</v>
      </c>
      <c r="U39" s="8" t="s">
        <v>1</v>
      </c>
      <c r="V39" s="8" t="s">
        <v>69</v>
      </c>
      <c r="W39" s="9" t="s">
        <v>1</v>
      </c>
      <c r="X39" s="9" t="s">
        <v>1</v>
      </c>
      <c r="Y39" s="10" t="s">
        <v>69</v>
      </c>
      <c r="Z39" s="10" t="s">
        <v>69</v>
      </c>
      <c r="AA39" s="11" t="s">
        <v>69</v>
      </c>
      <c r="AB39" s="11" t="s">
        <v>69</v>
      </c>
      <c r="AC39" s="11" t="s">
        <v>69</v>
      </c>
      <c r="AD39" s="12" t="s">
        <v>69</v>
      </c>
      <c r="AE39" s="12" t="s">
        <v>69</v>
      </c>
      <c r="AF39" s="13" t="s">
        <v>69</v>
      </c>
      <c r="AG39" s="13" t="s">
        <v>69</v>
      </c>
      <c r="AH39" s="13" t="s">
        <v>69</v>
      </c>
      <c r="AI39" s="13" t="s">
        <v>69</v>
      </c>
      <c r="AJ39" s="14" t="s">
        <v>69</v>
      </c>
      <c r="AK39" s="14" t="s">
        <v>69</v>
      </c>
      <c r="AL39" s="14" t="s">
        <v>69</v>
      </c>
      <c r="AM39" s="14" t="s">
        <v>69</v>
      </c>
      <c r="AN39" s="14" t="s">
        <v>69</v>
      </c>
      <c r="AO39" s="15" t="s">
        <v>69</v>
      </c>
      <c r="AP39" s="15" t="s">
        <v>69</v>
      </c>
      <c r="AQ39" s="15" t="s">
        <v>69</v>
      </c>
      <c r="AR39" s="15" t="s">
        <v>69</v>
      </c>
      <c r="AS39" s="16" t="s">
        <v>70</v>
      </c>
      <c r="AT39" s="16" t="s">
        <v>430</v>
      </c>
      <c r="AU39" s="16" t="s">
        <v>71</v>
      </c>
      <c r="AV39" s="16" t="s">
        <v>68</v>
      </c>
      <c r="AW39" s="17" t="s">
        <v>71</v>
      </c>
      <c r="AX39" s="17" t="s">
        <v>72</v>
      </c>
      <c r="AY39" s="17" t="s">
        <v>72</v>
      </c>
      <c r="AZ39" s="17" t="s">
        <v>71</v>
      </c>
      <c r="BA39" s="17" t="s">
        <v>72</v>
      </c>
      <c r="BB39" s="17" t="s">
        <v>68</v>
      </c>
      <c r="BC39" s="18" t="s">
        <v>69</v>
      </c>
      <c r="BD39" s="19" t="s">
        <v>94</v>
      </c>
      <c r="BE39" s="20"/>
    </row>
    <row r="40" spans="2:57" ht="66" x14ac:dyDescent="0.25">
      <c r="B40" s="1">
        <v>2016</v>
      </c>
      <c r="C40" s="1" t="s">
        <v>141</v>
      </c>
      <c r="D40" s="1" t="s">
        <v>197</v>
      </c>
      <c r="E40" s="2">
        <v>11410100075</v>
      </c>
      <c r="F40" s="2" t="s">
        <v>431</v>
      </c>
      <c r="G40" s="3" t="s">
        <v>432</v>
      </c>
      <c r="H40" s="4" t="s">
        <v>433</v>
      </c>
      <c r="I40" s="5" t="s">
        <v>434</v>
      </c>
      <c r="J40" s="6" t="s">
        <v>435</v>
      </c>
      <c r="K40" s="6" t="s">
        <v>436</v>
      </c>
      <c r="L40" s="4" t="s">
        <v>437</v>
      </c>
      <c r="M40" s="6" t="s">
        <v>438</v>
      </c>
      <c r="N40" s="6">
        <v>1</v>
      </c>
      <c r="O40" s="6">
        <v>24</v>
      </c>
      <c r="P40" s="7" t="s">
        <v>1</v>
      </c>
      <c r="Q40" s="7" t="s">
        <v>69</v>
      </c>
      <c r="R40" s="7" t="s">
        <v>1</v>
      </c>
      <c r="S40" s="7" t="s">
        <v>1</v>
      </c>
      <c r="T40" s="7" t="s">
        <v>1</v>
      </c>
      <c r="U40" s="8" t="s">
        <v>1</v>
      </c>
      <c r="V40" s="8" t="s">
        <v>1</v>
      </c>
      <c r="W40" s="9" t="s">
        <v>1</v>
      </c>
      <c r="X40" s="9" t="s">
        <v>1</v>
      </c>
      <c r="Y40" s="10" t="s">
        <v>69</v>
      </c>
      <c r="Z40" s="10" t="s">
        <v>1</v>
      </c>
      <c r="AA40" s="11" t="s">
        <v>69</v>
      </c>
      <c r="AB40" s="11" t="s">
        <v>1</v>
      </c>
      <c r="AC40" s="11" t="s">
        <v>1</v>
      </c>
      <c r="AD40" s="12" t="s">
        <v>1</v>
      </c>
      <c r="AE40" s="12" t="s">
        <v>1</v>
      </c>
      <c r="AF40" s="13" t="s">
        <v>69</v>
      </c>
      <c r="AG40" s="13" t="s">
        <v>1</v>
      </c>
      <c r="AH40" s="13" t="s">
        <v>1</v>
      </c>
      <c r="AI40" s="13" t="s">
        <v>1</v>
      </c>
      <c r="AJ40" s="14" t="s">
        <v>1</v>
      </c>
      <c r="AK40" s="14" t="s">
        <v>1</v>
      </c>
      <c r="AL40" s="14" t="s">
        <v>1</v>
      </c>
      <c r="AM40" s="14" t="s">
        <v>69</v>
      </c>
      <c r="AN40" s="14" t="s">
        <v>1</v>
      </c>
      <c r="AO40" s="15" t="s">
        <v>1</v>
      </c>
      <c r="AP40" s="15" t="s">
        <v>1</v>
      </c>
      <c r="AQ40" s="15" t="s">
        <v>1</v>
      </c>
      <c r="AR40" s="15" t="s">
        <v>1</v>
      </c>
      <c r="AS40" s="16" t="s">
        <v>76</v>
      </c>
      <c r="AT40" s="16" t="s">
        <v>68</v>
      </c>
      <c r="AU40" s="16" t="s">
        <v>71</v>
      </c>
      <c r="AV40" s="16"/>
      <c r="AW40" s="17" t="s">
        <v>71</v>
      </c>
      <c r="AX40" s="17" t="s">
        <v>72</v>
      </c>
      <c r="AY40" s="17" t="s">
        <v>71</v>
      </c>
      <c r="AZ40" s="17" t="s">
        <v>71</v>
      </c>
      <c r="BA40" s="17" t="s">
        <v>72</v>
      </c>
      <c r="BB40" s="17" t="s">
        <v>68</v>
      </c>
      <c r="BC40" s="18" t="s">
        <v>1</v>
      </c>
      <c r="BD40" s="19" t="s">
        <v>94</v>
      </c>
      <c r="BE40" s="20" t="s">
        <v>439</v>
      </c>
    </row>
    <row r="41" spans="2:57" ht="66" x14ac:dyDescent="0.25">
      <c r="B41" s="1">
        <v>2016</v>
      </c>
      <c r="C41" s="1" t="s">
        <v>141</v>
      </c>
      <c r="D41" s="1" t="s">
        <v>197</v>
      </c>
      <c r="E41" s="2">
        <v>11410100084</v>
      </c>
      <c r="F41" s="2" t="s">
        <v>440</v>
      </c>
      <c r="G41" s="3" t="s">
        <v>441</v>
      </c>
      <c r="H41" s="4" t="s">
        <v>442</v>
      </c>
      <c r="I41" s="5" t="s">
        <v>443</v>
      </c>
      <c r="J41" s="6" t="s">
        <v>444</v>
      </c>
      <c r="K41" s="6" t="s">
        <v>445</v>
      </c>
      <c r="L41" s="6" t="s">
        <v>446</v>
      </c>
      <c r="M41" s="6" t="s">
        <v>447</v>
      </c>
      <c r="N41" s="6">
        <v>5</v>
      </c>
      <c r="O41" s="6">
        <v>12</v>
      </c>
      <c r="P41" s="7" t="s">
        <v>1</v>
      </c>
      <c r="Q41" s="7" t="s">
        <v>1</v>
      </c>
      <c r="R41" s="7" t="s">
        <v>1</v>
      </c>
      <c r="S41" s="7" t="s">
        <v>1</v>
      </c>
      <c r="T41" s="7" t="s">
        <v>1</v>
      </c>
      <c r="U41" s="8" t="s">
        <v>69</v>
      </c>
      <c r="V41" s="8" t="s">
        <v>69</v>
      </c>
      <c r="W41" s="9" t="s">
        <v>1</v>
      </c>
      <c r="X41" s="9" t="s">
        <v>1</v>
      </c>
      <c r="Y41" s="10" t="s">
        <v>1</v>
      </c>
      <c r="Z41" s="10" t="s">
        <v>1</v>
      </c>
      <c r="AA41" s="11" t="s">
        <v>1</v>
      </c>
      <c r="AB41" s="11" t="s">
        <v>1</v>
      </c>
      <c r="AC41" s="11" t="s">
        <v>69</v>
      </c>
      <c r="AD41" s="12" t="s">
        <v>69</v>
      </c>
      <c r="AE41" s="12" t="s">
        <v>1</v>
      </c>
      <c r="AF41" s="13" t="s">
        <v>1</v>
      </c>
      <c r="AG41" s="13" t="s">
        <v>1</v>
      </c>
      <c r="AH41" s="13" t="s">
        <v>1</v>
      </c>
      <c r="AI41" s="13" t="s">
        <v>1</v>
      </c>
      <c r="AJ41" s="14" t="s">
        <v>1</v>
      </c>
      <c r="AK41" s="14" t="s">
        <v>1</v>
      </c>
      <c r="AL41" s="14" t="s">
        <v>1</v>
      </c>
      <c r="AM41" s="14" t="s">
        <v>1</v>
      </c>
      <c r="AN41" s="14" t="s">
        <v>1</v>
      </c>
      <c r="AO41" s="15" t="s">
        <v>1</v>
      </c>
      <c r="AP41" s="15" t="s">
        <v>1</v>
      </c>
      <c r="AQ41" s="15" t="s">
        <v>1</v>
      </c>
      <c r="AR41" s="15" t="s">
        <v>1</v>
      </c>
      <c r="AS41" s="16" t="s">
        <v>76</v>
      </c>
      <c r="AT41" s="16" t="s">
        <v>68</v>
      </c>
      <c r="AU41" s="16" t="s">
        <v>71</v>
      </c>
      <c r="AV41" s="16" t="s">
        <v>68</v>
      </c>
      <c r="AW41" s="17" t="s">
        <v>71</v>
      </c>
      <c r="AX41" s="17" t="s">
        <v>71</v>
      </c>
      <c r="AY41" s="17" t="s">
        <v>71</v>
      </c>
      <c r="AZ41" s="17" t="s">
        <v>71</v>
      </c>
      <c r="BA41" s="17" t="s">
        <v>71</v>
      </c>
      <c r="BB41" s="17" t="s">
        <v>68</v>
      </c>
      <c r="BC41" s="18" t="s">
        <v>1</v>
      </c>
      <c r="BD41" s="19" t="s">
        <v>68</v>
      </c>
      <c r="BE41" s="20" t="s">
        <v>68</v>
      </c>
    </row>
    <row r="42" spans="2:57" ht="33" x14ac:dyDescent="0.25">
      <c r="B42" s="1">
        <v>2016</v>
      </c>
      <c r="C42" s="1" t="s">
        <v>141</v>
      </c>
      <c r="D42" s="1" t="s">
        <v>197</v>
      </c>
      <c r="E42" s="2">
        <v>11410100192</v>
      </c>
      <c r="F42" s="2" t="s">
        <v>448</v>
      </c>
      <c r="G42" s="3" t="s">
        <v>449</v>
      </c>
      <c r="H42" s="6" t="s">
        <v>68</v>
      </c>
      <c r="I42" s="5" t="s">
        <v>68</v>
      </c>
      <c r="J42" s="6" t="s">
        <v>450</v>
      </c>
      <c r="K42" s="6" t="s">
        <v>451</v>
      </c>
      <c r="L42" s="6"/>
      <c r="M42" s="6" t="s">
        <v>452</v>
      </c>
      <c r="N42" s="6">
        <v>3</v>
      </c>
      <c r="O42" s="6">
        <v>30</v>
      </c>
      <c r="P42" s="7" t="s">
        <v>69</v>
      </c>
      <c r="Q42" s="7" t="s">
        <v>69</v>
      </c>
      <c r="R42" s="7" t="s">
        <v>69</v>
      </c>
      <c r="S42" s="7" t="s">
        <v>69</v>
      </c>
      <c r="T42" s="7" t="s">
        <v>69</v>
      </c>
      <c r="U42" s="8" t="s">
        <v>1</v>
      </c>
      <c r="V42" s="8" t="s">
        <v>69</v>
      </c>
      <c r="W42" s="9" t="s">
        <v>75</v>
      </c>
      <c r="X42" s="9" t="s">
        <v>69</v>
      </c>
      <c r="Y42" s="10" t="s">
        <v>69</v>
      </c>
      <c r="Z42" s="10" t="s">
        <v>69</v>
      </c>
      <c r="AA42" s="11" t="s">
        <v>69</v>
      </c>
      <c r="AB42" s="11" t="s">
        <v>69</v>
      </c>
      <c r="AC42" s="11" t="s">
        <v>69</v>
      </c>
      <c r="AD42" s="12" t="s">
        <v>69</v>
      </c>
      <c r="AE42" s="12" t="s">
        <v>69</v>
      </c>
      <c r="AF42" s="13" t="s">
        <v>69</v>
      </c>
      <c r="AG42" s="13" t="s">
        <v>1</v>
      </c>
      <c r="AH42" s="13" t="s">
        <v>69</v>
      </c>
      <c r="AI42" s="13" t="s">
        <v>69</v>
      </c>
      <c r="AJ42" s="14" t="s">
        <v>69</v>
      </c>
      <c r="AK42" s="14" t="s">
        <v>69</v>
      </c>
      <c r="AL42" s="14" t="s">
        <v>69</v>
      </c>
      <c r="AM42" s="14" t="s">
        <v>69</v>
      </c>
      <c r="AN42" s="14" t="s">
        <v>69</v>
      </c>
      <c r="AO42" s="15" t="s">
        <v>1</v>
      </c>
      <c r="AP42" s="15" t="s">
        <v>69</v>
      </c>
      <c r="AQ42" s="15" t="s">
        <v>1</v>
      </c>
      <c r="AR42" s="15" t="s">
        <v>69</v>
      </c>
      <c r="AS42" s="16" t="s">
        <v>70</v>
      </c>
      <c r="AT42" s="16"/>
      <c r="AU42" s="16" t="s">
        <v>71</v>
      </c>
      <c r="AV42" s="16"/>
      <c r="AW42" s="17" t="s">
        <v>72</v>
      </c>
      <c r="AX42" s="17" t="s">
        <v>72</v>
      </c>
      <c r="AY42" s="17" t="s">
        <v>72</v>
      </c>
      <c r="AZ42" s="17" t="s">
        <v>72</v>
      </c>
      <c r="BA42" s="17" t="s">
        <v>72</v>
      </c>
      <c r="BB42" s="17" t="s">
        <v>68</v>
      </c>
      <c r="BC42" s="18" t="s">
        <v>69</v>
      </c>
      <c r="BD42" s="19" t="s">
        <v>94</v>
      </c>
      <c r="BE42" s="20" t="s">
        <v>68</v>
      </c>
    </row>
    <row r="43" spans="2:57" ht="66" x14ac:dyDescent="0.25">
      <c r="B43" s="1">
        <v>2016</v>
      </c>
      <c r="C43" s="1" t="s">
        <v>141</v>
      </c>
      <c r="D43" s="1" t="s">
        <v>197</v>
      </c>
      <c r="E43" s="2">
        <v>11410100211</v>
      </c>
      <c r="F43" s="2" t="s">
        <v>453</v>
      </c>
      <c r="G43" s="3" t="s">
        <v>454</v>
      </c>
      <c r="H43" s="4" t="s">
        <v>455</v>
      </c>
      <c r="I43" s="5" t="s">
        <v>456</v>
      </c>
      <c r="J43" s="6" t="s">
        <v>457</v>
      </c>
      <c r="K43" s="6" t="s">
        <v>458</v>
      </c>
      <c r="L43" s="4" t="s">
        <v>459</v>
      </c>
      <c r="M43" s="6" t="s">
        <v>460</v>
      </c>
      <c r="N43" s="6">
        <v>2</v>
      </c>
      <c r="O43" s="6">
        <v>24</v>
      </c>
      <c r="P43" s="7" t="s">
        <v>1</v>
      </c>
      <c r="Q43" s="7" t="s">
        <v>1</v>
      </c>
      <c r="R43" s="7" t="s">
        <v>1</v>
      </c>
      <c r="S43" s="7" t="s">
        <v>1</v>
      </c>
      <c r="T43" s="7" t="s">
        <v>1</v>
      </c>
      <c r="U43" s="8" t="s">
        <v>1</v>
      </c>
      <c r="V43" s="8" t="s">
        <v>1</v>
      </c>
      <c r="W43" s="9" t="s">
        <v>1</v>
      </c>
      <c r="X43" s="9" t="s">
        <v>1</v>
      </c>
      <c r="Y43" s="10" t="s">
        <v>1</v>
      </c>
      <c r="Z43" s="10" t="s">
        <v>1</v>
      </c>
      <c r="AA43" s="11" t="s">
        <v>1</v>
      </c>
      <c r="AB43" s="11" t="s">
        <v>1</v>
      </c>
      <c r="AC43" s="11" t="s">
        <v>1</v>
      </c>
      <c r="AD43" s="12" t="s">
        <v>1</v>
      </c>
      <c r="AE43" s="12" t="s">
        <v>1</v>
      </c>
      <c r="AF43" s="13" t="s">
        <v>1</v>
      </c>
      <c r="AG43" s="13" t="s">
        <v>1</v>
      </c>
      <c r="AH43" s="13" t="s">
        <v>1</v>
      </c>
      <c r="AI43" s="13" t="s">
        <v>1</v>
      </c>
      <c r="AJ43" s="14" t="s">
        <v>1</v>
      </c>
      <c r="AK43" s="14" t="s">
        <v>1</v>
      </c>
      <c r="AL43" s="14" t="s">
        <v>1</v>
      </c>
      <c r="AM43" s="14" t="s">
        <v>1</v>
      </c>
      <c r="AN43" s="14" t="s">
        <v>1</v>
      </c>
      <c r="AO43" s="15" t="s">
        <v>75</v>
      </c>
      <c r="AP43" s="15" t="s">
        <v>75</v>
      </c>
      <c r="AQ43" s="15" t="s">
        <v>75</v>
      </c>
      <c r="AR43" s="15" t="s">
        <v>1</v>
      </c>
      <c r="AS43" s="16" t="s">
        <v>70</v>
      </c>
      <c r="AT43" s="16" t="s">
        <v>68</v>
      </c>
      <c r="AU43" s="16" t="s">
        <v>71</v>
      </c>
      <c r="AV43" s="16" t="s">
        <v>68</v>
      </c>
      <c r="AW43" s="17" t="s">
        <v>72</v>
      </c>
      <c r="AX43" s="17" t="s">
        <v>72</v>
      </c>
      <c r="AY43" s="17" t="s">
        <v>71</v>
      </c>
      <c r="AZ43" s="17" t="s">
        <v>71</v>
      </c>
      <c r="BA43" s="17" t="s">
        <v>72</v>
      </c>
      <c r="BB43" s="17" t="s">
        <v>461</v>
      </c>
      <c r="BC43" s="18" t="s">
        <v>1</v>
      </c>
      <c r="BD43" s="19" t="s">
        <v>462</v>
      </c>
      <c r="BE43" s="20" t="s">
        <v>463</v>
      </c>
    </row>
    <row r="44" spans="2:57" ht="33" x14ac:dyDescent="0.25">
      <c r="B44" s="1">
        <v>2016</v>
      </c>
      <c r="C44" s="1" t="s">
        <v>141</v>
      </c>
      <c r="D44" s="1" t="s">
        <v>197</v>
      </c>
      <c r="E44" s="2">
        <v>11410100221</v>
      </c>
      <c r="F44" s="2" t="s">
        <v>464</v>
      </c>
      <c r="G44" s="3" t="s">
        <v>465</v>
      </c>
      <c r="H44" s="6" t="s">
        <v>68</v>
      </c>
      <c r="I44" s="5" t="s">
        <v>466</v>
      </c>
      <c r="J44" s="6" t="s">
        <v>467</v>
      </c>
      <c r="K44" s="6" t="s">
        <v>468</v>
      </c>
      <c r="L44" s="6" t="s">
        <v>68</v>
      </c>
      <c r="M44" s="6" t="s">
        <v>469</v>
      </c>
      <c r="N44" s="6" t="s">
        <v>68</v>
      </c>
      <c r="O44" s="6">
        <v>24</v>
      </c>
      <c r="P44" s="7" t="s">
        <v>1</v>
      </c>
      <c r="Q44" s="7" t="s">
        <v>69</v>
      </c>
      <c r="R44" s="7" t="s">
        <v>1</v>
      </c>
      <c r="S44" s="7" t="s">
        <v>69</v>
      </c>
      <c r="T44" s="7" t="s">
        <v>69</v>
      </c>
      <c r="U44" s="8" t="s">
        <v>69</v>
      </c>
      <c r="V44" s="8" t="s">
        <v>69</v>
      </c>
      <c r="W44" s="9" t="s">
        <v>1</v>
      </c>
      <c r="X44" s="9" t="s">
        <v>1</v>
      </c>
      <c r="Y44" s="10" t="s">
        <v>1</v>
      </c>
      <c r="Z44" s="10" t="s">
        <v>1</v>
      </c>
      <c r="AA44" s="11" t="s">
        <v>69</v>
      </c>
      <c r="AB44" s="11" t="s">
        <v>69</v>
      </c>
      <c r="AC44" s="11" t="s">
        <v>69</v>
      </c>
      <c r="AD44" s="12" t="s">
        <v>69</v>
      </c>
      <c r="AE44" s="12" t="s">
        <v>1</v>
      </c>
      <c r="AF44" s="13" t="s">
        <v>1</v>
      </c>
      <c r="AG44" s="13" t="s">
        <v>1</v>
      </c>
      <c r="AH44" s="13" t="s">
        <v>1</v>
      </c>
      <c r="AI44" s="13" t="s">
        <v>1</v>
      </c>
      <c r="AJ44" s="14" t="s">
        <v>69</v>
      </c>
      <c r="AK44" s="14" t="s">
        <v>1</v>
      </c>
      <c r="AL44" s="14" t="s">
        <v>69</v>
      </c>
      <c r="AM44" s="14" t="s">
        <v>1</v>
      </c>
      <c r="AN44" s="14" t="s">
        <v>69</v>
      </c>
      <c r="AO44" s="15" t="s">
        <v>1</v>
      </c>
      <c r="AP44" s="15" t="s">
        <v>69</v>
      </c>
      <c r="AQ44" s="15" t="s">
        <v>69</v>
      </c>
      <c r="AR44" s="15" t="s">
        <v>1</v>
      </c>
      <c r="AS44" s="16" t="s">
        <v>76</v>
      </c>
      <c r="AT44" s="16" t="s">
        <v>68</v>
      </c>
      <c r="AU44" s="16" t="s">
        <v>71</v>
      </c>
      <c r="AV44" s="16" t="s">
        <v>470</v>
      </c>
      <c r="AW44" s="17" t="s">
        <v>71</v>
      </c>
      <c r="AX44" s="17" t="s">
        <v>71</v>
      </c>
      <c r="AY44" s="17" t="s">
        <v>71</v>
      </c>
      <c r="AZ44" s="17" t="s">
        <v>71</v>
      </c>
      <c r="BA44" s="17" t="s">
        <v>71</v>
      </c>
      <c r="BB44" s="17" t="s">
        <v>471</v>
      </c>
      <c r="BC44" s="18" t="s">
        <v>69</v>
      </c>
      <c r="BD44" s="19" t="s">
        <v>472</v>
      </c>
      <c r="BE44" s="20" t="s">
        <v>473</v>
      </c>
    </row>
    <row r="45" spans="2:57" ht="66" x14ac:dyDescent="0.25">
      <c r="B45" s="1">
        <v>2016</v>
      </c>
      <c r="C45" s="1" t="s">
        <v>141</v>
      </c>
      <c r="D45" s="1" t="s">
        <v>197</v>
      </c>
      <c r="E45" s="2">
        <v>11410100248</v>
      </c>
      <c r="F45" s="2" t="s">
        <v>474</v>
      </c>
      <c r="G45" s="3" t="s">
        <v>475</v>
      </c>
      <c r="H45" s="4" t="s">
        <v>476</v>
      </c>
      <c r="I45" s="5" t="s">
        <v>477</v>
      </c>
      <c r="J45" s="6" t="s">
        <v>227</v>
      </c>
      <c r="K45" s="6" t="s">
        <v>478</v>
      </c>
      <c r="L45" s="4" t="s">
        <v>479</v>
      </c>
      <c r="M45" s="6" t="s">
        <v>74</v>
      </c>
      <c r="N45" s="6">
        <v>1</v>
      </c>
      <c r="O45" s="6">
        <v>48</v>
      </c>
      <c r="P45" s="7" t="s">
        <v>69</v>
      </c>
      <c r="Q45" s="7" t="s">
        <v>69</v>
      </c>
      <c r="R45" s="7" t="s">
        <v>1</v>
      </c>
      <c r="S45" s="7" t="s">
        <v>69</v>
      </c>
      <c r="T45" s="7" t="s">
        <v>69</v>
      </c>
      <c r="U45" s="8" t="s">
        <v>75</v>
      </c>
      <c r="V45" s="8" t="s">
        <v>1</v>
      </c>
      <c r="W45" s="9" t="s">
        <v>75</v>
      </c>
      <c r="X45" s="9" t="s">
        <v>75</v>
      </c>
      <c r="Y45" s="10" t="s">
        <v>69</v>
      </c>
      <c r="Z45" s="10" t="s">
        <v>69</v>
      </c>
      <c r="AA45" s="11" t="s">
        <v>69</v>
      </c>
      <c r="AB45" s="11" t="s">
        <v>69</v>
      </c>
      <c r="AC45" s="11" t="s">
        <v>69</v>
      </c>
      <c r="AD45" s="12" t="s">
        <v>69</v>
      </c>
      <c r="AE45" s="12" t="s">
        <v>69</v>
      </c>
      <c r="AF45" s="13" t="s">
        <v>69</v>
      </c>
      <c r="AG45" s="13" t="s">
        <v>69</v>
      </c>
      <c r="AH45" s="13" t="s">
        <v>69</v>
      </c>
      <c r="AI45" s="13" t="s">
        <v>1</v>
      </c>
      <c r="AJ45" s="14" t="s">
        <v>69</v>
      </c>
      <c r="AK45" s="14" t="s">
        <v>69</v>
      </c>
      <c r="AL45" s="14" t="s">
        <v>69</v>
      </c>
      <c r="AM45" s="14" t="s">
        <v>69</v>
      </c>
      <c r="AN45" s="14" t="s">
        <v>69</v>
      </c>
      <c r="AO45" s="15" t="s">
        <v>69</v>
      </c>
      <c r="AP45" s="15" t="s">
        <v>69</v>
      </c>
      <c r="AQ45" s="15" t="s">
        <v>69</v>
      </c>
      <c r="AR45" s="15" t="s">
        <v>69</v>
      </c>
      <c r="AS45" s="16" t="s">
        <v>70</v>
      </c>
      <c r="AT45" s="16" t="s">
        <v>480</v>
      </c>
      <c r="AU45" s="16" t="s">
        <v>71</v>
      </c>
      <c r="AV45" s="16" t="s">
        <v>481</v>
      </c>
      <c r="AW45" s="17" t="s">
        <v>71</v>
      </c>
      <c r="AX45" s="17" t="s">
        <v>71</v>
      </c>
      <c r="AY45" s="17" t="s">
        <v>71</v>
      </c>
      <c r="AZ45" s="17" t="s">
        <v>482</v>
      </c>
      <c r="BA45" s="17" t="s">
        <v>71</v>
      </c>
      <c r="BB45" s="17" t="s">
        <v>483</v>
      </c>
      <c r="BC45" s="18" t="s">
        <v>69</v>
      </c>
      <c r="BD45" s="19" t="s">
        <v>94</v>
      </c>
      <c r="BE45" s="20" t="s">
        <v>484</v>
      </c>
    </row>
    <row r="46" spans="2:57" ht="66" x14ac:dyDescent="0.25">
      <c r="B46" s="1">
        <v>2016</v>
      </c>
      <c r="C46" s="1" t="s">
        <v>141</v>
      </c>
      <c r="D46" s="1" t="s">
        <v>197</v>
      </c>
      <c r="E46" s="2">
        <v>11410100273</v>
      </c>
      <c r="F46" s="2" t="s">
        <v>485</v>
      </c>
      <c r="G46" s="3" t="s">
        <v>423</v>
      </c>
      <c r="H46" s="4" t="s">
        <v>424</v>
      </c>
      <c r="I46" s="5" t="s">
        <v>425</v>
      </c>
      <c r="J46" s="6" t="s">
        <v>426</v>
      </c>
      <c r="K46" s="6" t="s">
        <v>427</v>
      </c>
      <c r="L46" s="6" t="s">
        <v>428</v>
      </c>
      <c r="M46" s="6" t="s">
        <v>429</v>
      </c>
      <c r="N46" s="6">
        <v>5</v>
      </c>
      <c r="O46" s="6">
        <v>8</v>
      </c>
      <c r="P46" s="7" t="s">
        <v>69</v>
      </c>
      <c r="Q46" s="7" t="s">
        <v>69</v>
      </c>
      <c r="R46" s="7" t="s">
        <v>69</v>
      </c>
      <c r="S46" s="7" t="s">
        <v>69</v>
      </c>
      <c r="T46" s="7" t="s">
        <v>69</v>
      </c>
      <c r="U46" s="8" t="s">
        <v>1</v>
      </c>
      <c r="V46" s="8" t="s">
        <v>69</v>
      </c>
      <c r="W46" s="9" t="s">
        <v>1</v>
      </c>
      <c r="X46" s="9" t="s">
        <v>1</v>
      </c>
      <c r="Y46" s="10" t="s">
        <v>69</v>
      </c>
      <c r="Z46" s="10" t="s">
        <v>69</v>
      </c>
      <c r="AA46" s="11" t="s">
        <v>69</v>
      </c>
      <c r="AB46" s="11" t="s">
        <v>69</v>
      </c>
      <c r="AC46" s="11" t="s">
        <v>69</v>
      </c>
      <c r="AD46" s="12" t="s">
        <v>69</v>
      </c>
      <c r="AE46" s="12" t="s">
        <v>69</v>
      </c>
      <c r="AF46" s="13" t="s">
        <v>69</v>
      </c>
      <c r="AG46" s="13" t="s">
        <v>69</v>
      </c>
      <c r="AH46" s="13" t="s">
        <v>69</v>
      </c>
      <c r="AI46" s="13" t="s">
        <v>69</v>
      </c>
      <c r="AJ46" s="14" t="s">
        <v>69</v>
      </c>
      <c r="AK46" s="14" t="s">
        <v>69</v>
      </c>
      <c r="AL46" s="14" t="s">
        <v>69</v>
      </c>
      <c r="AM46" s="14" t="s">
        <v>69</v>
      </c>
      <c r="AN46" s="14" t="s">
        <v>69</v>
      </c>
      <c r="AO46" s="15" t="s">
        <v>1</v>
      </c>
      <c r="AP46" s="15" t="s">
        <v>1</v>
      </c>
      <c r="AQ46" s="15" t="s">
        <v>1</v>
      </c>
      <c r="AR46" s="15" t="s">
        <v>1</v>
      </c>
      <c r="AS46" s="16" t="s">
        <v>70</v>
      </c>
      <c r="AT46" s="16" t="s">
        <v>430</v>
      </c>
      <c r="AU46" s="16" t="s">
        <v>71</v>
      </c>
      <c r="AV46" s="16" t="s">
        <v>68</v>
      </c>
      <c r="AW46" s="17" t="s">
        <v>71</v>
      </c>
      <c r="AX46" s="17" t="s">
        <v>72</v>
      </c>
      <c r="AY46" s="17" t="s">
        <v>72</v>
      </c>
      <c r="AZ46" s="17" t="s">
        <v>71</v>
      </c>
      <c r="BA46" s="17" t="s">
        <v>72</v>
      </c>
      <c r="BB46" s="17" t="s">
        <v>68</v>
      </c>
      <c r="BC46" s="18" t="s">
        <v>69</v>
      </c>
      <c r="BD46" s="19" t="s">
        <v>94</v>
      </c>
      <c r="BE46" s="20"/>
    </row>
    <row r="47" spans="2:57" ht="66" x14ac:dyDescent="0.25">
      <c r="B47" s="1">
        <v>2016</v>
      </c>
      <c r="C47" s="1" t="s">
        <v>141</v>
      </c>
      <c r="D47" s="1" t="s">
        <v>197</v>
      </c>
      <c r="E47" s="2">
        <v>11410100277</v>
      </c>
      <c r="F47" s="2" t="s">
        <v>486</v>
      </c>
      <c r="G47" s="3" t="s">
        <v>487</v>
      </c>
      <c r="H47" s="4" t="s">
        <v>488</v>
      </c>
      <c r="I47" s="5" t="s">
        <v>489</v>
      </c>
      <c r="J47" s="6" t="s">
        <v>92</v>
      </c>
      <c r="K47" s="6" t="s">
        <v>490</v>
      </c>
      <c r="L47" s="6" t="s">
        <v>68</v>
      </c>
      <c r="M47" s="6" t="s">
        <v>491</v>
      </c>
      <c r="N47" s="6">
        <v>1</v>
      </c>
      <c r="O47" s="6">
        <v>4</v>
      </c>
      <c r="P47" s="7" t="s">
        <v>1</v>
      </c>
      <c r="Q47" s="7" t="s">
        <v>69</v>
      </c>
      <c r="R47" s="7" t="s">
        <v>1</v>
      </c>
      <c r="S47" s="7" t="s">
        <v>69</v>
      </c>
      <c r="T47" s="7" t="s">
        <v>69</v>
      </c>
      <c r="U47" s="8" t="s">
        <v>1</v>
      </c>
      <c r="V47" s="8" t="s">
        <v>69</v>
      </c>
      <c r="W47" s="9" t="s">
        <v>75</v>
      </c>
      <c r="X47" s="9" t="s">
        <v>75</v>
      </c>
      <c r="Y47" s="10" t="s">
        <v>1</v>
      </c>
      <c r="Z47" s="10" t="s">
        <v>1</v>
      </c>
      <c r="AA47" s="11" t="s">
        <v>69</v>
      </c>
      <c r="AB47" s="11" t="s">
        <v>69</v>
      </c>
      <c r="AC47" s="11" t="s">
        <v>69</v>
      </c>
      <c r="AD47" s="12" t="s">
        <v>69</v>
      </c>
      <c r="AE47" s="12" t="s">
        <v>1</v>
      </c>
      <c r="AF47" s="13" t="s">
        <v>1</v>
      </c>
      <c r="AG47" s="13" t="s">
        <v>1</v>
      </c>
      <c r="AH47" s="13" t="s">
        <v>1</v>
      </c>
      <c r="AI47" s="13" t="s">
        <v>1</v>
      </c>
      <c r="AJ47" s="14" t="s">
        <v>69</v>
      </c>
      <c r="AK47" s="14" t="s">
        <v>69</v>
      </c>
      <c r="AL47" s="14" t="s">
        <v>1</v>
      </c>
      <c r="AM47" s="14" t="s">
        <v>1</v>
      </c>
      <c r="AN47" s="14" t="s">
        <v>69</v>
      </c>
      <c r="AO47" s="15" t="s">
        <v>1</v>
      </c>
      <c r="AP47" s="15" t="s">
        <v>1</v>
      </c>
      <c r="AQ47" s="15" t="s">
        <v>75</v>
      </c>
      <c r="AR47" s="15" t="s">
        <v>1</v>
      </c>
      <c r="AS47" s="16" t="s">
        <v>70</v>
      </c>
      <c r="AT47" s="16" t="s">
        <v>492</v>
      </c>
      <c r="AU47" s="16" t="s">
        <v>71</v>
      </c>
      <c r="AV47" s="16" t="s">
        <v>493</v>
      </c>
      <c r="AW47" s="17" t="s">
        <v>72</v>
      </c>
      <c r="AX47" s="17" t="s">
        <v>72</v>
      </c>
      <c r="AY47" s="17" t="s">
        <v>71</v>
      </c>
      <c r="AZ47" s="17" t="s">
        <v>72</v>
      </c>
      <c r="BA47" s="17" t="s">
        <v>72</v>
      </c>
      <c r="BB47" s="17" t="s">
        <v>68</v>
      </c>
      <c r="BC47" s="18" t="s">
        <v>69</v>
      </c>
      <c r="BD47" s="19" t="s">
        <v>213</v>
      </c>
      <c r="BE47" s="20" t="s">
        <v>494</v>
      </c>
    </row>
    <row r="48" spans="2:57" ht="66" x14ac:dyDescent="0.25">
      <c r="B48" s="1">
        <v>2016</v>
      </c>
      <c r="C48" s="1" t="s">
        <v>141</v>
      </c>
      <c r="D48" s="1" t="s">
        <v>197</v>
      </c>
      <c r="E48" s="2">
        <v>11410100279</v>
      </c>
      <c r="F48" s="2" t="s">
        <v>495</v>
      </c>
      <c r="G48" s="3" t="s">
        <v>496</v>
      </c>
      <c r="H48" s="6" t="s">
        <v>497</v>
      </c>
      <c r="I48" s="5" t="s">
        <v>498</v>
      </c>
      <c r="J48" s="6" t="s">
        <v>499</v>
      </c>
      <c r="K48" s="6" t="s">
        <v>500</v>
      </c>
      <c r="L48" s="6" t="s">
        <v>501</v>
      </c>
      <c r="M48" s="6" t="s">
        <v>502</v>
      </c>
      <c r="N48" s="6">
        <v>1</v>
      </c>
      <c r="O48" s="6">
        <v>11</v>
      </c>
      <c r="P48" s="7" t="s">
        <v>1</v>
      </c>
      <c r="Q48" s="7" t="s">
        <v>1</v>
      </c>
      <c r="R48" s="7" t="s">
        <v>69</v>
      </c>
      <c r="S48" s="7" t="s">
        <v>1</v>
      </c>
      <c r="T48" s="7" t="s">
        <v>69</v>
      </c>
      <c r="U48" s="8" t="s">
        <v>69</v>
      </c>
      <c r="V48" s="8" t="s">
        <v>1</v>
      </c>
      <c r="W48" s="9" t="s">
        <v>1</v>
      </c>
      <c r="X48" s="9" t="s">
        <v>69</v>
      </c>
      <c r="Y48" s="10" t="s">
        <v>1</v>
      </c>
      <c r="Z48" s="10" t="s">
        <v>69</v>
      </c>
      <c r="AA48" s="11" t="s">
        <v>1</v>
      </c>
      <c r="AB48" s="11" t="s">
        <v>75</v>
      </c>
      <c r="AC48" s="11" t="s">
        <v>1</v>
      </c>
      <c r="AD48" s="12" t="s">
        <v>1</v>
      </c>
      <c r="AE48" s="12" t="s">
        <v>1</v>
      </c>
      <c r="AF48" s="13" t="s">
        <v>1</v>
      </c>
      <c r="AG48" s="13" t="s">
        <v>1</v>
      </c>
      <c r="AH48" s="13" t="s">
        <v>1</v>
      </c>
      <c r="AI48" s="13" t="s">
        <v>75</v>
      </c>
      <c r="AJ48" s="14" t="s">
        <v>1</v>
      </c>
      <c r="AK48" s="14" t="s">
        <v>1</v>
      </c>
      <c r="AL48" s="14" t="s">
        <v>1</v>
      </c>
      <c r="AM48" s="14" t="s">
        <v>75</v>
      </c>
      <c r="AN48" s="14" t="s">
        <v>1</v>
      </c>
      <c r="AO48" s="15" t="s">
        <v>69</v>
      </c>
      <c r="AP48" s="15" t="s">
        <v>1</v>
      </c>
      <c r="AQ48" s="15" t="s">
        <v>1</v>
      </c>
      <c r="AR48" s="15" t="s">
        <v>1</v>
      </c>
      <c r="AS48" s="16" t="s">
        <v>70</v>
      </c>
      <c r="AT48" s="16"/>
      <c r="AU48" s="16" t="s">
        <v>71</v>
      </c>
      <c r="AV48" s="16"/>
      <c r="AW48" s="17" t="s">
        <v>71</v>
      </c>
      <c r="AX48" s="17" t="s">
        <v>71</v>
      </c>
      <c r="AY48" s="17" t="s">
        <v>71</v>
      </c>
      <c r="AZ48" s="17" t="s">
        <v>71</v>
      </c>
      <c r="BA48" s="17" t="s">
        <v>71</v>
      </c>
      <c r="BB48" s="17" t="s">
        <v>503</v>
      </c>
      <c r="BC48" s="18" t="s">
        <v>1</v>
      </c>
      <c r="BD48" s="19" t="s">
        <v>504</v>
      </c>
      <c r="BE48" s="20" t="s">
        <v>505</v>
      </c>
    </row>
    <row r="49" spans="2:57" ht="66" x14ac:dyDescent="0.25">
      <c r="B49" s="1">
        <v>2016</v>
      </c>
      <c r="C49" s="1" t="s">
        <v>141</v>
      </c>
      <c r="D49" s="1" t="s">
        <v>197</v>
      </c>
      <c r="E49" s="2">
        <v>12410100001</v>
      </c>
      <c r="F49" s="2" t="s">
        <v>506</v>
      </c>
      <c r="G49" s="3" t="s">
        <v>507</v>
      </c>
      <c r="H49" s="4" t="s">
        <v>508</v>
      </c>
      <c r="I49" s="5" t="s">
        <v>509</v>
      </c>
      <c r="J49" s="6" t="s">
        <v>510</v>
      </c>
      <c r="K49" s="6" t="s">
        <v>511</v>
      </c>
      <c r="L49" s="4" t="s">
        <v>512</v>
      </c>
      <c r="M49" s="6" t="s">
        <v>513</v>
      </c>
      <c r="N49" s="6">
        <v>6</v>
      </c>
      <c r="O49" s="6">
        <v>12</v>
      </c>
      <c r="P49" s="7" t="s">
        <v>1</v>
      </c>
      <c r="Q49" s="7" t="s">
        <v>69</v>
      </c>
      <c r="R49" s="7" t="s">
        <v>1</v>
      </c>
      <c r="S49" s="7" t="s">
        <v>69</v>
      </c>
      <c r="T49" s="7" t="s">
        <v>69</v>
      </c>
      <c r="U49" s="8" t="s">
        <v>69</v>
      </c>
      <c r="V49" s="8" t="s">
        <v>69</v>
      </c>
      <c r="W49" s="9" t="s">
        <v>1</v>
      </c>
      <c r="X49" s="9" t="s">
        <v>1</v>
      </c>
      <c r="Y49" s="10" t="s">
        <v>1</v>
      </c>
      <c r="Z49" s="10" t="s">
        <v>1</v>
      </c>
      <c r="AA49" s="11" t="s">
        <v>1</v>
      </c>
      <c r="AB49" s="11" t="s">
        <v>1</v>
      </c>
      <c r="AC49" s="11" t="s">
        <v>1</v>
      </c>
      <c r="AD49" s="12" t="s">
        <v>1</v>
      </c>
      <c r="AE49" s="12" t="s">
        <v>1</v>
      </c>
      <c r="AF49" s="13" t="s">
        <v>69</v>
      </c>
      <c r="AG49" s="13" t="s">
        <v>1</v>
      </c>
      <c r="AH49" s="13" t="s">
        <v>69</v>
      </c>
      <c r="AI49" s="13" t="s">
        <v>69</v>
      </c>
      <c r="AJ49" s="14" t="s">
        <v>1</v>
      </c>
      <c r="AK49" s="14" t="s">
        <v>1</v>
      </c>
      <c r="AL49" s="14" t="s">
        <v>69</v>
      </c>
      <c r="AM49" s="14" t="s">
        <v>69</v>
      </c>
      <c r="AN49" s="14" t="s">
        <v>1</v>
      </c>
      <c r="AO49" s="15" t="s">
        <v>1</v>
      </c>
      <c r="AP49" s="15" t="s">
        <v>1</v>
      </c>
      <c r="AQ49" s="15" t="s">
        <v>1</v>
      </c>
      <c r="AR49" s="15" t="s">
        <v>1</v>
      </c>
      <c r="AS49" s="16" t="s">
        <v>76</v>
      </c>
      <c r="AT49" s="16"/>
      <c r="AU49" s="16" t="s">
        <v>71</v>
      </c>
      <c r="AV49" s="16"/>
      <c r="AW49" s="17" t="s">
        <v>71</v>
      </c>
      <c r="AX49" s="17" t="s">
        <v>71</v>
      </c>
      <c r="AY49" s="17" t="s">
        <v>71</v>
      </c>
      <c r="AZ49" s="17" t="s">
        <v>71</v>
      </c>
      <c r="BA49" s="17" t="s">
        <v>72</v>
      </c>
      <c r="BB49" s="17"/>
      <c r="BC49" s="18" t="s">
        <v>1</v>
      </c>
      <c r="BD49" s="19" t="s">
        <v>169</v>
      </c>
      <c r="BE49" s="20" t="s">
        <v>514</v>
      </c>
    </row>
    <row r="50" spans="2:57" ht="66" x14ac:dyDescent="0.25">
      <c r="B50" s="1">
        <v>2016</v>
      </c>
      <c r="C50" s="1" t="s">
        <v>141</v>
      </c>
      <c r="D50" s="1" t="s">
        <v>197</v>
      </c>
      <c r="E50" s="2">
        <v>12410100002</v>
      </c>
      <c r="F50" s="2" t="s">
        <v>515</v>
      </c>
      <c r="G50" s="3" t="s">
        <v>516</v>
      </c>
      <c r="H50" s="4" t="s">
        <v>517</v>
      </c>
      <c r="I50" s="5" t="s">
        <v>518</v>
      </c>
      <c r="J50" s="6" t="s">
        <v>519</v>
      </c>
      <c r="K50" s="6" t="s">
        <v>520</v>
      </c>
      <c r="L50" s="4" t="s">
        <v>521</v>
      </c>
      <c r="M50" s="6" t="s">
        <v>522</v>
      </c>
      <c r="N50" s="6">
        <v>1</v>
      </c>
      <c r="O50" s="6">
        <v>24</v>
      </c>
      <c r="P50" s="7" t="s">
        <v>1</v>
      </c>
      <c r="Q50" s="7" t="s">
        <v>69</v>
      </c>
      <c r="R50" s="7" t="s">
        <v>1</v>
      </c>
      <c r="S50" s="7" t="s">
        <v>1</v>
      </c>
      <c r="T50" s="7" t="s">
        <v>69</v>
      </c>
      <c r="U50" s="8" t="s">
        <v>1</v>
      </c>
      <c r="V50" s="8" t="s">
        <v>1</v>
      </c>
      <c r="W50" s="9" t="s">
        <v>75</v>
      </c>
      <c r="X50" s="9" t="s">
        <v>75</v>
      </c>
      <c r="Y50" s="10" t="s">
        <v>1</v>
      </c>
      <c r="Z50" s="10" t="s">
        <v>1</v>
      </c>
      <c r="AA50" s="11" t="s">
        <v>69</v>
      </c>
      <c r="AB50" s="11" t="s">
        <v>1</v>
      </c>
      <c r="AC50" s="11" t="s">
        <v>69</v>
      </c>
      <c r="AD50" s="12" t="s">
        <v>1</v>
      </c>
      <c r="AE50" s="12" t="s">
        <v>1</v>
      </c>
      <c r="AF50" s="13" t="s">
        <v>1</v>
      </c>
      <c r="AG50" s="13" t="s">
        <v>1</v>
      </c>
      <c r="AH50" s="13" t="s">
        <v>1</v>
      </c>
      <c r="AI50" s="13" t="s">
        <v>1</v>
      </c>
      <c r="AJ50" s="14" t="s">
        <v>1</v>
      </c>
      <c r="AK50" s="14" t="s">
        <v>1</v>
      </c>
      <c r="AL50" s="14" t="s">
        <v>1</v>
      </c>
      <c r="AM50" s="14" t="s">
        <v>1</v>
      </c>
      <c r="AN50" s="14" t="s">
        <v>69</v>
      </c>
      <c r="AO50" s="15" t="s">
        <v>1</v>
      </c>
      <c r="AP50" s="15" t="s">
        <v>1</v>
      </c>
      <c r="AQ50" s="15" t="s">
        <v>69</v>
      </c>
      <c r="AR50" s="15" t="s">
        <v>69</v>
      </c>
      <c r="AS50" s="16" t="s">
        <v>70</v>
      </c>
      <c r="AT50" s="16" t="s">
        <v>523</v>
      </c>
      <c r="AU50" s="16" t="s">
        <v>71</v>
      </c>
      <c r="AV50" s="16" t="s">
        <v>524</v>
      </c>
      <c r="AW50" s="17" t="s">
        <v>71</v>
      </c>
      <c r="AX50" s="17" t="s">
        <v>71</v>
      </c>
      <c r="AY50" s="17" t="s">
        <v>71</v>
      </c>
      <c r="AZ50" s="17" t="s">
        <v>72</v>
      </c>
      <c r="BA50" s="17" t="s">
        <v>72</v>
      </c>
      <c r="BB50" s="17" t="s">
        <v>68</v>
      </c>
      <c r="BC50" s="18" t="s">
        <v>1</v>
      </c>
      <c r="BD50" s="19" t="s">
        <v>525</v>
      </c>
      <c r="BE50" s="20" t="s">
        <v>526</v>
      </c>
    </row>
    <row r="51" spans="2:57" ht="66" x14ac:dyDescent="0.25">
      <c r="B51" s="1">
        <v>2016</v>
      </c>
      <c r="C51" s="1" t="s">
        <v>141</v>
      </c>
      <c r="D51" s="1" t="s">
        <v>197</v>
      </c>
      <c r="E51" s="2">
        <v>12410100018</v>
      </c>
      <c r="F51" s="2" t="s">
        <v>527</v>
      </c>
      <c r="G51" s="3" t="s">
        <v>516</v>
      </c>
      <c r="H51" s="4" t="s">
        <v>517</v>
      </c>
      <c r="I51" s="5" t="s">
        <v>518</v>
      </c>
      <c r="J51" s="6" t="s">
        <v>519</v>
      </c>
      <c r="K51" s="6" t="s">
        <v>520</v>
      </c>
      <c r="L51" s="4" t="s">
        <v>521</v>
      </c>
      <c r="M51" s="6" t="s">
        <v>522</v>
      </c>
      <c r="N51" s="6">
        <v>1</v>
      </c>
      <c r="O51" s="6">
        <v>24</v>
      </c>
      <c r="P51" s="7" t="s">
        <v>1</v>
      </c>
      <c r="Q51" s="7" t="s">
        <v>69</v>
      </c>
      <c r="R51" s="7" t="s">
        <v>1</v>
      </c>
      <c r="S51" s="7" t="s">
        <v>1</v>
      </c>
      <c r="T51" s="7" t="s">
        <v>69</v>
      </c>
      <c r="U51" s="8" t="s">
        <v>1</v>
      </c>
      <c r="V51" s="8" t="s">
        <v>1</v>
      </c>
      <c r="W51" s="9" t="s">
        <v>75</v>
      </c>
      <c r="X51" s="9" t="s">
        <v>75</v>
      </c>
      <c r="Y51" s="10" t="s">
        <v>1</v>
      </c>
      <c r="Z51" s="10" t="s">
        <v>1</v>
      </c>
      <c r="AA51" s="11" t="s">
        <v>69</v>
      </c>
      <c r="AB51" s="11" t="s">
        <v>1</v>
      </c>
      <c r="AC51" s="11" t="s">
        <v>69</v>
      </c>
      <c r="AD51" s="12" t="s">
        <v>1</v>
      </c>
      <c r="AE51" s="12" t="s">
        <v>1</v>
      </c>
      <c r="AF51" s="13" t="s">
        <v>1</v>
      </c>
      <c r="AG51" s="13" t="s">
        <v>1</v>
      </c>
      <c r="AH51" s="13" t="s">
        <v>1</v>
      </c>
      <c r="AI51" s="13" t="s">
        <v>1</v>
      </c>
      <c r="AJ51" s="14" t="s">
        <v>1</v>
      </c>
      <c r="AK51" s="14" t="s">
        <v>1</v>
      </c>
      <c r="AL51" s="14" t="s">
        <v>1</v>
      </c>
      <c r="AM51" s="14" t="s">
        <v>1</v>
      </c>
      <c r="AN51" s="14" t="s">
        <v>69</v>
      </c>
      <c r="AO51" s="15" t="s">
        <v>1</v>
      </c>
      <c r="AP51" s="15" t="s">
        <v>1</v>
      </c>
      <c r="AQ51" s="15" t="s">
        <v>69</v>
      </c>
      <c r="AR51" s="15" t="s">
        <v>69</v>
      </c>
      <c r="AS51" s="16" t="s">
        <v>70</v>
      </c>
      <c r="AT51" s="16" t="s">
        <v>523</v>
      </c>
      <c r="AU51" s="16" t="s">
        <v>71</v>
      </c>
      <c r="AV51" s="16" t="s">
        <v>524</v>
      </c>
      <c r="AW51" s="17" t="s">
        <v>71</v>
      </c>
      <c r="AX51" s="17" t="s">
        <v>71</v>
      </c>
      <c r="AY51" s="17" t="s">
        <v>71</v>
      </c>
      <c r="AZ51" s="17" t="s">
        <v>72</v>
      </c>
      <c r="BA51" s="17" t="s">
        <v>72</v>
      </c>
      <c r="BB51" s="17" t="s">
        <v>68</v>
      </c>
      <c r="BC51" s="18" t="s">
        <v>1</v>
      </c>
      <c r="BD51" s="19" t="s">
        <v>525</v>
      </c>
      <c r="BE51" s="20" t="s">
        <v>526</v>
      </c>
    </row>
    <row r="52" spans="2:57" ht="66" x14ac:dyDescent="0.25">
      <c r="B52" s="1">
        <v>2016</v>
      </c>
      <c r="C52" s="1" t="s">
        <v>141</v>
      </c>
      <c r="D52" s="1" t="s">
        <v>197</v>
      </c>
      <c r="E52" s="2">
        <v>12410100039</v>
      </c>
      <c r="F52" s="2" t="s">
        <v>528</v>
      </c>
      <c r="G52" s="3" t="s">
        <v>507</v>
      </c>
      <c r="H52" s="4" t="s">
        <v>508</v>
      </c>
      <c r="I52" s="5" t="s">
        <v>509</v>
      </c>
      <c r="J52" s="6" t="s">
        <v>510</v>
      </c>
      <c r="K52" s="6" t="s">
        <v>511</v>
      </c>
      <c r="L52" s="4" t="s">
        <v>512</v>
      </c>
      <c r="M52" s="6" t="s">
        <v>513</v>
      </c>
      <c r="N52" s="6">
        <v>6</v>
      </c>
      <c r="O52" s="6">
        <v>12</v>
      </c>
      <c r="P52" s="7" t="s">
        <v>1</v>
      </c>
      <c r="Q52" s="7" t="s">
        <v>69</v>
      </c>
      <c r="R52" s="7" t="s">
        <v>1</v>
      </c>
      <c r="S52" s="7" t="s">
        <v>69</v>
      </c>
      <c r="T52" s="7" t="s">
        <v>69</v>
      </c>
      <c r="U52" s="8" t="s">
        <v>69</v>
      </c>
      <c r="V52" s="8" t="s">
        <v>69</v>
      </c>
      <c r="W52" s="9" t="s">
        <v>1</v>
      </c>
      <c r="X52" s="9" t="s">
        <v>1</v>
      </c>
      <c r="Y52" s="10" t="s">
        <v>1</v>
      </c>
      <c r="Z52" s="10" t="s">
        <v>1</v>
      </c>
      <c r="AA52" s="11" t="s">
        <v>1</v>
      </c>
      <c r="AB52" s="11" t="s">
        <v>1</v>
      </c>
      <c r="AC52" s="11" t="s">
        <v>1</v>
      </c>
      <c r="AD52" s="12" t="s">
        <v>1</v>
      </c>
      <c r="AE52" s="12" t="s">
        <v>1</v>
      </c>
      <c r="AF52" s="13" t="s">
        <v>69</v>
      </c>
      <c r="AG52" s="13" t="s">
        <v>1</v>
      </c>
      <c r="AH52" s="13" t="s">
        <v>69</v>
      </c>
      <c r="AI52" s="13" t="s">
        <v>69</v>
      </c>
      <c r="AJ52" s="14" t="s">
        <v>1</v>
      </c>
      <c r="AK52" s="14" t="s">
        <v>1</v>
      </c>
      <c r="AL52" s="14" t="s">
        <v>69</v>
      </c>
      <c r="AM52" s="14" t="s">
        <v>69</v>
      </c>
      <c r="AN52" s="14" t="s">
        <v>1</v>
      </c>
      <c r="AO52" s="15" t="s">
        <v>1</v>
      </c>
      <c r="AP52" s="15" t="s">
        <v>1</v>
      </c>
      <c r="AQ52" s="15" t="s">
        <v>1</v>
      </c>
      <c r="AR52" s="15" t="s">
        <v>1</v>
      </c>
      <c r="AS52" s="16" t="s">
        <v>76</v>
      </c>
      <c r="AT52" s="16"/>
      <c r="AU52" s="16" t="s">
        <v>71</v>
      </c>
      <c r="AV52" s="16"/>
      <c r="AW52" s="17" t="s">
        <v>71</v>
      </c>
      <c r="AX52" s="17" t="s">
        <v>71</v>
      </c>
      <c r="AY52" s="17" t="s">
        <v>71</v>
      </c>
      <c r="AZ52" s="17" t="s">
        <v>71</v>
      </c>
      <c r="BA52" s="17" t="s">
        <v>72</v>
      </c>
      <c r="BB52" s="17"/>
      <c r="BC52" s="18" t="s">
        <v>1</v>
      </c>
      <c r="BD52" s="19" t="s">
        <v>169</v>
      </c>
      <c r="BE52" s="20" t="s">
        <v>514</v>
      </c>
    </row>
    <row r="53" spans="2:57" ht="66" x14ac:dyDescent="0.25">
      <c r="B53" s="1">
        <v>2016</v>
      </c>
      <c r="C53" s="1" t="s">
        <v>141</v>
      </c>
      <c r="D53" s="1" t="s">
        <v>197</v>
      </c>
      <c r="E53" s="2">
        <v>12410100043</v>
      </c>
      <c r="F53" s="2" t="s">
        <v>529</v>
      </c>
      <c r="G53" s="3" t="s">
        <v>201</v>
      </c>
      <c r="H53" s="4" t="s">
        <v>202</v>
      </c>
      <c r="I53" s="5" t="s">
        <v>530</v>
      </c>
      <c r="J53" s="6" t="s">
        <v>531</v>
      </c>
      <c r="K53" s="6" t="s">
        <v>532</v>
      </c>
      <c r="L53" s="4" t="s">
        <v>533</v>
      </c>
      <c r="M53" s="6" t="s">
        <v>534</v>
      </c>
      <c r="N53" s="6">
        <v>8</v>
      </c>
      <c r="O53" s="6">
        <v>10</v>
      </c>
      <c r="P53" s="7" t="s">
        <v>69</v>
      </c>
      <c r="Q53" s="7" t="s">
        <v>69</v>
      </c>
      <c r="R53" s="7" t="s">
        <v>1</v>
      </c>
      <c r="S53" s="7" t="s">
        <v>69</v>
      </c>
      <c r="T53" s="7" t="s">
        <v>69</v>
      </c>
      <c r="U53" s="8" t="s">
        <v>69</v>
      </c>
      <c r="V53" s="8" t="s">
        <v>1</v>
      </c>
      <c r="W53" s="9" t="s">
        <v>75</v>
      </c>
      <c r="X53" s="9" t="s">
        <v>75</v>
      </c>
      <c r="Y53" s="10" t="s">
        <v>69</v>
      </c>
      <c r="Z53" s="10" t="s">
        <v>69</v>
      </c>
      <c r="AA53" s="11" t="s">
        <v>69</v>
      </c>
      <c r="AB53" s="11" t="s">
        <v>1</v>
      </c>
      <c r="AC53" s="11" t="s">
        <v>1</v>
      </c>
      <c r="AD53" s="12" t="s">
        <v>69</v>
      </c>
      <c r="AE53" s="12" t="s">
        <v>1</v>
      </c>
      <c r="AF53" s="13" t="s">
        <v>1</v>
      </c>
      <c r="AG53" s="13" t="s">
        <v>1</v>
      </c>
      <c r="AH53" s="13" t="s">
        <v>69</v>
      </c>
      <c r="AI53" s="13" t="s">
        <v>1</v>
      </c>
      <c r="AJ53" s="14" t="s">
        <v>1</v>
      </c>
      <c r="AK53" s="14" t="s">
        <v>1</v>
      </c>
      <c r="AL53" s="14" t="s">
        <v>1</v>
      </c>
      <c r="AM53" s="14" t="s">
        <v>1</v>
      </c>
      <c r="AN53" s="14" t="s">
        <v>1</v>
      </c>
      <c r="AO53" s="15" t="s">
        <v>1</v>
      </c>
      <c r="AP53" s="15" t="s">
        <v>1</v>
      </c>
      <c r="AQ53" s="15" t="s">
        <v>1</v>
      </c>
      <c r="AR53" s="15" t="s">
        <v>1</v>
      </c>
      <c r="AS53" s="16" t="s">
        <v>70</v>
      </c>
      <c r="AT53" s="16" t="s">
        <v>535</v>
      </c>
      <c r="AU53" s="16" t="s">
        <v>71</v>
      </c>
      <c r="AV53" s="16" t="s">
        <v>536</v>
      </c>
      <c r="AW53" s="17" t="s">
        <v>71</v>
      </c>
      <c r="AX53" s="17" t="s">
        <v>71</v>
      </c>
      <c r="AY53" s="17" t="s">
        <v>71</v>
      </c>
      <c r="AZ53" s="17" t="s">
        <v>71</v>
      </c>
      <c r="BA53" s="17" t="s">
        <v>71</v>
      </c>
      <c r="BB53" s="17" t="s">
        <v>68</v>
      </c>
      <c r="BC53" s="18" t="s">
        <v>69</v>
      </c>
      <c r="BD53" s="19" t="s">
        <v>94</v>
      </c>
      <c r="BE53" s="20" t="s">
        <v>537</v>
      </c>
    </row>
    <row r="54" spans="2:57" ht="66" x14ac:dyDescent="0.25">
      <c r="B54" s="1">
        <v>2016</v>
      </c>
      <c r="C54" s="1" t="s">
        <v>141</v>
      </c>
      <c r="D54" s="1" t="s">
        <v>197</v>
      </c>
      <c r="E54" s="2">
        <v>12410100057</v>
      </c>
      <c r="F54" s="2" t="s">
        <v>538</v>
      </c>
      <c r="G54" s="3" t="s">
        <v>539</v>
      </c>
      <c r="H54" s="4" t="s">
        <v>540</v>
      </c>
      <c r="I54" s="5" t="s">
        <v>541</v>
      </c>
      <c r="J54" s="6" t="s">
        <v>542</v>
      </c>
      <c r="K54" s="6" t="s">
        <v>543</v>
      </c>
      <c r="L54" s="4" t="s">
        <v>544</v>
      </c>
      <c r="M54" s="6" t="s">
        <v>545</v>
      </c>
      <c r="N54" s="6">
        <v>1</v>
      </c>
      <c r="O54" s="6">
        <v>24</v>
      </c>
      <c r="P54" s="7" t="s">
        <v>69</v>
      </c>
      <c r="Q54" s="7" t="s">
        <v>69</v>
      </c>
      <c r="R54" s="7" t="s">
        <v>69</v>
      </c>
      <c r="S54" s="7" t="s">
        <v>1</v>
      </c>
      <c r="T54" s="7" t="s">
        <v>1</v>
      </c>
      <c r="U54" s="8" t="s">
        <v>1</v>
      </c>
      <c r="V54" s="8" t="s">
        <v>69</v>
      </c>
      <c r="W54" s="9" t="s">
        <v>1</v>
      </c>
      <c r="X54" s="9" t="s">
        <v>1</v>
      </c>
      <c r="Y54" s="10" t="s">
        <v>69</v>
      </c>
      <c r="Z54" s="10" t="s">
        <v>69</v>
      </c>
      <c r="AA54" s="11" t="s">
        <v>69</v>
      </c>
      <c r="AB54" s="11" t="s">
        <v>1</v>
      </c>
      <c r="AC54" s="11" t="s">
        <v>1</v>
      </c>
      <c r="AD54" s="12" t="s">
        <v>1</v>
      </c>
      <c r="AE54" s="12" t="s">
        <v>69</v>
      </c>
      <c r="AF54" s="13" t="s">
        <v>1</v>
      </c>
      <c r="AG54" s="13" t="s">
        <v>69</v>
      </c>
      <c r="AH54" s="13" t="s">
        <v>69</v>
      </c>
      <c r="AI54" s="13" t="s">
        <v>69</v>
      </c>
      <c r="AJ54" s="14" t="s">
        <v>69</v>
      </c>
      <c r="AK54" s="14" t="s">
        <v>69</v>
      </c>
      <c r="AL54" s="14" t="s">
        <v>1</v>
      </c>
      <c r="AM54" s="14" t="s">
        <v>1</v>
      </c>
      <c r="AN54" s="14" t="s">
        <v>1</v>
      </c>
      <c r="AO54" s="15" t="s">
        <v>1</v>
      </c>
      <c r="AP54" s="15" t="s">
        <v>1</v>
      </c>
      <c r="AQ54" s="15" t="s">
        <v>1</v>
      </c>
      <c r="AR54" s="15" t="s">
        <v>1</v>
      </c>
      <c r="AS54" s="16" t="s">
        <v>76</v>
      </c>
      <c r="AT54" s="16" t="s">
        <v>373</v>
      </c>
      <c r="AU54" s="16" t="s">
        <v>71</v>
      </c>
      <c r="AV54" s="16" t="s">
        <v>546</v>
      </c>
      <c r="AW54" s="17" t="s">
        <v>71</v>
      </c>
      <c r="AX54" s="17" t="s">
        <v>71</v>
      </c>
      <c r="AY54" s="17" t="s">
        <v>71</v>
      </c>
      <c r="AZ54" s="17" t="s">
        <v>71</v>
      </c>
      <c r="BA54" s="17" t="s">
        <v>72</v>
      </c>
      <c r="BB54" s="17" t="s">
        <v>547</v>
      </c>
      <c r="BC54" s="18" t="s">
        <v>69</v>
      </c>
      <c r="BD54" s="19" t="s">
        <v>200</v>
      </c>
      <c r="BE54" s="20" t="s">
        <v>548</v>
      </c>
    </row>
    <row r="55" spans="2:57" ht="33" x14ac:dyDescent="0.25">
      <c r="B55" s="1">
        <v>2016</v>
      </c>
      <c r="C55" s="1" t="s">
        <v>141</v>
      </c>
      <c r="D55" s="1" t="s">
        <v>197</v>
      </c>
      <c r="E55" s="2">
        <v>12410100083</v>
      </c>
      <c r="F55" s="2" t="s">
        <v>549</v>
      </c>
      <c r="G55" s="3" t="s">
        <v>550</v>
      </c>
      <c r="H55" s="6" t="s">
        <v>68</v>
      </c>
      <c r="I55" s="5" t="s">
        <v>68</v>
      </c>
      <c r="J55" s="6" t="s">
        <v>550</v>
      </c>
      <c r="K55" s="6" t="s">
        <v>551</v>
      </c>
      <c r="L55" s="4" t="s">
        <v>552</v>
      </c>
      <c r="M55" s="6" t="s">
        <v>109</v>
      </c>
      <c r="N55" s="6">
        <v>7</v>
      </c>
      <c r="O55" s="6">
        <v>60</v>
      </c>
      <c r="P55" s="7" t="s">
        <v>1</v>
      </c>
      <c r="Q55" s="7" t="s">
        <v>1</v>
      </c>
      <c r="R55" s="7" t="s">
        <v>1</v>
      </c>
      <c r="S55" s="7" t="s">
        <v>69</v>
      </c>
      <c r="T55" s="7" t="s">
        <v>69</v>
      </c>
      <c r="U55" s="8" t="s">
        <v>69</v>
      </c>
      <c r="V55" s="8" t="s">
        <v>1</v>
      </c>
      <c r="W55" s="9" t="s">
        <v>1</v>
      </c>
      <c r="X55" s="9" t="s">
        <v>1</v>
      </c>
      <c r="Y55" s="10" t="s">
        <v>69</v>
      </c>
      <c r="Z55" s="10" t="s">
        <v>69</v>
      </c>
      <c r="AA55" s="11" t="s">
        <v>1</v>
      </c>
      <c r="AB55" s="11" t="s">
        <v>1</v>
      </c>
      <c r="AC55" s="11" t="s">
        <v>1</v>
      </c>
      <c r="AD55" s="12" t="s">
        <v>1</v>
      </c>
      <c r="AE55" s="12" t="s">
        <v>1</v>
      </c>
      <c r="AF55" s="13" t="s">
        <v>1</v>
      </c>
      <c r="AG55" s="13" t="s">
        <v>1</v>
      </c>
      <c r="AH55" s="13" t="s">
        <v>1</v>
      </c>
      <c r="AI55" s="13" t="s">
        <v>1</v>
      </c>
      <c r="AJ55" s="14" t="s">
        <v>1</v>
      </c>
      <c r="AK55" s="14" t="s">
        <v>1</v>
      </c>
      <c r="AL55" s="14" t="s">
        <v>1</v>
      </c>
      <c r="AM55" s="14" t="s">
        <v>1</v>
      </c>
      <c r="AN55" s="14" t="s">
        <v>1</v>
      </c>
      <c r="AO55" s="15" t="s">
        <v>1</v>
      </c>
      <c r="AP55" s="15" t="s">
        <v>1</v>
      </c>
      <c r="AQ55" s="15" t="s">
        <v>1</v>
      </c>
      <c r="AR55" s="15" t="s">
        <v>1</v>
      </c>
      <c r="AS55" s="16" t="s">
        <v>70</v>
      </c>
      <c r="AT55" s="16" t="s">
        <v>68</v>
      </c>
      <c r="AU55" s="16" t="s">
        <v>71</v>
      </c>
      <c r="AV55" s="16" t="s">
        <v>68</v>
      </c>
      <c r="AW55" s="17" t="s">
        <v>72</v>
      </c>
      <c r="AX55" s="17" t="s">
        <v>72</v>
      </c>
      <c r="AY55" s="17" t="s">
        <v>71</v>
      </c>
      <c r="AZ55" s="17" t="s">
        <v>71</v>
      </c>
      <c r="BA55" s="17" t="s">
        <v>72</v>
      </c>
      <c r="BB55" s="17" t="s">
        <v>68</v>
      </c>
      <c r="BC55" s="18" t="s">
        <v>1</v>
      </c>
      <c r="BD55" s="19" t="s">
        <v>68</v>
      </c>
      <c r="BE55" s="20" t="s">
        <v>68</v>
      </c>
    </row>
    <row r="56" spans="2:57" ht="33" x14ac:dyDescent="0.25">
      <c r="B56" s="1">
        <v>2016</v>
      </c>
      <c r="C56" s="1" t="s">
        <v>141</v>
      </c>
      <c r="D56" s="1" t="s">
        <v>197</v>
      </c>
      <c r="E56" s="2">
        <v>12410100094</v>
      </c>
      <c r="F56" s="2" t="s">
        <v>553</v>
      </c>
      <c r="G56" s="3" t="s">
        <v>554</v>
      </c>
      <c r="H56" s="6">
        <v>81234513007</v>
      </c>
      <c r="I56" s="5" t="s">
        <v>555</v>
      </c>
      <c r="J56" s="6" t="s">
        <v>556</v>
      </c>
      <c r="K56" s="6" t="s">
        <v>557</v>
      </c>
      <c r="L56" s="4" t="s">
        <v>558</v>
      </c>
      <c r="M56" s="6" t="s">
        <v>469</v>
      </c>
      <c r="N56" s="6">
        <v>2</v>
      </c>
      <c r="O56" s="6">
        <v>6</v>
      </c>
      <c r="P56" s="7" t="s">
        <v>69</v>
      </c>
      <c r="Q56" s="7" t="s">
        <v>69</v>
      </c>
      <c r="R56" s="7" t="s">
        <v>69</v>
      </c>
      <c r="S56" s="7" t="s">
        <v>69</v>
      </c>
      <c r="T56" s="7" t="s">
        <v>69</v>
      </c>
      <c r="U56" s="8" t="s">
        <v>69</v>
      </c>
      <c r="V56" s="8" t="s">
        <v>69</v>
      </c>
      <c r="W56" s="9" t="s">
        <v>1</v>
      </c>
      <c r="X56" s="9" t="s">
        <v>1</v>
      </c>
      <c r="Y56" s="10" t="s">
        <v>69</v>
      </c>
      <c r="Z56" s="10" t="s">
        <v>69</v>
      </c>
      <c r="AA56" s="11" t="s">
        <v>69</v>
      </c>
      <c r="AB56" s="11" t="s">
        <v>69</v>
      </c>
      <c r="AC56" s="11" t="s">
        <v>69</v>
      </c>
      <c r="AD56" s="12" t="s">
        <v>69</v>
      </c>
      <c r="AE56" s="12" t="s">
        <v>69</v>
      </c>
      <c r="AF56" s="13" t="s">
        <v>69</v>
      </c>
      <c r="AG56" s="13" t="s">
        <v>69</v>
      </c>
      <c r="AH56" s="13" t="s">
        <v>69</v>
      </c>
      <c r="AI56" s="13" t="s">
        <v>69</v>
      </c>
      <c r="AJ56" s="14" t="s">
        <v>69</v>
      </c>
      <c r="AK56" s="14" t="s">
        <v>69</v>
      </c>
      <c r="AL56" s="14" t="s">
        <v>69</v>
      </c>
      <c r="AM56" s="14" t="s">
        <v>69</v>
      </c>
      <c r="AN56" s="14" t="s">
        <v>69</v>
      </c>
      <c r="AO56" s="15" t="s">
        <v>69</v>
      </c>
      <c r="AP56" s="15" t="s">
        <v>69</v>
      </c>
      <c r="AQ56" s="15" t="s">
        <v>69</v>
      </c>
      <c r="AR56" s="15" t="s">
        <v>69</v>
      </c>
      <c r="AS56" s="16" t="s">
        <v>70</v>
      </c>
      <c r="AT56" s="16" t="s">
        <v>559</v>
      </c>
      <c r="AU56" s="16" t="s">
        <v>71</v>
      </c>
      <c r="AV56" s="16" t="s">
        <v>560</v>
      </c>
      <c r="AW56" s="17" t="s">
        <v>71</v>
      </c>
      <c r="AX56" s="17" t="s">
        <v>71</v>
      </c>
      <c r="AY56" s="17" t="s">
        <v>482</v>
      </c>
      <c r="AZ56" s="17" t="s">
        <v>71</v>
      </c>
      <c r="BA56" s="17" t="s">
        <v>71</v>
      </c>
      <c r="BB56" s="17" t="s">
        <v>561</v>
      </c>
      <c r="BC56" s="18" t="s">
        <v>69</v>
      </c>
      <c r="BD56" s="19" t="s">
        <v>562</v>
      </c>
      <c r="BE56" s="20" t="s">
        <v>563</v>
      </c>
    </row>
    <row r="57" spans="2:57" ht="66" x14ac:dyDescent="0.25">
      <c r="B57" s="1">
        <v>2016</v>
      </c>
      <c r="C57" s="1" t="s">
        <v>141</v>
      </c>
      <c r="D57" s="1" t="s">
        <v>197</v>
      </c>
      <c r="E57" s="2">
        <v>12410100123</v>
      </c>
      <c r="F57" s="2" t="s">
        <v>564</v>
      </c>
      <c r="G57" s="21" t="s">
        <v>565</v>
      </c>
      <c r="H57" s="22" t="s">
        <v>566</v>
      </c>
      <c r="I57" s="38" t="s">
        <v>567</v>
      </c>
      <c r="J57" s="23" t="s">
        <v>568</v>
      </c>
      <c r="K57" s="23" t="s">
        <v>569</v>
      </c>
      <c r="L57" s="23" t="s">
        <v>68</v>
      </c>
      <c r="M57" s="23" t="s">
        <v>570</v>
      </c>
      <c r="N57" s="23">
        <v>2</v>
      </c>
      <c r="O57" s="23">
        <v>24</v>
      </c>
      <c r="P57" s="24" t="s">
        <v>69</v>
      </c>
      <c r="Q57" s="24" t="s">
        <v>69</v>
      </c>
      <c r="R57" s="24" t="s">
        <v>1</v>
      </c>
      <c r="S57" s="24" t="s">
        <v>69</v>
      </c>
      <c r="T57" s="24" t="s">
        <v>69</v>
      </c>
      <c r="U57" s="25" t="s">
        <v>1</v>
      </c>
      <c r="V57" s="25" t="s">
        <v>1</v>
      </c>
      <c r="W57" s="26" t="s">
        <v>1</v>
      </c>
      <c r="X57" s="26" t="s">
        <v>1</v>
      </c>
      <c r="Y57" s="27" t="s">
        <v>69</v>
      </c>
      <c r="Z57" s="27" t="s">
        <v>69</v>
      </c>
      <c r="AA57" s="28" t="s">
        <v>1</v>
      </c>
      <c r="AB57" s="28" t="s">
        <v>69</v>
      </c>
      <c r="AC57" s="28" t="s">
        <v>1</v>
      </c>
      <c r="AD57" s="29" t="s">
        <v>1</v>
      </c>
      <c r="AE57" s="29" t="s">
        <v>1</v>
      </c>
      <c r="AF57" s="30" t="s">
        <v>1</v>
      </c>
      <c r="AG57" s="30" t="s">
        <v>69</v>
      </c>
      <c r="AH57" s="30" t="s">
        <v>1</v>
      </c>
      <c r="AI57" s="30" t="s">
        <v>1</v>
      </c>
      <c r="AJ57" s="31" t="s">
        <v>1</v>
      </c>
      <c r="AK57" s="31" t="s">
        <v>1</v>
      </c>
      <c r="AL57" s="31" t="s">
        <v>69</v>
      </c>
      <c r="AM57" s="31" t="s">
        <v>69</v>
      </c>
      <c r="AN57" s="31" t="s">
        <v>1</v>
      </c>
      <c r="AO57" s="32" t="s">
        <v>69</v>
      </c>
      <c r="AP57" s="32" t="s">
        <v>69</v>
      </c>
      <c r="AQ57" s="32" t="s">
        <v>1</v>
      </c>
      <c r="AR57" s="32" t="s">
        <v>1</v>
      </c>
      <c r="AS57" s="33" t="s">
        <v>70</v>
      </c>
      <c r="AT57" s="33"/>
      <c r="AU57" s="33" t="s">
        <v>71</v>
      </c>
      <c r="AV57" s="33"/>
      <c r="AW57" s="34" t="s">
        <v>71</v>
      </c>
      <c r="AX57" s="34" t="s">
        <v>71</v>
      </c>
      <c r="AY57" s="34" t="s">
        <v>71</v>
      </c>
      <c r="AZ57" s="34" t="s">
        <v>71</v>
      </c>
      <c r="BA57" s="34" t="s">
        <v>72</v>
      </c>
      <c r="BB57" s="34" t="s">
        <v>571</v>
      </c>
      <c r="BC57" s="35" t="s">
        <v>69</v>
      </c>
      <c r="BD57" s="36" t="s">
        <v>94</v>
      </c>
      <c r="BE57" s="37" t="s">
        <v>572</v>
      </c>
    </row>
    <row r="58" spans="2:57" ht="49.5" x14ac:dyDescent="0.25">
      <c r="B58" s="1">
        <v>2016</v>
      </c>
      <c r="C58" s="1" t="s">
        <v>141</v>
      </c>
      <c r="D58" s="1" t="s">
        <v>197</v>
      </c>
      <c r="E58" s="2">
        <v>12410100165</v>
      </c>
      <c r="F58" s="2" t="s">
        <v>573</v>
      </c>
      <c r="G58" s="3" t="s">
        <v>574</v>
      </c>
      <c r="H58" s="6">
        <v>8113100222</v>
      </c>
      <c r="I58" s="5" t="s">
        <v>575</v>
      </c>
      <c r="J58" s="6" t="s">
        <v>576</v>
      </c>
      <c r="K58" s="6" t="s">
        <v>577</v>
      </c>
      <c r="L58" s="6" t="s">
        <v>68</v>
      </c>
      <c r="M58" s="6" t="s">
        <v>578</v>
      </c>
      <c r="N58" s="6">
        <v>2</v>
      </c>
      <c r="O58" s="6">
        <v>36</v>
      </c>
      <c r="P58" s="7" t="s">
        <v>1</v>
      </c>
      <c r="Q58" s="7" t="s">
        <v>1</v>
      </c>
      <c r="R58" s="7" t="s">
        <v>69</v>
      </c>
      <c r="S58" s="7" t="s">
        <v>1</v>
      </c>
      <c r="T58" s="7" t="s">
        <v>1</v>
      </c>
      <c r="U58" s="8" t="s">
        <v>69</v>
      </c>
      <c r="V58" s="8" t="s">
        <v>69</v>
      </c>
      <c r="W58" s="9" t="s">
        <v>1</v>
      </c>
      <c r="X58" s="9" t="s">
        <v>1</v>
      </c>
      <c r="Y58" s="10" t="s">
        <v>1</v>
      </c>
      <c r="Z58" s="10" t="s">
        <v>1</v>
      </c>
      <c r="AA58" s="11" t="s">
        <v>1</v>
      </c>
      <c r="AB58" s="11" t="s">
        <v>1</v>
      </c>
      <c r="AC58" s="11" t="s">
        <v>1</v>
      </c>
      <c r="AD58" s="12" t="s">
        <v>69</v>
      </c>
      <c r="AE58" s="12" t="s">
        <v>69</v>
      </c>
      <c r="AF58" s="13" t="s">
        <v>1</v>
      </c>
      <c r="AG58" s="13" t="s">
        <v>1</v>
      </c>
      <c r="AH58" s="13" t="s">
        <v>1</v>
      </c>
      <c r="AI58" s="13" t="s">
        <v>1</v>
      </c>
      <c r="AJ58" s="14" t="s">
        <v>1</v>
      </c>
      <c r="AK58" s="14" t="s">
        <v>1</v>
      </c>
      <c r="AL58" s="14" t="s">
        <v>1</v>
      </c>
      <c r="AM58" s="14" t="s">
        <v>1</v>
      </c>
      <c r="AN58" s="14" t="s">
        <v>1</v>
      </c>
      <c r="AO58" s="15" t="s">
        <v>1</v>
      </c>
      <c r="AP58" s="15" t="s">
        <v>1</v>
      </c>
      <c r="AQ58" s="15" t="s">
        <v>1</v>
      </c>
      <c r="AR58" s="15" t="s">
        <v>1</v>
      </c>
      <c r="AS58" s="16" t="s">
        <v>70</v>
      </c>
      <c r="AT58" s="16" t="s">
        <v>579</v>
      </c>
      <c r="AU58" s="16" t="s">
        <v>71</v>
      </c>
      <c r="AV58" s="16" t="s">
        <v>580</v>
      </c>
      <c r="AW58" s="17" t="s">
        <v>72</v>
      </c>
      <c r="AX58" s="17" t="s">
        <v>72</v>
      </c>
      <c r="AY58" s="17" t="s">
        <v>71</v>
      </c>
      <c r="AZ58" s="17" t="s">
        <v>71</v>
      </c>
      <c r="BA58" s="17" t="s">
        <v>71</v>
      </c>
      <c r="BB58" s="17" t="s">
        <v>581</v>
      </c>
      <c r="BC58" s="18" t="s">
        <v>1</v>
      </c>
      <c r="BD58" s="19" t="s">
        <v>91</v>
      </c>
      <c r="BE58" s="20" t="s">
        <v>582</v>
      </c>
    </row>
    <row r="59" spans="2:57" ht="49.5" x14ac:dyDescent="0.25">
      <c r="B59" s="1">
        <v>2016</v>
      </c>
      <c r="C59" s="1" t="s">
        <v>141</v>
      </c>
      <c r="D59" s="1" t="s">
        <v>197</v>
      </c>
      <c r="E59" s="2">
        <v>12410100194</v>
      </c>
      <c r="F59" s="2" t="s">
        <v>583</v>
      </c>
      <c r="G59" s="3" t="s">
        <v>584</v>
      </c>
      <c r="H59" s="6"/>
      <c r="I59" s="5"/>
      <c r="J59" s="6" t="s">
        <v>585</v>
      </c>
      <c r="K59" s="6" t="s">
        <v>586</v>
      </c>
      <c r="L59" s="6" t="s">
        <v>587</v>
      </c>
      <c r="M59" s="6" t="s">
        <v>588</v>
      </c>
      <c r="N59" s="6">
        <v>3</v>
      </c>
      <c r="O59" s="6">
        <v>29</v>
      </c>
      <c r="P59" s="7" t="s">
        <v>1</v>
      </c>
      <c r="Q59" s="7" t="s">
        <v>1</v>
      </c>
      <c r="R59" s="7" t="s">
        <v>1</v>
      </c>
      <c r="S59" s="7" t="s">
        <v>1</v>
      </c>
      <c r="T59" s="7" t="s">
        <v>1</v>
      </c>
      <c r="U59" s="8" t="s">
        <v>69</v>
      </c>
      <c r="V59" s="8" t="s">
        <v>1</v>
      </c>
      <c r="W59" s="9" t="s">
        <v>69</v>
      </c>
      <c r="X59" s="9" t="s">
        <v>69</v>
      </c>
      <c r="Y59" s="10" t="s">
        <v>69</v>
      </c>
      <c r="Z59" s="10" t="s">
        <v>69</v>
      </c>
      <c r="AA59" s="11" t="s">
        <v>1</v>
      </c>
      <c r="AB59" s="11" t="s">
        <v>1</v>
      </c>
      <c r="AC59" s="11" t="s">
        <v>1</v>
      </c>
      <c r="AD59" s="12" t="s">
        <v>1</v>
      </c>
      <c r="AE59" s="12" t="s">
        <v>1</v>
      </c>
      <c r="AF59" s="13" t="s">
        <v>1</v>
      </c>
      <c r="AG59" s="13" t="s">
        <v>69</v>
      </c>
      <c r="AH59" s="13" t="s">
        <v>1</v>
      </c>
      <c r="AI59" s="13" t="s">
        <v>69</v>
      </c>
      <c r="AJ59" s="14" t="s">
        <v>1</v>
      </c>
      <c r="AK59" s="14" t="s">
        <v>1</v>
      </c>
      <c r="AL59" s="14" t="s">
        <v>1</v>
      </c>
      <c r="AM59" s="14" t="s">
        <v>1</v>
      </c>
      <c r="AN59" s="14" t="s">
        <v>1</v>
      </c>
      <c r="AO59" s="15" t="s">
        <v>69</v>
      </c>
      <c r="AP59" s="15" t="s">
        <v>69</v>
      </c>
      <c r="AQ59" s="15" t="s">
        <v>1</v>
      </c>
      <c r="AR59" s="15" t="s">
        <v>1</v>
      </c>
      <c r="AS59" s="16" t="s">
        <v>70</v>
      </c>
      <c r="AT59" s="16"/>
      <c r="AU59" s="16" t="s">
        <v>203</v>
      </c>
      <c r="AV59" s="16"/>
      <c r="AW59" s="17" t="s">
        <v>72</v>
      </c>
      <c r="AX59" s="17" t="s">
        <v>72</v>
      </c>
      <c r="AY59" s="17" t="s">
        <v>72</v>
      </c>
      <c r="AZ59" s="17" t="s">
        <v>72</v>
      </c>
      <c r="BA59" s="17" t="s">
        <v>72</v>
      </c>
      <c r="BB59" s="17"/>
      <c r="BC59" s="18" t="s">
        <v>1</v>
      </c>
      <c r="BD59" s="19" t="s">
        <v>589</v>
      </c>
      <c r="BE59" s="54" t="s">
        <v>590</v>
      </c>
    </row>
    <row r="60" spans="2:57" ht="66" x14ac:dyDescent="0.25">
      <c r="B60" s="1">
        <v>2016</v>
      </c>
      <c r="C60" s="1" t="s">
        <v>141</v>
      </c>
      <c r="D60" s="1" t="s">
        <v>197</v>
      </c>
      <c r="E60" s="2">
        <v>12410100240</v>
      </c>
      <c r="F60" s="2" t="s">
        <v>591</v>
      </c>
      <c r="G60" s="3" t="s">
        <v>592</v>
      </c>
      <c r="H60" s="4" t="s">
        <v>593</v>
      </c>
      <c r="I60" s="5" t="s">
        <v>594</v>
      </c>
      <c r="J60" s="6" t="s">
        <v>595</v>
      </c>
      <c r="K60" s="6" t="s">
        <v>596</v>
      </c>
      <c r="L60" s="4" t="s">
        <v>597</v>
      </c>
      <c r="M60" s="6" t="s">
        <v>74</v>
      </c>
      <c r="N60" s="6">
        <v>1</v>
      </c>
      <c r="O60" s="6">
        <v>24</v>
      </c>
      <c r="P60" s="7" t="s">
        <v>1</v>
      </c>
      <c r="Q60" s="7" t="s">
        <v>1</v>
      </c>
      <c r="R60" s="7" t="s">
        <v>1</v>
      </c>
      <c r="S60" s="7" t="s">
        <v>1</v>
      </c>
      <c r="T60" s="7" t="s">
        <v>1</v>
      </c>
      <c r="U60" s="8" t="s">
        <v>1</v>
      </c>
      <c r="V60" s="8" t="s">
        <v>1</v>
      </c>
      <c r="W60" s="9" t="s">
        <v>75</v>
      </c>
      <c r="X60" s="9" t="s">
        <v>75</v>
      </c>
      <c r="Y60" s="10" t="s">
        <v>1</v>
      </c>
      <c r="Z60" s="10" t="s">
        <v>1</v>
      </c>
      <c r="AA60" s="11" t="s">
        <v>1</v>
      </c>
      <c r="AB60" s="11" t="s">
        <v>1</v>
      </c>
      <c r="AC60" s="11" t="s">
        <v>1</v>
      </c>
      <c r="AD60" s="12" t="s">
        <v>1</v>
      </c>
      <c r="AE60" s="12" t="s">
        <v>1</v>
      </c>
      <c r="AF60" s="13" t="s">
        <v>1</v>
      </c>
      <c r="AG60" s="13" t="s">
        <v>1</v>
      </c>
      <c r="AH60" s="13" t="s">
        <v>1</v>
      </c>
      <c r="AI60" s="13" t="s">
        <v>1</v>
      </c>
      <c r="AJ60" s="14" t="s">
        <v>1</v>
      </c>
      <c r="AK60" s="14" t="s">
        <v>1</v>
      </c>
      <c r="AL60" s="14" t="s">
        <v>1</v>
      </c>
      <c r="AM60" s="14" t="s">
        <v>1</v>
      </c>
      <c r="AN60" s="14" t="s">
        <v>1</v>
      </c>
      <c r="AO60" s="15" t="s">
        <v>1</v>
      </c>
      <c r="AP60" s="15" t="s">
        <v>1</v>
      </c>
      <c r="AQ60" s="15" t="s">
        <v>1</v>
      </c>
      <c r="AR60" s="15" t="s">
        <v>1</v>
      </c>
      <c r="AS60" s="16" t="s">
        <v>70</v>
      </c>
      <c r="AT60" s="16"/>
      <c r="AU60" s="16" t="s">
        <v>71</v>
      </c>
      <c r="AV60" s="16"/>
      <c r="AW60" s="17" t="s">
        <v>71</v>
      </c>
      <c r="AX60" s="17" t="s">
        <v>71</v>
      </c>
      <c r="AY60" s="17" t="s">
        <v>71</v>
      </c>
      <c r="AZ60" s="17" t="s">
        <v>72</v>
      </c>
      <c r="BA60" s="17" t="s">
        <v>72</v>
      </c>
      <c r="BB60" s="17"/>
      <c r="BC60" s="18" t="s">
        <v>1</v>
      </c>
      <c r="BD60" s="19" t="s">
        <v>94</v>
      </c>
      <c r="BE60" s="20" t="s">
        <v>68</v>
      </c>
    </row>
    <row r="61" spans="2:57" ht="66" x14ac:dyDescent="0.25">
      <c r="B61" s="1">
        <v>2016</v>
      </c>
      <c r="C61" s="1" t="s">
        <v>141</v>
      </c>
      <c r="D61" s="1" t="s">
        <v>197</v>
      </c>
      <c r="E61" s="2">
        <v>10410110008</v>
      </c>
      <c r="F61" s="2" t="s">
        <v>598</v>
      </c>
      <c r="G61" s="3" t="s">
        <v>599</v>
      </c>
      <c r="H61" s="4" t="s">
        <v>600</v>
      </c>
      <c r="I61" s="5" t="s">
        <v>601</v>
      </c>
      <c r="J61" s="6" t="s">
        <v>602</v>
      </c>
      <c r="K61" s="6" t="s">
        <v>603</v>
      </c>
      <c r="L61" s="4" t="s">
        <v>600</v>
      </c>
      <c r="M61" s="6" t="s">
        <v>604</v>
      </c>
      <c r="N61" s="6">
        <v>1</v>
      </c>
      <c r="O61" s="6">
        <v>24</v>
      </c>
      <c r="P61" s="7" t="s">
        <v>1</v>
      </c>
      <c r="Q61" s="7" t="s">
        <v>1</v>
      </c>
      <c r="R61" s="7" t="s">
        <v>1</v>
      </c>
      <c r="S61" s="7" t="s">
        <v>1</v>
      </c>
      <c r="T61" s="7" t="s">
        <v>1</v>
      </c>
      <c r="U61" s="8" t="s">
        <v>75</v>
      </c>
      <c r="V61" s="8" t="s">
        <v>1</v>
      </c>
      <c r="W61" s="9" t="s">
        <v>75</v>
      </c>
      <c r="X61" s="9" t="s">
        <v>1</v>
      </c>
      <c r="Y61" s="10" t="s">
        <v>1</v>
      </c>
      <c r="Z61" s="10" t="s">
        <v>1</v>
      </c>
      <c r="AA61" s="11" t="s">
        <v>1</v>
      </c>
      <c r="AB61" s="11" t="s">
        <v>75</v>
      </c>
      <c r="AC61" s="11" t="s">
        <v>1</v>
      </c>
      <c r="AD61" s="12" t="s">
        <v>1</v>
      </c>
      <c r="AE61" s="12" t="s">
        <v>75</v>
      </c>
      <c r="AF61" s="13" t="s">
        <v>1</v>
      </c>
      <c r="AG61" s="13" t="s">
        <v>1</v>
      </c>
      <c r="AH61" s="13" t="s">
        <v>1</v>
      </c>
      <c r="AI61" s="13" t="s">
        <v>1</v>
      </c>
      <c r="AJ61" s="14" t="s">
        <v>1</v>
      </c>
      <c r="AK61" s="14" t="s">
        <v>1</v>
      </c>
      <c r="AL61" s="14" t="s">
        <v>1</v>
      </c>
      <c r="AM61" s="14" t="s">
        <v>1</v>
      </c>
      <c r="AN61" s="14" t="s">
        <v>1</v>
      </c>
      <c r="AO61" s="15" t="s">
        <v>1</v>
      </c>
      <c r="AP61" s="15" t="s">
        <v>75</v>
      </c>
      <c r="AQ61" s="15" t="s">
        <v>1</v>
      </c>
      <c r="AR61" s="15" t="s">
        <v>1</v>
      </c>
      <c r="AS61" s="16" t="s">
        <v>72</v>
      </c>
      <c r="AT61" s="16" t="s">
        <v>68</v>
      </c>
      <c r="AU61" s="16" t="s">
        <v>72</v>
      </c>
      <c r="AV61" s="16" t="s">
        <v>68</v>
      </c>
      <c r="AW61" s="17" t="s">
        <v>72</v>
      </c>
      <c r="AX61" s="17" t="s">
        <v>71</v>
      </c>
      <c r="AY61" s="17" t="s">
        <v>71</v>
      </c>
      <c r="AZ61" s="17" t="s">
        <v>71</v>
      </c>
      <c r="BA61" s="17" t="s">
        <v>72</v>
      </c>
      <c r="BB61" s="17" t="s">
        <v>68</v>
      </c>
      <c r="BC61" s="18" t="s">
        <v>1</v>
      </c>
      <c r="BD61" s="19" t="s">
        <v>91</v>
      </c>
      <c r="BE61" s="20" t="s">
        <v>68</v>
      </c>
    </row>
    <row r="62" spans="2:57" ht="66" x14ac:dyDescent="0.25">
      <c r="B62" s="1">
        <v>2016</v>
      </c>
      <c r="C62" s="1" t="s">
        <v>141</v>
      </c>
      <c r="D62" s="1" t="s">
        <v>197</v>
      </c>
      <c r="E62" s="2">
        <v>12410110019</v>
      </c>
      <c r="F62" s="2" t="s">
        <v>605</v>
      </c>
      <c r="G62" s="21" t="s">
        <v>606</v>
      </c>
      <c r="H62" s="22" t="s">
        <v>607</v>
      </c>
      <c r="I62" s="38" t="s">
        <v>608</v>
      </c>
      <c r="J62" s="23" t="s">
        <v>609</v>
      </c>
      <c r="K62" s="23" t="s">
        <v>610</v>
      </c>
      <c r="L62" s="22" t="s">
        <v>611</v>
      </c>
      <c r="M62" s="23" t="s">
        <v>109</v>
      </c>
      <c r="N62" s="23">
        <v>2</v>
      </c>
      <c r="O62" s="23">
        <v>17</v>
      </c>
      <c r="P62" s="24" t="s">
        <v>69</v>
      </c>
      <c r="Q62" s="24" t="s">
        <v>69</v>
      </c>
      <c r="R62" s="24" t="s">
        <v>1</v>
      </c>
      <c r="S62" s="24" t="s">
        <v>69</v>
      </c>
      <c r="T62" s="24" t="s">
        <v>69</v>
      </c>
      <c r="U62" s="25" t="s">
        <v>69</v>
      </c>
      <c r="V62" s="25" t="s">
        <v>69</v>
      </c>
      <c r="W62" s="26" t="s">
        <v>69</v>
      </c>
      <c r="X62" s="26" t="s">
        <v>69</v>
      </c>
      <c r="Y62" s="27" t="s">
        <v>69</v>
      </c>
      <c r="Z62" s="27" t="s">
        <v>69</v>
      </c>
      <c r="AA62" s="28" t="s">
        <v>69</v>
      </c>
      <c r="AB62" s="28" t="s">
        <v>69</v>
      </c>
      <c r="AC62" s="28" t="s">
        <v>69</v>
      </c>
      <c r="AD62" s="29" t="s">
        <v>69</v>
      </c>
      <c r="AE62" s="29" t="s">
        <v>1</v>
      </c>
      <c r="AF62" s="30" t="s">
        <v>69</v>
      </c>
      <c r="AG62" s="30" t="s">
        <v>69</v>
      </c>
      <c r="AH62" s="30" t="s">
        <v>69</v>
      </c>
      <c r="AI62" s="30" t="s">
        <v>69</v>
      </c>
      <c r="AJ62" s="31" t="s">
        <v>69</v>
      </c>
      <c r="AK62" s="31" t="s">
        <v>69</v>
      </c>
      <c r="AL62" s="31" t="s">
        <v>69</v>
      </c>
      <c r="AM62" s="31" t="s">
        <v>69</v>
      </c>
      <c r="AN62" s="31" t="s">
        <v>69</v>
      </c>
      <c r="AO62" s="32" t="s">
        <v>1</v>
      </c>
      <c r="AP62" s="32" t="s">
        <v>69</v>
      </c>
      <c r="AQ62" s="32" t="s">
        <v>1</v>
      </c>
      <c r="AR62" s="32" t="s">
        <v>69</v>
      </c>
      <c r="AS62" s="33" t="s">
        <v>70</v>
      </c>
      <c r="AT62" s="33" t="s">
        <v>612</v>
      </c>
      <c r="AU62" s="33" t="s">
        <v>71</v>
      </c>
      <c r="AV62" s="33" t="s">
        <v>613</v>
      </c>
      <c r="AW62" s="34" t="s">
        <v>72</v>
      </c>
      <c r="AX62" s="34" t="s">
        <v>72</v>
      </c>
      <c r="AY62" s="34" t="s">
        <v>71</v>
      </c>
      <c r="AZ62" s="34" t="s">
        <v>71</v>
      </c>
      <c r="BA62" s="34" t="s">
        <v>72</v>
      </c>
      <c r="BB62" s="34" t="s">
        <v>614</v>
      </c>
      <c r="BC62" s="35" t="s">
        <v>69</v>
      </c>
      <c r="BD62" s="36" t="s">
        <v>615</v>
      </c>
      <c r="BE62" s="37" t="s">
        <v>616</v>
      </c>
    </row>
    <row r="63" spans="2:57" ht="66" x14ac:dyDescent="0.25">
      <c r="B63" s="1">
        <v>2016</v>
      </c>
      <c r="C63" s="1" t="s">
        <v>141</v>
      </c>
      <c r="D63" s="1" t="s">
        <v>618</v>
      </c>
      <c r="E63" s="2">
        <v>12410200017</v>
      </c>
      <c r="F63" s="2" t="s">
        <v>619</v>
      </c>
      <c r="G63" s="21" t="s">
        <v>620</v>
      </c>
      <c r="H63" s="22" t="s">
        <v>621</v>
      </c>
      <c r="I63" s="38" t="s">
        <v>68</v>
      </c>
      <c r="J63" s="23" t="s">
        <v>622</v>
      </c>
      <c r="K63" s="23" t="s">
        <v>623</v>
      </c>
      <c r="L63" s="22" t="s">
        <v>624</v>
      </c>
      <c r="M63" s="23" t="s">
        <v>625</v>
      </c>
      <c r="N63" s="23">
        <v>1</v>
      </c>
      <c r="O63" s="23">
        <v>1</v>
      </c>
      <c r="P63" s="24" t="s">
        <v>1</v>
      </c>
      <c r="Q63" s="24" t="s">
        <v>1</v>
      </c>
      <c r="R63" s="24" t="s">
        <v>1</v>
      </c>
      <c r="S63" s="24" t="s">
        <v>69</v>
      </c>
      <c r="T63" s="24" t="s">
        <v>69</v>
      </c>
      <c r="U63" s="25" t="s">
        <v>75</v>
      </c>
      <c r="V63" s="25" t="s">
        <v>1</v>
      </c>
      <c r="W63" s="26" t="s">
        <v>1</v>
      </c>
      <c r="X63" s="26" t="s">
        <v>1</v>
      </c>
      <c r="Y63" s="27" t="s">
        <v>1</v>
      </c>
      <c r="Z63" s="27" t="s">
        <v>1</v>
      </c>
      <c r="AA63" s="28" t="s">
        <v>69</v>
      </c>
      <c r="AB63" s="28" t="s">
        <v>75</v>
      </c>
      <c r="AC63" s="28" t="s">
        <v>1</v>
      </c>
      <c r="AD63" s="29" t="s">
        <v>1</v>
      </c>
      <c r="AE63" s="29" t="s">
        <v>1</v>
      </c>
      <c r="AF63" s="30" t="s">
        <v>1</v>
      </c>
      <c r="AG63" s="30" t="s">
        <v>75</v>
      </c>
      <c r="AH63" s="30" t="s">
        <v>75</v>
      </c>
      <c r="AI63" s="30" t="s">
        <v>75</v>
      </c>
      <c r="AJ63" s="31" t="s">
        <v>1</v>
      </c>
      <c r="AK63" s="31" t="s">
        <v>1</v>
      </c>
      <c r="AL63" s="31" t="s">
        <v>69</v>
      </c>
      <c r="AM63" s="31" t="s">
        <v>1</v>
      </c>
      <c r="AN63" s="31" t="s">
        <v>1</v>
      </c>
      <c r="AO63" s="32" t="s">
        <v>75</v>
      </c>
      <c r="AP63" s="32" t="s">
        <v>1</v>
      </c>
      <c r="AQ63" s="32" t="s">
        <v>1</v>
      </c>
      <c r="AR63" s="32" t="s">
        <v>1</v>
      </c>
      <c r="AS63" s="33" t="s">
        <v>76</v>
      </c>
      <c r="AT63" s="33"/>
      <c r="AU63" s="33" t="s">
        <v>71</v>
      </c>
      <c r="AV63" s="33"/>
      <c r="AW63" s="34" t="s">
        <v>72</v>
      </c>
      <c r="AX63" s="34" t="s">
        <v>72</v>
      </c>
      <c r="AY63" s="34" t="s">
        <v>72</v>
      </c>
      <c r="AZ63" s="34" t="s">
        <v>72</v>
      </c>
      <c r="BA63" s="34" t="s">
        <v>72</v>
      </c>
      <c r="BB63" s="34"/>
      <c r="BC63" s="35" t="s">
        <v>1</v>
      </c>
      <c r="BD63" s="36" t="s">
        <v>140</v>
      </c>
      <c r="BE63" s="37" t="s">
        <v>626</v>
      </c>
    </row>
    <row r="64" spans="2:57" ht="66" x14ac:dyDescent="0.25">
      <c r="B64" s="1">
        <v>2016</v>
      </c>
      <c r="C64" s="1" t="s">
        <v>141</v>
      </c>
      <c r="D64" s="1" t="s">
        <v>618</v>
      </c>
      <c r="E64" s="2">
        <v>12410200078</v>
      </c>
      <c r="F64" s="2" t="s">
        <v>627</v>
      </c>
      <c r="G64" s="3" t="s">
        <v>628</v>
      </c>
      <c r="H64" s="4" t="s">
        <v>629</v>
      </c>
      <c r="I64" s="5" t="s">
        <v>630</v>
      </c>
      <c r="J64" s="6" t="s">
        <v>631</v>
      </c>
      <c r="K64" s="6" t="s">
        <v>632</v>
      </c>
      <c r="L64" s="4" t="s">
        <v>633</v>
      </c>
      <c r="M64" s="6" t="s">
        <v>634</v>
      </c>
      <c r="N64" s="6">
        <v>1</v>
      </c>
      <c r="O64" s="6">
        <v>1</v>
      </c>
      <c r="P64" s="7" t="s">
        <v>1</v>
      </c>
      <c r="Q64" s="7" t="s">
        <v>1</v>
      </c>
      <c r="R64" s="7" t="s">
        <v>1</v>
      </c>
      <c r="S64" s="7" t="s">
        <v>1</v>
      </c>
      <c r="T64" s="7" t="s">
        <v>1</v>
      </c>
      <c r="U64" s="8" t="s">
        <v>1</v>
      </c>
      <c r="V64" s="8" t="s">
        <v>1</v>
      </c>
      <c r="W64" s="9" t="s">
        <v>1</v>
      </c>
      <c r="X64" s="9" t="s">
        <v>1</v>
      </c>
      <c r="Y64" s="10" t="s">
        <v>1</v>
      </c>
      <c r="Z64" s="10" t="s">
        <v>1</v>
      </c>
      <c r="AA64" s="11" t="s">
        <v>1</v>
      </c>
      <c r="AB64" s="11" t="s">
        <v>1</v>
      </c>
      <c r="AC64" s="11" t="s">
        <v>1</v>
      </c>
      <c r="AD64" s="12" t="s">
        <v>1</v>
      </c>
      <c r="AE64" s="12" t="s">
        <v>75</v>
      </c>
      <c r="AF64" s="13" t="s">
        <v>1</v>
      </c>
      <c r="AG64" s="13" t="s">
        <v>1</v>
      </c>
      <c r="AH64" s="13" t="s">
        <v>1</v>
      </c>
      <c r="AI64" s="13" t="s">
        <v>1</v>
      </c>
      <c r="AJ64" s="14" t="s">
        <v>1</v>
      </c>
      <c r="AK64" s="14" t="s">
        <v>1</v>
      </c>
      <c r="AL64" s="14" t="s">
        <v>1</v>
      </c>
      <c r="AM64" s="14" t="s">
        <v>1</v>
      </c>
      <c r="AN64" s="14" t="s">
        <v>1</v>
      </c>
      <c r="AO64" s="15" t="s">
        <v>1</v>
      </c>
      <c r="AP64" s="15" t="s">
        <v>1</v>
      </c>
      <c r="AQ64" s="15" t="s">
        <v>1</v>
      </c>
      <c r="AR64" s="15" t="s">
        <v>1</v>
      </c>
      <c r="AS64" s="16" t="s">
        <v>151</v>
      </c>
      <c r="AT64" s="16"/>
      <c r="AU64" s="16" t="s">
        <v>71</v>
      </c>
      <c r="AV64" s="16" t="s">
        <v>309</v>
      </c>
      <c r="AW64" s="17" t="s">
        <v>72</v>
      </c>
      <c r="AX64" s="17" t="s">
        <v>71</v>
      </c>
      <c r="AY64" s="17" t="s">
        <v>71</v>
      </c>
      <c r="AZ64" s="17" t="s">
        <v>72</v>
      </c>
      <c r="BA64" s="17" t="s">
        <v>72</v>
      </c>
      <c r="BB64" s="17" t="s">
        <v>1</v>
      </c>
      <c r="BC64" s="18" t="s">
        <v>1</v>
      </c>
      <c r="BD64" s="19" t="s">
        <v>94</v>
      </c>
      <c r="BE64" s="20" t="s">
        <v>635</v>
      </c>
    </row>
    <row r="65" spans="2:57" ht="132" x14ac:dyDescent="0.25">
      <c r="B65" s="1">
        <v>2016</v>
      </c>
      <c r="C65" s="1" t="s">
        <v>141</v>
      </c>
      <c r="D65" s="1" t="s">
        <v>618</v>
      </c>
      <c r="E65" s="2">
        <v>10410200087</v>
      </c>
      <c r="F65" s="2" t="s">
        <v>636</v>
      </c>
      <c r="G65" s="21" t="s">
        <v>637</v>
      </c>
      <c r="H65" s="23" t="s">
        <v>638</v>
      </c>
      <c r="I65" s="38" t="s">
        <v>639</v>
      </c>
      <c r="J65" s="23" t="s">
        <v>640</v>
      </c>
      <c r="K65" s="23" t="s">
        <v>641</v>
      </c>
      <c r="L65" s="22" t="s">
        <v>642</v>
      </c>
      <c r="M65" s="23" t="s">
        <v>74</v>
      </c>
      <c r="N65" s="23">
        <v>1</v>
      </c>
      <c r="O65" s="23">
        <v>12</v>
      </c>
      <c r="P65" s="24" t="s">
        <v>69</v>
      </c>
      <c r="Q65" s="24" t="s">
        <v>69</v>
      </c>
      <c r="R65" s="24" t="s">
        <v>69</v>
      </c>
      <c r="S65" s="24" t="s">
        <v>69</v>
      </c>
      <c r="T65" s="24" t="s">
        <v>69</v>
      </c>
      <c r="U65" s="25" t="s">
        <v>69</v>
      </c>
      <c r="V65" s="25" t="s">
        <v>69</v>
      </c>
      <c r="W65" s="26" t="s">
        <v>1</v>
      </c>
      <c r="X65" s="26" t="s">
        <v>1</v>
      </c>
      <c r="Y65" s="27" t="s">
        <v>69</v>
      </c>
      <c r="Z65" s="27" t="s">
        <v>69</v>
      </c>
      <c r="AA65" s="28" t="s">
        <v>1</v>
      </c>
      <c r="AB65" s="28" t="s">
        <v>69</v>
      </c>
      <c r="AC65" s="28" t="s">
        <v>69</v>
      </c>
      <c r="AD65" s="29" t="s">
        <v>69</v>
      </c>
      <c r="AE65" s="29" t="s">
        <v>69</v>
      </c>
      <c r="AF65" s="30" t="s">
        <v>69</v>
      </c>
      <c r="AG65" s="30" t="s">
        <v>69</v>
      </c>
      <c r="AH65" s="30" t="s">
        <v>69</v>
      </c>
      <c r="AI65" s="30" t="s">
        <v>69</v>
      </c>
      <c r="AJ65" s="31" t="s">
        <v>69</v>
      </c>
      <c r="AK65" s="31" t="s">
        <v>69</v>
      </c>
      <c r="AL65" s="31" t="s">
        <v>69</v>
      </c>
      <c r="AM65" s="31" t="s">
        <v>69</v>
      </c>
      <c r="AN65" s="31" t="s">
        <v>69</v>
      </c>
      <c r="AO65" s="32" t="s">
        <v>1</v>
      </c>
      <c r="AP65" s="32" t="s">
        <v>69</v>
      </c>
      <c r="AQ65" s="32" t="s">
        <v>69</v>
      </c>
      <c r="AR65" s="32" t="s">
        <v>1</v>
      </c>
      <c r="AS65" s="33" t="s">
        <v>76</v>
      </c>
      <c r="AT65" s="33" t="s">
        <v>68</v>
      </c>
      <c r="AU65" s="33" t="s">
        <v>71</v>
      </c>
      <c r="AV65" s="33" t="s">
        <v>643</v>
      </c>
      <c r="AW65" s="34" t="s">
        <v>71</v>
      </c>
      <c r="AX65" s="34" t="s">
        <v>71</v>
      </c>
      <c r="AY65" s="34" t="s">
        <v>71</v>
      </c>
      <c r="AZ65" s="34" t="s">
        <v>71</v>
      </c>
      <c r="BA65" s="34" t="s">
        <v>71</v>
      </c>
      <c r="BB65" s="34" t="s">
        <v>68</v>
      </c>
      <c r="BC65" s="35" t="s">
        <v>69</v>
      </c>
      <c r="BD65" s="36" t="s">
        <v>94</v>
      </c>
      <c r="BE65" s="37" t="s">
        <v>644</v>
      </c>
    </row>
    <row r="68" spans="2:57" ht="23.25" x14ac:dyDescent="0.35">
      <c r="B68" s="63" t="s">
        <v>657</v>
      </c>
      <c r="I68" s="63" t="s">
        <v>668</v>
      </c>
      <c r="AD68" s="63" t="s">
        <v>671</v>
      </c>
      <c r="AR68" s="63" t="s">
        <v>672</v>
      </c>
    </row>
    <row r="69" spans="2:57" ht="24" thickBot="1" x14ac:dyDescent="0.4">
      <c r="B69" s="63"/>
      <c r="I69" s="63"/>
    </row>
    <row r="70" spans="2:57" ht="17.25" thickBot="1" x14ac:dyDescent="0.3">
      <c r="B70" s="64" t="s">
        <v>14</v>
      </c>
      <c r="C70" s="65" t="s">
        <v>673</v>
      </c>
      <c r="I70" s="64" t="s">
        <v>14</v>
      </c>
      <c r="J70" s="65" t="s">
        <v>618</v>
      </c>
      <c r="P70" s="64" t="s">
        <v>14</v>
      </c>
      <c r="Q70" s="1" t="s">
        <v>197</v>
      </c>
      <c r="W70" s="64" t="s">
        <v>14</v>
      </c>
      <c r="X70" s="1" t="s">
        <v>90</v>
      </c>
      <c r="AD70" s="64" t="s">
        <v>14</v>
      </c>
      <c r="AE70" s="65" t="s">
        <v>142</v>
      </c>
      <c r="AK70" s="64" t="s">
        <v>14</v>
      </c>
      <c r="AL70" s="86" t="s">
        <v>127</v>
      </c>
      <c r="AR70" s="64" t="s">
        <v>14</v>
      </c>
      <c r="AS70" s="86" t="s">
        <v>67</v>
      </c>
    </row>
    <row r="71" spans="2:57" ht="17.25" thickBot="1" x14ac:dyDescent="0.3">
      <c r="B71" s="64" t="s">
        <v>647</v>
      </c>
      <c r="C71" s="65">
        <v>2016</v>
      </c>
      <c r="I71" s="64" t="s">
        <v>647</v>
      </c>
      <c r="J71" s="65">
        <v>2016</v>
      </c>
      <c r="P71" s="64" t="s">
        <v>647</v>
      </c>
      <c r="Q71" s="65">
        <v>2016</v>
      </c>
      <c r="W71" s="64" t="s">
        <v>647</v>
      </c>
      <c r="X71" s="65">
        <v>2016</v>
      </c>
      <c r="AD71" s="64" t="s">
        <v>647</v>
      </c>
      <c r="AE71" s="65">
        <v>2016</v>
      </c>
      <c r="AK71" s="64" t="s">
        <v>647</v>
      </c>
      <c r="AL71" s="65">
        <v>2016</v>
      </c>
      <c r="AR71" s="64" t="s">
        <v>647</v>
      </c>
      <c r="AS71" s="65">
        <v>2016</v>
      </c>
    </row>
    <row r="72" spans="2:57" ht="17.25" thickBot="1" x14ac:dyDescent="0.3">
      <c r="B72" s="64" t="s">
        <v>646</v>
      </c>
      <c r="C72" s="65">
        <f>COUNTIF(TblUniv2016[th lulus],C71)</f>
        <v>63</v>
      </c>
      <c r="I72" s="64" t="s">
        <v>646</v>
      </c>
      <c r="J72" s="65">
        <f>COUNTIFS(TblUniv2016[th lulus],J71,TblUniv2016[Prodi],J70)</f>
        <v>3</v>
      </c>
      <c r="P72" s="64" t="s">
        <v>646</v>
      </c>
      <c r="Q72" s="65">
        <f>COUNTIFS(TblUniv2016[th lulus],Q71,TblUniv2016[Prodi],Q70)</f>
        <v>47</v>
      </c>
      <c r="W72" s="64" t="s">
        <v>646</v>
      </c>
      <c r="X72" s="65">
        <f>COUNTIFS(TblUniv2016[th lulus],X71,TblUniv2016[Prodi],X70)</f>
        <v>4</v>
      </c>
      <c r="AD72" s="64" t="s">
        <v>646</v>
      </c>
      <c r="AE72" s="65">
        <f>COUNTIFS(TblUniv2016[th lulus],AE71,TblUniv2016[Prodi],AE70)</f>
        <v>6</v>
      </c>
      <c r="AK72" s="64" t="s">
        <v>646</v>
      </c>
      <c r="AL72" s="65">
        <f>COUNTIFS(TblUniv2016[th lulus],AL71,TblUniv2016[Prodi],AL70)</f>
        <v>1</v>
      </c>
      <c r="AR72" s="64" t="s">
        <v>646</v>
      </c>
      <c r="AS72" s="65">
        <f>COUNTIFS(TblUniv2016[th lulus],AS71,TblUniv2016[Prodi],AS70)</f>
        <v>2</v>
      </c>
    </row>
    <row r="73" spans="2:57" ht="16.5" x14ac:dyDescent="0.3">
      <c r="B73" s="55"/>
      <c r="C73" s="56" t="s">
        <v>69</v>
      </c>
      <c r="D73" s="56" t="s">
        <v>1</v>
      </c>
      <c r="E73" s="56" t="s">
        <v>75</v>
      </c>
      <c r="F73" s="56" t="s">
        <v>168</v>
      </c>
      <c r="G73" s="56"/>
      <c r="I73" s="55"/>
      <c r="J73" s="56" t="s">
        <v>69</v>
      </c>
      <c r="K73" s="56" t="s">
        <v>1</v>
      </c>
      <c r="L73" s="56" t="s">
        <v>75</v>
      </c>
      <c r="M73" s="56" t="s">
        <v>168</v>
      </c>
      <c r="N73" s="56"/>
      <c r="P73" s="55"/>
      <c r="Q73" s="56" t="s">
        <v>69</v>
      </c>
      <c r="R73" s="56" t="s">
        <v>1</v>
      </c>
      <c r="S73" s="56" t="s">
        <v>75</v>
      </c>
      <c r="T73" s="56" t="s">
        <v>168</v>
      </c>
      <c r="U73" s="56"/>
      <c r="W73" s="55"/>
      <c r="X73" s="56" t="s">
        <v>69</v>
      </c>
      <c r="Y73" s="56" t="s">
        <v>1</v>
      </c>
      <c r="Z73" s="56" t="s">
        <v>75</v>
      </c>
      <c r="AA73" s="56" t="s">
        <v>168</v>
      </c>
      <c r="AB73" s="56"/>
      <c r="AD73" s="55"/>
      <c r="AE73" s="56" t="s">
        <v>69</v>
      </c>
      <c r="AF73" s="56" t="s">
        <v>1</v>
      </c>
      <c r="AG73" s="56" t="s">
        <v>75</v>
      </c>
      <c r="AH73" s="56" t="s">
        <v>168</v>
      </c>
      <c r="AI73" s="56"/>
      <c r="AK73" s="55"/>
      <c r="AL73" s="56" t="s">
        <v>69</v>
      </c>
      <c r="AM73" s="56" t="s">
        <v>1</v>
      </c>
      <c r="AN73" s="56" t="s">
        <v>75</v>
      </c>
      <c r="AO73" s="56" t="s">
        <v>168</v>
      </c>
      <c r="AP73" s="56"/>
      <c r="AR73" s="55"/>
      <c r="AS73" s="56" t="s">
        <v>69</v>
      </c>
      <c r="AT73" s="56" t="s">
        <v>1</v>
      </c>
      <c r="AU73" s="56" t="s">
        <v>75</v>
      </c>
      <c r="AV73" s="56" t="s">
        <v>168</v>
      </c>
      <c r="AW73" s="56"/>
    </row>
    <row r="74" spans="2:57" ht="16.5" x14ac:dyDescent="0.3">
      <c r="B74" s="57" t="s">
        <v>26</v>
      </c>
      <c r="C74" s="66">
        <f>COUNTIFS(TblUniv2016[B1],$C$73)/$C$72*100%</f>
        <v>0.36507936507936506</v>
      </c>
      <c r="D74" s="66">
        <f>COUNTIFS(TblUniv2016[B1],$D$73)/C72*100%</f>
        <v>0.61904761904761907</v>
      </c>
      <c r="E74" s="66">
        <f>COUNTIFS(TblUniv2016[B1],$E$73)/C72*100%</f>
        <v>1.5873015873015872E-2</v>
      </c>
      <c r="F74" s="66">
        <f>COUNTIFS(TblUniv2016[B1],$F$73)/C72*100%</f>
        <v>0</v>
      </c>
      <c r="G74" s="62">
        <f t="shared" ref="G74:G111" si="0">SUM(C74:F74)</f>
        <v>1</v>
      </c>
      <c r="I74" s="57" t="s">
        <v>26</v>
      </c>
      <c r="J74" s="66">
        <f>COUNTIFS(TblUniv2016[B1],J$73,TblUniv2016[Prodi],$J$70)/$J$72*100%</f>
        <v>0.33333333333333331</v>
      </c>
      <c r="K74" s="66">
        <f>COUNTIFS(TblUniv2016[B1],K$73,TblUniv2016[Prodi],$J$70)/$J$72*100%</f>
        <v>0.66666666666666663</v>
      </c>
      <c r="L74" s="66">
        <f>COUNTIFS(TblUniv2016[B1],L$73,TblUniv2016[Prodi],$J$70)/$J$72*100%</f>
        <v>0</v>
      </c>
      <c r="M74" s="66">
        <f>COUNTIFS(TblUniv2016[B1],M$73,TblUniv2016[Prodi],$J$70)/$J$72*100%</f>
        <v>0</v>
      </c>
      <c r="N74" s="62">
        <f>SUM(J74:M74)</f>
        <v>1</v>
      </c>
      <c r="P74" s="57" t="s">
        <v>26</v>
      </c>
      <c r="Q74" s="66">
        <f>COUNTIFS(TblUniv2016[B1],Q$73,TblUniv2016[Prodi],$Q$70)/$Q$72*100%</f>
        <v>0.38297872340425532</v>
      </c>
      <c r="R74" s="66">
        <f>COUNTIFS(TblUniv2016[B1],R$73,TblUniv2016[Prodi],$Q$70)/$Q$72*100%</f>
        <v>0.61702127659574468</v>
      </c>
      <c r="S74" s="66">
        <f>COUNTIFS(TblUniv2016[B1],S$73,TblUniv2016[Prodi],$Q$70)/$Q$72*100%</f>
        <v>0</v>
      </c>
      <c r="T74" s="66">
        <f>COUNTIFS(TblUniv2016[B1],T$73,TblUniv2016[Prodi],$Q$70)/$Q$72*100%</f>
        <v>0</v>
      </c>
      <c r="U74" s="62">
        <f t="shared" ref="U74:U111" si="1">SUM(Q74:T74)</f>
        <v>1</v>
      </c>
      <c r="W74" s="57" t="s">
        <v>26</v>
      </c>
      <c r="X74" s="66">
        <f>COUNTIFS(TblUniv2016[B1],X$73,TblUniv2016[Prodi],$X$70)/$X$72*100%</f>
        <v>0.25</v>
      </c>
      <c r="Y74" s="66">
        <f>COUNTIFS(TblUniv2016[B1],Y$73,TblUniv2016[Prodi],$X$70)/$X$72*100%</f>
        <v>0.75</v>
      </c>
      <c r="Z74" s="66">
        <f>COUNTIFS(TblUniv2016[B1],Z$73,TblUniv2016[Prodi],$X$70)/$X$72*100%</f>
        <v>0</v>
      </c>
      <c r="AA74" s="66">
        <f>COUNTIFS(TblUniv2016[B1],AA$73,TblUniv2016[Prodi],$X$70)/$X$72*100%</f>
        <v>0</v>
      </c>
      <c r="AB74" s="62">
        <f t="shared" ref="AB74:AB111" si="2">SUM(X74:AA74)</f>
        <v>1</v>
      </c>
      <c r="AD74" s="57" t="s">
        <v>26</v>
      </c>
      <c r="AE74" s="66">
        <f>COUNTIFS(TblUniv2016[B1],AE$73,TblUniv2016[Prodi],$AE$70)/$AE$72*100%</f>
        <v>0</v>
      </c>
      <c r="AF74" s="66">
        <f>COUNTIFS(TblUniv2016[B1],AF$73,TblUniv2016[Prodi],$AE$70)/$AE$72*100%</f>
        <v>0.83333333333333337</v>
      </c>
      <c r="AG74" s="66">
        <f>COUNTIFS(TblUniv2016[B1],AG$73,TblUniv2016[Prodi],$AE$70)/$AE$72*100%</f>
        <v>0.16666666666666666</v>
      </c>
      <c r="AH74" s="66">
        <f>COUNTIFS(TblUniv2016[B1],AH$73,TblUniv2016[Prodi],$AE$70)/$AE$72*100%</f>
        <v>0</v>
      </c>
      <c r="AI74" s="62">
        <f t="shared" ref="AI74:AI111" si="3">SUM(AE74:AH74)</f>
        <v>1</v>
      </c>
      <c r="AK74" s="57" t="s">
        <v>26</v>
      </c>
      <c r="AL74" s="66">
        <f>COUNTIFS(TblUniv2016[B1],AL$73,TblUniv2016[Prodi],$AL$70)/$AL$72*100%</f>
        <v>1</v>
      </c>
      <c r="AM74" s="66">
        <f>COUNTIFS(TblUniv2016[B1],AM$73,TblUniv2016[Prodi],$AL$70)/$AL$72*100%</f>
        <v>0</v>
      </c>
      <c r="AN74" s="66">
        <f>COUNTIFS(TblUniv2016[B1],AN$73,TblUniv2016[Prodi],$AL$70)/$AL$72*100%</f>
        <v>0</v>
      </c>
      <c r="AO74" s="66">
        <f>COUNTIFS(TblUniv2016[B1],AO$73,TblUniv2016[Prodi],$AL$70)/$AL$72*100%</f>
        <v>0</v>
      </c>
      <c r="AP74" s="62">
        <f t="shared" ref="AP74:AP111" si="4">SUM(AL74:AO74)</f>
        <v>1</v>
      </c>
      <c r="AR74" s="57" t="s">
        <v>26</v>
      </c>
      <c r="AS74" s="66">
        <f>COUNTIFS(TblUniv2016[B1],AS$73,TblUniv2016[Prodi],$AS$70)/$AS$72*100%</f>
        <v>1</v>
      </c>
      <c r="AT74" s="66">
        <f>COUNTIFS(TblUniv2016[B1],AT$73,TblUniv2016[Prodi],$AS$70)/$AS$72*100%</f>
        <v>0</v>
      </c>
      <c r="AU74" s="66">
        <f>COUNTIFS(TblUniv2016[B1],AU$73,TblUniv2016[Prodi],$AS$70)/$AS$72*100%</f>
        <v>0</v>
      </c>
      <c r="AV74" s="66">
        <f>COUNTIFS(TblUniv2016[B1],AV$73,TblUniv2016[Prodi],$AS$70)/$AS$72*100%</f>
        <v>0</v>
      </c>
      <c r="AW74" s="62">
        <f t="shared" ref="AW74:AW111" si="5">SUM(AS74:AV74)</f>
        <v>1</v>
      </c>
    </row>
    <row r="75" spans="2:57" ht="16.5" x14ac:dyDescent="0.3">
      <c r="B75" s="57" t="s">
        <v>27</v>
      </c>
      <c r="C75" s="66">
        <f>COUNTIFS(TblUniv2016[B2],$C$73)/C72*100%</f>
        <v>0.53968253968253965</v>
      </c>
      <c r="D75" s="66">
        <f>COUNTIFS(TblUniv2016[B2],$D$73)/C72*100%</f>
        <v>0.46031746031746029</v>
      </c>
      <c r="E75" s="66">
        <f>COUNTIFS(TblUniv2016[B2],$E$73)/C72*100%</f>
        <v>0</v>
      </c>
      <c r="F75" s="66">
        <f>COUNTIFS(TblUniv2016[B2],$F$73)/C72*100%</f>
        <v>0</v>
      </c>
      <c r="G75" s="62">
        <f t="shared" si="0"/>
        <v>1</v>
      </c>
      <c r="I75" s="57" t="s">
        <v>27</v>
      </c>
      <c r="J75" s="66">
        <f>COUNTIFS(TblUniv2016[B2],J$73,TblUniv2016[Prodi],$J$70)/$J$72*100%</f>
        <v>0.33333333333333331</v>
      </c>
      <c r="K75" s="66">
        <f>COUNTIFS(TblUniv2016[B2],K$73,TblUniv2016[Prodi],$J$70)/$J$72*100%</f>
        <v>0.66666666666666663</v>
      </c>
      <c r="L75" s="66">
        <f>COUNTIFS(TblUniv2016[B2],L$73,TblUniv2016[Prodi],$J$70)/$J$72*100%</f>
        <v>0</v>
      </c>
      <c r="M75" s="66">
        <f>COUNTIFS(TblUniv2016[B2],M$73,TblUniv2016[Prodi],$J$70)/$J$72*100%</f>
        <v>0</v>
      </c>
      <c r="N75" s="62">
        <f>SUM(J75:M75)</f>
        <v>1</v>
      </c>
      <c r="P75" s="57" t="s">
        <v>27</v>
      </c>
      <c r="Q75" s="66">
        <f>COUNTIFS(TblUniv2016[B2],Q$73,TblUniv2016[Prodi],$Q$70)/$Q$72*100%</f>
        <v>0.5957446808510638</v>
      </c>
      <c r="R75" s="66">
        <f>COUNTIFS(TblUniv2016[B2],R$73,TblUniv2016[Prodi],$Q$70)/$Q$72*100%</f>
        <v>0.40425531914893614</v>
      </c>
      <c r="S75" s="66">
        <f>COUNTIFS(TblUniv2016[B2],S$73,TblUniv2016[Prodi],$Q$70)/$Q$72*100%</f>
        <v>0</v>
      </c>
      <c r="T75" s="66">
        <f>COUNTIFS(TblUniv2016[B2],T$73,TblUniv2016[Prodi],$Q$70)/$Q$72*100%</f>
        <v>0</v>
      </c>
      <c r="U75" s="62">
        <f t="shared" si="1"/>
        <v>1</v>
      </c>
      <c r="W75" s="57" t="s">
        <v>27</v>
      </c>
      <c r="X75" s="66">
        <f>COUNTIFS(TblUniv2016[B2],X$73,TblUniv2016[Prodi],$X$70)/$X$72*100%</f>
        <v>0.5</v>
      </c>
      <c r="Y75" s="66">
        <f>COUNTIFS(TblUniv2016[B2],Y$73,TblUniv2016[Prodi],$X$70)/$X$72*100%</f>
        <v>0.5</v>
      </c>
      <c r="Z75" s="66">
        <f>COUNTIFS(TblUniv2016[B2],Z$73,TblUniv2016[Prodi],$X$70)/$X$72*100%</f>
        <v>0</v>
      </c>
      <c r="AA75" s="66">
        <f>COUNTIFS(TblUniv2016[B2],AA$73,TblUniv2016[Prodi],$X$70)/$X$72*100%</f>
        <v>0</v>
      </c>
      <c r="AB75" s="62">
        <f t="shared" si="2"/>
        <v>1</v>
      </c>
      <c r="AD75" s="57" t="s">
        <v>27</v>
      </c>
      <c r="AE75" s="66">
        <f>COUNTIFS(TblUniv2016[B2],AE$73,TblUniv2016[Prodi],$AE$70)/$AE$72*100%</f>
        <v>0.16666666666666666</v>
      </c>
      <c r="AF75" s="66">
        <f>COUNTIFS(TblUniv2016[B2],AF$73,TblUniv2016[Prodi],$AE$70)/$AE$72*100%</f>
        <v>0.83333333333333337</v>
      </c>
      <c r="AG75" s="66">
        <f>COUNTIFS(TblUniv2016[B2],AG$73,TblUniv2016[Prodi],$AE$70)/$AE$72*100%</f>
        <v>0</v>
      </c>
      <c r="AH75" s="66">
        <f>COUNTIFS(TblUniv2016[B2],AH$73,TblUniv2016[Prodi],$AE$70)/$AE$72*100%</f>
        <v>0</v>
      </c>
      <c r="AI75" s="62">
        <f t="shared" si="3"/>
        <v>1</v>
      </c>
      <c r="AK75" s="57" t="s">
        <v>27</v>
      </c>
      <c r="AL75" s="66">
        <f>COUNTIFS(TblUniv2016[B2],AL$73,TblUniv2016[Prodi],$AL$70)/$AL$72*100%</f>
        <v>1</v>
      </c>
      <c r="AM75" s="66">
        <f>COUNTIFS(TblUniv2016[B2],AM$73,TblUniv2016[Prodi],$AL$70)/$AL$72*100%</f>
        <v>0</v>
      </c>
      <c r="AN75" s="66">
        <f>COUNTIFS(TblUniv2016[B2],AN$73,TblUniv2016[Prodi],$AL$70)/$AL$72*100%</f>
        <v>0</v>
      </c>
      <c r="AO75" s="66">
        <f>COUNTIFS(TblUniv2016[B2],AO$73,TblUniv2016[Prodi],$AL$70)/$AL$72*100%</f>
        <v>0</v>
      </c>
      <c r="AP75" s="62">
        <f t="shared" si="4"/>
        <v>1</v>
      </c>
      <c r="AR75" s="57" t="s">
        <v>27</v>
      </c>
      <c r="AS75" s="66">
        <f>COUNTIFS(TblUniv2016[B2],AS$73,TblUniv2016[Prodi],$AS$70)/$AS$72*100%</f>
        <v>0.5</v>
      </c>
      <c r="AT75" s="66">
        <f>COUNTIFS(TblUniv2016[B2],AT$73,TblUniv2016[Prodi],$AS$70)/$AS$72*100%</f>
        <v>0.5</v>
      </c>
      <c r="AU75" s="66">
        <f>COUNTIFS(TblUniv2016[B2],AU$73,TblUniv2016[Prodi],$AS$70)/$AS$72*100%</f>
        <v>0</v>
      </c>
      <c r="AV75" s="66">
        <f>COUNTIFS(TblUniv2016[B2],AV$73,TblUniv2016[Prodi],$AS$70)/$AS$72*100%</f>
        <v>0</v>
      </c>
      <c r="AW75" s="62">
        <f t="shared" si="5"/>
        <v>1</v>
      </c>
    </row>
    <row r="76" spans="2:57" ht="16.5" x14ac:dyDescent="0.3">
      <c r="B76" s="57" t="s">
        <v>28</v>
      </c>
      <c r="C76" s="66">
        <f>COUNTIFS(TblUniv2016[B3],$C$73)/C72*100%</f>
        <v>0.30158730158730157</v>
      </c>
      <c r="D76" s="66">
        <f>COUNTIFS(TblUniv2016[B3],$D$73)/C72*100%</f>
        <v>0.68253968253968256</v>
      </c>
      <c r="E76" s="66">
        <f>COUNTIFS(TblUniv2016[B3],$E$73)/C72*100%</f>
        <v>1.5873015873015872E-2</v>
      </c>
      <c r="F76" s="66">
        <f>COUNTIFS(TblUniv2016[B3],$F$73)/C72*100%</f>
        <v>0</v>
      </c>
      <c r="G76" s="62">
        <f t="shared" si="0"/>
        <v>1</v>
      </c>
      <c r="I76" s="57" t="s">
        <v>28</v>
      </c>
      <c r="J76" s="66">
        <f>COUNTIFS(TblUniv2016[B3],J$73,TblUniv2016[Prodi],$J$70)/$J$72*100%</f>
        <v>0.33333333333333331</v>
      </c>
      <c r="K76" s="66">
        <f>COUNTIFS(TblUniv2016[B3],K$73,TblUniv2016[Prodi],$J$70)/$J$72*100%</f>
        <v>0.66666666666666663</v>
      </c>
      <c r="L76" s="66">
        <f>COUNTIFS(TblUniv2016[B3],L$73,TblUniv2016[Prodi],$J$70)/$J$72*100%</f>
        <v>0</v>
      </c>
      <c r="M76" s="66">
        <f>COUNTIFS(TblUniv2016[B3],M$73,TblUniv2016[Prodi],$J$70)/$J$72*100%</f>
        <v>0</v>
      </c>
      <c r="N76" s="62">
        <f>SUM(J76:M76)</f>
        <v>1</v>
      </c>
      <c r="P76" s="57" t="s">
        <v>28</v>
      </c>
      <c r="Q76" s="66">
        <f>COUNTIFS(TblUniv2016[B3],Q$73,TblUniv2016[Prodi],$Q$70)/$Q$72*100%</f>
        <v>0.34042553191489361</v>
      </c>
      <c r="R76" s="66">
        <f>COUNTIFS(TblUniv2016[B3],R$73,TblUniv2016[Prodi],$Q$70)/$Q$72*100%</f>
        <v>0.65957446808510634</v>
      </c>
      <c r="S76" s="66">
        <f>COUNTIFS(TblUniv2016[B3],S$73,TblUniv2016[Prodi],$Q$70)/$Q$72*100%</f>
        <v>0</v>
      </c>
      <c r="T76" s="66">
        <f>COUNTIFS(TblUniv2016[B3],T$73,TblUniv2016[Prodi],$Q$70)/$Q$72*100%</f>
        <v>0</v>
      </c>
      <c r="U76" s="62">
        <f t="shared" si="1"/>
        <v>1</v>
      </c>
      <c r="W76" s="57" t="s">
        <v>28</v>
      </c>
      <c r="X76" s="66">
        <f>COUNTIFS(TblUniv2016[B3],X$73,TblUniv2016[Prodi],$X$70)/$X$72*100%</f>
        <v>0</v>
      </c>
      <c r="Y76" s="66">
        <f>COUNTIFS(TblUniv2016[B3],Y$73,TblUniv2016[Prodi],$X$70)/$X$72*100%</f>
        <v>1</v>
      </c>
      <c r="Z76" s="66">
        <f>COUNTIFS(TblUniv2016[B3],Z$73,TblUniv2016[Prodi],$X$70)/$X$72*100%</f>
        <v>0</v>
      </c>
      <c r="AA76" s="66">
        <f>COUNTIFS(TblUniv2016[B3],AA$73,TblUniv2016[Prodi],$X$70)/$X$72*100%</f>
        <v>0</v>
      </c>
      <c r="AB76" s="62">
        <f t="shared" si="2"/>
        <v>1</v>
      </c>
      <c r="AD76" s="57" t="s">
        <v>28</v>
      </c>
      <c r="AE76" s="66">
        <f>COUNTIFS(TblUniv2016[B3],AE$73,TblUniv2016[Prodi],$AE$70)/$AE$72*100%</f>
        <v>0</v>
      </c>
      <c r="AF76" s="66">
        <f>COUNTIFS(TblUniv2016[B3],AF$73,TblUniv2016[Prodi],$AE$70)/$AE$72*100%</f>
        <v>0.83333333333333337</v>
      </c>
      <c r="AG76" s="66">
        <f>COUNTIFS(TblUniv2016[B3],AG$73,TblUniv2016[Prodi],$AE$70)/$AE$72*100%</f>
        <v>0.16666666666666666</v>
      </c>
      <c r="AH76" s="66">
        <f>COUNTIFS(TblUniv2016[B3],AH$73,TblUniv2016[Prodi],$AE$70)/$AE$72*100%</f>
        <v>0</v>
      </c>
      <c r="AI76" s="62">
        <f t="shared" si="3"/>
        <v>1</v>
      </c>
      <c r="AK76" s="57" t="s">
        <v>28</v>
      </c>
      <c r="AL76" s="66">
        <f>COUNTIFS(TblUniv2016[B3],AL$73,TblUniv2016[Prodi],$AL$70)/$AL$72*100%</f>
        <v>1</v>
      </c>
      <c r="AM76" s="66">
        <f>COUNTIFS(TblUniv2016[B3],AM$73,TblUniv2016[Prodi],$AL$70)/$AL$72*100%</f>
        <v>0</v>
      </c>
      <c r="AN76" s="66">
        <f>COUNTIFS(TblUniv2016[B3],AN$73,TblUniv2016[Prodi],$AL$70)/$AL$72*100%</f>
        <v>0</v>
      </c>
      <c r="AO76" s="66">
        <f>COUNTIFS(TblUniv2016[B3],AO$73,TblUniv2016[Prodi],$AL$70)/$AL$72*100%</f>
        <v>0</v>
      </c>
      <c r="AP76" s="62">
        <f t="shared" si="4"/>
        <v>1</v>
      </c>
      <c r="AR76" s="57" t="s">
        <v>28</v>
      </c>
      <c r="AS76" s="66">
        <f>COUNTIFS(TblUniv2016[B3],AS$73,TblUniv2016[Prodi],$AS$70)/$AS$72*100%</f>
        <v>0.5</v>
      </c>
      <c r="AT76" s="66">
        <f>COUNTIFS(TblUniv2016[B3],AT$73,TblUniv2016[Prodi],$AS$70)/$AS$72*100%</f>
        <v>0.5</v>
      </c>
      <c r="AU76" s="66">
        <f>COUNTIFS(TblUniv2016[B3],AU$73,TblUniv2016[Prodi],$AS$70)/$AS$72*100%</f>
        <v>0</v>
      </c>
      <c r="AV76" s="66">
        <f>COUNTIFS(TblUniv2016[B3],AV$73,TblUniv2016[Prodi],$AS$70)/$AS$72*100%</f>
        <v>0</v>
      </c>
      <c r="AW76" s="62">
        <f t="shared" si="5"/>
        <v>1</v>
      </c>
    </row>
    <row r="77" spans="2:57" ht="16.5" x14ac:dyDescent="0.3">
      <c r="B77" s="57" t="s">
        <v>29</v>
      </c>
      <c r="C77" s="66">
        <f>COUNTIFS(TblUniv2016[B4],$C$73)/C72*100%</f>
        <v>0.53968253968253965</v>
      </c>
      <c r="D77" s="66">
        <f>COUNTIFS(TblUniv2016[B4],$D$73)/C72*100%</f>
        <v>0.46031746031746029</v>
      </c>
      <c r="E77" s="66">
        <f>COUNTIFS(TblUniv2016[B4],$E$73)/C72*100%</f>
        <v>0</v>
      </c>
      <c r="F77" s="66">
        <f>COUNTIFS(TblUniv2016[B4],$F$73)/C72*100%</f>
        <v>0</v>
      </c>
      <c r="G77" s="62">
        <f t="shared" si="0"/>
        <v>1</v>
      </c>
      <c r="I77" s="57" t="s">
        <v>29</v>
      </c>
      <c r="J77" s="66">
        <f>COUNTIFS(TblUniv2016[B4],J$73,TblUniv2016[Prodi],$J$70)/$J$72*100%</f>
        <v>0.66666666666666663</v>
      </c>
      <c r="K77" s="66">
        <f>COUNTIFS(TblUniv2016[B4],K$73,TblUniv2016[Prodi],$J$70)/$J$72*100%</f>
        <v>0.33333333333333331</v>
      </c>
      <c r="L77" s="66">
        <f>COUNTIFS(TblUniv2016[B4],L$73,TblUniv2016[Prodi],$J$70)/$J$72*100%</f>
        <v>0</v>
      </c>
      <c r="M77" s="66">
        <f>COUNTIFS(TblUniv2016[B4],M$73,TblUniv2016[Prodi],$J$70)/$J$72*100%</f>
        <v>0</v>
      </c>
      <c r="N77" s="62">
        <f>SUM(J77:M77)</f>
        <v>1</v>
      </c>
      <c r="P77" s="57" t="s">
        <v>29</v>
      </c>
      <c r="Q77" s="66">
        <f>COUNTIFS(TblUniv2016[B4],Q$73,TblUniv2016[Prodi],$Q$70)/$Q$72*100%</f>
        <v>0.57446808510638303</v>
      </c>
      <c r="R77" s="66">
        <f>COUNTIFS(TblUniv2016[B4],R$73,TblUniv2016[Prodi],$Q$70)/$Q$72*100%</f>
        <v>0.42553191489361702</v>
      </c>
      <c r="S77" s="66">
        <f>COUNTIFS(TblUniv2016[B4],S$73,TblUniv2016[Prodi],$Q$70)/$Q$72*100%</f>
        <v>0</v>
      </c>
      <c r="T77" s="66">
        <f>COUNTIFS(TblUniv2016[B4],T$73,TblUniv2016[Prodi],$Q$70)/$Q$72*100%</f>
        <v>0</v>
      </c>
      <c r="U77" s="62">
        <f t="shared" si="1"/>
        <v>1</v>
      </c>
      <c r="W77" s="57" t="s">
        <v>29</v>
      </c>
      <c r="X77" s="66">
        <f>COUNTIFS(TblUniv2016[B4],X$73,TblUniv2016[Prodi],$X$70)/$X$72*100%</f>
        <v>0.25</v>
      </c>
      <c r="Y77" s="66">
        <f>COUNTIFS(TblUniv2016[B4],Y$73,TblUniv2016[Prodi],$X$70)/$X$72*100%</f>
        <v>0.75</v>
      </c>
      <c r="Z77" s="66">
        <f>COUNTIFS(TblUniv2016[B4],Z$73,TblUniv2016[Prodi],$X$70)/$X$72*100%</f>
        <v>0</v>
      </c>
      <c r="AA77" s="66">
        <f>COUNTIFS(TblUniv2016[B4],AA$73,TblUniv2016[Prodi],$X$70)/$X$72*100%</f>
        <v>0</v>
      </c>
      <c r="AB77" s="62">
        <f t="shared" si="2"/>
        <v>1</v>
      </c>
      <c r="AD77" s="57" t="s">
        <v>29</v>
      </c>
      <c r="AE77" s="66">
        <f>COUNTIFS(TblUniv2016[B4],AE$73,TblUniv2016[Prodi],$AE$70)/$AE$72*100%</f>
        <v>0.33333333333333331</v>
      </c>
      <c r="AF77" s="66">
        <f>COUNTIFS(TblUniv2016[B4],AF$73,TblUniv2016[Prodi],$AE$70)/$AE$72*100%</f>
        <v>0.66666666666666663</v>
      </c>
      <c r="AG77" s="66">
        <f>COUNTIFS(TblUniv2016[B4],AG$73,TblUniv2016[Prodi],$AE$70)/$AE$72*100%</f>
        <v>0</v>
      </c>
      <c r="AH77" s="66">
        <f>COUNTIFS(TblUniv2016[B4],AH$73,TblUniv2016[Prodi],$AE$70)/$AE$72*100%</f>
        <v>0</v>
      </c>
      <c r="AI77" s="62">
        <f t="shared" si="3"/>
        <v>1</v>
      </c>
      <c r="AK77" s="57" t="s">
        <v>29</v>
      </c>
      <c r="AL77" s="66">
        <f>COUNTIFS(TblUniv2016[B4],AL$73,TblUniv2016[Prodi],$AL$70)/$AL$72*100%</f>
        <v>1</v>
      </c>
      <c r="AM77" s="66">
        <f>COUNTIFS(TblUniv2016[B4],AM$73,TblUniv2016[Prodi],$AL$70)/$AL$72*100%</f>
        <v>0</v>
      </c>
      <c r="AN77" s="66">
        <f>COUNTIFS(TblUniv2016[B4],AN$73,TblUniv2016[Prodi],$AL$70)/$AL$72*100%</f>
        <v>0</v>
      </c>
      <c r="AO77" s="66">
        <f>COUNTIFS(TblUniv2016[B4],AO$73,TblUniv2016[Prodi],$AL$70)/$AL$72*100%</f>
        <v>0</v>
      </c>
      <c r="AP77" s="62">
        <f t="shared" si="4"/>
        <v>1</v>
      </c>
      <c r="AR77" s="57" t="s">
        <v>29</v>
      </c>
      <c r="AS77" s="66">
        <f>COUNTIFS(TblUniv2016[B4],AS$73,TblUniv2016[Prodi],$AS$70)/$AS$72*100%</f>
        <v>0.5</v>
      </c>
      <c r="AT77" s="66">
        <f>COUNTIFS(TblUniv2016[B4],AT$73,TblUniv2016[Prodi],$AS$70)/$AS$72*100%</f>
        <v>0.5</v>
      </c>
      <c r="AU77" s="66">
        <f>COUNTIFS(TblUniv2016[B4],AU$73,TblUniv2016[Prodi],$AS$70)/$AS$72*100%</f>
        <v>0</v>
      </c>
      <c r="AV77" s="66">
        <f>COUNTIFS(TblUniv2016[B4],AV$73,TblUniv2016[Prodi],$AS$70)/$AS$72*100%</f>
        <v>0</v>
      </c>
      <c r="AW77" s="62">
        <f t="shared" si="5"/>
        <v>1</v>
      </c>
    </row>
    <row r="78" spans="2:57" ht="16.5" x14ac:dyDescent="0.3">
      <c r="B78" s="57" t="s">
        <v>30</v>
      </c>
      <c r="C78" s="66">
        <f>COUNTIFS(TblUniv2016[B5],$C$73)/C72*100%</f>
        <v>0.5714285714285714</v>
      </c>
      <c r="D78" s="66">
        <f>COUNTIFS(TblUniv2016[B5],$D$73)/C72*100%</f>
        <v>0.42857142857142855</v>
      </c>
      <c r="E78" s="66">
        <f>COUNTIFS(TblUniv2016[B5],$E$73)/C72*100%</f>
        <v>0</v>
      </c>
      <c r="F78" s="66">
        <f>COUNTIFS(TblUniv2016[B5],$F$73)/C72*100%</f>
        <v>0</v>
      </c>
      <c r="G78" s="62">
        <f t="shared" si="0"/>
        <v>1</v>
      </c>
      <c r="I78" s="57" t="s">
        <v>30</v>
      </c>
      <c r="J78" s="66">
        <f>COUNTIFS(TblUniv2016[B5],J$73,TblUniv2016[Prodi],$J$70)/$J$72*100%</f>
        <v>0.66666666666666663</v>
      </c>
      <c r="K78" s="66">
        <f>COUNTIFS(TblUniv2016[B5],K$73,TblUniv2016[Prodi],$J$70)/$J$72*100%</f>
        <v>0.33333333333333331</v>
      </c>
      <c r="L78" s="66">
        <f>COUNTIFS(TblUniv2016[B5],L$73,TblUniv2016[Prodi],$J$70)/$J$72*100%</f>
        <v>0</v>
      </c>
      <c r="M78" s="66">
        <f>COUNTIFS(TblUniv2016[B5],M$73,TblUniv2016[Prodi],$J$70)/$J$72*100%</f>
        <v>0</v>
      </c>
      <c r="N78" s="62">
        <f>SUM(J78:M78)</f>
        <v>1</v>
      </c>
      <c r="P78" s="57" t="s">
        <v>30</v>
      </c>
      <c r="Q78" s="66">
        <f>COUNTIFS(TblUniv2016[B5],Q$73,TblUniv2016[Prodi],$Q$70)/$Q$72*100%</f>
        <v>0.5957446808510638</v>
      </c>
      <c r="R78" s="66">
        <f>COUNTIFS(TblUniv2016[B5],R$73,TblUniv2016[Prodi],$Q$70)/$Q$72*100%</f>
        <v>0.40425531914893614</v>
      </c>
      <c r="S78" s="66">
        <f>COUNTIFS(TblUniv2016[B5],S$73,TblUniv2016[Prodi],$Q$70)/$Q$72*100%</f>
        <v>0</v>
      </c>
      <c r="T78" s="66">
        <f>COUNTIFS(TblUniv2016[B5],T$73,TblUniv2016[Prodi],$Q$70)/$Q$72*100%</f>
        <v>0</v>
      </c>
      <c r="U78" s="62">
        <f t="shared" si="1"/>
        <v>1</v>
      </c>
      <c r="W78" s="57" t="s">
        <v>30</v>
      </c>
      <c r="X78" s="66">
        <f>COUNTIFS(TblUniv2016[B5],X$73,TblUniv2016[Prodi],$X$70)/$X$72*100%</f>
        <v>0.75</v>
      </c>
      <c r="Y78" s="66">
        <f>COUNTIFS(TblUniv2016[B5],Y$73,TblUniv2016[Prodi],$X$70)/$X$72*100%</f>
        <v>0.25</v>
      </c>
      <c r="Z78" s="66">
        <f>COUNTIFS(TblUniv2016[B5],Z$73,TblUniv2016[Prodi],$X$70)/$X$72*100%</f>
        <v>0</v>
      </c>
      <c r="AA78" s="66">
        <f>COUNTIFS(TblUniv2016[B5],AA$73,TblUniv2016[Prodi],$X$70)/$X$72*100%</f>
        <v>0</v>
      </c>
      <c r="AB78" s="62">
        <f t="shared" si="2"/>
        <v>1</v>
      </c>
      <c r="AD78" s="57" t="s">
        <v>30</v>
      </c>
      <c r="AE78" s="66">
        <f>COUNTIFS(TblUniv2016[B5],AE$73,TblUniv2016[Prodi],$AE$70)/$AE$72*100%</f>
        <v>0</v>
      </c>
      <c r="AF78" s="66">
        <f>COUNTIFS(TblUniv2016[B5],AF$73,TblUniv2016[Prodi],$AE$70)/$AE$72*100%</f>
        <v>1</v>
      </c>
      <c r="AG78" s="66">
        <f>COUNTIFS(TblUniv2016[B5],AG$73,TblUniv2016[Prodi],$AE$70)/$AE$72*100%</f>
        <v>0</v>
      </c>
      <c r="AH78" s="66">
        <f>COUNTIFS(TblUniv2016[B5],AH$73,TblUniv2016[Prodi],$AE$70)/$AE$72*100%</f>
        <v>0</v>
      </c>
      <c r="AI78" s="62">
        <f t="shared" si="3"/>
        <v>1</v>
      </c>
      <c r="AK78" s="57" t="s">
        <v>30</v>
      </c>
      <c r="AL78" s="66">
        <f>COUNTIFS(TblUniv2016[B5],AL$73,TblUniv2016[Prodi],$AL$70)/$AL$72*100%</f>
        <v>1</v>
      </c>
      <c r="AM78" s="66">
        <f>COUNTIFS(TblUniv2016[B5],AM$73,TblUniv2016[Prodi],$AL$70)/$AL$72*100%</f>
        <v>0</v>
      </c>
      <c r="AN78" s="66">
        <f>COUNTIFS(TblUniv2016[B5],AN$73,TblUniv2016[Prodi],$AL$70)/$AL$72*100%</f>
        <v>0</v>
      </c>
      <c r="AO78" s="66">
        <f>COUNTIFS(TblUniv2016[B5],AO$73,TblUniv2016[Prodi],$AL$70)/$AL$72*100%</f>
        <v>0</v>
      </c>
      <c r="AP78" s="62">
        <f t="shared" si="4"/>
        <v>1</v>
      </c>
      <c r="AR78" s="57" t="s">
        <v>30</v>
      </c>
      <c r="AS78" s="66">
        <f>COUNTIFS(TblUniv2016[B5],AS$73,TblUniv2016[Prodi],$AS$70)/$AS$72*100%</f>
        <v>1</v>
      </c>
      <c r="AT78" s="66">
        <f>COUNTIFS(TblUniv2016[B5],AT$73,TblUniv2016[Prodi],$AS$70)/$AS$72*100%</f>
        <v>0</v>
      </c>
      <c r="AU78" s="66">
        <f>COUNTIFS(TblUniv2016[B5],AU$73,TblUniv2016[Prodi],$AS$70)/$AS$72*100%</f>
        <v>0</v>
      </c>
      <c r="AV78" s="66">
        <f>COUNTIFS(TblUniv2016[B5],AV$73,TblUniv2016[Prodi],$AS$70)/$AS$72*100%</f>
        <v>0</v>
      </c>
      <c r="AW78" s="62">
        <f t="shared" si="5"/>
        <v>1</v>
      </c>
    </row>
    <row r="79" spans="2:57" ht="16.5" x14ac:dyDescent="0.3">
      <c r="B79" s="60"/>
      <c r="C79" s="61">
        <f>AVERAGE(C74:C78)</f>
        <v>0.46349206349206346</v>
      </c>
      <c r="D79" s="61">
        <f>AVERAGE(D74:D78)</f>
        <v>0.53015873015873016</v>
      </c>
      <c r="E79" s="61">
        <f>AVERAGE(E74:E78)</f>
        <v>6.3492063492063492E-3</v>
      </c>
      <c r="F79" s="61">
        <f>AVERAGE(F74:F78)</f>
        <v>0</v>
      </c>
      <c r="G79" s="62">
        <f t="shared" si="0"/>
        <v>1</v>
      </c>
      <c r="I79" s="60"/>
      <c r="J79" s="61">
        <f>AVERAGE(J74:J78)</f>
        <v>0.46666666666666662</v>
      </c>
      <c r="K79" s="61">
        <f>AVERAGE(K74:K78)</f>
        <v>0.53333333333333344</v>
      </c>
      <c r="L79" s="61">
        <f>AVERAGE(L74:L78)</f>
        <v>0</v>
      </c>
      <c r="M79" s="61">
        <f>AVERAGE(M74:M78)</f>
        <v>0</v>
      </c>
      <c r="N79" s="62">
        <f t="shared" ref="N79:N106" si="6">SUM(J79:M79)</f>
        <v>1</v>
      </c>
      <c r="P79" s="60"/>
      <c r="Q79" s="61">
        <f>AVERAGE(Q74:Q78)</f>
        <v>0.49787234042553197</v>
      </c>
      <c r="R79" s="61">
        <f>AVERAGE(R74:R78)</f>
        <v>0.50212765957446803</v>
      </c>
      <c r="S79" s="61">
        <f>AVERAGE(S74:S78)</f>
        <v>0</v>
      </c>
      <c r="T79" s="61">
        <f>AVERAGE(T74:T78)</f>
        <v>0</v>
      </c>
      <c r="U79" s="62">
        <f t="shared" si="1"/>
        <v>1</v>
      </c>
      <c r="W79" s="60"/>
      <c r="X79" s="61">
        <f>AVERAGE(X74:X78)</f>
        <v>0.35</v>
      </c>
      <c r="Y79" s="61">
        <f>AVERAGE(Y74:Y78)</f>
        <v>0.65</v>
      </c>
      <c r="Z79" s="61">
        <f>AVERAGE(Z74:Z78)</f>
        <v>0</v>
      </c>
      <c r="AA79" s="61">
        <f>AVERAGE(AA74:AA78)</f>
        <v>0</v>
      </c>
      <c r="AB79" s="62">
        <f t="shared" si="2"/>
        <v>1</v>
      </c>
      <c r="AD79" s="60"/>
      <c r="AE79" s="61">
        <f>AVERAGE(AE74:AE78)</f>
        <v>0.1</v>
      </c>
      <c r="AF79" s="61">
        <f>AVERAGE(AF74:AF78)</f>
        <v>0.83333333333333326</v>
      </c>
      <c r="AG79" s="61">
        <f>AVERAGE(AG74:AG78)</f>
        <v>6.6666666666666666E-2</v>
      </c>
      <c r="AH79" s="61">
        <f>AVERAGE(AH74:AH78)</f>
        <v>0</v>
      </c>
      <c r="AI79" s="62">
        <f t="shared" si="3"/>
        <v>0.99999999999999989</v>
      </c>
      <c r="AK79" s="60"/>
      <c r="AL79" s="61">
        <f>AVERAGE(AL74:AL78)</f>
        <v>1</v>
      </c>
      <c r="AM79" s="61">
        <f>AVERAGE(AM74:AM78)</f>
        <v>0</v>
      </c>
      <c r="AN79" s="61">
        <f>AVERAGE(AN74:AN78)</f>
        <v>0</v>
      </c>
      <c r="AO79" s="61">
        <f>AVERAGE(AO74:AO78)</f>
        <v>0</v>
      </c>
      <c r="AP79" s="62">
        <f t="shared" si="4"/>
        <v>1</v>
      </c>
      <c r="AR79" s="60"/>
      <c r="AS79" s="61">
        <f>AVERAGE(AS74:AS78)</f>
        <v>0.7</v>
      </c>
      <c r="AT79" s="61">
        <f>AVERAGE(AT74:AT78)</f>
        <v>0.3</v>
      </c>
      <c r="AU79" s="61">
        <f>AVERAGE(AU74:AU78)</f>
        <v>0</v>
      </c>
      <c r="AV79" s="61">
        <f>AVERAGE(AV74:AV78)</f>
        <v>0</v>
      </c>
      <c r="AW79" s="62">
        <f t="shared" si="5"/>
        <v>1</v>
      </c>
    </row>
    <row r="80" spans="2:57" ht="16.5" x14ac:dyDescent="0.3">
      <c r="B80" s="57" t="s">
        <v>31</v>
      </c>
      <c r="C80" s="66">
        <f>COUNTIFS(TblUniv2016[C1],$C$73)/$C$72*100%</f>
        <v>0.33333333333333331</v>
      </c>
      <c r="D80" s="66">
        <f>COUNTIFS(TblUniv2016[C1],$D$73)/$C$72*100%</f>
        <v>0.58730158730158732</v>
      </c>
      <c r="E80" s="66">
        <f>COUNTIFS(TblUniv2016[C1],$E$73)/$C$72*100%</f>
        <v>7.9365079365079361E-2</v>
      </c>
      <c r="F80" s="66">
        <f>COUNTIFS(TblUniv2016[C1],$F$73)/$C$72*100%</f>
        <v>0</v>
      </c>
      <c r="G80" s="62">
        <f t="shared" si="0"/>
        <v>1</v>
      </c>
      <c r="I80" s="57" t="s">
        <v>31</v>
      </c>
      <c r="J80" s="66">
        <f>COUNTIFS(TblUniv2016[C1],J$73,TblUniv2016[Prodi],$J$70)/$J$72*100%</f>
        <v>0.33333333333333331</v>
      </c>
      <c r="K80" s="66">
        <f>COUNTIFS(TblUniv2016[C1],K$73,TblUniv2016[Prodi],$J$70)/$J$72*100%</f>
        <v>0.33333333333333331</v>
      </c>
      <c r="L80" s="66">
        <f>COUNTIFS(TblUniv2016[C1],L$73,TblUniv2016[Prodi],$J$70)/$J$72*100%</f>
        <v>0.33333333333333331</v>
      </c>
      <c r="M80" s="66">
        <f>COUNTIFS(TblUniv2016[C1],M$73,TblUniv2016[Prodi],$J$70)/$J$72*100%</f>
        <v>0</v>
      </c>
      <c r="N80" s="62">
        <f t="shared" si="6"/>
        <v>1</v>
      </c>
      <c r="P80" s="57" t="s">
        <v>31</v>
      </c>
      <c r="Q80" s="66">
        <f>COUNTIFS(TblUniv2016[C1],Q$73,TblUniv2016[Prodi],$Q$70)/$Q$72*100%</f>
        <v>0.38297872340425532</v>
      </c>
      <c r="R80" s="66">
        <f>COUNTIFS(TblUniv2016[C1],R$73,TblUniv2016[Prodi],$Q$70)/$Q$72*100%</f>
        <v>0.55319148936170215</v>
      </c>
      <c r="S80" s="66">
        <f>COUNTIFS(TblUniv2016[C1],S$73,TblUniv2016[Prodi],$Q$70)/$Q$72*100%</f>
        <v>6.3829787234042548E-2</v>
      </c>
      <c r="T80" s="66">
        <f>COUNTIFS(TblUniv2016[C1],T$73,TblUniv2016[Prodi],$Q$70)/$Q$72*100%</f>
        <v>0</v>
      </c>
      <c r="U80" s="62">
        <f t="shared" si="1"/>
        <v>1</v>
      </c>
      <c r="W80" s="57" t="s">
        <v>31</v>
      </c>
      <c r="X80" s="66">
        <f>COUNTIFS(TblUniv2016[C1],X$73,TblUniv2016[Prodi],$X$70)/$X$72*100%</f>
        <v>0.25</v>
      </c>
      <c r="Y80" s="66">
        <f>COUNTIFS(TblUniv2016[C1],Y$73,TblUniv2016[Prodi],$X$70)/$X$72*100%</f>
        <v>0.75</v>
      </c>
      <c r="Z80" s="66">
        <f>COUNTIFS(TblUniv2016[C1],Z$73,TblUniv2016[Prodi],$X$70)/$X$72*100%</f>
        <v>0</v>
      </c>
      <c r="AA80" s="66">
        <f>COUNTIFS(TblUniv2016[C1],AA$73,TblUniv2016[Prodi],$X$70)/$X$72*100%</f>
        <v>0</v>
      </c>
      <c r="AB80" s="62">
        <f t="shared" si="2"/>
        <v>1</v>
      </c>
      <c r="AD80" s="57" t="s">
        <v>31</v>
      </c>
      <c r="AE80" s="66">
        <f>COUNTIFS(TblUniv2016[C1],AE$73,TblUniv2016[Prodi],$AE$70)/$AE$72*100%</f>
        <v>0.16666666666666666</v>
      </c>
      <c r="AF80" s="66">
        <f>COUNTIFS(TblUniv2016[C1],AF$73,TblUniv2016[Prodi],$AE$70)/$AE$72*100%</f>
        <v>0.83333333333333337</v>
      </c>
      <c r="AG80" s="66">
        <f>COUNTIFS(TblUniv2016[C1],AG$73,TblUniv2016[Prodi],$AE$70)/$AE$72*100%</f>
        <v>0</v>
      </c>
      <c r="AH80" s="66">
        <f>COUNTIFS(TblUniv2016[C1],AH$73,TblUniv2016[Prodi],$AE$70)/$AE$72*100%</f>
        <v>0</v>
      </c>
      <c r="AI80" s="62">
        <f t="shared" si="3"/>
        <v>1</v>
      </c>
      <c r="AK80" s="57" t="s">
        <v>31</v>
      </c>
      <c r="AL80" s="66">
        <f>COUNTIFS(TblUniv2016[C1],AL$73,TblUniv2016[Prodi],$AL$70)/$AL$72*100%</f>
        <v>0</v>
      </c>
      <c r="AM80" s="66">
        <f>COUNTIFS(TblUniv2016[C1],AM$73,TblUniv2016[Prodi],$AL$70)/$AL$72*100%</f>
        <v>1</v>
      </c>
      <c r="AN80" s="66">
        <f>COUNTIFS(TblUniv2016[C1],AN$73,TblUniv2016[Prodi],$AL$70)/$AL$72*100%</f>
        <v>0</v>
      </c>
      <c r="AO80" s="66">
        <f>COUNTIFS(TblUniv2016[C1],AO$73,TblUniv2016[Prodi],$AL$70)/$AL$72*100%</f>
        <v>0</v>
      </c>
      <c r="AP80" s="62">
        <f t="shared" si="4"/>
        <v>1</v>
      </c>
      <c r="AR80" s="57" t="s">
        <v>31</v>
      </c>
      <c r="AS80" s="66">
        <f>COUNTIFS(TblUniv2016[C1],AS$73,TblUniv2016[Prodi],$AS$70)/$AS$72*100%</f>
        <v>0</v>
      </c>
      <c r="AT80" s="66">
        <f>COUNTIFS(TblUniv2016[C1],AT$73,TblUniv2016[Prodi],$AS$70)/$AS$72*100%</f>
        <v>0.5</v>
      </c>
      <c r="AU80" s="66">
        <f>COUNTIFS(TblUniv2016[C1],AU$73,TblUniv2016[Prodi],$AS$70)/$AS$72*100%</f>
        <v>0.5</v>
      </c>
      <c r="AV80" s="66">
        <f>COUNTIFS(TblUniv2016[C1],AV$73,TblUniv2016[Prodi],$AS$70)/$AS$72*100%</f>
        <v>0</v>
      </c>
      <c r="AW80" s="62">
        <f t="shared" si="5"/>
        <v>1</v>
      </c>
    </row>
    <row r="81" spans="2:49" ht="16.5" x14ac:dyDescent="0.3">
      <c r="B81" s="57" t="s">
        <v>32</v>
      </c>
      <c r="C81" s="66">
        <f>COUNTIFS(TblUniv2016[C2],C$73)/$C$72*100%</f>
        <v>0.42857142857142855</v>
      </c>
      <c r="D81" s="66">
        <f>COUNTIFS(TblUniv2016[C2],D$73)/$C$72*100%</f>
        <v>0.5714285714285714</v>
      </c>
      <c r="E81" s="66">
        <f>COUNTIFS(TblUniv2016[C2],E$73)/$C$72*100%</f>
        <v>0</v>
      </c>
      <c r="F81" s="66">
        <f>COUNTIFS(TblUniv2016[C2],F$73)/$C$72*100%</f>
        <v>0</v>
      </c>
      <c r="G81" s="62">
        <f t="shared" si="0"/>
        <v>1</v>
      </c>
      <c r="I81" s="57" t="s">
        <v>32</v>
      </c>
      <c r="J81" s="66">
        <f>COUNTIFS(TblUniv2016[C2],J$73,TblUniv2016[Prodi],$J$70)/$J$72*100%</f>
        <v>0.33333333333333331</v>
      </c>
      <c r="K81" s="66">
        <f>COUNTIFS(TblUniv2016[C2],K$73,TblUniv2016[Prodi],$J$70)/$J$72*100%</f>
        <v>0.66666666666666663</v>
      </c>
      <c r="L81" s="66">
        <f>COUNTIFS(TblUniv2016[C2],L$73,TblUniv2016[Prodi],$J$70)/$J$72*100%</f>
        <v>0</v>
      </c>
      <c r="M81" s="66">
        <f>COUNTIFS(TblUniv2016[C2],M$73,TblUniv2016[Prodi],$J$70)/$J$72*100%</f>
        <v>0</v>
      </c>
      <c r="N81" s="62">
        <f t="shared" si="6"/>
        <v>1</v>
      </c>
      <c r="P81" s="57" t="s">
        <v>32</v>
      </c>
      <c r="Q81" s="66">
        <f>COUNTIFS(TblUniv2016[C2],Q$73,TblUniv2016[Prodi],$Q$70)/$Q$72*100%</f>
        <v>0.46808510638297873</v>
      </c>
      <c r="R81" s="66">
        <f>COUNTIFS(TblUniv2016[C2],R$73,TblUniv2016[Prodi],$Q$70)/$Q$72*100%</f>
        <v>0.53191489361702127</v>
      </c>
      <c r="S81" s="66">
        <f>COUNTIFS(TblUniv2016[C2],S$73,TblUniv2016[Prodi],$Q$70)/$Q$72*100%</f>
        <v>0</v>
      </c>
      <c r="T81" s="66">
        <f>COUNTIFS(TblUniv2016[C2],T$73,TblUniv2016[Prodi],$Q$70)/$Q$72*100%</f>
        <v>0</v>
      </c>
      <c r="U81" s="62">
        <f t="shared" si="1"/>
        <v>1</v>
      </c>
      <c r="W81" s="57" t="s">
        <v>32</v>
      </c>
      <c r="X81" s="66">
        <f>COUNTIFS(TblUniv2016[C2],X$73,TblUniv2016[Prodi],$X$70)/$X$72*100%</f>
        <v>0.25</v>
      </c>
      <c r="Y81" s="66">
        <f>COUNTIFS(TblUniv2016[C2],Y$73,TblUniv2016[Prodi],$X$70)/$X$72*100%</f>
        <v>0.75</v>
      </c>
      <c r="Z81" s="66">
        <f>COUNTIFS(TblUniv2016[C2],Z$73,TblUniv2016[Prodi],$X$70)/$X$72*100%</f>
        <v>0</v>
      </c>
      <c r="AA81" s="66">
        <f>COUNTIFS(TblUniv2016[C2],AA$73,TblUniv2016[Prodi],$X$70)/$X$72*100%</f>
        <v>0</v>
      </c>
      <c r="AB81" s="62">
        <f t="shared" si="2"/>
        <v>1</v>
      </c>
      <c r="AD81" s="57" t="s">
        <v>32</v>
      </c>
      <c r="AE81" s="66">
        <f>COUNTIFS(TblUniv2016[C2],AE$73,TblUniv2016[Prodi],$AE$70)/$AE$72*100%</f>
        <v>0.16666666666666666</v>
      </c>
      <c r="AF81" s="66">
        <f>COUNTIFS(TblUniv2016[C2],AF$73,TblUniv2016[Prodi],$AE$70)/$AE$72*100%</f>
        <v>0.83333333333333337</v>
      </c>
      <c r="AG81" s="66">
        <f>COUNTIFS(TblUniv2016[C2],AG$73,TblUniv2016[Prodi],$AE$70)/$AE$72*100%</f>
        <v>0</v>
      </c>
      <c r="AH81" s="66">
        <f>COUNTIFS(TblUniv2016[C2],AH$73,TblUniv2016[Prodi],$AE$70)/$AE$72*100%</f>
        <v>0</v>
      </c>
      <c r="AI81" s="62">
        <f t="shared" si="3"/>
        <v>1</v>
      </c>
      <c r="AK81" s="57" t="s">
        <v>32</v>
      </c>
      <c r="AL81" s="66">
        <f>COUNTIFS(TblUniv2016[C2],AL$73,TblUniv2016[Prodi],$AL$70)/$AL$72*100%</f>
        <v>0</v>
      </c>
      <c r="AM81" s="66">
        <f>COUNTIFS(TblUniv2016[C2],AM$73,TblUniv2016[Prodi],$AL$70)/$AL$72*100%</f>
        <v>1</v>
      </c>
      <c r="AN81" s="66">
        <f>COUNTIFS(TblUniv2016[C2],AN$73,TblUniv2016[Prodi],$AL$70)/$AL$72*100%</f>
        <v>0</v>
      </c>
      <c r="AO81" s="66">
        <f>COUNTIFS(TblUniv2016[C2],AO$73,TblUniv2016[Prodi],$AL$70)/$AL$72*100%</f>
        <v>0</v>
      </c>
      <c r="AP81" s="62">
        <f t="shared" si="4"/>
        <v>1</v>
      </c>
      <c r="AR81" s="57" t="s">
        <v>32</v>
      </c>
      <c r="AS81" s="66">
        <f>COUNTIFS(TblUniv2016[C2],AS$73,TblUniv2016[Prodi],$AS$70)/$AS$72*100%</f>
        <v>1</v>
      </c>
      <c r="AT81" s="66">
        <f>COUNTIFS(TblUniv2016[C2],AT$73,TblUniv2016[Prodi],$AS$70)/$AS$72*100%</f>
        <v>0</v>
      </c>
      <c r="AU81" s="66">
        <f>COUNTIFS(TblUniv2016[C2],AU$73,TblUniv2016[Prodi],$AS$70)/$AS$72*100%</f>
        <v>0</v>
      </c>
      <c r="AV81" s="66">
        <f>COUNTIFS(TblUniv2016[C2],AV$73,TblUniv2016[Prodi],$AS$70)/$AS$72*100%</f>
        <v>0</v>
      </c>
      <c r="AW81" s="62">
        <f t="shared" si="5"/>
        <v>1</v>
      </c>
    </row>
    <row r="82" spans="2:49" ht="16.5" x14ac:dyDescent="0.3">
      <c r="B82" s="60"/>
      <c r="C82" s="61">
        <f>AVERAGE(C80:C81)</f>
        <v>0.38095238095238093</v>
      </c>
      <c r="D82" s="61">
        <f>AVERAGE(D80:D81)</f>
        <v>0.57936507936507931</v>
      </c>
      <c r="E82" s="61">
        <f>AVERAGE(E80:E81)</f>
        <v>3.968253968253968E-2</v>
      </c>
      <c r="F82" s="61">
        <f>AVERAGE(F80:F81)</f>
        <v>0</v>
      </c>
      <c r="G82" s="62">
        <f t="shared" si="0"/>
        <v>0.99999999999999989</v>
      </c>
      <c r="I82" s="60"/>
      <c r="J82" s="61">
        <f>AVERAGE(J80:J81)</f>
        <v>0.33333333333333331</v>
      </c>
      <c r="K82" s="61">
        <f>AVERAGE(K80:K81)</f>
        <v>0.5</v>
      </c>
      <c r="L82" s="61">
        <f>AVERAGE(L80:L81)</f>
        <v>0.16666666666666666</v>
      </c>
      <c r="M82" s="61">
        <f>AVERAGE(M80:M81)</f>
        <v>0</v>
      </c>
      <c r="N82" s="62">
        <f t="shared" si="6"/>
        <v>0.99999999999999989</v>
      </c>
      <c r="P82" s="60"/>
      <c r="Q82" s="61">
        <f>AVERAGE(Q80:Q81)</f>
        <v>0.42553191489361702</v>
      </c>
      <c r="R82" s="61">
        <f>AVERAGE(R80:R81)</f>
        <v>0.54255319148936176</v>
      </c>
      <c r="S82" s="61">
        <f>AVERAGE(S80:S81)</f>
        <v>3.1914893617021274E-2</v>
      </c>
      <c r="T82" s="61">
        <f>AVERAGE(T80:T81)</f>
        <v>0</v>
      </c>
      <c r="U82" s="62">
        <f t="shared" si="1"/>
        <v>1</v>
      </c>
      <c r="W82" s="60"/>
      <c r="X82" s="61">
        <f>AVERAGE(X80:X81)</f>
        <v>0.25</v>
      </c>
      <c r="Y82" s="61">
        <f>AVERAGE(Y80:Y81)</f>
        <v>0.75</v>
      </c>
      <c r="Z82" s="61">
        <f>AVERAGE(Z80:Z81)</f>
        <v>0</v>
      </c>
      <c r="AA82" s="61">
        <f>AVERAGE(AA80:AA81)</f>
        <v>0</v>
      </c>
      <c r="AB82" s="62">
        <f t="shared" si="2"/>
        <v>1</v>
      </c>
      <c r="AD82" s="60"/>
      <c r="AE82" s="61">
        <f>AVERAGE(AE80:AE81)</f>
        <v>0.16666666666666666</v>
      </c>
      <c r="AF82" s="61">
        <f>AVERAGE(AF80:AF81)</f>
        <v>0.83333333333333337</v>
      </c>
      <c r="AG82" s="61">
        <f>AVERAGE(AG80:AG81)</f>
        <v>0</v>
      </c>
      <c r="AH82" s="61">
        <f>AVERAGE(AH80:AH81)</f>
        <v>0</v>
      </c>
      <c r="AI82" s="62">
        <f t="shared" si="3"/>
        <v>1</v>
      </c>
      <c r="AK82" s="60"/>
      <c r="AL82" s="61">
        <f>AVERAGE(AL80:AL81)</f>
        <v>0</v>
      </c>
      <c r="AM82" s="61">
        <f>AVERAGE(AM80:AM81)</f>
        <v>1</v>
      </c>
      <c r="AN82" s="61">
        <f>AVERAGE(AN80:AN81)</f>
        <v>0</v>
      </c>
      <c r="AO82" s="61">
        <f>AVERAGE(AO80:AO81)</f>
        <v>0</v>
      </c>
      <c r="AP82" s="62">
        <f t="shared" si="4"/>
        <v>1</v>
      </c>
      <c r="AR82" s="60"/>
      <c r="AS82" s="61">
        <f>AVERAGE(AS80:AS81)</f>
        <v>0.5</v>
      </c>
      <c r="AT82" s="61">
        <f>AVERAGE(AT80:AT81)</f>
        <v>0.25</v>
      </c>
      <c r="AU82" s="61">
        <f>AVERAGE(AU80:AU81)</f>
        <v>0.25</v>
      </c>
      <c r="AV82" s="61">
        <f>AVERAGE(AV80:AV81)</f>
        <v>0</v>
      </c>
      <c r="AW82" s="62">
        <f t="shared" si="5"/>
        <v>1</v>
      </c>
    </row>
    <row r="83" spans="2:49" ht="16.5" x14ac:dyDescent="0.3">
      <c r="B83" s="57" t="s">
        <v>33</v>
      </c>
      <c r="C83" s="66">
        <f>COUNTIFS(TblUniv2016[D1],C$73)/$C$72*100%</f>
        <v>9.5238095238095233E-2</v>
      </c>
      <c r="D83" s="66">
        <f>COUNTIFS(TblUniv2016[D1],D$73)/$C$72*100%</f>
        <v>0.53968253968253965</v>
      </c>
      <c r="E83" s="66">
        <f>COUNTIFS(TblUniv2016[D1],E$73)/$C$72*100%</f>
        <v>0.34920634920634919</v>
      </c>
      <c r="F83" s="66">
        <f>COUNTIFS(TblUniv2016[D1],F$73)/$C$72*100%</f>
        <v>1.5873015873015872E-2</v>
      </c>
      <c r="G83" s="62">
        <f t="shared" si="0"/>
        <v>1</v>
      </c>
      <c r="I83" s="57" t="s">
        <v>33</v>
      </c>
      <c r="J83" s="66">
        <f>COUNTIFS(TblUniv2016[D1],J$73,TblUniv2016[Prodi],$J$70)/$J$72*100%</f>
        <v>0</v>
      </c>
      <c r="K83" s="66">
        <f>COUNTIFS(TblUniv2016[D1],K$73,TblUniv2016[Prodi],$J$70)/$J$72*100%</f>
        <v>1</v>
      </c>
      <c r="L83" s="66">
        <f>COUNTIFS(TblUniv2016[D1],L$73,TblUniv2016[Prodi],$J$70)/$J$72*100%</f>
        <v>0</v>
      </c>
      <c r="M83" s="66">
        <f>COUNTIFS(TblUniv2016[D1],M$73,TblUniv2016[Prodi],$J$70)/$J$72*100%</f>
        <v>0</v>
      </c>
      <c r="N83" s="62">
        <f t="shared" si="6"/>
        <v>1</v>
      </c>
      <c r="P83" s="57" t="s">
        <v>33</v>
      </c>
      <c r="Q83" s="66">
        <f>COUNTIFS(TblUniv2016[D1],Q$73,TblUniv2016[Prodi],$Q$70)/$Q$72*100%</f>
        <v>0.10638297872340426</v>
      </c>
      <c r="R83" s="66">
        <f>COUNTIFS(TblUniv2016[D1],R$73,TblUniv2016[Prodi],$Q$70)/$Q$72*100%</f>
        <v>0.51063829787234039</v>
      </c>
      <c r="S83" s="66">
        <f>COUNTIFS(TblUniv2016[D1],S$73,TblUniv2016[Prodi],$Q$70)/$Q$72*100%</f>
        <v>0.38297872340425532</v>
      </c>
      <c r="T83" s="66">
        <f>COUNTIFS(TblUniv2016[D1],T$73,TblUniv2016[Prodi],$Q$70)/$Q$72*100%</f>
        <v>0</v>
      </c>
      <c r="U83" s="62">
        <f t="shared" si="1"/>
        <v>1</v>
      </c>
      <c r="W83" s="57" t="s">
        <v>33</v>
      </c>
      <c r="X83" s="66">
        <f>COUNTIFS(TblUniv2016[D1],X$73,TblUniv2016[Prodi],$X$70)/$X$72*100%</f>
        <v>0</v>
      </c>
      <c r="Y83" s="66">
        <f>COUNTIFS(TblUniv2016[D1],Y$73,TblUniv2016[Prodi],$X$70)/$X$72*100%</f>
        <v>0.5</v>
      </c>
      <c r="Z83" s="66">
        <f>COUNTIFS(TblUniv2016[D1],Z$73,TblUniv2016[Prodi],$X$70)/$X$72*100%</f>
        <v>0.5</v>
      </c>
      <c r="AA83" s="66">
        <f>COUNTIFS(TblUniv2016[D1],AA$73,TblUniv2016[Prodi],$X$70)/$X$72*100%</f>
        <v>0</v>
      </c>
      <c r="AB83" s="62">
        <f t="shared" si="2"/>
        <v>1</v>
      </c>
      <c r="AD83" s="57" t="s">
        <v>33</v>
      </c>
      <c r="AE83" s="66">
        <f>COUNTIFS(TblUniv2016[D1],AE$73,TblUniv2016[Prodi],$AE$70)/$AE$72*100%</f>
        <v>0</v>
      </c>
      <c r="AF83" s="66">
        <f>COUNTIFS(TblUniv2016[D1],AF$73,TblUniv2016[Prodi],$AE$70)/$AE$72*100%</f>
        <v>0.5</v>
      </c>
      <c r="AG83" s="66">
        <f>COUNTIFS(TblUniv2016[D1],AG$73,TblUniv2016[Prodi],$AE$70)/$AE$72*100%</f>
        <v>0.33333333333333331</v>
      </c>
      <c r="AH83" s="66">
        <f>COUNTIFS(TblUniv2016[D1],AH$73,TblUniv2016[Prodi],$AE$70)/$AE$72*100%</f>
        <v>0.16666666666666666</v>
      </c>
      <c r="AI83" s="62">
        <f t="shared" si="3"/>
        <v>0.99999999999999989</v>
      </c>
      <c r="AK83" s="57" t="s">
        <v>33</v>
      </c>
      <c r="AL83" s="66">
        <f>COUNTIFS(TblUniv2016[D1],AL$73,TblUniv2016[Prodi],$AL$70)/$AL$72*100%</f>
        <v>0</v>
      </c>
      <c r="AM83" s="66">
        <f>COUNTIFS(TblUniv2016[D1],AM$73,TblUniv2016[Prodi],$AL$70)/$AL$72*100%</f>
        <v>1</v>
      </c>
      <c r="AN83" s="66">
        <f>COUNTIFS(TblUniv2016[D1],AN$73,TblUniv2016[Prodi],$AL$70)/$AL$72*100%</f>
        <v>0</v>
      </c>
      <c r="AO83" s="66">
        <f>COUNTIFS(TblUniv2016[D1],AO$73,TblUniv2016[Prodi],$AL$70)/$AL$72*100%</f>
        <v>0</v>
      </c>
      <c r="AP83" s="62">
        <f t="shared" si="4"/>
        <v>1</v>
      </c>
      <c r="AR83" s="57" t="s">
        <v>33</v>
      </c>
      <c r="AS83" s="66">
        <f>COUNTIFS(TblUniv2016[D1],AS$73,TblUniv2016[Prodi],$AS$70)/$AS$72*100%</f>
        <v>0.5</v>
      </c>
      <c r="AT83" s="66">
        <f>COUNTIFS(TblUniv2016[D1],AT$73,TblUniv2016[Prodi],$AS$70)/$AS$72*100%</f>
        <v>0.5</v>
      </c>
      <c r="AU83" s="66">
        <f>COUNTIFS(TblUniv2016[D1],AU$73,TblUniv2016[Prodi],$AS$70)/$AS$72*100%</f>
        <v>0</v>
      </c>
      <c r="AV83" s="66">
        <f>COUNTIFS(TblUniv2016[D1],AV$73,TblUniv2016[Prodi],$AS$70)/$AS$72*100%</f>
        <v>0</v>
      </c>
      <c r="AW83" s="62">
        <f t="shared" si="5"/>
        <v>1</v>
      </c>
    </row>
    <row r="84" spans="2:49" ht="16.5" x14ac:dyDescent="0.3">
      <c r="B84" s="57" t="s">
        <v>34</v>
      </c>
      <c r="C84" s="66">
        <f>COUNTIFS(TblUniv2016[D2],C$73)/$C$72*100%</f>
        <v>0.14285714285714285</v>
      </c>
      <c r="D84" s="66">
        <f>COUNTIFS(TblUniv2016[D2],D$73)/$C$72*100%</f>
        <v>0.60317460317460314</v>
      </c>
      <c r="E84" s="66">
        <f>COUNTIFS(TblUniv2016[D2],E$73)/$C$72*100%</f>
        <v>0.23809523809523808</v>
      </c>
      <c r="F84" s="66">
        <f>COUNTIFS(TblUniv2016[D2],F$73)/$C$72*100%</f>
        <v>1.5873015873015872E-2</v>
      </c>
      <c r="G84" s="62">
        <f t="shared" si="0"/>
        <v>1</v>
      </c>
      <c r="I84" s="57" t="s">
        <v>34</v>
      </c>
      <c r="J84" s="66">
        <f>COUNTIFS(TblUniv2016[D2],J$73,TblUniv2016[Prodi],$J$70)/$J$72*100%</f>
        <v>0</v>
      </c>
      <c r="K84" s="66">
        <f>COUNTIFS(TblUniv2016[D2],K$73,TblUniv2016[Prodi],$J$70)/$J$72*100%</f>
        <v>1</v>
      </c>
      <c r="L84" s="66">
        <f>COUNTIFS(TblUniv2016[D2],L$73,TblUniv2016[Prodi],$J$70)/$J$72*100%</f>
        <v>0</v>
      </c>
      <c r="M84" s="66">
        <f>COUNTIFS(TblUniv2016[D2],M$73,TblUniv2016[Prodi],$J$70)/$J$72*100%</f>
        <v>0</v>
      </c>
      <c r="N84" s="62">
        <f t="shared" si="6"/>
        <v>1</v>
      </c>
      <c r="P84" s="57" t="s">
        <v>34</v>
      </c>
      <c r="Q84" s="66">
        <f>COUNTIFS(TblUniv2016[D2],Q$73,TblUniv2016[Prodi],$Q$70)/$Q$72*100%</f>
        <v>0.14893617021276595</v>
      </c>
      <c r="R84" s="66">
        <f>COUNTIFS(TblUniv2016[D2],R$73,TblUniv2016[Prodi],$Q$70)/$Q$72*100%</f>
        <v>0.61702127659574468</v>
      </c>
      <c r="S84" s="66">
        <f>COUNTIFS(TblUniv2016[D2],S$73,TblUniv2016[Prodi],$Q$70)/$Q$72*100%</f>
        <v>0.23404255319148937</v>
      </c>
      <c r="T84" s="66">
        <f>COUNTIFS(TblUniv2016[D2],T$73,TblUniv2016[Prodi],$Q$70)/$Q$72*100%</f>
        <v>0</v>
      </c>
      <c r="U84" s="62">
        <f t="shared" si="1"/>
        <v>1</v>
      </c>
      <c r="W84" s="57" t="s">
        <v>34</v>
      </c>
      <c r="X84" s="66">
        <f>COUNTIFS(TblUniv2016[D2],X$73,TblUniv2016[Prodi],$X$70)/$X$72*100%</f>
        <v>0</v>
      </c>
      <c r="Y84" s="66">
        <f>COUNTIFS(TblUniv2016[D2],Y$73,TblUniv2016[Prodi],$X$70)/$X$72*100%</f>
        <v>0.5</v>
      </c>
      <c r="Z84" s="66">
        <f>COUNTIFS(TblUniv2016[D2],Z$73,TblUniv2016[Prodi],$X$70)/$X$72*100%</f>
        <v>0.5</v>
      </c>
      <c r="AA84" s="66">
        <f>COUNTIFS(TblUniv2016[D2],AA$73,TblUniv2016[Prodi],$X$70)/$X$72*100%</f>
        <v>0</v>
      </c>
      <c r="AB84" s="62">
        <f t="shared" si="2"/>
        <v>1</v>
      </c>
      <c r="AD84" s="57" t="s">
        <v>34</v>
      </c>
      <c r="AE84" s="66">
        <f>COUNTIFS(TblUniv2016[D2],AE$73,TblUniv2016[Prodi],$AE$70)/$AE$72*100%</f>
        <v>0.16666666666666666</v>
      </c>
      <c r="AF84" s="66">
        <f>COUNTIFS(TblUniv2016[D2],AF$73,TblUniv2016[Prodi],$AE$70)/$AE$72*100%</f>
        <v>0.33333333333333331</v>
      </c>
      <c r="AG84" s="66">
        <f>COUNTIFS(TblUniv2016[D2],AG$73,TblUniv2016[Prodi],$AE$70)/$AE$72*100%</f>
        <v>0.33333333333333331</v>
      </c>
      <c r="AH84" s="66">
        <f>COUNTIFS(TblUniv2016[D2],AH$73,TblUniv2016[Prodi],$AE$70)/$AE$72*100%</f>
        <v>0.16666666666666666</v>
      </c>
      <c r="AI84" s="62">
        <f t="shared" si="3"/>
        <v>0.99999999999999989</v>
      </c>
      <c r="AK84" s="57" t="s">
        <v>34</v>
      </c>
      <c r="AL84" s="66">
        <f>COUNTIFS(TblUniv2016[D2],AL$73,TblUniv2016[Prodi],$AL$70)/$AL$72*100%</f>
        <v>0</v>
      </c>
      <c r="AM84" s="66">
        <f>COUNTIFS(TblUniv2016[D2],AM$73,TblUniv2016[Prodi],$AL$70)/$AL$72*100%</f>
        <v>1</v>
      </c>
      <c r="AN84" s="66">
        <f>COUNTIFS(TblUniv2016[D2],AN$73,TblUniv2016[Prodi],$AL$70)/$AL$72*100%</f>
        <v>0</v>
      </c>
      <c r="AO84" s="66">
        <f>COUNTIFS(TblUniv2016[D2],AO$73,TblUniv2016[Prodi],$AL$70)/$AL$72*100%</f>
        <v>0</v>
      </c>
      <c r="AP84" s="62">
        <f t="shared" si="4"/>
        <v>1</v>
      </c>
      <c r="AR84" s="57" t="s">
        <v>34</v>
      </c>
      <c r="AS84" s="66">
        <f>COUNTIFS(TblUniv2016[D2],AS$73,TblUniv2016[Prodi],$AS$70)/$AS$72*100%</f>
        <v>0.5</v>
      </c>
      <c r="AT84" s="66">
        <f>COUNTIFS(TblUniv2016[D2],AT$73,TblUniv2016[Prodi],$AS$70)/$AS$72*100%</f>
        <v>0.5</v>
      </c>
      <c r="AU84" s="66">
        <f>COUNTIFS(TblUniv2016[D2],AU$73,TblUniv2016[Prodi],$AS$70)/$AS$72*100%</f>
        <v>0</v>
      </c>
      <c r="AV84" s="66">
        <f>COUNTIFS(TblUniv2016[D2],AV$73,TblUniv2016[Prodi],$AS$70)/$AS$72*100%</f>
        <v>0</v>
      </c>
      <c r="AW84" s="62">
        <f t="shared" si="5"/>
        <v>1</v>
      </c>
    </row>
    <row r="85" spans="2:49" ht="16.5" x14ac:dyDescent="0.3">
      <c r="B85" s="60"/>
      <c r="C85" s="61">
        <f>AVERAGE(C83:C84)</f>
        <v>0.11904761904761904</v>
      </c>
      <c r="D85" s="61">
        <f>AVERAGE(D83:D84)</f>
        <v>0.5714285714285714</v>
      </c>
      <c r="E85" s="61">
        <f>AVERAGE(E83:E84)</f>
        <v>0.29365079365079361</v>
      </c>
      <c r="F85" s="61">
        <f>AVERAGE(F83:F84)</f>
        <v>1.5873015873015872E-2</v>
      </c>
      <c r="G85" s="62">
        <f t="shared" si="0"/>
        <v>1</v>
      </c>
      <c r="I85" s="60"/>
      <c r="J85" s="61">
        <f>AVERAGE(J83:J84)</f>
        <v>0</v>
      </c>
      <c r="K85" s="61">
        <f>AVERAGE(K83:K84)</f>
        <v>1</v>
      </c>
      <c r="L85" s="61">
        <f>AVERAGE(L83:L84)</f>
        <v>0</v>
      </c>
      <c r="M85" s="61">
        <f>AVERAGE(M83:M84)</f>
        <v>0</v>
      </c>
      <c r="N85" s="62">
        <f t="shared" si="6"/>
        <v>1</v>
      </c>
      <c r="P85" s="60"/>
      <c r="Q85" s="61">
        <f>AVERAGE(Q83:Q84)</f>
        <v>0.1276595744680851</v>
      </c>
      <c r="R85" s="61">
        <f>AVERAGE(R83:R84)</f>
        <v>0.56382978723404253</v>
      </c>
      <c r="S85" s="61">
        <f>AVERAGE(S83:S84)</f>
        <v>0.30851063829787234</v>
      </c>
      <c r="T85" s="61">
        <f>AVERAGE(T83:T84)</f>
        <v>0</v>
      </c>
      <c r="U85" s="62">
        <f t="shared" si="1"/>
        <v>1</v>
      </c>
      <c r="W85" s="60"/>
      <c r="X85" s="61">
        <f>AVERAGE(X83:X84)</f>
        <v>0</v>
      </c>
      <c r="Y85" s="61">
        <f>AVERAGE(Y83:Y84)</f>
        <v>0.5</v>
      </c>
      <c r="Z85" s="61">
        <f>AVERAGE(Z83:Z84)</f>
        <v>0.5</v>
      </c>
      <c r="AA85" s="61">
        <f>AVERAGE(AA83:AA84)</f>
        <v>0</v>
      </c>
      <c r="AB85" s="62">
        <f t="shared" si="2"/>
        <v>1</v>
      </c>
      <c r="AD85" s="60"/>
      <c r="AE85" s="61">
        <f>AVERAGE(AE83:AE84)</f>
        <v>8.3333333333333329E-2</v>
      </c>
      <c r="AF85" s="61">
        <f>AVERAGE(AF83:AF84)</f>
        <v>0.41666666666666663</v>
      </c>
      <c r="AG85" s="61">
        <f>AVERAGE(AG83:AG84)</f>
        <v>0.33333333333333331</v>
      </c>
      <c r="AH85" s="61">
        <f>AVERAGE(AH83:AH84)</f>
        <v>0.16666666666666666</v>
      </c>
      <c r="AI85" s="62">
        <f t="shared" si="3"/>
        <v>0.99999999999999989</v>
      </c>
      <c r="AK85" s="60"/>
      <c r="AL85" s="61">
        <f>AVERAGE(AL83:AL84)</f>
        <v>0</v>
      </c>
      <c r="AM85" s="61">
        <f>AVERAGE(AM83:AM84)</f>
        <v>1</v>
      </c>
      <c r="AN85" s="61">
        <f>AVERAGE(AN83:AN84)</f>
        <v>0</v>
      </c>
      <c r="AO85" s="61">
        <f>AVERAGE(AO83:AO84)</f>
        <v>0</v>
      </c>
      <c r="AP85" s="62">
        <f t="shared" si="4"/>
        <v>1</v>
      </c>
      <c r="AR85" s="60"/>
      <c r="AS85" s="61">
        <f>AVERAGE(AS83:AS84)</f>
        <v>0.5</v>
      </c>
      <c r="AT85" s="61">
        <f>AVERAGE(AT83:AT84)</f>
        <v>0.5</v>
      </c>
      <c r="AU85" s="61">
        <f>AVERAGE(AU83:AU84)</f>
        <v>0</v>
      </c>
      <c r="AV85" s="61">
        <f>AVERAGE(AV83:AV84)</f>
        <v>0</v>
      </c>
      <c r="AW85" s="62">
        <f t="shared" si="5"/>
        <v>1</v>
      </c>
    </row>
    <row r="86" spans="2:49" ht="16.5" x14ac:dyDescent="0.3">
      <c r="B86" s="57" t="s">
        <v>35</v>
      </c>
      <c r="C86" s="66">
        <f>COUNTIFS(TblUniv2016[E1],C$73)/$C$72*100%</f>
        <v>0.52380952380952384</v>
      </c>
      <c r="D86" s="66">
        <f>COUNTIFS(TblUniv2016[E1],D$73)/$C$72*100%</f>
        <v>0.46031746031746029</v>
      </c>
      <c r="E86" s="66">
        <f>COUNTIFS(TblUniv2016[E1],E$73)/$C$72*100%</f>
        <v>1.5873015873015872E-2</v>
      </c>
      <c r="F86" s="66">
        <f>COUNTIFS(TblUniv2016[E1],F$73)/$C$72*100%</f>
        <v>0</v>
      </c>
      <c r="G86" s="62">
        <f t="shared" si="0"/>
        <v>1</v>
      </c>
      <c r="I86" s="57" t="s">
        <v>35</v>
      </c>
      <c r="J86" s="66">
        <f>COUNTIFS(TblUniv2016[E1],J$73,TblUniv2016[Prodi],$J$70)/$J$72*100%</f>
        <v>0.33333333333333331</v>
      </c>
      <c r="K86" s="66">
        <f>COUNTIFS(TblUniv2016[E1],K$73,TblUniv2016[Prodi],$J$70)/$J$72*100%</f>
        <v>0.66666666666666663</v>
      </c>
      <c r="L86" s="66">
        <f>COUNTIFS(TblUniv2016[E1],L$73,TblUniv2016[Prodi],$J$70)/$J$72*100%</f>
        <v>0</v>
      </c>
      <c r="M86" s="66">
        <f>COUNTIFS(TblUniv2016[E1],M$73,TblUniv2016[Prodi],$J$70)/$J$72*100%</f>
        <v>0</v>
      </c>
      <c r="N86" s="62">
        <f t="shared" si="6"/>
        <v>1</v>
      </c>
      <c r="P86" s="57" t="s">
        <v>35</v>
      </c>
      <c r="Q86" s="66">
        <f>COUNTIFS(TblUniv2016[E1],Q$73,TblUniv2016[Prodi],$Q$70)/$Q$72*100%</f>
        <v>0.55319148936170215</v>
      </c>
      <c r="R86" s="66">
        <f>COUNTIFS(TblUniv2016[E1],R$73,TblUniv2016[Prodi],$Q$70)/$Q$72*100%</f>
        <v>0.44680851063829785</v>
      </c>
      <c r="S86" s="66">
        <f>COUNTIFS(TblUniv2016[E1],S$73,TblUniv2016[Prodi],$Q$70)/$Q$72*100%</f>
        <v>0</v>
      </c>
      <c r="T86" s="66">
        <f>COUNTIFS(TblUniv2016[E1],T$73,TblUniv2016[Prodi],$Q$70)/$Q$72*100%</f>
        <v>0</v>
      </c>
      <c r="U86" s="62">
        <f t="shared" si="1"/>
        <v>1</v>
      </c>
      <c r="W86" s="57" t="s">
        <v>35</v>
      </c>
      <c r="X86" s="66">
        <f>COUNTIFS(TblUniv2016[E1],X$73,TblUniv2016[Prodi],$X$70)/$X$72*100%</f>
        <v>0.75</v>
      </c>
      <c r="Y86" s="66">
        <f>COUNTIFS(TblUniv2016[E1],Y$73,TblUniv2016[Prodi],$X$70)/$X$72*100%</f>
        <v>0.25</v>
      </c>
      <c r="Z86" s="66">
        <f>COUNTIFS(TblUniv2016[E1],Z$73,TblUniv2016[Prodi],$X$70)/$X$72*100%</f>
        <v>0</v>
      </c>
      <c r="AA86" s="66">
        <f>COUNTIFS(TblUniv2016[E1],AA$73,TblUniv2016[Prodi],$X$70)/$X$72*100%</f>
        <v>0</v>
      </c>
      <c r="AB86" s="62">
        <f t="shared" si="2"/>
        <v>1</v>
      </c>
      <c r="AD86" s="57" t="s">
        <v>35</v>
      </c>
      <c r="AE86" s="66">
        <f>COUNTIFS(TblUniv2016[E1],AE$73,TblUniv2016[Prodi],$AE$70)/$AE$72*100%</f>
        <v>0.33333333333333331</v>
      </c>
      <c r="AF86" s="66">
        <f>COUNTIFS(TblUniv2016[E1],AF$73,TblUniv2016[Prodi],$AE$70)/$AE$72*100%</f>
        <v>0.5</v>
      </c>
      <c r="AG86" s="66">
        <f>COUNTIFS(TblUniv2016[E1],AG$73,TblUniv2016[Prodi],$AE$70)/$AE$72*100%</f>
        <v>0.16666666666666666</v>
      </c>
      <c r="AH86" s="66">
        <f>COUNTIFS(TblUniv2016[E1],AH$73,TblUniv2016[Prodi],$AE$70)/$AE$72*100%</f>
        <v>0</v>
      </c>
      <c r="AI86" s="62">
        <f t="shared" si="3"/>
        <v>0.99999999999999989</v>
      </c>
      <c r="AK86" s="57" t="s">
        <v>35</v>
      </c>
      <c r="AL86" s="66">
        <f>COUNTIFS(TblUniv2016[E1],AL$73,TblUniv2016[Prodi],$AL$70)/$AL$72*100%</f>
        <v>1</v>
      </c>
      <c r="AM86" s="66">
        <f>COUNTIFS(TblUniv2016[E1],AM$73,TblUniv2016[Prodi],$AL$70)/$AL$72*100%</f>
        <v>0</v>
      </c>
      <c r="AN86" s="66">
        <f>COUNTIFS(TblUniv2016[E1],AN$73,TblUniv2016[Prodi],$AL$70)/$AL$72*100%</f>
        <v>0</v>
      </c>
      <c r="AO86" s="66">
        <f>COUNTIFS(TblUniv2016[E1],AO$73,TblUniv2016[Prodi],$AL$70)/$AL$72*100%</f>
        <v>0</v>
      </c>
      <c r="AP86" s="62">
        <f t="shared" si="4"/>
        <v>1</v>
      </c>
      <c r="AR86" s="57" t="s">
        <v>35</v>
      </c>
      <c r="AS86" s="66">
        <f>COUNTIFS(TblUniv2016[E1],AS$73,TblUniv2016[Prodi],$AS$70)/$AS$72*100%</f>
        <v>0</v>
      </c>
      <c r="AT86" s="66">
        <f>COUNTIFS(TblUniv2016[E1],AT$73,TblUniv2016[Prodi],$AS$70)/$AS$72*100%</f>
        <v>1</v>
      </c>
      <c r="AU86" s="66">
        <f>COUNTIFS(TblUniv2016[E1],AU$73,TblUniv2016[Prodi],$AS$70)/$AS$72*100%</f>
        <v>0</v>
      </c>
      <c r="AV86" s="66">
        <f>COUNTIFS(TblUniv2016[E1],AV$73,TblUniv2016[Prodi],$AS$70)/$AS$72*100%</f>
        <v>0</v>
      </c>
      <c r="AW86" s="62">
        <f t="shared" si="5"/>
        <v>1</v>
      </c>
    </row>
    <row r="87" spans="2:49" ht="16.5" x14ac:dyDescent="0.3">
      <c r="B87" s="57" t="s">
        <v>36</v>
      </c>
      <c r="C87" s="66">
        <f>COUNTIFS(TblUniv2016[E2],C$73)/$C$72*100%</f>
        <v>0.52380952380952384</v>
      </c>
      <c r="D87" s="66">
        <f>COUNTIFS(TblUniv2016[E2],D$73)/$C$72*100%</f>
        <v>0.44444444444444442</v>
      </c>
      <c r="E87" s="66">
        <f>COUNTIFS(TblUniv2016[E2],E$73)/$C$72*100%</f>
        <v>1.5873015873015872E-2</v>
      </c>
      <c r="F87" s="66">
        <f>COUNTIFS(TblUniv2016[E2],F$73)/$C$72*100%</f>
        <v>1.5873015873015872E-2</v>
      </c>
      <c r="G87" s="62">
        <f t="shared" si="0"/>
        <v>1</v>
      </c>
      <c r="I87" s="57" t="s">
        <v>36</v>
      </c>
      <c r="J87" s="66">
        <f>COUNTIFS(TblUniv2016[E2],J$73,TblUniv2016[Prodi],$J$70)/$J$72*100%</f>
        <v>0.33333333333333331</v>
      </c>
      <c r="K87" s="66">
        <f>COUNTIFS(TblUniv2016[E2],K$73,TblUniv2016[Prodi],$J$70)/$J$72*100%</f>
        <v>0.66666666666666663</v>
      </c>
      <c r="L87" s="66">
        <f>COUNTIFS(TblUniv2016[E2],L$73,TblUniv2016[Prodi],$J$70)/$J$72*100%</f>
        <v>0</v>
      </c>
      <c r="M87" s="66">
        <f>COUNTIFS(TblUniv2016[E2],M$73,TblUniv2016[Prodi],$J$70)/$J$72*100%</f>
        <v>0</v>
      </c>
      <c r="N87" s="62">
        <f t="shared" si="6"/>
        <v>1</v>
      </c>
      <c r="P87" s="57" t="s">
        <v>36</v>
      </c>
      <c r="Q87" s="66">
        <f>COUNTIFS(TblUniv2016[E2],Q$73,TblUniv2016[Prodi],$Q$70)/$Q$72*100%</f>
        <v>0.55319148936170215</v>
      </c>
      <c r="R87" s="66">
        <f>COUNTIFS(TblUniv2016[E2],R$73,TblUniv2016[Prodi],$Q$70)/$Q$72*100%</f>
        <v>0.44680851063829785</v>
      </c>
      <c r="S87" s="66">
        <f>COUNTIFS(TblUniv2016[E2],S$73,TblUniv2016[Prodi],$Q$70)/$Q$72*100%</f>
        <v>0</v>
      </c>
      <c r="T87" s="66">
        <f>COUNTIFS(TblUniv2016[E2],T$73,TblUniv2016[Prodi],$Q$70)/$Q$72*100%</f>
        <v>0</v>
      </c>
      <c r="U87" s="62">
        <f t="shared" si="1"/>
        <v>1</v>
      </c>
      <c r="W87" s="57" t="s">
        <v>36</v>
      </c>
      <c r="X87" s="66">
        <f>COUNTIFS(TblUniv2016[E2],X$73,TblUniv2016[Prodi],$X$70)/$X$72*100%</f>
        <v>0.5</v>
      </c>
      <c r="Y87" s="66">
        <f>COUNTIFS(TblUniv2016[E2],Y$73,TblUniv2016[Prodi],$X$70)/$X$72*100%</f>
        <v>0.5</v>
      </c>
      <c r="Z87" s="66">
        <f>COUNTIFS(TblUniv2016[E2],Z$73,TblUniv2016[Prodi],$X$70)/$X$72*100%</f>
        <v>0</v>
      </c>
      <c r="AA87" s="66">
        <f>COUNTIFS(TblUniv2016[E2],AA$73,TblUniv2016[Prodi],$X$70)/$X$72*100%</f>
        <v>0</v>
      </c>
      <c r="AB87" s="62">
        <f t="shared" si="2"/>
        <v>1</v>
      </c>
      <c r="AD87" s="57" t="s">
        <v>36</v>
      </c>
      <c r="AE87" s="66">
        <f>COUNTIFS(TblUniv2016[E2],AE$73,TblUniv2016[Prodi],$AE$70)/$AE$72*100%</f>
        <v>0.33333333333333331</v>
      </c>
      <c r="AF87" s="66">
        <f>COUNTIFS(TblUniv2016[E2],AF$73,TblUniv2016[Prodi],$AE$70)/$AE$72*100%</f>
        <v>0.33333333333333331</v>
      </c>
      <c r="AG87" s="66">
        <f>COUNTIFS(TblUniv2016[E2],AG$73,TblUniv2016[Prodi],$AE$70)/$AE$72*100%</f>
        <v>0.16666666666666666</v>
      </c>
      <c r="AH87" s="66">
        <f>COUNTIFS(TblUniv2016[E2],AH$73,TblUniv2016[Prodi],$AE$70)/$AE$72*100%</f>
        <v>0.16666666666666666</v>
      </c>
      <c r="AI87" s="62">
        <f t="shared" si="3"/>
        <v>0.99999999999999989</v>
      </c>
      <c r="AK87" s="57" t="s">
        <v>36</v>
      </c>
      <c r="AL87" s="66">
        <f>COUNTIFS(TblUniv2016[E2],AL$73,TblUniv2016[Prodi],$AL$70)/$AL$72*100%</f>
        <v>1</v>
      </c>
      <c r="AM87" s="66">
        <f>COUNTIFS(TblUniv2016[E2],AM$73,TblUniv2016[Prodi],$AL$70)/$AL$72*100%</f>
        <v>0</v>
      </c>
      <c r="AN87" s="66">
        <f>COUNTIFS(TblUniv2016[E2],AN$73,TblUniv2016[Prodi],$AL$70)/$AL$72*100%</f>
        <v>0</v>
      </c>
      <c r="AO87" s="66">
        <f>COUNTIFS(TblUniv2016[E2],AO$73,TblUniv2016[Prodi],$AL$70)/$AL$72*100%</f>
        <v>0</v>
      </c>
      <c r="AP87" s="62">
        <f t="shared" si="4"/>
        <v>1</v>
      </c>
      <c r="AR87" s="57" t="s">
        <v>36</v>
      </c>
      <c r="AS87" s="66">
        <f>COUNTIFS(TblUniv2016[E2],AS$73,TblUniv2016[Prodi],$AS$70)/$AS$72*100%</f>
        <v>0.5</v>
      </c>
      <c r="AT87" s="66">
        <f>COUNTIFS(TblUniv2016[E2],AT$73,TblUniv2016[Prodi],$AS$70)/$AS$72*100%</f>
        <v>0.5</v>
      </c>
      <c r="AU87" s="66">
        <f>COUNTIFS(TblUniv2016[E2],AU$73,TblUniv2016[Prodi],$AS$70)/$AS$72*100%</f>
        <v>0</v>
      </c>
      <c r="AV87" s="66">
        <f>COUNTIFS(TblUniv2016[E2],AV$73,TblUniv2016[Prodi],$AS$70)/$AS$72*100%</f>
        <v>0</v>
      </c>
      <c r="AW87" s="62">
        <f t="shared" si="5"/>
        <v>1</v>
      </c>
    </row>
    <row r="88" spans="2:49" ht="16.5" x14ac:dyDescent="0.3">
      <c r="B88" s="60"/>
      <c r="C88" s="61">
        <f>AVERAGE(C86:C87)</f>
        <v>0.52380952380952384</v>
      </c>
      <c r="D88" s="61">
        <f>AVERAGE(D86:D87)</f>
        <v>0.45238095238095233</v>
      </c>
      <c r="E88" s="61">
        <f>AVERAGE(E86:E87)</f>
        <v>1.5873015873015872E-2</v>
      </c>
      <c r="F88" s="61">
        <f>AVERAGE(F86:F87)</f>
        <v>7.9365079365079361E-3</v>
      </c>
      <c r="G88" s="62">
        <f t="shared" si="0"/>
        <v>1</v>
      </c>
      <c r="I88" s="60"/>
      <c r="J88" s="61">
        <f>AVERAGE(J86:J87)</f>
        <v>0.33333333333333331</v>
      </c>
      <c r="K88" s="61">
        <f>AVERAGE(K86:K87)</f>
        <v>0.66666666666666663</v>
      </c>
      <c r="L88" s="61">
        <f>AVERAGE(L86:L87)</f>
        <v>0</v>
      </c>
      <c r="M88" s="61">
        <f>AVERAGE(M86:M87)</f>
        <v>0</v>
      </c>
      <c r="N88" s="62">
        <f t="shared" si="6"/>
        <v>1</v>
      </c>
      <c r="P88" s="60"/>
      <c r="Q88" s="61">
        <f>AVERAGE(Q86:Q87)</f>
        <v>0.55319148936170215</v>
      </c>
      <c r="R88" s="61">
        <f>AVERAGE(R86:R87)</f>
        <v>0.44680851063829785</v>
      </c>
      <c r="S88" s="61">
        <f>AVERAGE(S86:S87)</f>
        <v>0</v>
      </c>
      <c r="T88" s="61">
        <f>AVERAGE(T86:T87)</f>
        <v>0</v>
      </c>
      <c r="U88" s="62">
        <f t="shared" si="1"/>
        <v>1</v>
      </c>
      <c r="W88" s="60"/>
      <c r="X88" s="61">
        <f>AVERAGE(X86:X87)</f>
        <v>0.625</v>
      </c>
      <c r="Y88" s="61">
        <f>AVERAGE(Y86:Y87)</f>
        <v>0.375</v>
      </c>
      <c r="Z88" s="61">
        <f>AVERAGE(Z86:Z87)</f>
        <v>0</v>
      </c>
      <c r="AA88" s="61">
        <f>AVERAGE(AA86:AA87)</f>
        <v>0</v>
      </c>
      <c r="AB88" s="62">
        <f t="shared" si="2"/>
        <v>1</v>
      </c>
      <c r="AD88" s="60"/>
      <c r="AE88" s="61">
        <f>AVERAGE(AE86:AE87)</f>
        <v>0.33333333333333331</v>
      </c>
      <c r="AF88" s="61">
        <f>AVERAGE(AF86:AF87)</f>
        <v>0.41666666666666663</v>
      </c>
      <c r="AG88" s="61">
        <f>AVERAGE(AG86:AG87)</f>
        <v>0.16666666666666666</v>
      </c>
      <c r="AH88" s="61">
        <f>AVERAGE(AH86:AH87)</f>
        <v>8.3333333333333329E-2</v>
      </c>
      <c r="AI88" s="62">
        <f t="shared" si="3"/>
        <v>1</v>
      </c>
      <c r="AK88" s="60"/>
      <c r="AL88" s="61">
        <f>AVERAGE(AL86:AL87)</f>
        <v>1</v>
      </c>
      <c r="AM88" s="61">
        <f>AVERAGE(AM86:AM87)</f>
        <v>0</v>
      </c>
      <c r="AN88" s="61">
        <f>AVERAGE(AN86:AN87)</f>
        <v>0</v>
      </c>
      <c r="AO88" s="61">
        <f>AVERAGE(AO86:AO87)</f>
        <v>0</v>
      </c>
      <c r="AP88" s="62">
        <f t="shared" si="4"/>
        <v>1</v>
      </c>
      <c r="AR88" s="60"/>
      <c r="AS88" s="61">
        <f>AVERAGE(AS86:AS87)</f>
        <v>0.25</v>
      </c>
      <c r="AT88" s="61">
        <f>AVERAGE(AT86:AT87)</f>
        <v>0.75</v>
      </c>
      <c r="AU88" s="61">
        <f>AVERAGE(AU86:AU87)</f>
        <v>0</v>
      </c>
      <c r="AV88" s="61">
        <f>AVERAGE(AV86:AV87)</f>
        <v>0</v>
      </c>
      <c r="AW88" s="62">
        <f t="shared" si="5"/>
        <v>1</v>
      </c>
    </row>
    <row r="89" spans="2:49" ht="16.5" x14ac:dyDescent="0.3">
      <c r="B89" s="57" t="s">
        <v>37</v>
      </c>
      <c r="C89" s="66">
        <f>COUNTIFS(TblUniv2016[F1],C$73)/$C$72*100%</f>
        <v>0.49206349206349204</v>
      </c>
      <c r="D89" s="66">
        <f>COUNTIFS(TblUniv2016[F1],D$73)/$C$72*100%</f>
        <v>0.49206349206349204</v>
      </c>
      <c r="E89" s="66">
        <f>COUNTIFS(TblUniv2016[F1],E$73)/$C$72*100%</f>
        <v>1.5873015873015872E-2</v>
      </c>
      <c r="F89" s="66">
        <f>COUNTIFS(TblUniv2016[F1],F$73)/$C$72*100%</f>
        <v>0</v>
      </c>
      <c r="G89" s="62">
        <f t="shared" si="0"/>
        <v>1</v>
      </c>
      <c r="I89" s="57" t="s">
        <v>37</v>
      </c>
      <c r="J89" s="66">
        <f>COUNTIFS(TblUniv2016[F1],J$73,TblUniv2016[Prodi],$J$70)/$J$72*100%</f>
        <v>0.33333333333333331</v>
      </c>
      <c r="K89" s="66">
        <f>COUNTIFS(TblUniv2016[F1],K$73,TblUniv2016[Prodi],$J$70)/$J$72*100%</f>
        <v>0.66666666666666663</v>
      </c>
      <c r="L89" s="66">
        <f>COUNTIFS(TblUniv2016[F1],L$73,TblUniv2016[Prodi],$J$70)/$J$72*100%</f>
        <v>0</v>
      </c>
      <c r="M89" s="66">
        <f>COUNTIFS(TblUniv2016[F1],M$73,TblUniv2016[Prodi],$J$70)/$J$72*100%</f>
        <v>0</v>
      </c>
      <c r="N89" s="62">
        <f t="shared" si="6"/>
        <v>1</v>
      </c>
      <c r="P89" s="57" t="s">
        <v>37</v>
      </c>
      <c r="Q89" s="66">
        <f>COUNTIFS(TblUniv2016[F1],Q$73,TblUniv2016[Prodi],$Q$70)/$Q$72*100%</f>
        <v>0.48936170212765956</v>
      </c>
      <c r="R89" s="66">
        <f>COUNTIFS(TblUniv2016[F1],R$73,TblUniv2016[Prodi],$Q$70)/$Q$72*100%</f>
        <v>0.51063829787234039</v>
      </c>
      <c r="S89" s="66">
        <f>COUNTIFS(TblUniv2016[F1],S$73,TblUniv2016[Prodi],$Q$70)/$Q$72*100%</f>
        <v>0</v>
      </c>
      <c r="T89" s="66">
        <f>COUNTIFS(TblUniv2016[F1],T$73,TblUniv2016[Prodi],$Q$70)/$Q$72*100%</f>
        <v>0</v>
      </c>
      <c r="U89" s="62">
        <f t="shared" si="1"/>
        <v>1</v>
      </c>
      <c r="W89" s="57" t="s">
        <v>37</v>
      </c>
      <c r="X89" s="66">
        <f>COUNTIFS(TblUniv2016[F1],X$73,TblUniv2016[Prodi],$X$70)/$X$72*100%</f>
        <v>0.75</v>
      </c>
      <c r="Y89" s="66">
        <f>COUNTIFS(TblUniv2016[F1],Y$73,TblUniv2016[Prodi],$X$70)/$X$72*100%</f>
        <v>0.25</v>
      </c>
      <c r="Z89" s="66">
        <f>COUNTIFS(TblUniv2016[F1],Z$73,TblUniv2016[Prodi],$X$70)/$X$72*100%</f>
        <v>0</v>
      </c>
      <c r="AA89" s="66">
        <f>COUNTIFS(TblUniv2016[F1],AA$73,TblUniv2016[Prodi],$X$70)/$X$72*100%</f>
        <v>0</v>
      </c>
      <c r="AB89" s="62">
        <f t="shared" si="2"/>
        <v>1</v>
      </c>
      <c r="AD89" s="57" t="s">
        <v>37</v>
      </c>
      <c r="AE89" s="66">
        <f>COUNTIFS(TblUniv2016[F1],AE$73,TblUniv2016[Prodi],$AE$70)/$AE$72*100%</f>
        <v>0.16666666666666666</v>
      </c>
      <c r="AF89" s="66">
        <f>COUNTIFS(TblUniv2016[F1],AF$73,TblUniv2016[Prodi],$AE$70)/$AE$72*100%</f>
        <v>0.66666666666666663</v>
      </c>
      <c r="AG89" s="66">
        <f>COUNTIFS(TblUniv2016[F1],AG$73,TblUniv2016[Prodi],$AE$70)/$AE$72*100%</f>
        <v>0.16666666666666666</v>
      </c>
      <c r="AH89" s="66">
        <f>COUNTIFS(TblUniv2016[F1],AH$73,TblUniv2016[Prodi],$AE$70)/$AE$72*100%</f>
        <v>0</v>
      </c>
      <c r="AI89" s="62">
        <f t="shared" si="3"/>
        <v>0.99999999999999989</v>
      </c>
      <c r="AK89" s="57" t="s">
        <v>37</v>
      </c>
      <c r="AL89" s="66">
        <f>COUNTIFS(TblUniv2016[F1],AL$73,TblUniv2016[Prodi],$AL$70)/$AL$72*100%</f>
        <v>1</v>
      </c>
      <c r="AM89" s="66">
        <f>COUNTIFS(TblUniv2016[F1],AM$73,TblUniv2016[Prodi],$AL$70)/$AL$72*100%</f>
        <v>0</v>
      </c>
      <c r="AN89" s="66">
        <f>COUNTIFS(TblUniv2016[F1],AN$73,TblUniv2016[Prodi],$AL$70)/$AL$72*100%</f>
        <v>0</v>
      </c>
      <c r="AO89" s="66">
        <f>COUNTIFS(TblUniv2016[F1],AO$73,TblUniv2016[Prodi],$AL$70)/$AL$72*100%</f>
        <v>0</v>
      </c>
      <c r="AP89" s="62">
        <f t="shared" si="4"/>
        <v>1</v>
      </c>
      <c r="AR89" s="57" t="s">
        <v>37</v>
      </c>
      <c r="AS89" s="66">
        <f>COUNTIFS(TblUniv2016[F1],AS$73,TblUniv2016[Prodi],$AS$70)/$AS$72*100%</f>
        <v>1</v>
      </c>
      <c r="AT89" s="66">
        <f>COUNTIFS(TblUniv2016[F1],AT$73,TblUniv2016[Prodi],$AS$70)/$AS$72*100%</f>
        <v>0</v>
      </c>
      <c r="AU89" s="66">
        <f>COUNTIFS(TblUniv2016[F1],AU$73,TblUniv2016[Prodi],$AS$70)/$AS$72*100%</f>
        <v>0</v>
      </c>
      <c r="AV89" s="66">
        <f>COUNTIFS(TblUniv2016[F1],AV$73,TblUniv2016[Prodi],$AS$70)/$AS$72*100%</f>
        <v>0</v>
      </c>
      <c r="AW89" s="62">
        <f t="shared" si="5"/>
        <v>1</v>
      </c>
    </row>
    <row r="90" spans="2:49" ht="16.5" x14ac:dyDescent="0.3">
      <c r="B90" s="57" t="s">
        <v>38</v>
      </c>
      <c r="C90" s="66">
        <f>COUNTIFS(TblUniv2016[F2],C$73)/$C$72*100%</f>
        <v>0.38095238095238093</v>
      </c>
      <c r="D90" s="66">
        <f>COUNTIFS(TblUniv2016[F2],D$73)/$C$72*100%</f>
        <v>0.5714285714285714</v>
      </c>
      <c r="E90" s="66">
        <f>COUNTIFS(TblUniv2016[F2],E$73)/$C$72*100%</f>
        <v>4.7619047619047616E-2</v>
      </c>
      <c r="F90" s="66">
        <f>COUNTIFS(TblUniv2016[F2],F$73)/$C$72*100%</f>
        <v>0</v>
      </c>
      <c r="G90" s="62">
        <f t="shared" si="0"/>
        <v>1</v>
      </c>
      <c r="I90" s="57" t="s">
        <v>38</v>
      </c>
      <c r="J90" s="66">
        <f>COUNTIFS(TblUniv2016[F2],J$73,TblUniv2016[Prodi],$J$70)/$J$72*100%</f>
        <v>0.33333333333333331</v>
      </c>
      <c r="K90" s="66">
        <f>COUNTIFS(TblUniv2016[F2],K$73,TblUniv2016[Prodi],$J$70)/$J$72*100%</f>
        <v>0.33333333333333331</v>
      </c>
      <c r="L90" s="66">
        <f>COUNTIFS(TblUniv2016[F2],L$73,TblUniv2016[Prodi],$J$70)/$J$72*100%</f>
        <v>0.33333333333333331</v>
      </c>
      <c r="M90" s="66">
        <f>COUNTIFS(TblUniv2016[F2],M$73,TblUniv2016[Prodi],$J$70)/$J$72*100%</f>
        <v>0</v>
      </c>
      <c r="N90" s="62">
        <f t="shared" si="6"/>
        <v>1</v>
      </c>
      <c r="P90" s="57" t="s">
        <v>38</v>
      </c>
      <c r="Q90" s="66">
        <f>COUNTIFS(TblUniv2016[F2],Q$73,TblUniv2016[Prodi],$Q$70)/$Q$72*100%</f>
        <v>0.38297872340425532</v>
      </c>
      <c r="R90" s="66">
        <f>COUNTIFS(TblUniv2016[F2],R$73,TblUniv2016[Prodi],$Q$70)/$Q$72*100%</f>
        <v>0.57446808510638303</v>
      </c>
      <c r="S90" s="66">
        <f>COUNTIFS(TblUniv2016[F2],S$73,TblUniv2016[Prodi],$Q$70)/$Q$72*100%</f>
        <v>4.2553191489361701E-2</v>
      </c>
      <c r="T90" s="66">
        <f>COUNTIFS(TblUniv2016[F2],T$73,TblUniv2016[Prodi],$Q$70)/$Q$72*100%</f>
        <v>0</v>
      </c>
      <c r="U90" s="62">
        <f t="shared" si="1"/>
        <v>1</v>
      </c>
      <c r="W90" s="57" t="s">
        <v>38</v>
      </c>
      <c r="X90" s="66">
        <f>COUNTIFS(TblUniv2016[F2],X$73,TblUniv2016[Prodi],$X$70)/$X$72*100%</f>
        <v>0.5</v>
      </c>
      <c r="Y90" s="66">
        <f>COUNTIFS(TblUniv2016[F2],Y$73,TblUniv2016[Prodi],$X$70)/$X$72*100%</f>
        <v>0.5</v>
      </c>
      <c r="Z90" s="66">
        <f>COUNTIFS(TblUniv2016[F2],Z$73,TblUniv2016[Prodi],$X$70)/$X$72*100%</f>
        <v>0</v>
      </c>
      <c r="AA90" s="66">
        <f>COUNTIFS(TblUniv2016[F2],AA$73,TblUniv2016[Prodi],$X$70)/$X$72*100%</f>
        <v>0</v>
      </c>
      <c r="AB90" s="62">
        <f t="shared" si="2"/>
        <v>1</v>
      </c>
      <c r="AD90" s="57" t="s">
        <v>38</v>
      </c>
      <c r="AE90" s="66">
        <f>COUNTIFS(TblUniv2016[F2],AE$73,TblUniv2016[Prodi],$AE$70)/$AE$72*100%</f>
        <v>0</v>
      </c>
      <c r="AF90" s="66">
        <f>COUNTIFS(TblUniv2016[F2],AF$73,TblUniv2016[Prodi],$AE$70)/$AE$72*100%</f>
        <v>1</v>
      </c>
      <c r="AG90" s="66">
        <f>COUNTIFS(TblUniv2016[F2],AG$73,TblUniv2016[Prodi],$AE$70)/$AE$72*100%</f>
        <v>0</v>
      </c>
      <c r="AH90" s="66">
        <f>COUNTIFS(TblUniv2016[F2],AH$73,TblUniv2016[Prodi],$AE$70)/$AE$72*100%</f>
        <v>0</v>
      </c>
      <c r="AI90" s="62">
        <f t="shared" si="3"/>
        <v>1</v>
      </c>
      <c r="AK90" s="57" t="s">
        <v>38</v>
      </c>
      <c r="AL90" s="66">
        <f>COUNTIFS(TblUniv2016[F2],AL$73,TblUniv2016[Prodi],$AL$70)/$AL$72*100%</f>
        <v>1</v>
      </c>
      <c r="AM90" s="66">
        <f>COUNTIFS(TblUniv2016[F2],AM$73,TblUniv2016[Prodi],$AL$70)/$AL$72*100%</f>
        <v>0</v>
      </c>
      <c r="AN90" s="66">
        <f>COUNTIFS(TblUniv2016[F2],AN$73,TblUniv2016[Prodi],$AL$70)/$AL$72*100%</f>
        <v>0</v>
      </c>
      <c r="AO90" s="66">
        <f>COUNTIFS(TblUniv2016[F2],AO$73,TblUniv2016[Prodi],$AL$70)/$AL$72*100%</f>
        <v>0</v>
      </c>
      <c r="AP90" s="62">
        <f t="shared" si="4"/>
        <v>1</v>
      </c>
      <c r="AR90" s="57" t="s">
        <v>38</v>
      </c>
      <c r="AS90" s="66">
        <f>COUNTIFS(TblUniv2016[F2],AS$73,TblUniv2016[Prodi],$AS$70)/$AS$72*100%</f>
        <v>1</v>
      </c>
      <c r="AT90" s="66">
        <f>COUNTIFS(TblUniv2016[F2],AT$73,TblUniv2016[Prodi],$AS$70)/$AS$72*100%</f>
        <v>0</v>
      </c>
      <c r="AU90" s="66">
        <f>COUNTIFS(TblUniv2016[F2],AU$73,TblUniv2016[Prodi],$AS$70)/$AS$72*100%</f>
        <v>0</v>
      </c>
      <c r="AV90" s="66">
        <f>COUNTIFS(TblUniv2016[F2],AV$73,TblUniv2016[Prodi],$AS$70)/$AS$72*100%</f>
        <v>0</v>
      </c>
      <c r="AW90" s="62">
        <f t="shared" si="5"/>
        <v>1</v>
      </c>
    </row>
    <row r="91" spans="2:49" ht="16.5" x14ac:dyD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c>
      <c r="G91" s="62">
        <f t="shared" si="0"/>
        <v>1</v>
      </c>
      <c r="I91" s="57" t="s">
        <v>39</v>
      </c>
      <c r="J91" s="66">
        <f>COUNTIFS(TblUniv2016[F3],J$73,TblUniv2016[Prodi],$J$70)/$J$72*100%</f>
        <v>0.33333333333333331</v>
      </c>
      <c r="K91" s="66">
        <f>COUNTIFS(TblUniv2016[F3],K$73,TblUniv2016[Prodi],$J$70)/$J$72*100%</f>
        <v>0.66666666666666663</v>
      </c>
      <c r="L91" s="66">
        <f>COUNTIFS(TblUniv2016[F3],L$73,TblUniv2016[Prodi],$J$70)/$J$72*100%</f>
        <v>0</v>
      </c>
      <c r="M91" s="66">
        <f>COUNTIFS(TblUniv2016[F3],M$73,TblUniv2016[Prodi],$J$70)/$J$72*100%</f>
        <v>0</v>
      </c>
      <c r="N91" s="62">
        <f t="shared" si="6"/>
        <v>1</v>
      </c>
      <c r="P91" s="57" t="s">
        <v>39</v>
      </c>
      <c r="Q91" s="66">
        <f>COUNTIFS(TblUniv2016[F3],Q$73,TblUniv2016[Prodi],$Q$70)/$Q$72*100%</f>
        <v>0.44680851063829785</v>
      </c>
      <c r="R91" s="66">
        <f>COUNTIFS(TblUniv2016[F3],R$73,TblUniv2016[Prodi],$Q$70)/$Q$72*100%</f>
        <v>0.55319148936170215</v>
      </c>
      <c r="S91" s="66">
        <f>COUNTIFS(TblUniv2016[F3],S$73,TblUniv2016[Prodi],$Q$70)/$Q$72*100%</f>
        <v>0</v>
      </c>
      <c r="T91" s="66">
        <f>COUNTIFS(TblUniv2016[F3],T$73,TblUniv2016[Prodi],$Q$70)/$Q$72*100%</f>
        <v>0</v>
      </c>
      <c r="U91" s="62">
        <f t="shared" si="1"/>
        <v>1</v>
      </c>
      <c r="W91" s="57" t="s">
        <v>39</v>
      </c>
      <c r="X91" s="66">
        <f>COUNTIFS(TblUniv2016[F3],X$73,TblUniv2016[Prodi],$X$70)/$X$72*100%</f>
        <v>0.5</v>
      </c>
      <c r="Y91" s="66">
        <f>COUNTIFS(TblUniv2016[F3],Y$73,TblUniv2016[Prodi],$X$70)/$X$72*100%</f>
        <v>0.5</v>
      </c>
      <c r="Z91" s="66">
        <f>COUNTIFS(TblUniv2016[F3],Z$73,TblUniv2016[Prodi],$X$70)/$X$72*100%</f>
        <v>0</v>
      </c>
      <c r="AA91" s="66">
        <f>COUNTIFS(TblUniv2016[F3],AA$73,TblUniv2016[Prodi],$X$70)/$X$72*100%</f>
        <v>0</v>
      </c>
      <c r="AB91" s="62">
        <f t="shared" si="2"/>
        <v>1</v>
      </c>
      <c r="AD91" s="57" t="s">
        <v>39</v>
      </c>
      <c r="AE91" s="66">
        <f>COUNTIFS(TblUniv2016[F3],AE$73,TblUniv2016[Prodi],$AE$70)/$AE$72*100%</f>
        <v>0</v>
      </c>
      <c r="AF91" s="66">
        <f>COUNTIFS(TblUniv2016[F3],AF$73,TblUniv2016[Prodi],$AE$70)/$AE$72*100%</f>
        <v>0.83333333333333337</v>
      </c>
      <c r="AG91" s="66">
        <f>COUNTIFS(TblUniv2016[F3],AG$73,TblUniv2016[Prodi],$AE$70)/$AE$72*100%</f>
        <v>0.16666666666666666</v>
      </c>
      <c r="AH91" s="66">
        <f>COUNTIFS(TblUniv2016[F3],AH$73,TblUniv2016[Prodi],$AE$70)/$AE$72*100%</f>
        <v>0</v>
      </c>
      <c r="AI91" s="62">
        <f t="shared" si="3"/>
        <v>1</v>
      </c>
      <c r="AK91" s="57" t="s">
        <v>39</v>
      </c>
      <c r="AL91" s="66">
        <f>COUNTIFS(TblUniv2016[F3],AL$73,TblUniv2016[Prodi],$AL$70)/$AL$72*100%</f>
        <v>1</v>
      </c>
      <c r="AM91" s="66">
        <f>COUNTIFS(TblUniv2016[F3],AM$73,TblUniv2016[Prodi],$AL$70)/$AL$72*100%</f>
        <v>0</v>
      </c>
      <c r="AN91" s="66">
        <f>COUNTIFS(TblUniv2016[F3],AN$73,TblUniv2016[Prodi],$AL$70)/$AL$72*100%</f>
        <v>0</v>
      </c>
      <c r="AO91" s="66">
        <f>COUNTIFS(TblUniv2016[F3],AO$73,TblUniv2016[Prodi],$AL$70)/$AL$72*100%</f>
        <v>0</v>
      </c>
      <c r="AP91" s="62">
        <f t="shared" si="4"/>
        <v>1</v>
      </c>
      <c r="AR91" s="57" t="s">
        <v>39</v>
      </c>
      <c r="AS91" s="66">
        <f>COUNTIFS(TblUniv2016[F3],AS$73,TblUniv2016[Prodi],$AS$70)/$AS$72*100%</f>
        <v>1</v>
      </c>
      <c r="AT91" s="66">
        <f>COUNTIFS(TblUniv2016[F3],AT$73,TblUniv2016[Prodi],$AS$70)/$AS$72*100%</f>
        <v>0</v>
      </c>
      <c r="AU91" s="66">
        <f>COUNTIFS(TblUniv2016[F3],AU$73,TblUniv2016[Prodi],$AS$70)/$AS$72*100%</f>
        <v>0</v>
      </c>
      <c r="AV91" s="66">
        <f>COUNTIFS(TblUniv2016[F3],AV$73,TblUniv2016[Prodi],$AS$70)/$AS$72*100%</f>
        <v>0</v>
      </c>
      <c r="AW91" s="62">
        <f t="shared" si="5"/>
        <v>1</v>
      </c>
    </row>
    <row r="92" spans="2:49" ht="16.5" x14ac:dyDescent="0.3">
      <c r="B92" s="60"/>
      <c r="C92" s="61">
        <f>AVERAGE(C89:C91)</f>
        <v>0.43386243386243389</v>
      </c>
      <c r="D92" s="61">
        <f>AVERAGE(D89:D91)</f>
        <v>0.53968253968253965</v>
      </c>
      <c r="E92" s="61">
        <f>AVERAGE(E89:E91)</f>
        <v>2.6455026455026454E-2</v>
      </c>
      <c r="F92" s="61">
        <f>AVERAGE(F89:F91)</f>
        <v>0</v>
      </c>
      <c r="G92" s="62">
        <f t="shared" si="0"/>
        <v>1</v>
      </c>
      <c r="I92" s="60"/>
      <c r="J92" s="61">
        <f>AVERAGE(J89:J91)</f>
        <v>0.33333333333333331</v>
      </c>
      <c r="K92" s="61">
        <f>AVERAGE(K89:K91)</f>
        <v>0.55555555555555547</v>
      </c>
      <c r="L92" s="61">
        <f>AVERAGE(L89:L91)</f>
        <v>0.1111111111111111</v>
      </c>
      <c r="M92" s="61">
        <f>AVERAGE(M89:M91)</f>
        <v>0</v>
      </c>
      <c r="N92" s="62">
        <f t="shared" si="6"/>
        <v>1</v>
      </c>
      <c r="P92" s="60"/>
      <c r="Q92" s="61">
        <f>AVERAGE(Q89:Q91)</f>
        <v>0.43971631205673756</v>
      </c>
      <c r="R92" s="61">
        <f>AVERAGE(R89:R91)</f>
        <v>0.54609929078014197</v>
      </c>
      <c r="S92" s="61">
        <f>AVERAGE(S89:S91)</f>
        <v>1.4184397163120567E-2</v>
      </c>
      <c r="T92" s="61">
        <f>AVERAGE(T89:T91)</f>
        <v>0</v>
      </c>
      <c r="U92" s="62">
        <f t="shared" si="1"/>
        <v>1</v>
      </c>
      <c r="W92" s="60"/>
      <c r="X92" s="61">
        <f>AVERAGE(X89:X91)</f>
        <v>0.58333333333333337</v>
      </c>
      <c r="Y92" s="61">
        <f>AVERAGE(Y89:Y91)</f>
        <v>0.41666666666666669</v>
      </c>
      <c r="Z92" s="61">
        <f>AVERAGE(Z89:Z91)</f>
        <v>0</v>
      </c>
      <c r="AA92" s="61">
        <f>AVERAGE(AA89:AA91)</f>
        <v>0</v>
      </c>
      <c r="AB92" s="62">
        <f t="shared" si="2"/>
        <v>1</v>
      </c>
      <c r="AD92" s="60"/>
      <c r="AE92" s="61">
        <f>AVERAGE(AE89:AE91)</f>
        <v>5.5555555555555552E-2</v>
      </c>
      <c r="AF92" s="61">
        <f>AVERAGE(AF89:AF91)</f>
        <v>0.83333333333333337</v>
      </c>
      <c r="AG92" s="61">
        <f>AVERAGE(AG89:AG91)</f>
        <v>0.1111111111111111</v>
      </c>
      <c r="AH92" s="61">
        <f>AVERAGE(AH89:AH91)</f>
        <v>0</v>
      </c>
      <c r="AI92" s="62">
        <f t="shared" si="3"/>
        <v>1</v>
      </c>
      <c r="AK92" s="60"/>
      <c r="AL92" s="61">
        <f>AVERAGE(AL89:AL91)</f>
        <v>1</v>
      </c>
      <c r="AM92" s="61">
        <f>AVERAGE(AM89:AM91)</f>
        <v>0</v>
      </c>
      <c r="AN92" s="61">
        <f>AVERAGE(AN89:AN91)</f>
        <v>0</v>
      </c>
      <c r="AO92" s="61">
        <f>AVERAGE(AO89:AO91)</f>
        <v>0</v>
      </c>
      <c r="AP92" s="62">
        <f t="shared" si="4"/>
        <v>1</v>
      </c>
      <c r="AR92" s="60"/>
      <c r="AS92" s="61">
        <f>AVERAGE(AS89:AS91)</f>
        <v>1</v>
      </c>
      <c r="AT92" s="61">
        <f>AVERAGE(AT89:AT91)</f>
        <v>0</v>
      </c>
      <c r="AU92" s="61">
        <f>AVERAGE(AU89:AU91)</f>
        <v>0</v>
      </c>
      <c r="AV92" s="61">
        <f>AVERAGE(AV89:AV91)</f>
        <v>0</v>
      </c>
      <c r="AW92" s="62">
        <f t="shared" si="5"/>
        <v>1</v>
      </c>
    </row>
    <row r="93" spans="2:49" ht="16.5" x14ac:dyDescent="0.3">
      <c r="B93" s="57" t="s">
        <v>40</v>
      </c>
      <c r="C93" s="66">
        <f>COUNTIFS(TblUniv2016[G1],C$73)/$C$72*100%</f>
        <v>0.41269841269841268</v>
      </c>
      <c r="D93" s="66">
        <f>COUNTIFS(TblUniv2016[G1],D$73)/$C$72*100%</f>
        <v>0.58730158730158732</v>
      </c>
      <c r="E93" s="66">
        <f>COUNTIFS(TblUniv2016[G1],E$73)/$C$72*100%</f>
        <v>0</v>
      </c>
      <c r="F93" s="66">
        <f>COUNTIFS(TblUniv2016[G1],F$73)/$C$72*100%</f>
        <v>0</v>
      </c>
      <c r="G93" s="62">
        <f t="shared" si="0"/>
        <v>1</v>
      </c>
      <c r="I93" s="57" t="s">
        <v>40</v>
      </c>
      <c r="J93" s="66">
        <f>COUNTIFS(TblUniv2016[G1],J$73,TblUniv2016[Prodi],$J$70)/$J$72*100%</f>
        <v>0.33333333333333331</v>
      </c>
      <c r="K93" s="66">
        <f>COUNTIFS(TblUniv2016[G1],K$73,TblUniv2016[Prodi],$J$70)/$J$72*100%</f>
        <v>0.66666666666666663</v>
      </c>
      <c r="L93" s="66">
        <f>COUNTIFS(TblUniv2016[G1],L$73,TblUniv2016[Prodi],$J$70)/$J$72*100%</f>
        <v>0</v>
      </c>
      <c r="M93" s="66">
        <f>COUNTIFS(TblUniv2016[G1],M$73,TblUniv2016[Prodi],$J$70)/$J$72*100%</f>
        <v>0</v>
      </c>
      <c r="N93" s="62">
        <f t="shared" si="6"/>
        <v>1</v>
      </c>
      <c r="P93" s="57" t="s">
        <v>40</v>
      </c>
      <c r="Q93" s="66">
        <f>COUNTIFS(TblUniv2016[G1],Q$73,TblUniv2016[Prodi],$Q$70)/$Q$72*100%</f>
        <v>0.44680851063829785</v>
      </c>
      <c r="R93" s="66">
        <f>COUNTIFS(TblUniv2016[G1],R$73,TblUniv2016[Prodi],$Q$70)/$Q$72*100%</f>
        <v>0.55319148936170215</v>
      </c>
      <c r="S93" s="66">
        <f>COUNTIFS(TblUniv2016[G1],S$73,TblUniv2016[Prodi],$Q$70)/$Q$72*100%</f>
        <v>0</v>
      </c>
      <c r="T93" s="66">
        <f>COUNTIFS(TblUniv2016[G1],T$73,TblUniv2016[Prodi],$Q$70)/$Q$72*100%</f>
        <v>0</v>
      </c>
      <c r="U93" s="62">
        <f t="shared" si="1"/>
        <v>1</v>
      </c>
      <c r="W93" s="57" t="s">
        <v>40</v>
      </c>
      <c r="X93" s="66">
        <f>COUNTIFS(TblUniv2016[G1],X$73,TblUniv2016[Prodi],$X$70)/$X$72*100%</f>
        <v>0.5</v>
      </c>
      <c r="Y93" s="66">
        <f>COUNTIFS(TblUniv2016[G1],Y$73,TblUniv2016[Prodi],$X$70)/$X$72*100%</f>
        <v>0.5</v>
      </c>
      <c r="Z93" s="66">
        <f>COUNTIFS(TblUniv2016[G1],Z$73,TblUniv2016[Prodi],$X$70)/$X$72*100%</f>
        <v>0</v>
      </c>
      <c r="AA93" s="66">
        <f>COUNTIFS(TblUniv2016[G1],AA$73,TblUniv2016[Prodi],$X$70)/$X$72*100%</f>
        <v>0</v>
      </c>
      <c r="AB93" s="62">
        <f t="shared" si="2"/>
        <v>1</v>
      </c>
      <c r="AD93" s="57" t="s">
        <v>40</v>
      </c>
      <c r="AE93" s="66">
        <f>COUNTIFS(TblUniv2016[G1],AE$73,TblUniv2016[Prodi],$AE$70)/$AE$72*100%</f>
        <v>0</v>
      </c>
      <c r="AF93" s="66">
        <f>COUNTIFS(TblUniv2016[G1],AF$73,TblUniv2016[Prodi],$AE$70)/$AE$72*100%</f>
        <v>1</v>
      </c>
      <c r="AG93" s="66">
        <f>COUNTIFS(TblUniv2016[G1],AG$73,TblUniv2016[Prodi],$AE$70)/$AE$72*100%</f>
        <v>0</v>
      </c>
      <c r="AH93" s="66">
        <f>COUNTIFS(TblUniv2016[G1],AH$73,TblUniv2016[Prodi],$AE$70)/$AE$72*100%</f>
        <v>0</v>
      </c>
      <c r="AI93" s="62">
        <f t="shared" si="3"/>
        <v>1</v>
      </c>
      <c r="AK93" s="57" t="s">
        <v>40</v>
      </c>
      <c r="AL93" s="66">
        <f>COUNTIFS(TblUniv2016[G1],AL$73,TblUniv2016[Prodi],$AL$70)/$AL$72*100%</f>
        <v>0</v>
      </c>
      <c r="AM93" s="66">
        <f>COUNTIFS(TblUniv2016[G1],AM$73,TblUniv2016[Prodi],$AL$70)/$AL$72*100%</f>
        <v>1</v>
      </c>
      <c r="AN93" s="66">
        <f>COUNTIFS(TblUniv2016[G1],AN$73,TblUniv2016[Prodi],$AL$70)/$AL$72*100%</f>
        <v>0</v>
      </c>
      <c r="AO93" s="66">
        <f>COUNTIFS(TblUniv2016[G1],AO$73,TblUniv2016[Prodi],$AL$70)/$AL$72*100%</f>
        <v>0</v>
      </c>
      <c r="AP93" s="62">
        <f t="shared" si="4"/>
        <v>1</v>
      </c>
      <c r="AR93" s="57" t="s">
        <v>40</v>
      </c>
      <c r="AS93" s="66">
        <f>COUNTIFS(TblUniv2016[G1],AS$73,TblUniv2016[Prodi],$AS$70)/$AS$72*100%</f>
        <v>1</v>
      </c>
      <c r="AT93" s="66">
        <f>COUNTIFS(TblUniv2016[G1],AT$73,TblUniv2016[Prodi],$AS$70)/$AS$72*100%</f>
        <v>0</v>
      </c>
      <c r="AU93" s="66">
        <f>COUNTIFS(TblUniv2016[G1],AU$73,TblUniv2016[Prodi],$AS$70)/$AS$72*100%</f>
        <v>0</v>
      </c>
      <c r="AV93" s="66">
        <f>COUNTIFS(TblUniv2016[G1],AV$73,TblUniv2016[Prodi],$AS$70)/$AS$72*100%</f>
        <v>0</v>
      </c>
      <c r="AW93" s="62">
        <f t="shared" si="5"/>
        <v>1</v>
      </c>
    </row>
    <row r="94" spans="2:49" ht="16.5" x14ac:dyDescent="0.3">
      <c r="B94" s="57" t="s">
        <v>41</v>
      </c>
      <c r="C94" s="66">
        <f>COUNTIFS(TblUniv2016[G2],C$73)/$C$72*100%</f>
        <v>0.26984126984126983</v>
      </c>
      <c r="D94" s="66">
        <f>COUNTIFS(TblUniv2016[G2],D$73)/$C$72*100%</f>
        <v>0.65079365079365081</v>
      </c>
      <c r="E94" s="66">
        <f>COUNTIFS(TblUniv2016[G2],E$73)/$C$72*100%</f>
        <v>6.3492063492063489E-2</v>
      </c>
      <c r="F94" s="66">
        <f>COUNTIFS(TblUniv2016[G2],F$73)/$C$72*100%</f>
        <v>1.5873015873015872E-2</v>
      </c>
      <c r="G94" s="62">
        <f t="shared" si="0"/>
        <v>1</v>
      </c>
      <c r="I94" s="57" t="s">
        <v>41</v>
      </c>
      <c r="J94" s="66">
        <f>COUNTIFS(TblUniv2016[G2],J$73,TblUniv2016[Prodi],$J$70)/$J$72*100%</f>
        <v>0.33333333333333331</v>
      </c>
      <c r="K94" s="66">
        <f>COUNTIFS(TblUniv2016[G2],K$73,TblUniv2016[Prodi],$J$70)/$J$72*100%</f>
        <v>0.33333333333333331</v>
      </c>
      <c r="L94" s="66">
        <f>COUNTIFS(TblUniv2016[G2],L$73,TblUniv2016[Prodi],$J$70)/$J$72*100%</f>
        <v>0.33333333333333331</v>
      </c>
      <c r="M94" s="66">
        <f>COUNTIFS(TblUniv2016[G2],M$73,TblUniv2016[Prodi],$J$70)/$J$72*100%</f>
        <v>0</v>
      </c>
      <c r="N94" s="62">
        <f t="shared" si="6"/>
        <v>1</v>
      </c>
      <c r="P94" s="57" t="s">
        <v>41</v>
      </c>
      <c r="Q94" s="66">
        <f>COUNTIFS(TblUniv2016[G2],Q$73,TblUniv2016[Prodi],$Q$70)/$Q$72*100%</f>
        <v>0.25531914893617019</v>
      </c>
      <c r="R94" s="66">
        <f>COUNTIFS(TblUniv2016[G2],R$73,TblUniv2016[Prodi],$Q$70)/$Q$72*100%</f>
        <v>0.72340425531914898</v>
      </c>
      <c r="S94" s="66">
        <f>COUNTIFS(TblUniv2016[G2],S$73,TblUniv2016[Prodi],$Q$70)/$Q$72*100%</f>
        <v>2.1276595744680851E-2</v>
      </c>
      <c r="T94" s="66">
        <f>COUNTIFS(TblUniv2016[G2],T$73,TblUniv2016[Prodi],$Q$70)/$Q$72*100%</f>
        <v>0</v>
      </c>
      <c r="U94" s="62">
        <f t="shared" si="1"/>
        <v>1</v>
      </c>
      <c r="W94" s="57" t="s">
        <v>41</v>
      </c>
      <c r="X94" s="66">
        <f>COUNTIFS(TblUniv2016[G2],X$73,TblUniv2016[Prodi],$X$70)/$X$72*100%</f>
        <v>0.5</v>
      </c>
      <c r="Y94" s="66">
        <f>COUNTIFS(TblUniv2016[G2],Y$73,TblUniv2016[Prodi],$X$70)/$X$72*100%</f>
        <v>0.5</v>
      </c>
      <c r="Z94" s="66">
        <f>COUNTIFS(TblUniv2016[G2],Z$73,TblUniv2016[Prodi],$X$70)/$X$72*100%</f>
        <v>0</v>
      </c>
      <c r="AA94" s="66">
        <f>COUNTIFS(TblUniv2016[G2],AA$73,TblUniv2016[Prodi],$X$70)/$X$72*100%</f>
        <v>0</v>
      </c>
      <c r="AB94" s="62">
        <f t="shared" si="2"/>
        <v>1</v>
      </c>
      <c r="AD94" s="57" t="s">
        <v>41</v>
      </c>
      <c r="AE94" s="66">
        <f>COUNTIFS(TblUniv2016[G2],AE$73,TblUniv2016[Prodi],$AE$70)/$AE$72*100%</f>
        <v>0</v>
      </c>
      <c r="AF94" s="66">
        <f>COUNTIFS(TblUniv2016[G2],AF$73,TblUniv2016[Prodi],$AE$70)/$AE$72*100%</f>
        <v>0.5</v>
      </c>
      <c r="AG94" s="66">
        <f>COUNTIFS(TblUniv2016[G2],AG$73,TblUniv2016[Prodi],$AE$70)/$AE$72*100%</f>
        <v>0.33333333333333331</v>
      </c>
      <c r="AH94" s="66">
        <f>COUNTIFS(TblUniv2016[G2],AH$73,TblUniv2016[Prodi],$AE$70)/$AE$72*100%</f>
        <v>0.16666666666666666</v>
      </c>
      <c r="AI94" s="62">
        <f t="shared" si="3"/>
        <v>0.99999999999999989</v>
      </c>
      <c r="AK94" s="57" t="s">
        <v>41</v>
      </c>
      <c r="AL94" s="66">
        <f>COUNTIFS(TblUniv2016[G2],AL$73,TblUniv2016[Prodi],$AL$70)/$AL$72*100%</f>
        <v>1</v>
      </c>
      <c r="AM94" s="66">
        <f>COUNTIFS(TblUniv2016[G2],AM$73,TblUniv2016[Prodi],$AL$70)/$AL$72*100%</f>
        <v>0</v>
      </c>
      <c r="AN94" s="66">
        <f>COUNTIFS(TblUniv2016[G2],AN$73,TblUniv2016[Prodi],$AL$70)/$AL$72*100%</f>
        <v>0</v>
      </c>
      <c r="AO94" s="66">
        <f>COUNTIFS(TblUniv2016[G2],AO$73,TblUniv2016[Prodi],$AL$70)/$AL$72*100%</f>
        <v>0</v>
      </c>
      <c r="AP94" s="62">
        <f t="shared" si="4"/>
        <v>1</v>
      </c>
      <c r="AR94" s="57" t="s">
        <v>41</v>
      </c>
      <c r="AS94" s="66">
        <f>COUNTIFS(TblUniv2016[G2],AS$73,TblUniv2016[Prodi],$AS$70)/$AS$72*100%</f>
        <v>0.5</v>
      </c>
      <c r="AT94" s="66">
        <f>COUNTIFS(TblUniv2016[G2],AT$73,TblUniv2016[Prodi],$AS$70)/$AS$72*100%</f>
        <v>0.5</v>
      </c>
      <c r="AU94" s="66">
        <f>COUNTIFS(TblUniv2016[G2],AU$73,TblUniv2016[Prodi],$AS$70)/$AS$72*100%</f>
        <v>0</v>
      </c>
      <c r="AV94" s="66">
        <f>COUNTIFS(TblUniv2016[G2],AV$73,TblUniv2016[Prodi],$AS$70)/$AS$72*100%</f>
        <v>0</v>
      </c>
      <c r="AW94" s="62">
        <f t="shared" si="5"/>
        <v>1</v>
      </c>
    </row>
    <row r="95" spans="2:49" ht="16.5" x14ac:dyDescent="0.3">
      <c r="B95" s="60"/>
      <c r="C95" s="61">
        <f>AVERAGE(C93:C94)</f>
        <v>0.34126984126984128</v>
      </c>
      <c r="D95" s="61">
        <f>AVERAGE(D93:D94)</f>
        <v>0.61904761904761907</v>
      </c>
      <c r="E95" s="61">
        <f>AVERAGE(E93:E94)</f>
        <v>3.1746031746031744E-2</v>
      </c>
      <c r="F95" s="61">
        <f>AVERAGE(F93:F94)</f>
        <v>7.9365079365079361E-3</v>
      </c>
      <c r="G95" s="62">
        <f t="shared" si="0"/>
        <v>1</v>
      </c>
      <c r="I95" s="60"/>
      <c r="J95" s="61">
        <f>AVERAGE(J93:J94)</f>
        <v>0.33333333333333331</v>
      </c>
      <c r="K95" s="61">
        <f>AVERAGE(K93:K94)</f>
        <v>0.5</v>
      </c>
      <c r="L95" s="61">
        <f>AVERAGE(L93:L94)</f>
        <v>0.16666666666666666</v>
      </c>
      <c r="M95" s="61">
        <f>AVERAGE(M93:M94)</f>
        <v>0</v>
      </c>
      <c r="N95" s="62">
        <f t="shared" si="6"/>
        <v>0.99999999999999989</v>
      </c>
      <c r="P95" s="60"/>
      <c r="Q95" s="61">
        <f>AVERAGE(Q93:Q94)</f>
        <v>0.35106382978723405</v>
      </c>
      <c r="R95" s="61">
        <f>AVERAGE(R93:R94)</f>
        <v>0.63829787234042556</v>
      </c>
      <c r="S95" s="61">
        <f>AVERAGE(S93:S94)</f>
        <v>1.0638297872340425E-2</v>
      </c>
      <c r="T95" s="61">
        <f>AVERAGE(T93:T94)</f>
        <v>0</v>
      </c>
      <c r="U95" s="62">
        <f t="shared" si="1"/>
        <v>1</v>
      </c>
      <c r="W95" s="60"/>
      <c r="X95" s="61">
        <f>AVERAGE(X93:X94)</f>
        <v>0.5</v>
      </c>
      <c r="Y95" s="61">
        <f>AVERAGE(Y93:Y94)</f>
        <v>0.5</v>
      </c>
      <c r="Z95" s="61">
        <f>AVERAGE(Z93:Z94)</f>
        <v>0</v>
      </c>
      <c r="AA95" s="61">
        <f>AVERAGE(AA93:AA94)</f>
        <v>0</v>
      </c>
      <c r="AB95" s="62">
        <f t="shared" si="2"/>
        <v>1</v>
      </c>
      <c r="AD95" s="60"/>
      <c r="AE95" s="61">
        <f>AVERAGE(AE93:AE94)</f>
        <v>0</v>
      </c>
      <c r="AF95" s="61">
        <f>AVERAGE(AF93:AF94)</f>
        <v>0.75</v>
      </c>
      <c r="AG95" s="61">
        <f>AVERAGE(AG93:AG94)</f>
        <v>0.16666666666666666</v>
      </c>
      <c r="AH95" s="61">
        <f>AVERAGE(AH93:AH94)</f>
        <v>8.3333333333333329E-2</v>
      </c>
      <c r="AI95" s="62">
        <f t="shared" si="3"/>
        <v>1</v>
      </c>
      <c r="AK95" s="60"/>
      <c r="AL95" s="61">
        <f>AVERAGE(AL93:AL94)</f>
        <v>0.5</v>
      </c>
      <c r="AM95" s="61">
        <f>AVERAGE(AM93:AM94)</f>
        <v>0.5</v>
      </c>
      <c r="AN95" s="61">
        <f>AVERAGE(AN93:AN94)</f>
        <v>0</v>
      </c>
      <c r="AO95" s="61">
        <f>AVERAGE(AO93:AO94)</f>
        <v>0</v>
      </c>
      <c r="AP95" s="62">
        <f t="shared" si="4"/>
        <v>1</v>
      </c>
      <c r="AR95" s="60"/>
      <c r="AS95" s="61">
        <f>AVERAGE(AS93:AS94)</f>
        <v>0.75</v>
      </c>
      <c r="AT95" s="61">
        <f>AVERAGE(AT93:AT94)</f>
        <v>0.25</v>
      </c>
      <c r="AU95" s="61">
        <f>AVERAGE(AU93:AU94)</f>
        <v>0</v>
      </c>
      <c r="AV95" s="61">
        <f>AVERAGE(AV93:AV94)</f>
        <v>0</v>
      </c>
      <c r="AW95" s="62">
        <f t="shared" si="5"/>
        <v>1</v>
      </c>
    </row>
    <row r="96" spans="2:49" ht="16.5" x14ac:dyDescent="0.3">
      <c r="B96" s="57" t="s">
        <v>42</v>
      </c>
      <c r="C96" s="66">
        <f>COUNTIFS(TblUniv2016[H1],C$73)/$C$72*100%</f>
        <v>0.30158730158730157</v>
      </c>
      <c r="D96" s="66">
        <f>COUNTIFS(TblUniv2016[H1],D$73)/$C$72*100%</f>
        <v>0.66666666666666663</v>
      </c>
      <c r="E96" s="66">
        <f>COUNTIFS(TblUniv2016[H1],E$73)/$C$72*100%</f>
        <v>3.1746031746031744E-2</v>
      </c>
      <c r="F96" s="66">
        <f>COUNTIFS(TblUniv2016[H1],F$73)/$C$72*100%</f>
        <v>0</v>
      </c>
      <c r="G96" s="62">
        <f t="shared" si="0"/>
        <v>0.99999999999999989</v>
      </c>
      <c r="I96" s="57" t="s">
        <v>42</v>
      </c>
      <c r="J96" s="66">
        <f>COUNTIFS(TblUniv2016[H1],J$73,TblUniv2016[Prodi],$J$70)/$J$72*100%</f>
        <v>0.33333333333333331</v>
      </c>
      <c r="K96" s="66">
        <f>COUNTIFS(TblUniv2016[H1],K$73,TblUniv2016[Prodi],$J$70)/$J$72*100%</f>
        <v>0.66666666666666663</v>
      </c>
      <c r="L96" s="66">
        <f>COUNTIFS(TblUniv2016[H1],L$73,TblUniv2016[Prodi],$J$70)/$J$72*100%</f>
        <v>0</v>
      </c>
      <c r="M96" s="66">
        <f>COUNTIFS(TblUniv2016[H1],M$73,TblUniv2016[Prodi],$J$70)/$J$72*100%</f>
        <v>0</v>
      </c>
      <c r="N96" s="62">
        <f t="shared" si="6"/>
        <v>1</v>
      </c>
      <c r="P96" s="57" t="s">
        <v>42</v>
      </c>
      <c r="Q96" s="66">
        <f>COUNTIFS(TblUniv2016[H1],Q$73,TblUniv2016[Prodi],$Q$70)/$Q$72*100%</f>
        <v>0.31914893617021278</v>
      </c>
      <c r="R96" s="66">
        <f>COUNTIFS(TblUniv2016[H1],R$73,TblUniv2016[Prodi],$Q$70)/$Q$72*100%</f>
        <v>0.65957446808510634</v>
      </c>
      <c r="S96" s="66">
        <f>COUNTIFS(TblUniv2016[H1],S$73,TblUniv2016[Prodi],$Q$70)/$Q$72*100%</f>
        <v>2.1276595744680851E-2</v>
      </c>
      <c r="T96" s="66">
        <f>COUNTIFS(TblUniv2016[H1],T$73,TblUniv2016[Prodi],$Q$70)/$Q$72*100%</f>
        <v>0</v>
      </c>
      <c r="U96" s="62">
        <f t="shared" si="1"/>
        <v>1</v>
      </c>
      <c r="W96" s="57" t="s">
        <v>42</v>
      </c>
      <c r="X96" s="66">
        <f>COUNTIFS(TblUniv2016[H1],X$73,TblUniv2016[Prodi],$X$70)/$X$72*100%</f>
        <v>0.5</v>
      </c>
      <c r="Y96" s="66">
        <f>COUNTIFS(TblUniv2016[H1],Y$73,TblUniv2016[Prodi],$X$70)/$X$72*100%</f>
        <v>0.5</v>
      </c>
      <c r="Z96" s="66">
        <f>COUNTIFS(TblUniv2016[H1],Z$73,TblUniv2016[Prodi],$X$70)/$X$72*100%</f>
        <v>0</v>
      </c>
      <c r="AA96" s="66">
        <f>COUNTIFS(TblUniv2016[H1],AA$73,TblUniv2016[Prodi],$X$70)/$X$72*100%</f>
        <v>0</v>
      </c>
      <c r="AB96" s="62">
        <f t="shared" si="2"/>
        <v>1</v>
      </c>
      <c r="AD96" s="57" t="s">
        <v>42</v>
      </c>
      <c r="AE96" s="66">
        <f>COUNTIFS(TblUniv2016[H1],AE$73,TblUniv2016[Prodi],$AE$70)/$AE$72*100%</f>
        <v>0</v>
      </c>
      <c r="AF96" s="66">
        <f>COUNTIFS(TblUniv2016[H1],AF$73,TblUniv2016[Prodi],$AE$70)/$AE$72*100%</f>
        <v>0.83333333333333337</v>
      </c>
      <c r="AG96" s="66">
        <f>COUNTIFS(TblUniv2016[H1],AG$73,TblUniv2016[Prodi],$AE$70)/$AE$72*100%</f>
        <v>0.16666666666666666</v>
      </c>
      <c r="AH96" s="66">
        <f>COUNTIFS(TblUniv2016[H1],AH$73,TblUniv2016[Prodi],$AE$70)/$AE$72*100%</f>
        <v>0</v>
      </c>
      <c r="AI96" s="62">
        <f t="shared" si="3"/>
        <v>1</v>
      </c>
      <c r="AK96" s="57" t="s">
        <v>42</v>
      </c>
      <c r="AL96" s="66">
        <f>COUNTIFS(TblUniv2016[H1],AL$73,TblUniv2016[Prodi],$AL$70)/$AL$72*100%</f>
        <v>0</v>
      </c>
      <c r="AM96" s="66">
        <f>COUNTIFS(TblUniv2016[H1],AM$73,TblUniv2016[Prodi],$AL$70)/$AL$72*100%</f>
        <v>1</v>
      </c>
      <c r="AN96" s="66">
        <f>COUNTIFS(TblUniv2016[H1],AN$73,TblUniv2016[Prodi],$AL$70)/$AL$72*100%</f>
        <v>0</v>
      </c>
      <c r="AO96" s="66">
        <f>COUNTIFS(TblUniv2016[H1],AO$73,TblUniv2016[Prodi],$AL$70)/$AL$72*100%</f>
        <v>0</v>
      </c>
      <c r="AP96" s="62">
        <f t="shared" si="4"/>
        <v>1</v>
      </c>
      <c r="AR96" s="57" t="s">
        <v>42</v>
      </c>
      <c r="AS96" s="66">
        <f>COUNTIFS(TblUniv2016[H1],AS$73,TblUniv2016[Prodi],$AS$70)/$AS$72*100%</f>
        <v>0.5</v>
      </c>
      <c r="AT96" s="66">
        <f>COUNTIFS(TblUniv2016[H1],AT$73,TblUniv2016[Prodi],$AS$70)/$AS$72*100%</f>
        <v>0.5</v>
      </c>
      <c r="AU96" s="66">
        <f>COUNTIFS(TblUniv2016[H1],AU$73,TblUniv2016[Prodi],$AS$70)/$AS$72*100%</f>
        <v>0</v>
      </c>
      <c r="AV96" s="66">
        <f>COUNTIFS(TblUniv2016[H1],AV$73,TblUniv2016[Prodi],$AS$70)/$AS$72*100%</f>
        <v>0</v>
      </c>
      <c r="AW96" s="62">
        <f t="shared" si="5"/>
        <v>1</v>
      </c>
    </row>
    <row r="97" spans="2:49" ht="16.5" x14ac:dyDescent="0.3">
      <c r="B97" s="57" t="s">
        <v>43</v>
      </c>
      <c r="C97" s="66">
        <f>COUNTIFS(TblUniv2016[H2],C$73)/$C$72*100%</f>
        <v>0.26984126984126983</v>
      </c>
      <c r="D97" s="66">
        <f>COUNTIFS(TblUniv2016[H2],D$73)/$C$72*100%</f>
        <v>0.65079365079365081</v>
      </c>
      <c r="E97" s="66">
        <f>COUNTIFS(TblUniv2016[H2],E$73)/$C$72*100%</f>
        <v>6.3492063492063489E-2</v>
      </c>
      <c r="F97" s="66">
        <f>COUNTIFS(TblUniv2016[H2],F$73)/$C$72*100%</f>
        <v>1.5873015873015872E-2</v>
      </c>
      <c r="G97" s="62">
        <f t="shared" si="0"/>
        <v>1</v>
      </c>
      <c r="I97" s="57" t="s">
        <v>43</v>
      </c>
      <c r="J97" s="66">
        <f>COUNTIFS(TblUniv2016[H1],J$73,TblUniv2016[Prodi],$J$70)/$J$72*100%</f>
        <v>0.33333333333333331</v>
      </c>
      <c r="K97" s="66">
        <f>COUNTIFS(TblUniv2016[H1],K$73,TblUniv2016[Prodi],$J$70)/$J$72*100%</f>
        <v>0.66666666666666663</v>
      </c>
      <c r="L97" s="66">
        <f>COUNTIFS(TblUniv2016[H1],L$73,TblUniv2016[Prodi],$J$70)/$J$72*100%</f>
        <v>0</v>
      </c>
      <c r="M97" s="66">
        <f>COUNTIFS(TblUniv2016[H1],M$73,TblUniv2016[Prodi],$J$70)/$J$72*100%</f>
        <v>0</v>
      </c>
      <c r="N97" s="62">
        <f t="shared" si="6"/>
        <v>1</v>
      </c>
      <c r="P97" s="57" t="s">
        <v>43</v>
      </c>
      <c r="Q97" s="66">
        <f>COUNTIFS(TblUniv2016[H1],Q$73,TblUniv2016[Prodi],$Q$70)/$Q$72*100%</f>
        <v>0.31914893617021278</v>
      </c>
      <c r="R97" s="66">
        <f>COUNTIFS(TblUniv2016[H1],R$73,TblUniv2016[Prodi],$Q$70)/$Q$72*100%</f>
        <v>0.65957446808510634</v>
      </c>
      <c r="S97" s="66">
        <f>COUNTIFS(TblUniv2016[H1],S$73,TblUniv2016[Prodi],$Q$70)/$Q$72*100%</f>
        <v>2.1276595744680851E-2</v>
      </c>
      <c r="T97" s="66">
        <f>COUNTIFS(TblUniv2016[H1],T$73,TblUniv2016[Prodi],$Q$70)/$Q$72*100%</f>
        <v>0</v>
      </c>
      <c r="U97" s="62">
        <f t="shared" si="1"/>
        <v>1</v>
      </c>
      <c r="W97" s="57" t="s">
        <v>43</v>
      </c>
      <c r="X97" s="66">
        <f>COUNTIFS(TblUniv2016[H1],X$73,TblUniv2016[Prodi],$X$70)/$X$72*100%</f>
        <v>0.5</v>
      </c>
      <c r="Y97" s="66">
        <f>COUNTIFS(TblUniv2016[H1],Y$73,TblUniv2016[Prodi],$X$70)/$X$72*100%</f>
        <v>0.5</v>
      </c>
      <c r="Z97" s="66">
        <f>COUNTIFS(TblUniv2016[H1],Z$73,TblUniv2016[Prodi],$X$70)/$X$72*100%</f>
        <v>0</v>
      </c>
      <c r="AA97" s="66">
        <f>COUNTIFS(TblUniv2016[H1],AA$73,TblUniv2016[Prodi],$X$70)/$X$72*100%</f>
        <v>0</v>
      </c>
      <c r="AB97" s="62">
        <f t="shared" si="2"/>
        <v>1</v>
      </c>
      <c r="AD97" s="57" t="s">
        <v>43</v>
      </c>
      <c r="AE97" s="66">
        <f>COUNTIFS(TblUniv2016[H1],AE$73,TblUniv2016[Prodi],$AE$70)/$AE$72*100%</f>
        <v>0</v>
      </c>
      <c r="AF97" s="66">
        <f>COUNTIFS(TblUniv2016[H1],AF$73,TblUniv2016[Prodi],$AE$70)/$AE$72*100%</f>
        <v>0.83333333333333337</v>
      </c>
      <c r="AG97" s="66">
        <f>COUNTIFS(TblUniv2016[H1],AG$73,TblUniv2016[Prodi],$AE$70)/$AE$72*100%</f>
        <v>0.16666666666666666</v>
      </c>
      <c r="AH97" s="66">
        <f>COUNTIFS(TblUniv2016[H1],AH$73,TblUniv2016[Prodi],$AE$70)/$AE$72*100%</f>
        <v>0</v>
      </c>
      <c r="AI97" s="62">
        <f t="shared" si="3"/>
        <v>1</v>
      </c>
      <c r="AK97" s="57" t="s">
        <v>43</v>
      </c>
      <c r="AL97" s="66">
        <f>COUNTIFS(TblUniv2016[H1],AL$73,TblUniv2016[Prodi],$AL$70)/$AL$72*100%</f>
        <v>0</v>
      </c>
      <c r="AM97" s="66">
        <f>COUNTIFS(TblUniv2016[H1],AM$73,TblUniv2016[Prodi],$AL$70)/$AL$72*100%</f>
        <v>1</v>
      </c>
      <c r="AN97" s="66">
        <f>COUNTIFS(TblUniv2016[H1],AN$73,TblUniv2016[Prodi],$AL$70)/$AL$72*100%</f>
        <v>0</v>
      </c>
      <c r="AO97" s="66">
        <f>COUNTIFS(TblUniv2016[H1],AO$73,TblUniv2016[Prodi],$AL$70)/$AL$72*100%</f>
        <v>0</v>
      </c>
      <c r="AP97" s="62">
        <f t="shared" si="4"/>
        <v>1</v>
      </c>
      <c r="AR97" s="57" t="s">
        <v>43</v>
      </c>
      <c r="AS97" s="66">
        <f>COUNTIFS(TblUniv2016[H1],AS$73,TblUniv2016[Prodi],$AS$70)/$AS$72*100%</f>
        <v>0.5</v>
      </c>
      <c r="AT97" s="66">
        <f>COUNTIFS(TblUniv2016[H1],AT$73,TblUniv2016[Prodi],$AS$70)/$AS$72*100%</f>
        <v>0.5</v>
      </c>
      <c r="AU97" s="66">
        <f>COUNTIFS(TblUniv2016[H1],AU$73,TblUniv2016[Prodi],$AS$70)/$AS$72*100%</f>
        <v>0</v>
      </c>
      <c r="AV97" s="66">
        <f>COUNTIFS(TblUniv2016[H1],AV$73,TblUniv2016[Prodi],$AS$70)/$AS$72*100%</f>
        <v>0</v>
      </c>
      <c r="AW97" s="62">
        <f t="shared" si="5"/>
        <v>1</v>
      </c>
    </row>
    <row r="98" spans="2:49" ht="16.5" x14ac:dyDescent="0.3">
      <c r="B98" s="57" t="s">
        <v>44</v>
      </c>
      <c r="C98" s="66">
        <f>COUNTIFS(TblUniv2016[H3],C$73)/$C$72*100%</f>
        <v>0.41269841269841268</v>
      </c>
      <c r="D98" s="66">
        <f>COUNTIFS(TblUniv2016[H3],D$73)/$C$72*100%</f>
        <v>0.55555555555555558</v>
      </c>
      <c r="E98" s="66">
        <f>COUNTIFS(TblUniv2016[H3],E$73)/$C$72*100%</f>
        <v>3.1746031746031744E-2</v>
      </c>
      <c r="F98" s="66">
        <f>COUNTIFS(TblUniv2016[H3],F$73)/$C$72*100%</f>
        <v>0</v>
      </c>
      <c r="G98" s="62">
        <f t="shared" si="0"/>
        <v>1</v>
      </c>
      <c r="I98" s="57" t="s">
        <v>44</v>
      </c>
      <c r="J98" s="66">
        <f>COUNTIFS(TblUniv2016[H3],J$73,TblUniv2016[Prodi],$J$70)/$J$72*100%</f>
        <v>0.33333333333333331</v>
      </c>
      <c r="K98" s="66">
        <f>COUNTIFS(TblUniv2016[H3],K$73,TblUniv2016[Prodi],$J$70)/$J$72*100%</f>
        <v>0.33333333333333331</v>
      </c>
      <c r="L98" s="66">
        <f>COUNTIFS(TblUniv2016[H3],L$73,TblUniv2016[Prodi],$J$70)/$J$72*100%</f>
        <v>0.33333333333333331</v>
      </c>
      <c r="M98" s="66">
        <f>COUNTIFS(TblUniv2016[H3],M$73,TblUniv2016[Prodi],$J$70)/$J$72*100%</f>
        <v>0</v>
      </c>
      <c r="N98" s="62">
        <f t="shared" si="6"/>
        <v>1</v>
      </c>
      <c r="P98" s="57" t="s">
        <v>44</v>
      </c>
      <c r="Q98" s="66">
        <f>COUNTIFS(TblUniv2016[H3],Q$73,TblUniv2016[Prodi],$Q$70)/$Q$72*100%</f>
        <v>0.42553191489361702</v>
      </c>
      <c r="R98" s="66">
        <f>COUNTIFS(TblUniv2016[H3],R$73,TblUniv2016[Prodi],$Q$70)/$Q$72*100%</f>
        <v>0.57446808510638303</v>
      </c>
      <c r="S98" s="66">
        <f>COUNTIFS(TblUniv2016[H3],S$73,TblUniv2016[Prodi],$Q$70)/$Q$72*100%</f>
        <v>0</v>
      </c>
      <c r="T98" s="66">
        <f>COUNTIFS(TblUniv2016[H3],T$73,TblUniv2016[Prodi],$Q$70)/$Q$72*100%</f>
        <v>0</v>
      </c>
      <c r="U98" s="62">
        <f t="shared" si="1"/>
        <v>1</v>
      </c>
      <c r="W98" s="57" t="s">
        <v>44</v>
      </c>
      <c r="X98" s="66">
        <f>COUNTIFS(TblUniv2016[H3],X$73,TblUniv2016[Prodi],$X$70)/$X$72*100%</f>
        <v>0.5</v>
      </c>
      <c r="Y98" s="66">
        <f>COUNTIFS(TblUniv2016[H3],Y$73,TblUniv2016[Prodi],$X$70)/$X$72*100%</f>
        <v>0.5</v>
      </c>
      <c r="Z98" s="66">
        <f>COUNTIFS(TblUniv2016[H3],Z$73,TblUniv2016[Prodi],$X$70)/$X$72*100%</f>
        <v>0</v>
      </c>
      <c r="AA98" s="66">
        <f>COUNTIFS(TblUniv2016[H3],AA$73,TblUniv2016[Prodi],$X$70)/$X$72*100%</f>
        <v>0</v>
      </c>
      <c r="AB98" s="62">
        <f t="shared" si="2"/>
        <v>1</v>
      </c>
      <c r="AD98" s="57" t="s">
        <v>44</v>
      </c>
      <c r="AE98" s="66">
        <f>COUNTIFS(TblUniv2016[H3],AE$73,TblUniv2016[Prodi],$AE$70)/$AE$72*100%</f>
        <v>0.16666666666666666</v>
      </c>
      <c r="AF98" s="66">
        <f>COUNTIFS(TblUniv2016[H3],AF$73,TblUniv2016[Prodi],$AE$70)/$AE$72*100%</f>
        <v>0.66666666666666663</v>
      </c>
      <c r="AG98" s="66">
        <f>COUNTIFS(TblUniv2016[H3],AG$73,TblUniv2016[Prodi],$AE$70)/$AE$72*100%</f>
        <v>0.16666666666666666</v>
      </c>
      <c r="AH98" s="66">
        <f>COUNTIFS(TblUniv2016[H3],AH$73,TblUniv2016[Prodi],$AE$70)/$AE$72*100%</f>
        <v>0</v>
      </c>
      <c r="AI98" s="62">
        <f t="shared" si="3"/>
        <v>0.99999999999999989</v>
      </c>
      <c r="AK98" s="57" t="s">
        <v>44</v>
      </c>
      <c r="AL98" s="66">
        <f>COUNTIFS(TblUniv2016[H3],AL$73,TblUniv2016[Prodi],$AL$70)/$AL$72*100%</f>
        <v>1</v>
      </c>
      <c r="AM98" s="66">
        <f>COUNTIFS(TblUniv2016[H3],AM$73,TblUniv2016[Prodi],$AL$70)/$AL$72*100%</f>
        <v>0</v>
      </c>
      <c r="AN98" s="66">
        <f>COUNTIFS(TblUniv2016[H3],AN$73,TblUniv2016[Prodi],$AL$70)/$AL$72*100%</f>
        <v>0</v>
      </c>
      <c r="AO98" s="66">
        <f>COUNTIFS(TblUniv2016[H3],AO$73,TblUniv2016[Prodi],$AL$70)/$AL$72*100%</f>
        <v>0</v>
      </c>
      <c r="AP98" s="62">
        <f t="shared" si="4"/>
        <v>1</v>
      </c>
      <c r="AR98" s="57" t="s">
        <v>44</v>
      </c>
      <c r="AS98" s="66">
        <f>COUNTIFS(TblUniv2016[H3],AS$73,TblUniv2016[Prodi],$AS$70)/$AS$72*100%</f>
        <v>0.5</v>
      </c>
      <c r="AT98" s="66">
        <f>COUNTIFS(TblUniv2016[H3],AT$73,TblUniv2016[Prodi],$AS$70)/$AS$72*100%</f>
        <v>0.5</v>
      </c>
      <c r="AU98" s="66">
        <f>COUNTIFS(TblUniv2016[H3],AU$73,TblUniv2016[Prodi],$AS$70)/$AS$72*100%</f>
        <v>0</v>
      </c>
      <c r="AV98" s="66">
        <f>COUNTIFS(TblUniv2016[H3],AV$73,TblUniv2016[Prodi],$AS$70)/$AS$72*100%</f>
        <v>0</v>
      </c>
      <c r="AW98" s="62">
        <f t="shared" si="5"/>
        <v>1</v>
      </c>
    </row>
    <row r="99" spans="2:49" ht="16.5" x14ac:dyDescent="0.3">
      <c r="B99" s="57" t="s">
        <v>45</v>
      </c>
      <c r="C99" s="66">
        <f>COUNTIFS(TblUniv2016[H4],C$73)/$C$72*100%</f>
        <v>0.42857142857142855</v>
      </c>
      <c r="D99" s="66">
        <f>COUNTIFS(TblUniv2016[H4],D$73)/$C$72*100%</f>
        <v>0.47619047619047616</v>
      </c>
      <c r="E99" s="66">
        <f>COUNTIFS(TblUniv2016[H4],E$73)/$C$72*100%</f>
        <v>9.5238095238095233E-2</v>
      </c>
      <c r="F99" s="66">
        <f>COUNTIFS(TblUniv2016[H4],F$73)/$C$72*100%</f>
        <v>0</v>
      </c>
      <c r="G99" s="62">
        <f t="shared" si="0"/>
        <v>0.99999999999999989</v>
      </c>
      <c r="I99" s="57" t="s">
        <v>45</v>
      </c>
      <c r="J99" s="66">
        <f>COUNTIFS(TblUniv2016[H4],J$73,TblUniv2016[Prodi],$J$70)/$J$72*100%</f>
        <v>0.33333333333333331</v>
      </c>
      <c r="K99" s="66">
        <f>COUNTIFS(TblUniv2016[H4],K$73,TblUniv2016[Prodi],$J$70)/$J$72*100%</f>
        <v>0.33333333333333331</v>
      </c>
      <c r="L99" s="66">
        <f>COUNTIFS(TblUniv2016[H4],L$73,TblUniv2016[Prodi],$J$70)/$J$72*100%</f>
        <v>0.33333333333333331</v>
      </c>
      <c r="M99" s="66">
        <f>COUNTIFS(TblUniv2016[H4],M$73,TblUniv2016[Prodi],$J$70)/$J$72*100%</f>
        <v>0</v>
      </c>
      <c r="N99" s="62">
        <f t="shared" si="6"/>
        <v>1</v>
      </c>
      <c r="P99" s="57" t="s">
        <v>45</v>
      </c>
      <c r="Q99" s="66">
        <f>COUNTIFS(TblUniv2016[H4],Q$73,TblUniv2016[Prodi],$Q$70)/$Q$72*100%</f>
        <v>0.46808510638297873</v>
      </c>
      <c r="R99" s="66">
        <f>COUNTIFS(TblUniv2016[H4],R$73,TblUniv2016[Prodi],$Q$70)/$Q$72*100%</f>
        <v>0.48936170212765956</v>
      </c>
      <c r="S99" s="66">
        <f>COUNTIFS(TblUniv2016[H4],S$73,TblUniv2016[Prodi],$Q$70)/$Q$72*100%</f>
        <v>4.2553191489361701E-2</v>
      </c>
      <c r="T99" s="66">
        <f>COUNTIFS(TblUniv2016[H4],T$73,TblUniv2016[Prodi],$Q$70)/$Q$72*100%</f>
        <v>0</v>
      </c>
      <c r="U99" s="62">
        <f t="shared" si="1"/>
        <v>0.99999999999999989</v>
      </c>
      <c r="W99" s="57" t="s">
        <v>45</v>
      </c>
      <c r="X99" s="66">
        <f>COUNTIFS(TblUniv2016[H4],X$73,TblUniv2016[Prodi],$X$70)/$X$72*100%</f>
        <v>0.25</v>
      </c>
      <c r="Y99" s="66">
        <f>COUNTIFS(TblUniv2016[H4],Y$73,TblUniv2016[Prodi],$X$70)/$X$72*100%</f>
        <v>0.75</v>
      </c>
      <c r="Z99" s="66">
        <f>COUNTIFS(TblUniv2016[H4],Z$73,TblUniv2016[Prodi],$X$70)/$X$72*100%</f>
        <v>0</v>
      </c>
      <c r="AA99" s="66">
        <f>COUNTIFS(TblUniv2016[H4],AA$73,TblUniv2016[Prodi],$X$70)/$X$72*100%</f>
        <v>0</v>
      </c>
      <c r="AB99" s="62">
        <f t="shared" si="2"/>
        <v>1</v>
      </c>
      <c r="AD99" s="57" t="s">
        <v>45</v>
      </c>
      <c r="AE99" s="66">
        <f>COUNTIFS(TblUniv2016[H4],AE$73,TblUniv2016[Prodi],$AE$70)/$AE$72*100%</f>
        <v>0.16666666666666666</v>
      </c>
      <c r="AF99" s="66">
        <f>COUNTIFS(TblUniv2016[H4],AF$73,TblUniv2016[Prodi],$AE$70)/$AE$72*100%</f>
        <v>0.33333333333333331</v>
      </c>
      <c r="AG99" s="66">
        <f>COUNTIFS(TblUniv2016[H4],AG$73,TblUniv2016[Prodi],$AE$70)/$AE$72*100%</f>
        <v>0.5</v>
      </c>
      <c r="AH99" s="66">
        <f>COUNTIFS(TblUniv2016[H4],AH$73,TblUniv2016[Prodi],$AE$70)/$AE$72*100%</f>
        <v>0</v>
      </c>
      <c r="AI99" s="62">
        <f t="shared" si="3"/>
        <v>1</v>
      </c>
      <c r="AK99" s="57" t="s">
        <v>45</v>
      </c>
      <c r="AL99" s="66">
        <f>COUNTIFS(TblUniv2016[H4],AL$73,TblUniv2016[Prodi],$AL$70)/$AL$72*100%</f>
        <v>0</v>
      </c>
      <c r="AM99" s="66">
        <f>COUNTIFS(TblUniv2016[H4],AM$73,TblUniv2016[Prodi],$AL$70)/$AL$72*100%</f>
        <v>1</v>
      </c>
      <c r="AN99" s="66">
        <f>COUNTIFS(TblUniv2016[H4],AN$73,TblUniv2016[Prodi],$AL$70)/$AL$72*100%</f>
        <v>0</v>
      </c>
      <c r="AO99" s="66">
        <f>COUNTIFS(TblUniv2016[H4],AO$73,TblUniv2016[Prodi],$AL$70)/$AL$72*100%</f>
        <v>0</v>
      </c>
      <c r="AP99" s="62">
        <f t="shared" si="4"/>
        <v>1</v>
      </c>
      <c r="AR99" s="57" t="s">
        <v>45</v>
      </c>
      <c r="AS99" s="66">
        <f>COUNTIFS(TblUniv2016[H4],AS$73,TblUniv2016[Prodi],$AS$70)/$AS$72*100%</f>
        <v>1</v>
      </c>
      <c r="AT99" s="66">
        <f>COUNTIFS(TblUniv2016[H4],AT$73,TblUniv2016[Prodi],$AS$70)/$AS$72*100%</f>
        <v>0</v>
      </c>
      <c r="AU99" s="66">
        <f>COUNTIFS(TblUniv2016[H4],AU$73,TblUniv2016[Prodi],$AS$70)/$AS$72*100%</f>
        <v>0</v>
      </c>
      <c r="AV99" s="66">
        <f>COUNTIFS(TblUniv2016[H4],AV$73,TblUniv2016[Prodi],$AS$70)/$AS$72*100%</f>
        <v>0</v>
      </c>
      <c r="AW99" s="62">
        <f t="shared" si="5"/>
        <v>1</v>
      </c>
    </row>
    <row r="100" spans="2:49" ht="16.5" x14ac:dyDescent="0.3">
      <c r="B100" s="60"/>
      <c r="C100" s="61">
        <f>AVERAGE(C96:C99)</f>
        <v>0.35317460317460314</v>
      </c>
      <c r="D100" s="61">
        <f>AVERAGE(D96:D99)</f>
        <v>0.58730158730158732</v>
      </c>
      <c r="E100" s="61">
        <f>AVERAGE(E96:E99)</f>
        <v>5.5555555555555552E-2</v>
      </c>
      <c r="F100" s="61">
        <f>AVERAGE(F96:F99)</f>
        <v>3.968253968253968E-3</v>
      </c>
      <c r="G100" s="62">
        <f t="shared" si="0"/>
        <v>1</v>
      </c>
      <c r="I100" s="60"/>
      <c r="J100" s="61">
        <f>AVERAGE(J96:J99)</f>
        <v>0.33333333333333331</v>
      </c>
      <c r="K100" s="61">
        <f>AVERAGE(K96:K99)</f>
        <v>0.49999999999999994</v>
      </c>
      <c r="L100" s="61">
        <f>AVERAGE(L96:L99)</f>
        <v>0.16666666666666666</v>
      </c>
      <c r="M100" s="61">
        <f>AVERAGE(M96:M99)</f>
        <v>0</v>
      </c>
      <c r="N100" s="62">
        <f t="shared" si="6"/>
        <v>0.99999999999999989</v>
      </c>
      <c r="P100" s="60"/>
      <c r="Q100" s="61">
        <f>AVERAGE(Q96:Q99)</f>
        <v>0.38297872340425532</v>
      </c>
      <c r="R100" s="61">
        <f>AVERAGE(R96:R99)</f>
        <v>0.5957446808510638</v>
      </c>
      <c r="S100" s="61">
        <f>AVERAGE(S96:S99)</f>
        <v>2.1276595744680851E-2</v>
      </c>
      <c r="T100" s="61">
        <f>AVERAGE(T96:T99)</f>
        <v>0</v>
      </c>
      <c r="U100" s="62">
        <f t="shared" si="1"/>
        <v>1</v>
      </c>
      <c r="W100" s="60"/>
      <c r="X100" s="61">
        <f>AVERAGE(X96:X99)</f>
        <v>0.4375</v>
      </c>
      <c r="Y100" s="61">
        <f>AVERAGE(Y96:Y99)</f>
        <v>0.5625</v>
      </c>
      <c r="Z100" s="61">
        <f>AVERAGE(Z96:Z99)</f>
        <v>0</v>
      </c>
      <c r="AA100" s="61">
        <f>AVERAGE(AA96:AA99)</f>
        <v>0</v>
      </c>
      <c r="AB100" s="62">
        <f t="shared" si="2"/>
        <v>1</v>
      </c>
      <c r="AD100" s="60"/>
      <c r="AE100" s="61">
        <f>AVERAGE(AE96:AE99)</f>
        <v>8.3333333333333329E-2</v>
      </c>
      <c r="AF100" s="61">
        <f>AVERAGE(AF96:AF99)</f>
        <v>0.66666666666666674</v>
      </c>
      <c r="AG100" s="61">
        <f>AVERAGE(AG96:AG99)</f>
        <v>0.25</v>
      </c>
      <c r="AH100" s="61">
        <f>AVERAGE(AH96:AH99)</f>
        <v>0</v>
      </c>
      <c r="AI100" s="62">
        <f t="shared" si="3"/>
        <v>1</v>
      </c>
      <c r="AK100" s="60"/>
      <c r="AL100" s="61">
        <f>AVERAGE(AL96:AL99)</f>
        <v>0.25</v>
      </c>
      <c r="AM100" s="61">
        <f>AVERAGE(AM96:AM99)</f>
        <v>0.75</v>
      </c>
      <c r="AN100" s="61">
        <f>AVERAGE(AN96:AN99)</f>
        <v>0</v>
      </c>
      <c r="AO100" s="61">
        <f>AVERAGE(AO96:AO99)</f>
        <v>0</v>
      </c>
      <c r="AP100" s="62">
        <f t="shared" si="4"/>
        <v>1</v>
      </c>
      <c r="AR100" s="60"/>
      <c r="AS100" s="61">
        <f>AVERAGE(AS96:AS99)</f>
        <v>0.625</v>
      </c>
      <c r="AT100" s="61">
        <f>AVERAGE(AT96:AT99)</f>
        <v>0.375</v>
      </c>
      <c r="AU100" s="61">
        <f>AVERAGE(AU96:AU99)</f>
        <v>0</v>
      </c>
      <c r="AV100" s="61">
        <f>AVERAGE(AV96:AV99)</f>
        <v>0</v>
      </c>
      <c r="AW100" s="62">
        <f t="shared" si="5"/>
        <v>1</v>
      </c>
    </row>
    <row r="101" spans="2:49" ht="16.5" x14ac:dyDescent="0.3">
      <c r="B101" s="57" t="s">
        <v>648</v>
      </c>
      <c r="C101" s="66">
        <f>COUNTIFS(TblUniv2016[I. a1],C$73)/$C$72*100%</f>
        <v>0.33333333333333331</v>
      </c>
      <c r="D101" s="66">
        <f>COUNTIFS(TblUniv2016[I. a1],D$73)/$C$72*100%</f>
        <v>0.65079365079365081</v>
      </c>
      <c r="E101" s="66">
        <f>COUNTIFS(TblUniv2016[I. a1],E$73)/$C$72*100%</f>
        <v>1.5873015873015872E-2</v>
      </c>
      <c r="F101" s="66">
        <f>COUNTIFS(TblUniv2016[I. a1],F$73)/$C$72*100%</f>
        <v>0</v>
      </c>
      <c r="G101" s="62">
        <f t="shared" si="0"/>
        <v>1</v>
      </c>
      <c r="I101" s="57" t="s">
        <v>648</v>
      </c>
      <c r="J101" s="66">
        <f>COUNTIFS(TblUniv2016[I. a1],J$73,TblUniv2016[Prodi],$J$70)/$J$72*100%</f>
        <v>0.33333333333333331</v>
      </c>
      <c r="K101" s="66">
        <f>COUNTIFS(TblUniv2016[I. a1],K$73,TblUniv2016[Prodi],$J$70)/$J$72*100%</f>
        <v>0.66666666666666663</v>
      </c>
      <c r="L101" s="66">
        <f>COUNTIFS(TblUniv2016[I. a1],L$73,TblUniv2016[Prodi],$J$70)/$J$72*100%</f>
        <v>0</v>
      </c>
      <c r="M101" s="66">
        <f>COUNTIFS(TblUniv2016[I. a1],M$73,TblUniv2016[Prodi],$J$70)/$J$72*100%</f>
        <v>0</v>
      </c>
      <c r="N101" s="62">
        <f t="shared" si="6"/>
        <v>1</v>
      </c>
      <c r="P101" s="57" t="s">
        <v>648</v>
      </c>
      <c r="Q101" s="66">
        <f>COUNTIFS(TblUniv2016[I. a1],Q$73,TblUniv2016[Prodi],$Q$70)/$Q$72*100%</f>
        <v>0.36170212765957449</v>
      </c>
      <c r="R101" s="66">
        <f>COUNTIFS(TblUniv2016[I. a1],R$73,TblUniv2016[Prodi],$Q$70)/$Q$72*100%</f>
        <v>0.63829787234042556</v>
      </c>
      <c r="S101" s="66">
        <f>COUNTIFS(TblUniv2016[I. a1],S$73,TblUniv2016[Prodi],$Q$70)/$Q$72*100%</f>
        <v>0</v>
      </c>
      <c r="T101" s="66">
        <f>COUNTIFS(TblUniv2016[I. a1],T$73,TblUniv2016[Prodi],$Q$70)/$Q$72*100%</f>
        <v>0</v>
      </c>
      <c r="U101" s="62">
        <f t="shared" si="1"/>
        <v>1</v>
      </c>
      <c r="W101" s="57" t="s">
        <v>648</v>
      </c>
      <c r="X101" s="66">
        <f>COUNTIFS(TblUniv2016[I. a1],X$73,TblUniv2016[Prodi],$X$70)/$X$72*100%</f>
        <v>0.25</v>
      </c>
      <c r="Y101" s="66">
        <f>COUNTIFS(TblUniv2016[I. a1],Y$73,TblUniv2016[Prodi],$X$70)/$X$72*100%</f>
        <v>0.75</v>
      </c>
      <c r="Z101" s="66">
        <f>COUNTIFS(TblUniv2016[I. a1],Z$73,TblUniv2016[Prodi],$X$70)/$X$72*100%</f>
        <v>0</v>
      </c>
      <c r="AA101" s="66">
        <f>COUNTIFS(TblUniv2016[I. a1],AA$73,TblUniv2016[Prodi],$X$70)/$X$72*100%</f>
        <v>0</v>
      </c>
      <c r="AB101" s="62">
        <f t="shared" si="2"/>
        <v>1</v>
      </c>
      <c r="AD101" s="57" t="s">
        <v>648</v>
      </c>
      <c r="AE101" s="66">
        <f>COUNTIFS(TblUniv2016[I. a1],AE$73,TblUniv2016[Prodi],$AE$70)/$AE$72*100%</f>
        <v>0</v>
      </c>
      <c r="AF101" s="66">
        <f>COUNTIFS(TblUniv2016[I. a1],AF$73,TblUniv2016[Prodi],$AE$70)/$AE$72*100%</f>
        <v>0.83333333333333337</v>
      </c>
      <c r="AG101" s="66">
        <f>COUNTIFS(TblUniv2016[I. a1],AG$73,TblUniv2016[Prodi],$AE$70)/$AE$72*100%</f>
        <v>0.16666666666666666</v>
      </c>
      <c r="AH101" s="66">
        <f>COUNTIFS(TblUniv2016[I. a1],AH$73,TblUniv2016[Prodi],$AE$70)/$AE$72*100%</f>
        <v>0</v>
      </c>
      <c r="AI101" s="62">
        <f t="shared" si="3"/>
        <v>1</v>
      </c>
      <c r="AK101" s="57" t="s">
        <v>648</v>
      </c>
      <c r="AL101" s="66">
        <f>COUNTIFS(TblUniv2016[I. a1],AL$73,TblUniv2016[Prodi],$AL$70)/$AL$72*100%</f>
        <v>1</v>
      </c>
      <c r="AM101" s="66">
        <f>COUNTIFS(TblUniv2016[I. a1],AM$73,TblUniv2016[Prodi],$AL$70)/$AL$72*100%</f>
        <v>0</v>
      </c>
      <c r="AN101" s="66">
        <f>COUNTIFS(TblUniv2016[I. a1],AN$73,TblUniv2016[Prodi],$AL$70)/$AL$72*100%</f>
        <v>0</v>
      </c>
      <c r="AO101" s="66">
        <f>COUNTIFS(TblUniv2016[I. a1],AO$73,TblUniv2016[Prodi],$AL$70)/$AL$72*100%</f>
        <v>0</v>
      </c>
      <c r="AP101" s="62">
        <f t="shared" si="4"/>
        <v>1</v>
      </c>
      <c r="AR101" s="57" t="s">
        <v>648</v>
      </c>
      <c r="AS101" s="66">
        <f>COUNTIFS(TblUniv2016[I. a1],AS$73,TblUniv2016[Prodi],$AS$70)/$AS$72*100%</f>
        <v>0.5</v>
      </c>
      <c r="AT101" s="66">
        <f>COUNTIFS(TblUniv2016[I. a1],AT$73,TblUniv2016[Prodi],$AS$70)/$AS$72*100%</f>
        <v>0.5</v>
      </c>
      <c r="AU101" s="66">
        <f>COUNTIFS(TblUniv2016[I. a1],AU$73,TblUniv2016[Prodi],$AS$70)/$AS$72*100%</f>
        <v>0</v>
      </c>
      <c r="AV101" s="66">
        <f>COUNTIFS(TblUniv2016[I. a1],AV$73,TblUniv2016[Prodi],$AS$70)/$AS$72*100%</f>
        <v>0</v>
      </c>
      <c r="AW101" s="62">
        <f t="shared" si="5"/>
        <v>1</v>
      </c>
    </row>
    <row r="102" spans="2:49" ht="16.5" x14ac:dyDescent="0.3">
      <c r="B102" s="57" t="s">
        <v>649</v>
      </c>
      <c r="C102" s="66">
        <f>COUNTIFS(TblUniv2016[I. a2],C$73)/$C$72*100%</f>
        <v>0.30158730158730157</v>
      </c>
      <c r="D102" s="66">
        <f>COUNTIFS(TblUniv2016[I. a2],D$73)/$C$72*100%</f>
        <v>0.63492063492063489</v>
      </c>
      <c r="E102" s="66">
        <f>COUNTIFS(TblUniv2016[I. a2],E$73)/$C$72*100%</f>
        <v>6.3492063492063489E-2</v>
      </c>
      <c r="F102" s="66">
        <f>COUNTIFS(TblUniv2016[I. a2],F$73)/$C$72*100%</f>
        <v>0</v>
      </c>
      <c r="G102" s="62">
        <f t="shared" si="0"/>
        <v>1</v>
      </c>
      <c r="I102" s="57" t="s">
        <v>649</v>
      </c>
      <c r="J102" s="66">
        <f>COUNTIFS(TblUniv2016[I. a2],J$73,TblUniv2016[Prodi],$J$70)/$J$72*100%</f>
        <v>0.33333333333333331</v>
      </c>
      <c r="K102" s="66">
        <f>COUNTIFS(TblUniv2016[I. a2],K$73,TblUniv2016[Prodi],$J$70)/$J$72*100%</f>
        <v>0.66666666666666663</v>
      </c>
      <c r="L102" s="66">
        <f>COUNTIFS(TblUniv2016[I. a2],L$73,TblUniv2016[Prodi],$J$70)/$J$72*100%</f>
        <v>0</v>
      </c>
      <c r="M102" s="66">
        <f>COUNTIFS(TblUniv2016[I. a2],M$73,TblUniv2016[Prodi],$J$70)/$J$72*100%</f>
        <v>0</v>
      </c>
      <c r="N102" s="62">
        <f t="shared" si="6"/>
        <v>1</v>
      </c>
      <c r="P102" s="57" t="s">
        <v>649</v>
      </c>
      <c r="Q102" s="66">
        <f>COUNTIFS(TblUniv2016[I. a2],Q$73,TblUniv2016[Prodi],$Q$70)/$Q$72*100%</f>
        <v>0.2978723404255319</v>
      </c>
      <c r="R102" s="66">
        <f>COUNTIFS(TblUniv2016[I. a2],R$73,TblUniv2016[Prodi],$Q$70)/$Q$72*100%</f>
        <v>0.68085106382978722</v>
      </c>
      <c r="S102" s="66">
        <f>COUNTIFS(TblUniv2016[I. a2],S$73,TblUniv2016[Prodi],$Q$70)/$Q$72*100%</f>
        <v>2.1276595744680851E-2</v>
      </c>
      <c r="T102" s="66">
        <f>COUNTIFS(TblUniv2016[I. a2],T$73,TblUniv2016[Prodi],$Q$70)/$Q$72*100%</f>
        <v>0</v>
      </c>
      <c r="U102" s="62">
        <f t="shared" si="1"/>
        <v>1</v>
      </c>
      <c r="W102" s="57" t="s">
        <v>649</v>
      </c>
      <c r="X102" s="66">
        <f>COUNTIFS(TblUniv2016[I. a2],X$73,TblUniv2016[Prodi],$X$70)/$X$72*100%</f>
        <v>0.5</v>
      </c>
      <c r="Y102" s="66">
        <f>COUNTIFS(TblUniv2016[I. a2],Y$73,TblUniv2016[Prodi],$X$70)/$X$72*100%</f>
        <v>0.5</v>
      </c>
      <c r="Z102" s="66">
        <f>COUNTIFS(TblUniv2016[I. a2],Z$73,TblUniv2016[Prodi],$X$70)/$X$72*100%</f>
        <v>0</v>
      </c>
      <c r="AA102" s="66">
        <f>COUNTIFS(TblUniv2016[I. a2],AA$73,TblUniv2016[Prodi],$X$70)/$X$72*100%</f>
        <v>0</v>
      </c>
      <c r="AB102" s="62">
        <f t="shared" si="2"/>
        <v>1</v>
      </c>
      <c r="AD102" s="57" t="s">
        <v>649</v>
      </c>
      <c r="AE102" s="66">
        <f>COUNTIFS(TblUniv2016[I. a2],AE$73,TblUniv2016[Prodi],$AE$70)/$AE$72*100%</f>
        <v>0</v>
      </c>
      <c r="AF102" s="66">
        <f>COUNTIFS(TblUniv2016[I. a2],AF$73,TblUniv2016[Prodi],$AE$70)/$AE$72*100%</f>
        <v>0.66666666666666663</v>
      </c>
      <c r="AG102" s="66">
        <f>COUNTIFS(TblUniv2016[I. a2],AG$73,TblUniv2016[Prodi],$AE$70)/$AE$72*100%</f>
        <v>0.33333333333333331</v>
      </c>
      <c r="AH102" s="66">
        <f>COUNTIFS(TblUniv2016[I. a2],AH$73,TblUniv2016[Prodi],$AE$70)/$AE$72*100%</f>
        <v>0</v>
      </c>
      <c r="AI102" s="62">
        <f t="shared" si="3"/>
        <v>1</v>
      </c>
      <c r="AK102" s="57" t="s">
        <v>649</v>
      </c>
      <c r="AL102" s="66">
        <f>COUNTIFS(TblUniv2016[I. a2],AL$73,TblUniv2016[Prodi],$AL$70)/$AL$72*100%</f>
        <v>1</v>
      </c>
      <c r="AM102" s="66">
        <f>COUNTIFS(TblUniv2016[I. a2],AM$73,TblUniv2016[Prodi],$AL$70)/$AL$72*100%</f>
        <v>0</v>
      </c>
      <c r="AN102" s="66">
        <f>COUNTIFS(TblUniv2016[I. a2],AN$73,TblUniv2016[Prodi],$AL$70)/$AL$72*100%</f>
        <v>0</v>
      </c>
      <c r="AO102" s="66">
        <f>COUNTIFS(TblUniv2016[I. a2],AO$73,TblUniv2016[Prodi],$AL$70)/$AL$72*100%</f>
        <v>0</v>
      </c>
      <c r="AP102" s="62">
        <f t="shared" si="4"/>
        <v>1</v>
      </c>
      <c r="AR102" s="57" t="s">
        <v>649</v>
      </c>
      <c r="AS102" s="66">
        <f>COUNTIFS(TblUniv2016[I. a2],AS$73,TblUniv2016[Prodi],$AS$70)/$AS$72*100%</f>
        <v>0.5</v>
      </c>
      <c r="AT102" s="66">
        <f>COUNTIFS(TblUniv2016[I. a2],AT$73,TblUniv2016[Prodi],$AS$70)/$AS$72*100%</f>
        <v>0</v>
      </c>
      <c r="AU102" s="66">
        <f>COUNTIFS(TblUniv2016[I. a2],AU$73,TblUniv2016[Prodi],$AS$70)/$AS$72*100%</f>
        <v>0.5</v>
      </c>
      <c r="AV102" s="66">
        <f>COUNTIFS(TblUniv2016[I. a2],AV$73,TblUniv2016[Prodi],$AS$70)/$AS$72*100%</f>
        <v>0</v>
      </c>
      <c r="AW102" s="62">
        <f t="shared" si="5"/>
        <v>1</v>
      </c>
    </row>
    <row r="103" spans="2:49" ht="16.5" x14ac:dyDescent="0.3">
      <c r="B103" s="57" t="s">
        <v>650</v>
      </c>
      <c r="C103" s="66">
        <f>COUNTIFS(TblUniv2016[I. a3],C$73)/$C$72*100%</f>
        <v>0.41269841269841268</v>
      </c>
      <c r="D103" s="66">
        <f>COUNTIFS(TblUniv2016[I. a3],D$73)/$C$72*100%</f>
        <v>0.58730158730158732</v>
      </c>
      <c r="E103" s="66">
        <f>COUNTIFS(TblUniv2016[I. a3],E$73)/$C$72*100%</f>
        <v>0</v>
      </c>
      <c r="F103" s="66">
        <f>COUNTIFS(TblUniv2016[I. a3],F$73)/$C$72*100%</f>
        <v>0</v>
      </c>
      <c r="G103" s="62">
        <f t="shared" si="0"/>
        <v>1</v>
      </c>
      <c r="I103" s="57" t="s">
        <v>650</v>
      </c>
      <c r="J103" s="66">
        <f>COUNTIFS(TblUniv2016[I. a3],J$73,TblUniv2016[Prodi],$J$70)/$J$72*100%</f>
        <v>0.66666666666666663</v>
      </c>
      <c r="K103" s="66">
        <f>COUNTIFS(TblUniv2016[I. a3],K$73,TblUniv2016[Prodi],$J$70)/$J$72*100%</f>
        <v>0.33333333333333331</v>
      </c>
      <c r="L103" s="66">
        <f>COUNTIFS(TblUniv2016[I. a3],L$73,TblUniv2016[Prodi],$J$70)/$J$72*100%</f>
        <v>0</v>
      </c>
      <c r="M103" s="66">
        <f>COUNTIFS(TblUniv2016[I. a3],M$73,TblUniv2016[Prodi],$J$70)/$J$72*100%</f>
        <v>0</v>
      </c>
      <c r="N103" s="62">
        <f t="shared" si="6"/>
        <v>1</v>
      </c>
      <c r="P103" s="57" t="s">
        <v>650</v>
      </c>
      <c r="Q103" s="66">
        <f>COUNTIFS(TblUniv2016[I. a3],Q$73,TblUniv2016[Prodi],$Q$70)/$Q$72*100%</f>
        <v>0.42553191489361702</v>
      </c>
      <c r="R103" s="66">
        <f>COUNTIFS(TblUniv2016[I. a3],R$73,TblUniv2016[Prodi],$Q$70)/$Q$72*100%</f>
        <v>0.57446808510638303</v>
      </c>
      <c r="S103" s="66">
        <f>COUNTIFS(TblUniv2016[I. a3],S$73,TblUniv2016[Prodi],$Q$70)/$Q$72*100%</f>
        <v>0</v>
      </c>
      <c r="T103" s="66">
        <f>COUNTIFS(TblUniv2016[I. a3],T$73,TblUniv2016[Prodi],$Q$70)/$Q$72*100%</f>
        <v>0</v>
      </c>
      <c r="U103" s="62">
        <f t="shared" si="1"/>
        <v>1</v>
      </c>
      <c r="W103" s="57" t="s">
        <v>650</v>
      </c>
      <c r="X103" s="66">
        <f>COUNTIFS(TblUniv2016[I. a3],X$73,TblUniv2016[Prodi],$X$70)/$X$72*100%</f>
        <v>0.25</v>
      </c>
      <c r="Y103" s="66">
        <f>COUNTIFS(TblUniv2016[I. a3],Y$73,TblUniv2016[Prodi],$X$70)/$X$72*100%</f>
        <v>0.75</v>
      </c>
      <c r="Z103" s="66">
        <f>COUNTIFS(TblUniv2016[I. a3],Z$73,TblUniv2016[Prodi],$X$70)/$X$72*100%</f>
        <v>0</v>
      </c>
      <c r="AA103" s="66">
        <f>COUNTIFS(TblUniv2016[I. a3],AA$73,TblUniv2016[Prodi],$X$70)/$X$72*100%</f>
        <v>0</v>
      </c>
      <c r="AB103" s="62">
        <f t="shared" si="2"/>
        <v>1</v>
      </c>
      <c r="AD103" s="57" t="s">
        <v>650</v>
      </c>
      <c r="AE103" s="66">
        <f>COUNTIFS(TblUniv2016[I. a3],AE$73,TblUniv2016[Prodi],$AE$70)/$AE$72*100%</f>
        <v>0.16666666666666666</v>
      </c>
      <c r="AF103" s="66">
        <f>COUNTIFS(TblUniv2016[I. a3],AF$73,TblUniv2016[Prodi],$AE$70)/$AE$72*100%</f>
        <v>0.83333333333333337</v>
      </c>
      <c r="AG103" s="66">
        <f>COUNTIFS(TblUniv2016[I. a3],AG$73,TblUniv2016[Prodi],$AE$70)/$AE$72*100%</f>
        <v>0</v>
      </c>
      <c r="AH103" s="66">
        <f>COUNTIFS(TblUniv2016[I. a3],AH$73,TblUniv2016[Prodi],$AE$70)/$AE$72*100%</f>
        <v>0</v>
      </c>
      <c r="AI103" s="62">
        <f t="shared" si="3"/>
        <v>1</v>
      </c>
      <c r="AK103" s="57" t="s">
        <v>650</v>
      </c>
      <c r="AL103" s="66">
        <f>COUNTIFS(TblUniv2016[I. a3],AL$73,TblUniv2016[Prodi],$AL$70)/$AL$72*100%</f>
        <v>0</v>
      </c>
      <c r="AM103" s="66">
        <f>COUNTIFS(TblUniv2016[I. a3],AM$73,TblUniv2016[Prodi],$AL$70)/$AL$72*100%</f>
        <v>1</v>
      </c>
      <c r="AN103" s="66">
        <f>COUNTIFS(TblUniv2016[I. a3],AN$73,TblUniv2016[Prodi],$AL$70)/$AL$72*100%</f>
        <v>0</v>
      </c>
      <c r="AO103" s="66">
        <f>COUNTIFS(TblUniv2016[I. a3],AO$73,TblUniv2016[Prodi],$AL$70)/$AL$72*100%</f>
        <v>0</v>
      </c>
      <c r="AP103" s="62">
        <f t="shared" si="4"/>
        <v>1</v>
      </c>
      <c r="AR103" s="57" t="s">
        <v>650</v>
      </c>
      <c r="AS103" s="66">
        <f>COUNTIFS(TblUniv2016[I. a3],AS$73,TblUniv2016[Prodi],$AS$70)/$AS$72*100%</f>
        <v>1</v>
      </c>
      <c r="AT103" s="66">
        <f>COUNTIFS(TblUniv2016[I. a3],AT$73,TblUniv2016[Prodi],$AS$70)/$AS$72*100%</f>
        <v>0</v>
      </c>
      <c r="AU103" s="66">
        <f>COUNTIFS(TblUniv2016[I. a3],AU$73,TblUniv2016[Prodi],$AS$70)/$AS$72*100%</f>
        <v>0</v>
      </c>
      <c r="AV103" s="66">
        <f>COUNTIFS(TblUniv2016[I. a3],AV$73,TblUniv2016[Prodi],$AS$70)/$AS$72*100%</f>
        <v>0</v>
      </c>
      <c r="AW103" s="62">
        <f t="shared" si="5"/>
        <v>1</v>
      </c>
    </row>
    <row r="104" spans="2:49" ht="16.5" x14ac:dyDescent="0.3">
      <c r="B104" s="57" t="s">
        <v>651</v>
      </c>
      <c r="C104" s="66">
        <f>COUNTIFS(TblUniv2016[I. a4],C$73)/$C$72*100%</f>
        <v>0.38095238095238093</v>
      </c>
      <c r="D104" s="66">
        <f>COUNTIFS(TblUniv2016[I. a4],D$73)/$C$72*100%</f>
        <v>0.5714285714285714</v>
      </c>
      <c r="E104" s="66">
        <f>COUNTIFS(TblUniv2016[I. a4],E$73)/$C$72*100%</f>
        <v>4.7619047619047616E-2</v>
      </c>
      <c r="F104" s="66">
        <f>COUNTIFS(TblUniv2016[I. a4],F$73)/$C$72*100%</f>
        <v>0</v>
      </c>
      <c r="G104" s="62">
        <f t="shared" si="0"/>
        <v>1</v>
      </c>
      <c r="I104" s="57" t="s">
        <v>651</v>
      </c>
      <c r="J104" s="66">
        <f>COUNTIFS(TblUniv2016[I. a4],J$73,TblUniv2016[Prodi],$J$70)/$J$72*100%</f>
        <v>0.33333333333333331</v>
      </c>
      <c r="K104" s="66">
        <f>COUNTIFS(TblUniv2016[I. a4],K$73,TblUniv2016[Prodi],$J$70)/$J$72*100%</f>
        <v>0.66666666666666663</v>
      </c>
      <c r="L104" s="66">
        <f>COUNTIFS(TblUniv2016[I. a4],L$73,TblUniv2016[Prodi],$J$70)/$J$72*100%</f>
        <v>0</v>
      </c>
      <c r="M104" s="66">
        <f>COUNTIFS(TblUniv2016[I. a4],M$73,TblUniv2016[Prodi],$J$70)/$J$72*100%</f>
        <v>0</v>
      </c>
      <c r="N104" s="62">
        <f t="shared" si="6"/>
        <v>1</v>
      </c>
      <c r="P104" s="57" t="s">
        <v>651</v>
      </c>
      <c r="Q104" s="66">
        <f>COUNTIFS(TblUniv2016[I. a4],Q$73,TblUniv2016[Prodi],$Q$70)/$Q$72*100%</f>
        <v>0.42553191489361702</v>
      </c>
      <c r="R104" s="66">
        <f>COUNTIFS(TblUniv2016[I. a4],R$73,TblUniv2016[Prodi],$Q$70)/$Q$72*100%</f>
        <v>0.55319148936170215</v>
      </c>
      <c r="S104" s="66">
        <f>COUNTIFS(TblUniv2016[I. a4],S$73,TblUniv2016[Prodi],$Q$70)/$Q$72*100%</f>
        <v>2.1276595744680851E-2</v>
      </c>
      <c r="T104" s="66">
        <f>COUNTIFS(TblUniv2016[I. a4],T$73,TblUniv2016[Prodi],$Q$70)/$Q$72*100%</f>
        <v>0</v>
      </c>
      <c r="U104" s="62">
        <f t="shared" si="1"/>
        <v>1</v>
      </c>
      <c r="W104" s="57" t="s">
        <v>651</v>
      </c>
      <c r="X104" s="66">
        <f>COUNTIFS(TblUniv2016[I. a4],X$73,TblUniv2016[Prodi],$X$70)/$X$72*100%</f>
        <v>0.25</v>
      </c>
      <c r="Y104" s="66">
        <f>COUNTIFS(TblUniv2016[I. a4],Y$73,TblUniv2016[Prodi],$X$70)/$X$72*100%</f>
        <v>0.75</v>
      </c>
      <c r="Z104" s="66">
        <f>COUNTIFS(TblUniv2016[I. a4],Z$73,TblUniv2016[Prodi],$X$70)/$X$72*100%</f>
        <v>0</v>
      </c>
      <c r="AA104" s="66">
        <f>COUNTIFS(TblUniv2016[I. a4],AA$73,TblUniv2016[Prodi],$X$70)/$X$72*100%</f>
        <v>0</v>
      </c>
      <c r="AB104" s="62">
        <f t="shared" si="2"/>
        <v>1</v>
      </c>
      <c r="AD104" s="57" t="s">
        <v>651</v>
      </c>
      <c r="AE104" s="66">
        <f>COUNTIFS(TblUniv2016[I. a4],AE$73,TblUniv2016[Prodi],$AE$70)/$AE$72*100%</f>
        <v>0.16666666666666666</v>
      </c>
      <c r="AF104" s="66">
        <f>COUNTIFS(TblUniv2016[I. a4],AF$73,TblUniv2016[Prodi],$AE$70)/$AE$72*100%</f>
        <v>0.5</v>
      </c>
      <c r="AG104" s="66">
        <f>COUNTIFS(TblUniv2016[I. a4],AG$73,TblUniv2016[Prodi],$AE$70)/$AE$72*100%</f>
        <v>0.33333333333333331</v>
      </c>
      <c r="AH104" s="66">
        <f>COUNTIFS(TblUniv2016[I. a4],AH$73,TblUniv2016[Prodi],$AE$70)/$AE$72*100%</f>
        <v>0</v>
      </c>
      <c r="AI104" s="62">
        <f t="shared" si="3"/>
        <v>1</v>
      </c>
      <c r="AK104" s="57" t="s">
        <v>651</v>
      </c>
      <c r="AL104" s="66">
        <f>COUNTIFS(TblUniv2016[I. a4],AL$73,TblUniv2016[Prodi],$AL$70)/$AL$72*100%</f>
        <v>0</v>
      </c>
      <c r="AM104" s="66">
        <f>COUNTIFS(TblUniv2016[I. a4],AM$73,TblUniv2016[Prodi],$AL$70)/$AL$72*100%</f>
        <v>1</v>
      </c>
      <c r="AN104" s="66">
        <f>COUNTIFS(TblUniv2016[I. a4],AN$73,TblUniv2016[Prodi],$AL$70)/$AL$72*100%</f>
        <v>0</v>
      </c>
      <c r="AO104" s="66">
        <f>COUNTIFS(TblUniv2016[I. a4],AO$73,TblUniv2016[Prodi],$AL$70)/$AL$72*100%</f>
        <v>0</v>
      </c>
      <c r="AP104" s="62">
        <f t="shared" si="4"/>
        <v>1</v>
      </c>
      <c r="AR104" s="57" t="s">
        <v>651</v>
      </c>
      <c r="AS104" s="66">
        <f>COUNTIFS(TblUniv2016[I. a4],AS$73,TblUniv2016[Prodi],$AS$70)/$AS$72*100%</f>
        <v>0.5</v>
      </c>
      <c r="AT104" s="66">
        <f>COUNTIFS(TblUniv2016[I. a4],AT$73,TblUniv2016[Prodi],$AS$70)/$AS$72*100%</f>
        <v>0.5</v>
      </c>
      <c r="AU104" s="66">
        <f>COUNTIFS(TblUniv2016[I. a4],AU$73,TblUniv2016[Prodi],$AS$70)/$AS$72*100%</f>
        <v>0</v>
      </c>
      <c r="AV104" s="66">
        <f>COUNTIFS(TblUniv2016[I. a4],AV$73,TblUniv2016[Prodi],$AS$70)/$AS$72*100%</f>
        <v>0</v>
      </c>
      <c r="AW104" s="62">
        <f t="shared" si="5"/>
        <v>1</v>
      </c>
    </row>
    <row r="105" spans="2:49" ht="16.5" x14ac:dyDescent="0.3">
      <c r="B105" s="57" t="s">
        <v>652</v>
      </c>
      <c r="C105" s="66">
        <f>COUNTIFS(TblUniv2016[I. a5],C$73)/$C$72*100%</f>
        <v>0.38095238095238093</v>
      </c>
      <c r="D105" s="66">
        <f>COUNTIFS(TblUniv2016[I. a5],D$73)/$C$72*100%</f>
        <v>0.5714285714285714</v>
      </c>
      <c r="E105" s="66">
        <f>COUNTIFS(TblUniv2016[I. a5],E$73)/$C$72*100%</f>
        <v>4.7619047619047616E-2</v>
      </c>
      <c r="F105" s="66">
        <f>COUNTIFS(TblUniv2016[I. a5],F$73)/$C$72*100%</f>
        <v>0</v>
      </c>
      <c r="G105" s="62">
        <f t="shared" si="0"/>
        <v>1</v>
      </c>
      <c r="I105" s="57" t="s">
        <v>652</v>
      </c>
      <c r="J105" s="66">
        <f>COUNTIFS(TblUniv2016[I. a5],J$73,TblUniv2016[Prodi],$J$70)/$J$72*100%</f>
        <v>0.33333333333333331</v>
      </c>
      <c r="K105" s="66">
        <f>COUNTIFS(TblUniv2016[I. a5],K$73,TblUniv2016[Prodi],$J$70)/$J$72*100%</f>
        <v>0.66666666666666663</v>
      </c>
      <c r="L105" s="66">
        <f>COUNTIFS(TblUniv2016[I. a5],L$73,TblUniv2016[Prodi],$J$70)/$J$72*100%</f>
        <v>0</v>
      </c>
      <c r="M105" s="66">
        <f>COUNTIFS(TblUniv2016[I. a5],M$73,TblUniv2016[Prodi],$J$70)/$J$72*100%</f>
        <v>0</v>
      </c>
      <c r="N105" s="62">
        <f t="shared" si="6"/>
        <v>1</v>
      </c>
      <c r="P105" s="57" t="s">
        <v>652</v>
      </c>
      <c r="Q105" s="66">
        <f>COUNTIFS(TblUniv2016[I. a5],Q$73,TblUniv2016[Prodi],$Q$70)/$Q$72*100%</f>
        <v>0.42553191489361702</v>
      </c>
      <c r="R105" s="66">
        <f>COUNTIFS(TblUniv2016[I. a5],R$73,TblUniv2016[Prodi],$Q$70)/$Q$72*100%</f>
        <v>0.57446808510638303</v>
      </c>
      <c r="S105" s="66">
        <f>COUNTIFS(TblUniv2016[I. a5],S$73,TblUniv2016[Prodi],$Q$70)/$Q$72*100%</f>
        <v>0</v>
      </c>
      <c r="T105" s="66">
        <f>COUNTIFS(TblUniv2016[I. a5],T$73,TblUniv2016[Prodi],$Q$70)/$Q$72*100%</f>
        <v>0</v>
      </c>
      <c r="U105" s="62">
        <f t="shared" si="1"/>
        <v>1</v>
      </c>
      <c r="W105" s="57" t="s">
        <v>652</v>
      </c>
      <c r="X105" s="66">
        <f>COUNTIFS(TblUniv2016[I. a5],X$73,TblUniv2016[Prodi],$X$70)/$X$72*100%</f>
        <v>0.25</v>
      </c>
      <c r="Y105" s="66">
        <f>COUNTIFS(TblUniv2016[I. a5],Y$73,TblUniv2016[Prodi],$X$70)/$X$72*100%</f>
        <v>0.75</v>
      </c>
      <c r="Z105" s="66">
        <f>COUNTIFS(TblUniv2016[I. a5],Z$73,TblUniv2016[Prodi],$X$70)/$X$72*100%</f>
        <v>0</v>
      </c>
      <c r="AA105" s="66">
        <f>COUNTIFS(TblUniv2016[I. a5],AA$73,TblUniv2016[Prodi],$X$70)/$X$72*100%</f>
        <v>0</v>
      </c>
      <c r="AB105" s="62">
        <f t="shared" si="2"/>
        <v>1</v>
      </c>
      <c r="AD105" s="57" t="s">
        <v>652</v>
      </c>
      <c r="AE105" s="66">
        <f>COUNTIFS(TblUniv2016[I. a5],AE$73,TblUniv2016[Prodi],$AE$70)/$AE$72*100%</f>
        <v>0</v>
      </c>
      <c r="AF105" s="66">
        <f>COUNTIFS(TblUniv2016[I. a5],AF$73,TblUniv2016[Prodi],$AE$70)/$AE$72*100%</f>
        <v>0.5</v>
      </c>
      <c r="AG105" s="66">
        <f>COUNTIFS(TblUniv2016[I. a5],AG$73,TblUniv2016[Prodi],$AE$70)/$AE$72*100%</f>
        <v>0.5</v>
      </c>
      <c r="AH105" s="66">
        <f>COUNTIFS(TblUniv2016[I. a5],AH$73,TblUniv2016[Prodi],$AE$70)/$AE$72*100%</f>
        <v>0</v>
      </c>
      <c r="AI105" s="62">
        <f t="shared" si="3"/>
        <v>1</v>
      </c>
      <c r="AK105" s="57" t="s">
        <v>652</v>
      </c>
      <c r="AL105" s="66">
        <f>COUNTIFS(TblUniv2016[I. a5],AL$73,TblUniv2016[Prodi],$AL$70)/$AL$72*100%</f>
        <v>0</v>
      </c>
      <c r="AM105" s="66">
        <f>COUNTIFS(TblUniv2016[I. a5],AM$73,TblUniv2016[Prodi],$AL$70)/$AL$72*100%</f>
        <v>1</v>
      </c>
      <c r="AN105" s="66">
        <f>COUNTIFS(TblUniv2016[I. a5],AN$73,TblUniv2016[Prodi],$AL$70)/$AL$72*100%</f>
        <v>0</v>
      </c>
      <c r="AO105" s="66">
        <f>COUNTIFS(TblUniv2016[I. a5],AO$73,TblUniv2016[Prodi],$AL$70)/$AL$72*100%</f>
        <v>0</v>
      </c>
      <c r="AP105" s="62">
        <f t="shared" si="4"/>
        <v>1</v>
      </c>
      <c r="AR105" s="57" t="s">
        <v>652</v>
      </c>
      <c r="AS105" s="66">
        <f>COUNTIFS(TblUniv2016[I. a5],AS$73,TblUniv2016[Prodi],$AS$70)/$AS$72*100%</f>
        <v>1</v>
      </c>
      <c r="AT105" s="66">
        <f>COUNTIFS(TblUniv2016[I. a5],AT$73,TblUniv2016[Prodi],$AS$70)/$AS$72*100%</f>
        <v>0</v>
      </c>
      <c r="AU105" s="66">
        <f>COUNTIFS(TblUniv2016[I. a5],AU$73,TblUniv2016[Prodi],$AS$70)/$AS$72*100%</f>
        <v>0</v>
      </c>
      <c r="AV105" s="66">
        <f>COUNTIFS(TblUniv2016[I. a5],AV$73,TblUniv2016[Prodi],$AS$70)/$AS$72*100%</f>
        <v>0</v>
      </c>
      <c r="AW105" s="62">
        <f t="shared" si="5"/>
        <v>1</v>
      </c>
    </row>
    <row r="106" spans="2:49" ht="16.5" x14ac:dyDescent="0.3">
      <c r="B106" s="60"/>
      <c r="C106" s="61">
        <f>AVERAGE(C101:C105)</f>
        <v>0.36190476190476184</v>
      </c>
      <c r="D106" s="61">
        <f>AVERAGE(D101:D105)</f>
        <v>0.60317460317460314</v>
      </c>
      <c r="E106" s="61">
        <f>AVERAGE(E101:E105)</f>
        <v>3.4920634920634921E-2</v>
      </c>
      <c r="F106" s="61">
        <f>AVERAGE(F101:F105)</f>
        <v>0</v>
      </c>
      <c r="G106" s="62">
        <f t="shared" si="0"/>
        <v>0.99999999999999989</v>
      </c>
      <c r="I106" s="60"/>
      <c r="J106" s="61">
        <f>AVERAGE(J101:J105)</f>
        <v>0.39999999999999997</v>
      </c>
      <c r="K106" s="61">
        <f>AVERAGE(K101:K105)</f>
        <v>0.59999999999999987</v>
      </c>
      <c r="L106" s="61">
        <f>AVERAGE(L101:L105)</f>
        <v>0</v>
      </c>
      <c r="M106" s="61">
        <f>AVERAGE(M101:M105)</f>
        <v>0</v>
      </c>
      <c r="N106" s="62">
        <f t="shared" si="6"/>
        <v>0.99999999999999978</v>
      </c>
      <c r="P106" s="60"/>
      <c r="Q106" s="61">
        <f>AVERAGE(Q101:Q105)</f>
        <v>0.38723404255319144</v>
      </c>
      <c r="R106" s="61">
        <f>AVERAGE(R101:R105)</f>
        <v>0.60425531914893615</v>
      </c>
      <c r="S106" s="61">
        <f>AVERAGE(S101:S105)</f>
        <v>8.5106382978723406E-3</v>
      </c>
      <c r="T106" s="61">
        <f>AVERAGE(T101:T105)</f>
        <v>0</v>
      </c>
      <c r="U106" s="62">
        <f t="shared" si="1"/>
        <v>1</v>
      </c>
      <c r="W106" s="60"/>
      <c r="X106" s="61">
        <f>AVERAGE(X101:X105)</f>
        <v>0.3</v>
      </c>
      <c r="Y106" s="61">
        <f>AVERAGE(Y101:Y105)</f>
        <v>0.7</v>
      </c>
      <c r="Z106" s="61">
        <f>AVERAGE(Z101:Z105)</f>
        <v>0</v>
      </c>
      <c r="AA106" s="61">
        <f>AVERAGE(AA101:AA105)</f>
        <v>0</v>
      </c>
      <c r="AB106" s="62">
        <f t="shared" si="2"/>
        <v>1</v>
      </c>
      <c r="AD106" s="60"/>
      <c r="AE106" s="61">
        <f>AVERAGE(AE101:AE105)</f>
        <v>6.6666666666666666E-2</v>
      </c>
      <c r="AF106" s="61">
        <f>AVERAGE(AF101:AF105)</f>
        <v>0.66666666666666674</v>
      </c>
      <c r="AG106" s="61">
        <f>AVERAGE(AG101:AG105)</f>
        <v>0.26666666666666666</v>
      </c>
      <c r="AH106" s="61">
        <f>AVERAGE(AH101:AH105)</f>
        <v>0</v>
      </c>
      <c r="AI106" s="62">
        <f t="shared" si="3"/>
        <v>1</v>
      </c>
      <c r="AK106" s="60"/>
      <c r="AL106" s="61">
        <f>AVERAGE(AL101:AL105)</f>
        <v>0.4</v>
      </c>
      <c r="AM106" s="61">
        <f>AVERAGE(AM101:AM105)</f>
        <v>0.6</v>
      </c>
      <c r="AN106" s="61">
        <f>AVERAGE(AN101:AN105)</f>
        <v>0</v>
      </c>
      <c r="AO106" s="61">
        <f>AVERAGE(AO101:AO105)</f>
        <v>0</v>
      </c>
      <c r="AP106" s="62">
        <f t="shared" si="4"/>
        <v>1</v>
      </c>
      <c r="AR106" s="60"/>
      <c r="AS106" s="61">
        <f>AVERAGE(AS101:AS105)</f>
        <v>0.7</v>
      </c>
      <c r="AT106" s="61">
        <f>AVERAGE(AT101:AT105)</f>
        <v>0.2</v>
      </c>
      <c r="AU106" s="61">
        <f>AVERAGE(AU101:AU105)</f>
        <v>0.1</v>
      </c>
      <c r="AV106" s="61">
        <f>AVERAGE(AV101:AV105)</f>
        <v>0</v>
      </c>
      <c r="AW106" s="62">
        <f t="shared" si="5"/>
        <v>0.99999999999999989</v>
      </c>
    </row>
    <row r="107" spans="2:49" ht="16.5" x14ac:dyDescent="0.3">
      <c r="B107" s="57" t="s">
        <v>653</v>
      </c>
      <c r="C107" s="66">
        <f>COUNTIFS(TblUniv2016[I. b1],C$73)/$C$72*100%</f>
        <v>0.25396825396825395</v>
      </c>
      <c r="D107" s="66">
        <f>COUNTIFS(TblUniv2016[I. b1],D$73)/$C$72*100%</f>
        <v>0.61904761904761907</v>
      </c>
      <c r="E107" s="66">
        <f>COUNTIFS(TblUniv2016[I. b1],E$73)/$C$72*100%</f>
        <v>0.12698412698412698</v>
      </c>
      <c r="F107" s="66">
        <f>COUNTIFS(TblUniv2016[I. b1],F$73)/$C$72*100%</f>
        <v>0</v>
      </c>
      <c r="G107" s="62">
        <f t="shared" si="0"/>
        <v>1</v>
      </c>
      <c r="I107" s="57" t="s">
        <v>653</v>
      </c>
      <c r="J107" s="66">
        <f>COUNTIFS(TblUniv2016[I. b1],J$73,TblUniv2016[Prodi],$J$70)/$J$72*100%</f>
        <v>0</v>
      </c>
      <c r="K107" s="66">
        <f>COUNTIFS(TblUniv2016[I. b1],K$73,TblUniv2016[Prodi],$J$70)/$J$72*100%</f>
        <v>0.66666666666666663</v>
      </c>
      <c r="L107" s="66">
        <f>COUNTIFS(TblUniv2016[I. b1],L$73,TblUniv2016[Prodi],$J$70)/$J$72*100%</f>
        <v>0.33333333333333331</v>
      </c>
      <c r="M107" s="66">
        <f>COUNTIFS(TblUniv2016[I. b1],M$73,TblUniv2016[Prodi],$J$70)/$J$72*100%</f>
        <v>0</v>
      </c>
      <c r="N107" s="62">
        <f>SUM(J107:M107)</f>
        <v>1</v>
      </c>
      <c r="P107" s="57" t="s">
        <v>653</v>
      </c>
      <c r="Q107" s="66">
        <f>COUNTIFS(TblUniv2016[I. b1],Q$73,TblUniv2016[Prodi],$Q$70)/$Q$72*100%</f>
        <v>0.25531914893617019</v>
      </c>
      <c r="R107" s="66">
        <f>COUNTIFS(TblUniv2016[I. b1],R$73,TblUniv2016[Prodi],$Q$70)/$Q$72*100%</f>
        <v>0.68085106382978722</v>
      </c>
      <c r="S107" s="66">
        <f>COUNTIFS(TblUniv2016[I. b1],S$73,TblUniv2016[Prodi],$Q$70)/$Q$72*100%</f>
        <v>6.3829787234042548E-2</v>
      </c>
      <c r="T107" s="66">
        <f>COUNTIFS(TblUniv2016[I. b1],T$73,TblUniv2016[Prodi],$Q$70)/$Q$72*100%</f>
        <v>0</v>
      </c>
      <c r="U107" s="62">
        <f t="shared" si="1"/>
        <v>1</v>
      </c>
      <c r="W107" s="57" t="s">
        <v>653</v>
      </c>
      <c r="X107" s="66">
        <f>COUNTIFS(TblUniv2016[I. b1],X$73,TblUniv2016[Prodi],$X$70)/$X$72*100%</f>
        <v>0.5</v>
      </c>
      <c r="Y107" s="66">
        <f>COUNTIFS(TblUniv2016[I. b1],Y$73,TblUniv2016[Prodi],$X$70)/$X$72*100%</f>
        <v>0.5</v>
      </c>
      <c r="Z107" s="66">
        <f>COUNTIFS(TblUniv2016[I. b1],Z$73,TblUniv2016[Prodi],$X$70)/$X$72*100%</f>
        <v>0</v>
      </c>
      <c r="AA107" s="66">
        <f>COUNTIFS(TblUniv2016[I. b1],AA$73,TblUniv2016[Prodi],$X$70)/$X$72*100%</f>
        <v>0</v>
      </c>
      <c r="AB107" s="62">
        <f t="shared" si="2"/>
        <v>1</v>
      </c>
      <c r="AD107" s="57" t="s">
        <v>653</v>
      </c>
      <c r="AE107" s="66">
        <f>COUNTIFS(TblUniv2016[I. b1],AE$73,TblUniv2016[Prodi],$AE$70)/$AE$72*100%</f>
        <v>0</v>
      </c>
      <c r="AF107" s="66">
        <f>COUNTIFS(TblUniv2016[I. b1],AF$73,TblUniv2016[Prodi],$AE$70)/$AE$72*100%</f>
        <v>0.33333333333333331</v>
      </c>
      <c r="AG107" s="66">
        <f>COUNTIFS(TblUniv2016[I. b1],AG$73,TblUniv2016[Prodi],$AE$70)/$AE$72*100%</f>
        <v>0.66666666666666663</v>
      </c>
      <c r="AH107" s="66">
        <f>COUNTIFS(TblUniv2016[I. b1],AH$73,TblUniv2016[Prodi],$AE$70)/$AE$72*100%</f>
        <v>0</v>
      </c>
      <c r="AI107" s="62">
        <f t="shared" si="3"/>
        <v>1</v>
      </c>
      <c r="AK107" s="57" t="s">
        <v>653</v>
      </c>
      <c r="AL107" s="66">
        <f>COUNTIFS(TblUniv2016[I. b1],AL$73,TblUniv2016[Prodi],$AL$70)/$AL$72*100%</f>
        <v>1</v>
      </c>
      <c r="AM107" s="66">
        <f>COUNTIFS(TblUniv2016[I. b1],AM$73,TblUniv2016[Prodi],$AL$70)/$AL$72*100%</f>
        <v>0</v>
      </c>
      <c r="AN107" s="66">
        <f>COUNTIFS(TblUniv2016[I. b1],AN$73,TblUniv2016[Prodi],$AL$70)/$AL$72*100%</f>
        <v>0</v>
      </c>
      <c r="AO107" s="66">
        <f>COUNTIFS(TblUniv2016[I. b1],AO$73,TblUniv2016[Prodi],$AL$70)/$AL$72*100%</f>
        <v>0</v>
      </c>
      <c r="AP107" s="62">
        <f t="shared" si="4"/>
        <v>1</v>
      </c>
      <c r="AR107" s="57" t="s">
        <v>653</v>
      </c>
      <c r="AS107" s="66">
        <f>COUNTIFS(TblUniv2016[I. b1],AS$73,TblUniv2016[Prodi],$AS$70)/$AS$72*100%</f>
        <v>0.5</v>
      </c>
      <c r="AT107" s="66">
        <f>COUNTIFS(TblUniv2016[I. b1],AT$73,TblUniv2016[Prodi],$AS$70)/$AS$72*100%</f>
        <v>0.5</v>
      </c>
      <c r="AU107" s="66">
        <f>COUNTIFS(TblUniv2016[I. b1],AU$73,TblUniv2016[Prodi],$AS$70)/$AS$72*100%</f>
        <v>0</v>
      </c>
      <c r="AV107" s="66">
        <f>COUNTIFS(TblUniv2016[I. b1],AV$73,TblUniv2016[Prodi],$AS$70)/$AS$72*100%</f>
        <v>0</v>
      </c>
      <c r="AW107" s="62">
        <f t="shared" si="5"/>
        <v>1</v>
      </c>
    </row>
    <row r="108" spans="2:49" ht="16.5" x14ac:dyDescent="0.3">
      <c r="B108" s="57" t="s">
        <v>654</v>
      </c>
      <c r="C108" s="66">
        <f>COUNTIFS(TblUniv2016[I. b2],C$73)/$C$72*100%</f>
        <v>0.30158730158730157</v>
      </c>
      <c r="D108" s="66">
        <f>COUNTIFS(TblUniv2016[I. b2],D$73)/$C$72*100%</f>
        <v>0.61904761904761907</v>
      </c>
      <c r="E108" s="66">
        <f>COUNTIFS(TblUniv2016[I. b2],E$73)/$C$72*100%</f>
        <v>7.9365079365079361E-2</v>
      </c>
      <c r="F108" s="66">
        <f>COUNTIFS(TblUniv2016[I. b2],F$73)/$C$72*100%</f>
        <v>0</v>
      </c>
      <c r="G108" s="62">
        <f t="shared" si="0"/>
        <v>1</v>
      </c>
      <c r="I108" s="57" t="s">
        <v>654</v>
      </c>
      <c r="J108" s="66">
        <f>COUNTIFS(TblUniv2016[I. b2],J$73,TblUniv2016[Prodi],$J$70)/$J$72*100%</f>
        <v>0.33333333333333331</v>
      </c>
      <c r="K108" s="66">
        <f>COUNTIFS(TblUniv2016[I. b2],K$73,TblUniv2016[Prodi],$J$70)/$J$72*100%</f>
        <v>0.66666666666666663</v>
      </c>
      <c r="L108" s="66">
        <f>COUNTIFS(TblUniv2016[I. b2],L$73,TblUniv2016[Prodi],$J$70)/$J$72*100%</f>
        <v>0</v>
      </c>
      <c r="M108" s="66">
        <f>COUNTIFS(TblUniv2016[I. b2],M$73,TblUniv2016[Prodi],$J$70)/$J$72*100%</f>
        <v>0</v>
      </c>
      <c r="N108" s="62">
        <f>SUM(J108:M108)</f>
        <v>1</v>
      </c>
      <c r="P108" s="57" t="s">
        <v>654</v>
      </c>
      <c r="Q108" s="66">
        <f>COUNTIFS(TblUniv2016[I. b2],Q$73,TblUniv2016[Prodi],$Q$70)/$Q$72*100%</f>
        <v>0.27659574468085107</v>
      </c>
      <c r="R108" s="66">
        <f>COUNTIFS(TblUniv2016[I. b2],R$73,TblUniv2016[Prodi],$Q$70)/$Q$72*100%</f>
        <v>0.63829787234042556</v>
      </c>
      <c r="S108" s="66">
        <f>COUNTIFS(TblUniv2016[I. b2],S$73,TblUniv2016[Prodi],$Q$70)/$Q$72*100%</f>
        <v>8.5106382978723402E-2</v>
      </c>
      <c r="T108" s="66">
        <f>COUNTIFS(TblUniv2016[I. b2],T$73,TblUniv2016[Prodi],$Q$70)/$Q$72*100%</f>
        <v>0</v>
      </c>
      <c r="U108" s="62">
        <f t="shared" si="1"/>
        <v>1</v>
      </c>
      <c r="W108" s="57" t="s">
        <v>654</v>
      </c>
      <c r="X108" s="66">
        <f>COUNTIFS(TblUniv2016[I. b2],X$73,TblUniv2016[Prodi],$X$70)/$X$72*100%</f>
        <v>0.5</v>
      </c>
      <c r="Y108" s="66">
        <f>COUNTIFS(TblUniv2016[I. b2],Y$73,TblUniv2016[Prodi],$X$70)/$X$72*100%</f>
        <v>0.5</v>
      </c>
      <c r="Z108" s="66">
        <f>COUNTIFS(TblUniv2016[I. b2],Z$73,TblUniv2016[Prodi],$X$70)/$X$72*100%</f>
        <v>0</v>
      </c>
      <c r="AA108" s="66">
        <f>COUNTIFS(TblUniv2016[I. b2],AA$73,TblUniv2016[Prodi],$X$70)/$X$72*100%</f>
        <v>0</v>
      </c>
      <c r="AB108" s="62">
        <f t="shared" si="2"/>
        <v>1</v>
      </c>
      <c r="AD108" s="57" t="s">
        <v>654</v>
      </c>
      <c r="AE108" s="66">
        <f>COUNTIFS(TblUniv2016[I. b2],AE$73,TblUniv2016[Prodi],$AE$70)/$AE$72*100%</f>
        <v>0.16666666666666666</v>
      </c>
      <c r="AF108" s="66">
        <f>COUNTIFS(TblUniv2016[I. b2],AF$73,TblUniv2016[Prodi],$AE$70)/$AE$72*100%</f>
        <v>0.66666666666666663</v>
      </c>
      <c r="AG108" s="66">
        <f>COUNTIFS(TblUniv2016[I. b2],AG$73,TblUniv2016[Prodi],$AE$70)/$AE$72*100%</f>
        <v>0.16666666666666666</v>
      </c>
      <c r="AH108" s="66">
        <f>COUNTIFS(TblUniv2016[I. b2],AH$73,TblUniv2016[Prodi],$AE$70)/$AE$72*100%</f>
        <v>0</v>
      </c>
      <c r="AI108" s="62">
        <f t="shared" si="3"/>
        <v>0.99999999999999989</v>
      </c>
      <c r="AK108" s="57" t="s">
        <v>654</v>
      </c>
      <c r="AL108" s="66">
        <f>COUNTIFS(TblUniv2016[I. b2],AL$73,TblUniv2016[Prodi],$AL$70)/$AL$72*100%</f>
        <v>1</v>
      </c>
      <c r="AM108" s="66">
        <f>COUNTIFS(TblUniv2016[I. b2],AM$73,TblUniv2016[Prodi],$AL$70)/$AL$72*100%</f>
        <v>0</v>
      </c>
      <c r="AN108" s="66">
        <f>COUNTIFS(TblUniv2016[I. b2],AN$73,TblUniv2016[Prodi],$AL$70)/$AL$72*100%</f>
        <v>0</v>
      </c>
      <c r="AO108" s="66">
        <f>COUNTIFS(TblUniv2016[I. b2],AO$73,TblUniv2016[Prodi],$AL$70)/$AL$72*100%</f>
        <v>0</v>
      </c>
      <c r="AP108" s="62">
        <f t="shared" si="4"/>
        <v>1</v>
      </c>
      <c r="AR108" s="57" t="s">
        <v>654</v>
      </c>
      <c r="AS108" s="66">
        <f>COUNTIFS(TblUniv2016[I. b2],AS$73,TblUniv2016[Prodi],$AS$70)/$AS$72*100%</f>
        <v>0.5</v>
      </c>
      <c r="AT108" s="66">
        <f>COUNTIFS(TblUniv2016[I. b2],AT$73,TblUniv2016[Prodi],$AS$70)/$AS$72*100%</f>
        <v>0.5</v>
      </c>
      <c r="AU108" s="66">
        <f>COUNTIFS(TblUniv2016[I. b2],AU$73,TblUniv2016[Prodi],$AS$70)/$AS$72*100%</f>
        <v>0</v>
      </c>
      <c r="AV108" s="66">
        <f>COUNTIFS(TblUniv2016[I. b2],AV$73,TblUniv2016[Prodi],$AS$70)/$AS$72*100%</f>
        <v>0</v>
      </c>
      <c r="AW108" s="62">
        <f t="shared" si="5"/>
        <v>1</v>
      </c>
    </row>
    <row r="109" spans="2:49" ht="16.5" x14ac:dyDescent="0.3">
      <c r="B109" s="57" t="s">
        <v>655</v>
      </c>
      <c r="C109" s="66">
        <f>COUNTIFS(TblUniv2016[I. b3],C$73)/$C$72*100%</f>
        <v>0.25396825396825395</v>
      </c>
      <c r="D109" s="66">
        <f>COUNTIFS(TblUniv2016[I. b3],D$73)/$C$72*100%</f>
        <v>0.58730158730158732</v>
      </c>
      <c r="E109" s="66">
        <f>COUNTIFS(TblUniv2016[I. b3],E$73)/$C$72*100%</f>
        <v>0.15873015873015872</v>
      </c>
      <c r="F109" s="66">
        <f>COUNTIFS(TblUniv2016[I. b3],F$73)/$C$72*100%</f>
        <v>0</v>
      </c>
      <c r="G109" s="62">
        <f t="shared" si="0"/>
        <v>1</v>
      </c>
      <c r="I109" s="57" t="s">
        <v>655</v>
      </c>
      <c r="J109" s="66">
        <f>COUNTIFS(TblUniv2016[I. b3],J$73,TblUniv2016[Prodi],$J$70)/$J$72*100%</f>
        <v>0.33333333333333331</v>
      </c>
      <c r="K109" s="66">
        <f>COUNTIFS(TblUniv2016[I. b3],K$73,TblUniv2016[Prodi],$J$70)/$J$72*100%</f>
        <v>0.66666666666666663</v>
      </c>
      <c r="L109" s="66">
        <f>COUNTIFS(TblUniv2016[I. b3],L$73,TblUniv2016[Prodi],$J$70)/$J$72*100%</f>
        <v>0</v>
      </c>
      <c r="M109" s="66">
        <f>COUNTIFS(TblUniv2016[I. b3],M$73,TblUniv2016[Prodi],$J$70)/$J$72*100%</f>
        <v>0</v>
      </c>
      <c r="N109" s="62">
        <f>SUM(J109:M109)</f>
        <v>1</v>
      </c>
      <c r="P109" s="57" t="s">
        <v>655</v>
      </c>
      <c r="Q109" s="66">
        <f>COUNTIFS(TblUniv2016[I. b3],Q$73,TblUniv2016[Prodi],$Q$70)/$Q$72*100%</f>
        <v>0.25531914893617019</v>
      </c>
      <c r="R109" s="66">
        <f>COUNTIFS(TblUniv2016[I. b3],R$73,TblUniv2016[Prodi],$Q$70)/$Q$72*100%</f>
        <v>0.5957446808510638</v>
      </c>
      <c r="S109" s="66">
        <f>COUNTIFS(TblUniv2016[I. b3],S$73,TblUniv2016[Prodi],$Q$70)/$Q$72*100%</f>
        <v>0.14893617021276595</v>
      </c>
      <c r="T109" s="66">
        <f>COUNTIFS(TblUniv2016[I. b3],T$73,TblUniv2016[Prodi],$Q$70)/$Q$72*100%</f>
        <v>0</v>
      </c>
      <c r="U109" s="62">
        <f t="shared" si="1"/>
        <v>0.99999999999999989</v>
      </c>
      <c r="W109" s="57" t="s">
        <v>655</v>
      </c>
      <c r="X109" s="66">
        <f>COUNTIFS(TblUniv2016[I. b3],X$73,TblUniv2016[Prodi],$X$70)/$X$72*100%</f>
        <v>0.5</v>
      </c>
      <c r="Y109" s="66">
        <f>COUNTIFS(TblUniv2016[I. b3],Y$73,TblUniv2016[Prodi],$X$70)/$X$72*100%</f>
        <v>0.5</v>
      </c>
      <c r="Z109" s="66">
        <f>COUNTIFS(TblUniv2016[I. b3],Z$73,TblUniv2016[Prodi],$X$70)/$X$72*100%</f>
        <v>0</v>
      </c>
      <c r="AA109" s="66">
        <f>COUNTIFS(TblUniv2016[I. b3],AA$73,TblUniv2016[Prodi],$X$70)/$X$72*100%</f>
        <v>0</v>
      </c>
      <c r="AB109" s="62">
        <f t="shared" si="2"/>
        <v>1</v>
      </c>
      <c r="AD109" s="57" t="s">
        <v>655</v>
      </c>
      <c r="AE109" s="66">
        <f>COUNTIFS(TblUniv2016[I. b3],AE$73,TblUniv2016[Prodi],$AE$70)/$AE$72*100%</f>
        <v>0</v>
      </c>
      <c r="AF109" s="66">
        <f>COUNTIFS(TblUniv2016[I. b3],AF$73,TblUniv2016[Prodi],$AE$70)/$AE$72*100%</f>
        <v>0.5</v>
      </c>
      <c r="AG109" s="66">
        <f>COUNTIFS(TblUniv2016[I. b3],AG$73,TblUniv2016[Prodi],$AE$70)/$AE$72*100%</f>
        <v>0.5</v>
      </c>
      <c r="AH109" s="66">
        <f>COUNTIFS(TblUniv2016[I. b3],AH$73,TblUniv2016[Prodi],$AE$70)/$AE$72*100%</f>
        <v>0</v>
      </c>
      <c r="AI109" s="62">
        <f t="shared" si="3"/>
        <v>1</v>
      </c>
      <c r="AK109" s="57" t="s">
        <v>655</v>
      </c>
      <c r="AL109" s="66">
        <f>COUNTIFS(TblUniv2016[I. b3],AL$73,TblUniv2016[Prodi],$AL$70)/$AL$72*100%</f>
        <v>0</v>
      </c>
      <c r="AM109" s="66">
        <f>COUNTIFS(TblUniv2016[I. b3],AM$73,TblUniv2016[Prodi],$AL$70)/$AL$72*100%</f>
        <v>1</v>
      </c>
      <c r="AN109" s="66">
        <f>COUNTIFS(TblUniv2016[I. b3],AN$73,TblUniv2016[Prodi],$AL$70)/$AL$72*100%</f>
        <v>0</v>
      </c>
      <c r="AO109" s="66">
        <f>COUNTIFS(TblUniv2016[I. b3],AO$73,TblUniv2016[Prodi],$AL$70)/$AL$72*100%</f>
        <v>0</v>
      </c>
      <c r="AP109" s="62">
        <f t="shared" si="4"/>
        <v>1</v>
      </c>
      <c r="AR109" s="57" t="s">
        <v>655</v>
      </c>
      <c r="AS109" s="66">
        <f>COUNTIFS(TblUniv2016[I. b3],AS$73,TblUniv2016[Prodi],$AS$70)/$AS$72*100%</f>
        <v>0.5</v>
      </c>
      <c r="AT109" s="66">
        <f>COUNTIFS(TblUniv2016[I. b3],AT$73,TblUniv2016[Prodi],$AS$70)/$AS$72*100%</f>
        <v>0.5</v>
      </c>
      <c r="AU109" s="66">
        <f>COUNTIFS(TblUniv2016[I. b3],AU$73,TblUniv2016[Prodi],$AS$70)/$AS$72*100%</f>
        <v>0</v>
      </c>
      <c r="AV109" s="66">
        <f>COUNTIFS(TblUniv2016[I. b3],AV$73,TblUniv2016[Prodi],$AS$70)/$AS$72*100%</f>
        <v>0</v>
      </c>
      <c r="AW109" s="62">
        <f t="shared" si="5"/>
        <v>1</v>
      </c>
    </row>
    <row r="110" spans="2:49" ht="16.5" x14ac:dyDescent="0.3">
      <c r="B110" s="57" t="s">
        <v>656</v>
      </c>
      <c r="C110" s="66">
        <f>COUNTIFS(TblUniv2016[I. b4],C$73)/$C$72*100%</f>
        <v>0.31746031746031744</v>
      </c>
      <c r="D110" s="66">
        <f>COUNTIFS(TblUniv2016[I. b4],D$73)/$C$72*100%</f>
        <v>0.65079365079365081</v>
      </c>
      <c r="E110" s="66">
        <f>COUNTIFS(TblUniv2016[I. b4],E$73)/$C$72*100%</f>
        <v>3.1746031746031744E-2</v>
      </c>
      <c r="F110" s="66">
        <f>COUNTIFS(TblUniv2016[I. b4],F$73)/$C$72*100%</f>
        <v>0</v>
      </c>
      <c r="G110" s="62">
        <f t="shared" si="0"/>
        <v>1</v>
      </c>
      <c r="I110" s="57" t="s">
        <v>656</v>
      </c>
      <c r="J110" s="66">
        <f>COUNTIFS(TblUniv2016[I. b4],J$73,TblUniv2016[Prodi],$J$70)/$J$72*100%</f>
        <v>0</v>
      </c>
      <c r="K110" s="66">
        <f>COUNTIFS(TblUniv2016[I. b4],K$73,TblUniv2016[Prodi],$J$70)/$J$72*100%</f>
        <v>1</v>
      </c>
      <c r="L110" s="66">
        <f>COUNTIFS(TblUniv2016[I. b4],L$73,TblUniv2016[Prodi],$J$70)/$J$72*100%</f>
        <v>0</v>
      </c>
      <c r="M110" s="66">
        <f>COUNTIFS(TblUniv2016[I. b4],M$73,TblUniv2016[Prodi],$J$70)/$J$72*100%</f>
        <v>0</v>
      </c>
      <c r="N110" s="62">
        <f>SUM(J110:M110)</f>
        <v>1</v>
      </c>
      <c r="P110" s="57" t="s">
        <v>656</v>
      </c>
      <c r="Q110" s="66">
        <f>COUNTIFS(TblUniv2016[I. b4],Q$73,TblUniv2016[Prodi],$Q$70)/$Q$72*100%</f>
        <v>0.34042553191489361</v>
      </c>
      <c r="R110" s="66">
        <f>COUNTIFS(TblUniv2016[I. b4],R$73,TblUniv2016[Prodi],$Q$70)/$Q$72*100%</f>
        <v>0.65957446808510634</v>
      </c>
      <c r="S110" s="66">
        <f>COUNTIFS(TblUniv2016[I. b4],S$73,TblUniv2016[Prodi],$Q$70)/$Q$72*100%</f>
        <v>0</v>
      </c>
      <c r="T110" s="66">
        <f>COUNTIFS(TblUniv2016[I. b4],T$73,TblUniv2016[Prodi],$Q$70)/$Q$72*100%</f>
        <v>0</v>
      </c>
      <c r="U110" s="62">
        <f t="shared" si="1"/>
        <v>1</v>
      </c>
      <c r="W110" s="57" t="s">
        <v>656</v>
      </c>
      <c r="X110" s="66">
        <f>COUNTIFS(TblUniv2016[I. b4],X$73,TblUniv2016[Prodi],$X$70)/$X$72*100%</f>
        <v>0.5</v>
      </c>
      <c r="Y110" s="66">
        <f>COUNTIFS(TblUniv2016[I. b4],Y$73,TblUniv2016[Prodi],$X$70)/$X$72*100%</f>
        <v>0.5</v>
      </c>
      <c r="Z110" s="66">
        <f>COUNTIFS(TblUniv2016[I. b4],Z$73,TblUniv2016[Prodi],$X$70)/$X$72*100%</f>
        <v>0</v>
      </c>
      <c r="AA110" s="66">
        <f>COUNTIFS(TblUniv2016[I. b4],AA$73,TblUniv2016[Prodi],$X$70)/$X$72*100%</f>
        <v>0</v>
      </c>
      <c r="AB110" s="62">
        <f t="shared" si="2"/>
        <v>1</v>
      </c>
      <c r="AD110" s="57" t="s">
        <v>656</v>
      </c>
      <c r="AE110" s="66">
        <f>COUNTIFS(TblUniv2016[I. b4],AE$73,TblUniv2016[Prodi],$AE$70)/$AE$72*100%</f>
        <v>0</v>
      </c>
      <c r="AF110" s="66">
        <f>COUNTIFS(TblUniv2016[I. b4],AF$73,TblUniv2016[Prodi],$AE$70)/$AE$72*100%</f>
        <v>0.66666666666666663</v>
      </c>
      <c r="AG110" s="66">
        <f>COUNTIFS(TblUniv2016[I. b4],AG$73,TblUniv2016[Prodi],$AE$70)/$AE$72*100%</f>
        <v>0.33333333333333331</v>
      </c>
      <c r="AH110" s="66">
        <f>COUNTIFS(TblUniv2016[I. b4],AH$73,TblUniv2016[Prodi],$AE$70)/$AE$72*100%</f>
        <v>0</v>
      </c>
      <c r="AI110" s="62">
        <f t="shared" si="3"/>
        <v>1</v>
      </c>
      <c r="AK110" s="57" t="s">
        <v>656</v>
      </c>
      <c r="AL110" s="66">
        <f>COUNTIFS(TblUniv2016[I. b4],AL$73,TblUniv2016[Prodi],$AL$70)/$AL$72*100%</f>
        <v>1</v>
      </c>
      <c r="AM110" s="66">
        <f>COUNTIFS(TblUniv2016[I. b4],AM$73,TblUniv2016[Prodi],$AL$70)/$AL$72*100%</f>
        <v>0</v>
      </c>
      <c r="AN110" s="66">
        <f>COUNTIFS(TblUniv2016[I. b4],AN$73,TblUniv2016[Prodi],$AL$70)/$AL$72*100%</f>
        <v>0</v>
      </c>
      <c r="AO110" s="66">
        <f>COUNTIFS(TblUniv2016[I. b4],AO$73,TblUniv2016[Prodi],$AL$70)/$AL$72*100%</f>
        <v>0</v>
      </c>
      <c r="AP110" s="62">
        <f t="shared" si="4"/>
        <v>1</v>
      </c>
      <c r="AR110" s="57" t="s">
        <v>656</v>
      </c>
      <c r="AS110" s="66">
        <f>COUNTIFS(TblUniv2016[I. b4],AS$73,TblUniv2016[Prodi],$AS$70)/$AS$72*100%</f>
        <v>0.5</v>
      </c>
      <c r="AT110" s="66">
        <f>COUNTIFS(TblUniv2016[I. b4],AT$73,TblUniv2016[Prodi],$AS$70)/$AS$72*100%</f>
        <v>0.5</v>
      </c>
      <c r="AU110" s="66">
        <f>COUNTIFS(TblUniv2016[I. b4],AU$73,TblUniv2016[Prodi],$AS$70)/$AS$72*100%</f>
        <v>0</v>
      </c>
      <c r="AV110" s="66">
        <f>COUNTIFS(TblUniv2016[I. b4],AV$73,TblUniv2016[Prodi],$AS$70)/$AS$72*100%</f>
        <v>0</v>
      </c>
      <c r="AW110" s="62">
        <f t="shared" si="5"/>
        <v>1</v>
      </c>
    </row>
    <row r="111" spans="2:49" ht="17.25" thickBot="1" x14ac:dyDescent="0.35">
      <c r="B111" s="67"/>
      <c r="C111" s="68">
        <f>AVERAGE(C107:C110)</f>
        <v>0.28174603174603174</v>
      </c>
      <c r="D111" s="68">
        <f>AVERAGE(D107:D110)</f>
        <v>0.61904761904761907</v>
      </c>
      <c r="E111" s="68">
        <f>AVERAGE(E107:E110)</f>
        <v>9.9206349206349201E-2</v>
      </c>
      <c r="F111" s="68">
        <f>AVERAGE(F107:F110)</f>
        <v>0</v>
      </c>
      <c r="G111" s="62">
        <f t="shared" si="0"/>
        <v>1</v>
      </c>
      <c r="I111" s="67"/>
      <c r="J111" s="68">
        <f>AVERAGE(J107:J110)</f>
        <v>0.16666666666666666</v>
      </c>
      <c r="K111" s="68">
        <f>AVERAGE(K107:K110)</f>
        <v>0.75</v>
      </c>
      <c r="L111" s="68">
        <f>AVERAGE(L107:L110)</f>
        <v>8.3333333333333329E-2</v>
      </c>
      <c r="M111" s="68">
        <f>AVERAGE(M107:M110)</f>
        <v>0</v>
      </c>
      <c r="N111" s="62">
        <f>SUM(J111:M111)</f>
        <v>1</v>
      </c>
      <c r="P111" s="67"/>
      <c r="Q111" s="68">
        <f>AVERAGE(Q107:Q110)</f>
        <v>0.28191489361702127</v>
      </c>
      <c r="R111" s="68">
        <f>AVERAGE(R107:R110)</f>
        <v>0.6436170212765957</v>
      </c>
      <c r="S111" s="68">
        <f>AVERAGE(S107:S110)</f>
        <v>7.4468085106382975E-2</v>
      </c>
      <c r="T111" s="68">
        <f>AVERAGE(T107:T110)</f>
        <v>0</v>
      </c>
      <c r="U111" s="62">
        <f t="shared" si="1"/>
        <v>1</v>
      </c>
      <c r="W111" s="67"/>
      <c r="X111" s="68">
        <f>AVERAGE(X107:X110)</f>
        <v>0.5</v>
      </c>
      <c r="Y111" s="68">
        <f>AVERAGE(Y107:Y110)</f>
        <v>0.5</v>
      </c>
      <c r="Z111" s="68">
        <f>AVERAGE(Z107:Z110)</f>
        <v>0</v>
      </c>
      <c r="AA111" s="68">
        <f>AVERAGE(AA107:AA110)</f>
        <v>0</v>
      </c>
      <c r="AB111" s="62">
        <f t="shared" si="2"/>
        <v>1</v>
      </c>
      <c r="AD111" s="67"/>
      <c r="AE111" s="68">
        <f>AVERAGE(AE107:AE110)</f>
        <v>4.1666666666666664E-2</v>
      </c>
      <c r="AF111" s="68">
        <f>AVERAGE(AF107:AF110)</f>
        <v>0.54166666666666663</v>
      </c>
      <c r="AG111" s="68">
        <f>AVERAGE(AG107:AG110)</f>
        <v>0.41666666666666663</v>
      </c>
      <c r="AH111" s="68">
        <f>AVERAGE(AH107:AH110)</f>
        <v>0</v>
      </c>
      <c r="AI111" s="62">
        <f t="shared" si="3"/>
        <v>0.99999999999999989</v>
      </c>
      <c r="AK111" s="67"/>
      <c r="AL111" s="68">
        <f>AVERAGE(AL107:AL110)</f>
        <v>0.75</v>
      </c>
      <c r="AM111" s="68">
        <f>AVERAGE(AM107:AM110)</f>
        <v>0.25</v>
      </c>
      <c r="AN111" s="68">
        <f>AVERAGE(AN107:AN110)</f>
        <v>0</v>
      </c>
      <c r="AO111" s="68">
        <f>AVERAGE(AO107:AO110)</f>
        <v>0</v>
      </c>
      <c r="AP111" s="62">
        <f t="shared" si="4"/>
        <v>1</v>
      </c>
      <c r="AR111" s="67"/>
      <c r="AS111" s="68">
        <f>AVERAGE(AS107:AS110)</f>
        <v>0.5</v>
      </c>
      <c r="AT111" s="68">
        <f>AVERAGE(AT107:AT110)</f>
        <v>0.5</v>
      </c>
      <c r="AU111" s="68">
        <f>AVERAGE(AU107:AU110)</f>
        <v>0</v>
      </c>
      <c r="AV111" s="68">
        <f>AVERAGE(AV107:AV110)</f>
        <v>0</v>
      </c>
      <c r="AW111" s="62">
        <f t="shared" si="5"/>
        <v>1</v>
      </c>
    </row>
    <row r="112" spans="2:49" ht="15.75" thickBot="1" x14ac:dyDescent="0.3"/>
    <row r="113" spans="2:48" ht="17.25" thickBot="1" x14ac:dyDescent="0.3">
      <c r="I113" s="64" t="s">
        <v>14</v>
      </c>
      <c r="J113" s="65" t="str">
        <f>J70</f>
        <v>S1 Teknik Komputer</v>
      </c>
      <c r="P113" s="64" t="s">
        <v>14</v>
      </c>
      <c r="Q113" s="65" t="str">
        <f>Q70</f>
        <v>S1 Sistem Informasi</v>
      </c>
      <c r="W113" s="64" t="s">
        <v>14</v>
      </c>
      <c r="X113" s="65" t="str">
        <f>X70</f>
        <v>D3 Sistem Informasi</v>
      </c>
      <c r="AD113" s="64" t="s">
        <v>14</v>
      </c>
      <c r="AE113" s="65" t="str">
        <f>AE70</f>
        <v>S1 Desain Komunikasi Visual</v>
      </c>
      <c r="AK113" s="64" t="s">
        <v>14</v>
      </c>
      <c r="AL113" s="65" t="str">
        <f>AL70</f>
        <v>D4 Produksi Film dan Televisi</v>
      </c>
      <c r="AR113" s="64" t="s">
        <v>14</v>
      </c>
      <c r="AS113" s="65" t="str">
        <f>AS70</f>
        <v>D3 Administrasi Perkantoran</v>
      </c>
    </row>
    <row r="114" spans="2:48" ht="17.25" thickBot="1" x14ac:dyDescent="0.3">
      <c r="B114" s="64" t="s">
        <v>647</v>
      </c>
      <c r="C114" s="65">
        <v>2016</v>
      </c>
      <c r="I114" s="64" t="s">
        <v>647</v>
      </c>
      <c r="J114" s="65">
        <f>J71</f>
        <v>2016</v>
      </c>
      <c r="P114" s="64" t="s">
        <v>647</v>
      </c>
      <c r="Q114" s="65">
        <f>Q71</f>
        <v>2016</v>
      </c>
      <c r="W114" s="64" t="s">
        <v>647</v>
      </c>
      <c r="X114" s="65">
        <f>X71</f>
        <v>2016</v>
      </c>
      <c r="AD114" s="64" t="s">
        <v>647</v>
      </c>
      <c r="AE114" s="65">
        <f>AE71</f>
        <v>2016</v>
      </c>
      <c r="AK114" s="64" t="s">
        <v>647</v>
      </c>
      <c r="AL114" s="65">
        <f>AL71</f>
        <v>2016</v>
      </c>
      <c r="AR114" s="64" t="s">
        <v>647</v>
      </c>
      <c r="AS114" s="65">
        <f>AS71</f>
        <v>2016</v>
      </c>
    </row>
    <row r="115" spans="2:48" ht="17.25" thickBot="1" x14ac:dyDescent="0.3">
      <c r="B115" s="69" t="s">
        <v>646</v>
      </c>
      <c r="C115" s="70">
        <f>COUNTIF(TblUniv2016[th lulus],C114)</f>
        <v>63</v>
      </c>
      <c r="I115" s="64" t="s">
        <v>646</v>
      </c>
      <c r="J115" s="65">
        <f>J72</f>
        <v>3</v>
      </c>
      <c r="P115" s="64" t="s">
        <v>646</v>
      </c>
      <c r="Q115" s="65">
        <f>Q72</f>
        <v>47</v>
      </c>
      <c r="W115" s="64" t="s">
        <v>646</v>
      </c>
      <c r="X115" s="65">
        <f>X72</f>
        <v>4</v>
      </c>
      <c r="AD115" s="64" t="s">
        <v>646</v>
      </c>
      <c r="AE115" s="65">
        <f>AE72</f>
        <v>6</v>
      </c>
      <c r="AK115" s="64" t="s">
        <v>646</v>
      </c>
      <c r="AL115" s="65">
        <f>AL72</f>
        <v>1</v>
      </c>
      <c r="AR115" s="64" t="s">
        <v>646</v>
      </c>
      <c r="AS115" s="65">
        <f>AS72</f>
        <v>2</v>
      </c>
    </row>
    <row r="116" spans="2:48" ht="28.5" customHeight="1" thickBot="1" x14ac:dyDescent="0.3">
      <c r="B116" s="222" t="s">
        <v>658</v>
      </c>
      <c r="C116" s="223" t="s">
        <v>664</v>
      </c>
      <c r="D116" s="223"/>
      <c r="E116" s="223"/>
      <c r="F116" s="223"/>
      <c r="I116" s="222" t="s">
        <v>658</v>
      </c>
      <c r="J116" s="223" t="s">
        <v>664</v>
      </c>
      <c r="K116" s="223"/>
      <c r="L116" s="223"/>
      <c r="M116" s="223"/>
      <c r="P116" s="222" t="s">
        <v>658</v>
      </c>
      <c r="Q116" s="223" t="s">
        <v>664</v>
      </c>
      <c r="R116" s="223"/>
      <c r="S116" s="223"/>
      <c r="T116" s="223"/>
      <c r="W116" s="222" t="s">
        <v>658</v>
      </c>
      <c r="X116" s="223" t="s">
        <v>664</v>
      </c>
      <c r="Y116" s="223"/>
      <c r="Z116" s="223"/>
      <c r="AA116" s="223"/>
      <c r="AD116" s="222" t="s">
        <v>658</v>
      </c>
      <c r="AE116" s="223" t="s">
        <v>664</v>
      </c>
      <c r="AF116" s="223"/>
      <c r="AG116" s="223"/>
      <c r="AH116" s="223"/>
      <c r="AK116" s="222" t="s">
        <v>658</v>
      </c>
      <c r="AL116" s="223" t="s">
        <v>664</v>
      </c>
      <c r="AM116" s="223"/>
      <c r="AN116" s="223"/>
      <c r="AO116" s="223"/>
      <c r="AR116" s="222" t="s">
        <v>658</v>
      </c>
      <c r="AS116" s="223" t="s">
        <v>664</v>
      </c>
      <c r="AT116" s="223"/>
      <c r="AU116" s="223"/>
      <c r="AV116" s="223"/>
    </row>
    <row r="117" spans="2:48" ht="15.75" thickBot="1" x14ac:dyDescent="0.3">
      <c r="B117" s="222"/>
      <c r="C117" s="72" t="s">
        <v>645</v>
      </c>
      <c r="D117" s="72" t="s">
        <v>665</v>
      </c>
      <c r="E117" s="72" t="s">
        <v>666</v>
      </c>
      <c r="F117" s="72" t="s">
        <v>667</v>
      </c>
      <c r="I117" s="222"/>
      <c r="J117" s="72" t="s">
        <v>645</v>
      </c>
      <c r="K117" s="72" t="s">
        <v>665</v>
      </c>
      <c r="L117" s="72" t="s">
        <v>666</v>
      </c>
      <c r="M117" s="72" t="s">
        <v>667</v>
      </c>
      <c r="P117" s="222"/>
      <c r="Q117" s="72" t="s">
        <v>645</v>
      </c>
      <c r="R117" s="72" t="s">
        <v>665</v>
      </c>
      <c r="S117" s="72" t="s">
        <v>666</v>
      </c>
      <c r="T117" s="72" t="s">
        <v>667</v>
      </c>
      <c r="W117" s="222"/>
      <c r="X117" s="72" t="s">
        <v>645</v>
      </c>
      <c r="Y117" s="72" t="s">
        <v>665</v>
      </c>
      <c r="Z117" s="72" t="s">
        <v>666</v>
      </c>
      <c r="AA117" s="72" t="s">
        <v>667</v>
      </c>
      <c r="AD117" s="222"/>
      <c r="AE117" s="72" t="s">
        <v>645</v>
      </c>
      <c r="AF117" s="72" t="s">
        <v>665</v>
      </c>
      <c r="AG117" s="72" t="s">
        <v>666</v>
      </c>
      <c r="AH117" s="72" t="s">
        <v>667</v>
      </c>
      <c r="AK117" s="222"/>
      <c r="AL117" s="72" t="s">
        <v>645</v>
      </c>
      <c r="AM117" s="72" t="s">
        <v>665</v>
      </c>
      <c r="AN117" s="72" t="s">
        <v>666</v>
      </c>
      <c r="AO117" s="72" t="s">
        <v>667</v>
      </c>
      <c r="AR117" s="222"/>
      <c r="AS117" s="72" t="s">
        <v>645</v>
      </c>
      <c r="AT117" s="72" t="s">
        <v>665</v>
      </c>
      <c r="AU117" s="72" t="s">
        <v>666</v>
      </c>
      <c r="AV117" s="72" t="s">
        <v>667</v>
      </c>
    </row>
    <row r="118" spans="2:48" x14ac:dyDescent="0.25">
      <c r="B118" s="73">
        <v>2</v>
      </c>
      <c r="C118" s="71">
        <v>3</v>
      </c>
      <c r="D118" s="71">
        <v>4</v>
      </c>
      <c r="E118" s="71">
        <v>5</v>
      </c>
      <c r="F118" s="74">
        <v>6</v>
      </c>
      <c r="I118" s="73">
        <v>2</v>
      </c>
      <c r="J118" s="71">
        <v>3</v>
      </c>
      <c r="K118" s="71">
        <v>4</v>
      </c>
      <c r="L118" s="71">
        <v>5</v>
      </c>
      <c r="M118" s="74">
        <v>6</v>
      </c>
      <c r="P118" s="73">
        <v>2</v>
      </c>
      <c r="Q118" s="71">
        <v>3</v>
      </c>
      <c r="R118" s="71">
        <v>4</v>
      </c>
      <c r="S118" s="71">
        <v>5</v>
      </c>
      <c r="T118" s="74">
        <v>6</v>
      </c>
      <c r="W118" s="73">
        <v>2</v>
      </c>
      <c r="X118" s="71">
        <v>3</v>
      </c>
      <c r="Y118" s="71">
        <v>4</v>
      </c>
      <c r="Z118" s="71">
        <v>5</v>
      </c>
      <c r="AA118" s="74">
        <v>6</v>
      </c>
      <c r="AD118" s="73">
        <v>2</v>
      </c>
      <c r="AE118" s="71">
        <v>3</v>
      </c>
      <c r="AF118" s="71">
        <v>4</v>
      </c>
      <c r="AG118" s="71">
        <v>5</v>
      </c>
      <c r="AH118" s="74">
        <v>6</v>
      </c>
      <c r="AK118" s="73">
        <v>2</v>
      </c>
      <c r="AL118" s="71">
        <v>3</v>
      </c>
      <c r="AM118" s="71">
        <v>4</v>
      </c>
      <c r="AN118" s="71">
        <v>5</v>
      </c>
      <c r="AO118" s="74">
        <v>6</v>
      </c>
      <c r="AR118" s="73">
        <v>2</v>
      </c>
      <c r="AS118" s="71">
        <v>3</v>
      </c>
      <c r="AT118" s="71">
        <v>4</v>
      </c>
      <c r="AU118" s="71">
        <v>5</v>
      </c>
      <c r="AV118" s="74">
        <v>6</v>
      </c>
    </row>
    <row r="119" spans="2:48" x14ac:dyDescent="0.25">
      <c r="B119" s="75" t="s">
        <v>659</v>
      </c>
      <c r="C119" s="58">
        <f>C79</f>
        <v>0.46349206349206346</v>
      </c>
      <c r="D119" s="58">
        <f>D79</f>
        <v>0.53015873015873016</v>
      </c>
      <c r="E119" s="58">
        <f>E79</f>
        <v>6.3492063492063492E-3</v>
      </c>
      <c r="F119" s="59">
        <f>F79</f>
        <v>0</v>
      </c>
      <c r="I119" s="75" t="s">
        <v>659</v>
      </c>
      <c r="J119" s="58">
        <f>J79</f>
        <v>0.46666666666666662</v>
      </c>
      <c r="K119" s="58">
        <f>K79</f>
        <v>0.53333333333333344</v>
      </c>
      <c r="L119" s="58">
        <f>L79</f>
        <v>0</v>
      </c>
      <c r="M119" s="59">
        <f>M79</f>
        <v>0</v>
      </c>
      <c r="P119" s="75" t="s">
        <v>659</v>
      </c>
      <c r="Q119" s="58">
        <f>Q79</f>
        <v>0.49787234042553197</v>
      </c>
      <c r="R119" s="58">
        <f>R79</f>
        <v>0.50212765957446803</v>
      </c>
      <c r="S119" s="58">
        <f>S79</f>
        <v>0</v>
      </c>
      <c r="T119" s="59">
        <f>T79</f>
        <v>0</v>
      </c>
      <c r="W119" s="75" t="s">
        <v>659</v>
      </c>
      <c r="X119" s="58">
        <f>X79</f>
        <v>0.35</v>
      </c>
      <c r="Y119" s="58">
        <f>Y79</f>
        <v>0.65</v>
      </c>
      <c r="Z119" s="58">
        <f>Z79</f>
        <v>0</v>
      </c>
      <c r="AA119" s="59">
        <f>AA79</f>
        <v>0</v>
      </c>
      <c r="AD119" s="75" t="s">
        <v>659</v>
      </c>
      <c r="AE119" s="58">
        <f>AE79</f>
        <v>0.1</v>
      </c>
      <c r="AF119" s="58">
        <f>AF79</f>
        <v>0.83333333333333326</v>
      </c>
      <c r="AG119" s="58">
        <f>AG79</f>
        <v>6.6666666666666666E-2</v>
      </c>
      <c r="AH119" s="59">
        <f>AH79</f>
        <v>0</v>
      </c>
      <c r="AK119" s="75" t="s">
        <v>659</v>
      </c>
      <c r="AL119" s="58">
        <f>AL79</f>
        <v>1</v>
      </c>
      <c r="AM119" s="58">
        <f>AM79</f>
        <v>0</v>
      </c>
      <c r="AN119" s="58">
        <f>AN79</f>
        <v>0</v>
      </c>
      <c r="AO119" s="59">
        <f>AO79</f>
        <v>0</v>
      </c>
      <c r="AR119" s="75" t="s">
        <v>659</v>
      </c>
      <c r="AS119" s="58">
        <f>AS79</f>
        <v>0.7</v>
      </c>
      <c r="AT119" s="58">
        <f>AT79</f>
        <v>0.3</v>
      </c>
      <c r="AU119" s="58">
        <f>AU79</f>
        <v>0</v>
      </c>
      <c r="AV119" s="59">
        <f>AV79</f>
        <v>0</v>
      </c>
    </row>
    <row r="120" spans="2:48" x14ac:dyDescent="0.25">
      <c r="B120" s="75" t="s">
        <v>660</v>
      </c>
      <c r="C120" s="58">
        <f>C82</f>
        <v>0.38095238095238093</v>
      </c>
      <c r="D120" s="58">
        <f>D82</f>
        <v>0.57936507936507931</v>
      </c>
      <c r="E120" s="58">
        <f>E82</f>
        <v>3.968253968253968E-2</v>
      </c>
      <c r="F120" s="59">
        <f>F82</f>
        <v>0</v>
      </c>
      <c r="I120" s="75" t="s">
        <v>660</v>
      </c>
      <c r="J120" s="58">
        <f>J82</f>
        <v>0.33333333333333331</v>
      </c>
      <c r="K120" s="58">
        <f>K82</f>
        <v>0.5</v>
      </c>
      <c r="L120" s="58">
        <f>L82</f>
        <v>0.16666666666666666</v>
      </c>
      <c r="M120" s="59">
        <f>M82</f>
        <v>0</v>
      </c>
      <c r="P120" s="75" t="s">
        <v>660</v>
      </c>
      <c r="Q120" s="58">
        <f>Q82</f>
        <v>0.42553191489361702</v>
      </c>
      <c r="R120" s="58">
        <f>R82</f>
        <v>0.54255319148936176</v>
      </c>
      <c r="S120" s="58">
        <f>S82</f>
        <v>3.1914893617021274E-2</v>
      </c>
      <c r="T120" s="59">
        <f>T82</f>
        <v>0</v>
      </c>
      <c r="W120" s="75" t="s">
        <v>660</v>
      </c>
      <c r="X120" s="58">
        <f>X82</f>
        <v>0.25</v>
      </c>
      <c r="Y120" s="58">
        <f>Y82</f>
        <v>0.75</v>
      </c>
      <c r="Z120" s="58">
        <f>Z82</f>
        <v>0</v>
      </c>
      <c r="AA120" s="59">
        <f>AA82</f>
        <v>0</v>
      </c>
      <c r="AD120" s="75" t="s">
        <v>660</v>
      </c>
      <c r="AE120" s="58">
        <f>AE82</f>
        <v>0.16666666666666666</v>
      </c>
      <c r="AF120" s="58">
        <f>AF82</f>
        <v>0.83333333333333337</v>
      </c>
      <c r="AG120" s="58">
        <f>AG82</f>
        <v>0</v>
      </c>
      <c r="AH120" s="59">
        <f>AH82</f>
        <v>0</v>
      </c>
      <c r="AK120" s="75" t="s">
        <v>660</v>
      </c>
      <c r="AL120" s="58">
        <f>AL82</f>
        <v>0</v>
      </c>
      <c r="AM120" s="58">
        <f>AM82</f>
        <v>1</v>
      </c>
      <c r="AN120" s="58">
        <f>AN82</f>
        <v>0</v>
      </c>
      <c r="AO120" s="59">
        <f>AO82</f>
        <v>0</v>
      </c>
      <c r="AR120" s="75" t="s">
        <v>660</v>
      </c>
      <c r="AS120" s="58">
        <f>AS82</f>
        <v>0.5</v>
      </c>
      <c r="AT120" s="58">
        <f>AT82</f>
        <v>0.25</v>
      </c>
      <c r="AU120" s="58">
        <f>AU82</f>
        <v>0.25</v>
      </c>
      <c r="AV120" s="59">
        <f>AV82</f>
        <v>0</v>
      </c>
    </row>
    <row r="121" spans="2:48" x14ac:dyDescent="0.25">
      <c r="B121" s="75" t="s">
        <v>661</v>
      </c>
      <c r="C121" s="58">
        <f>C85</f>
        <v>0.11904761904761904</v>
      </c>
      <c r="D121" s="58">
        <f>D85</f>
        <v>0.5714285714285714</v>
      </c>
      <c r="E121" s="58">
        <f>E85</f>
        <v>0.29365079365079361</v>
      </c>
      <c r="F121" s="59">
        <f>F85</f>
        <v>1.5873015873015872E-2</v>
      </c>
      <c r="I121" s="75" t="s">
        <v>661</v>
      </c>
      <c r="J121" s="58">
        <f>J85</f>
        <v>0</v>
      </c>
      <c r="K121" s="58">
        <f>K85</f>
        <v>1</v>
      </c>
      <c r="L121" s="58">
        <f>L85</f>
        <v>0</v>
      </c>
      <c r="M121" s="59">
        <f>M85</f>
        <v>0</v>
      </c>
      <c r="P121" s="75" t="s">
        <v>661</v>
      </c>
      <c r="Q121" s="58">
        <f>Q85</f>
        <v>0.1276595744680851</v>
      </c>
      <c r="R121" s="58">
        <f>R85</f>
        <v>0.56382978723404253</v>
      </c>
      <c r="S121" s="58">
        <f>S85</f>
        <v>0.30851063829787234</v>
      </c>
      <c r="T121" s="59">
        <f>T85</f>
        <v>0</v>
      </c>
      <c r="W121" s="75" t="s">
        <v>661</v>
      </c>
      <c r="X121" s="58">
        <f>X85</f>
        <v>0</v>
      </c>
      <c r="Y121" s="58">
        <f>Y85</f>
        <v>0.5</v>
      </c>
      <c r="Z121" s="58">
        <f>Z85</f>
        <v>0.5</v>
      </c>
      <c r="AA121" s="59">
        <f>AA85</f>
        <v>0</v>
      </c>
      <c r="AD121" s="75" t="s">
        <v>661</v>
      </c>
      <c r="AE121" s="58">
        <f>AE85</f>
        <v>8.3333333333333329E-2</v>
      </c>
      <c r="AF121" s="58">
        <f>AF85</f>
        <v>0.41666666666666663</v>
      </c>
      <c r="AG121" s="58">
        <f>AG85</f>
        <v>0.33333333333333331</v>
      </c>
      <c r="AH121" s="59">
        <f>AH85</f>
        <v>0.16666666666666666</v>
      </c>
      <c r="AK121" s="75" t="s">
        <v>661</v>
      </c>
      <c r="AL121" s="58">
        <f>AL85</f>
        <v>0</v>
      </c>
      <c r="AM121" s="58">
        <f>AM85</f>
        <v>1</v>
      </c>
      <c r="AN121" s="58">
        <f>AN85</f>
        <v>0</v>
      </c>
      <c r="AO121" s="59">
        <f>AO85</f>
        <v>0</v>
      </c>
      <c r="AR121" s="75" t="s">
        <v>661</v>
      </c>
      <c r="AS121" s="58">
        <f>AS85</f>
        <v>0.5</v>
      </c>
      <c r="AT121" s="58">
        <f>AT85</f>
        <v>0.5</v>
      </c>
      <c r="AU121" s="58">
        <f>AU85</f>
        <v>0</v>
      </c>
      <c r="AV121" s="59">
        <f>AV85</f>
        <v>0</v>
      </c>
    </row>
    <row r="122" spans="2:48" x14ac:dyDescent="0.25">
      <c r="B122" s="75" t="s">
        <v>662</v>
      </c>
      <c r="C122" s="58">
        <f>C88</f>
        <v>0.52380952380952384</v>
      </c>
      <c r="D122" s="58">
        <f>D88</f>
        <v>0.45238095238095233</v>
      </c>
      <c r="E122" s="58">
        <f>E88</f>
        <v>1.5873015873015872E-2</v>
      </c>
      <c r="F122" s="59">
        <f>F88</f>
        <v>7.9365079365079361E-3</v>
      </c>
      <c r="I122" s="75" t="s">
        <v>662</v>
      </c>
      <c r="J122" s="58">
        <f>J88</f>
        <v>0.33333333333333331</v>
      </c>
      <c r="K122" s="58">
        <f>K88</f>
        <v>0.66666666666666663</v>
      </c>
      <c r="L122" s="58">
        <f>L88</f>
        <v>0</v>
      </c>
      <c r="M122" s="59">
        <f>M88</f>
        <v>0</v>
      </c>
      <c r="P122" s="75" t="s">
        <v>662</v>
      </c>
      <c r="Q122" s="58">
        <f>Q88</f>
        <v>0.55319148936170215</v>
      </c>
      <c r="R122" s="58">
        <f>R88</f>
        <v>0.44680851063829785</v>
      </c>
      <c r="S122" s="58">
        <f>S88</f>
        <v>0</v>
      </c>
      <c r="T122" s="59">
        <f>T88</f>
        <v>0</v>
      </c>
      <c r="W122" s="75" t="s">
        <v>662</v>
      </c>
      <c r="X122" s="58">
        <f>X88</f>
        <v>0.625</v>
      </c>
      <c r="Y122" s="58">
        <f>Y88</f>
        <v>0.375</v>
      </c>
      <c r="Z122" s="58">
        <f>Z88</f>
        <v>0</v>
      </c>
      <c r="AA122" s="59">
        <f>AA88</f>
        <v>0</v>
      </c>
      <c r="AD122" s="75" t="s">
        <v>662</v>
      </c>
      <c r="AE122" s="58">
        <f>AE88</f>
        <v>0.33333333333333331</v>
      </c>
      <c r="AF122" s="58">
        <f>AF88</f>
        <v>0.41666666666666663</v>
      </c>
      <c r="AG122" s="58">
        <f>AG88</f>
        <v>0.16666666666666666</v>
      </c>
      <c r="AH122" s="59">
        <f>AH88</f>
        <v>8.3333333333333329E-2</v>
      </c>
      <c r="AK122" s="75" t="s">
        <v>662</v>
      </c>
      <c r="AL122" s="58">
        <f>AL88</f>
        <v>1</v>
      </c>
      <c r="AM122" s="58">
        <f>AM88</f>
        <v>0</v>
      </c>
      <c r="AN122" s="58">
        <f>AN88</f>
        <v>0</v>
      </c>
      <c r="AO122" s="59">
        <f>AO88</f>
        <v>0</v>
      </c>
      <c r="AR122" s="75" t="s">
        <v>662</v>
      </c>
      <c r="AS122" s="58">
        <f>AS88</f>
        <v>0.25</v>
      </c>
      <c r="AT122" s="58">
        <f>AT88</f>
        <v>0.75</v>
      </c>
      <c r="AU122" s="58">
        <f>AU88</f>
        <v>0</v>
      </c>
      <c r="AV122" s="59">
        <f>AV88</f>
        <v>0</v>
      </c>
    </row>
    <row r="123" spans="2:48" x14ac:dyDescent="0.25">
      <c r="B123" s="75" t="s">
        <v>663</v>
      </c>
      <c r="C123" s="58">
        <f>C92</f>
        <v>0.43386243386243389</v>
      </c>
      <c r="D123" s="58">
        <f>D92</f>
        <v>0.53968253968253965</v>
      </c>
      <c r="E123" s="58">
        <f>E92</f>
        <v>2.6455026455026454E-2</v>
      </c>
      <c r="F123" s="59">
        <f>F92</f>
        <v>0</v>
      </c>
      <c r="I123" s="75" t="s">
        <v>663</v>
      </c>
      <c r="J123" s="58">
        <f>J92</f>
        <v>0.33333333333333331</v>
      </c>
      <c r="K123" s="58">
        <f>K92</f>
        <v>0.55555555555555547</v>
      </c>
      <c r="L123" s="58">
        <f>L92</f>
        <v>0.1111111111111111</v>
      </c>
      <c r="M123" s="59">
        <f>M92</f>
        <v>0</v>
      </c>
      <c r="P123" s="75" t="s">
        <v>663</v>
      </c>
      <c r="Q123" s="58">
        <f>Q92</f>
        <v>0.43971631205673756</v>
      </c>
      <c r="R123" s="58">
        <f>R92</f>
        <v>0.54609929078014197</v>
      </c>
      <c r="S123" s="58">
        <f>S92</f>
        <v>1.4184397163120567E-2</v>
      </c>
      <c r="T123" s="59">
        <f>T92</f>
        <v>0</v>
      </c>
      <c r="W123" s="75" t="s">
        <v>663</v>
      </c>
      <c r="X123" s="58">
        <f>X92</f>
        <v>0.58333333333333337</v>
      </c>
      <c r="Y123" s="58">
        <f>Y92</f>
        <v>0.41666666666666669</v>
      </c>
      <c r="Z123" s="58">
        <f>Z92</f>
        <v>0</v>
      </c>
      <c r="AA123" s="59">
        <f>AA92</f>
        <v>0</v>
      </c>
      <c r="AD123" s="75" t="s">
        <v>663</v>
      </c>
      <c r="AE123" s="58">
        <f>AE92</f>
        <v>5.5555555555555552E-2</v>
      </c>
      <c r="AF123" s="58">
        <f>AF92</f>
        <v>0.83333333333333337</v>
      </c>
      <c r="AG123" s="58">
        <f>AG92</f>
        <v>0.1111111111111111</v>
      </c>
      <c r="AH123" s="59">
        <f>AH92</f>
        <v>0</v>
      </c>
      <c r="AK123" s="75" t="s">
        <v>663</v>
      </c>
      <c r="AL123" s="58">
        <f>AL92</f>
        <v>1</v>
      </c>
      <c r="AM123" s="58">
        <f>AM92</f>
        <v>0</v>
      </c>
      <c r="AN123" s="58">
        <f>AN92</f>
        <v>0</v>
      </c>
      <c r="AO123" s="59">
        <f>AO92</f>
        <v>0</v>
      </c>
      <c r="AR123" s="75" t="s">
        <v>663</v>
      </c>
      <c r="AS123" s="58">
        <f>AS92</f>
        <v>1</v>
      </c>
      <c r="AT123" s="58">
        <f>AT92</f>
        <v>0</v>
      </c>
      <c r="AU123" s="58">
        <f>AU92</f>
        <v>0</v>
      </c>
      <c r="AV123" s="59">
        <f>AV92</f>
        <v>0</v>
      </c>
    </row>
    <row r="124" spans="2:48" x14ac:dyDescent="0.25">
      <c r="B124" s="75" t="s">
        <v>617</v>
      </c>
      <c r="C124" s="58">
        <f>C95</f>
        <v>0.34126984126984128</v>
      </c>
      <c r="D124" s="58">
        <f>D95</f>
        <v>0.61904761904761907</v>
      </c>
      <c r="E124" s="58">
        <f>E95</f>
        <v>3.1746031746031744E-2</v>
      </c>
      <c r="F124" s="59">
        <f>F95</f>
        <v>7.9365079365079361E-3</v>
      </c>
      <c r="I124" s="75" t="s">
        <v>617</v>
      </c>
      <c r="J124" s="58">
        <f>J95</f>
        <v>0.33333333333333331</v>
      </c>
      <c r="K124" s="58">
        <f>K95</f>
        <v>0.5</v>
      </c>
      <c r="L124" s="58">
        <f>L95</f>
        <v>0.16666666666666666</v>
      </c>
      <c r="M124" s="59">
        <f>M95</f>
        <v>0</v>
      </c>
      <c r="P124" s="75" t="s">
        <v>617</v>
      </c>
      <c r="Q124" s="58">
        <f>Q95</f>
        <v>0.35106382978723405</v>
      </c>
      <c r="R124" s="58">
        <f>R95</f>
        <v>0.63829787234042556</v>
      </c>
      <c r="S124" s="58">
        <f>S95</f>
        <v>1.0638297872340425E-2</v>
      </c>
      <c r="T124" s="59">
        <f>T95</f>
        <v>0</v>
      </c>
      <c r="W124" s="75" t="s">
        <v>617</v>
      </c>
      <c r="X124" s="58">
        <f>X95</f>
        <v>0.5</v>
      </c>
      <c r="Y124" s="58">
        <f>Y95</f>
        <v>0.5</v>
      </c>
      <c r="Z124" s="58">
        <f>Z95</f>
        <v>0</v>
      </c>
      <c r="AA124" s="59">
        <f>AA95</f>
        <v>0</v>
      </c>
      <c r="AD124" s="75" t="s">
        <v>617</v>
      </c>
      <c r="AE124" s="58">
        <f>AE95</f>
        <v>0</v>
      </c>
      <c r="AF124" s="58">
        <f>AF95</f>
        <v>0.75</v>
      </c>
      <c r="AG124" s="58">
        <f>AG95</f>
        <v>0.16666666666666666</v>
      </c>
      <c r="AH124" s="59">
        <f>AH95</f>
        <v>8.3333333333333329E-2</v>
      </c>
      <c r="AK124" s="75" t="s">
        <v>617</v>
      </c>
      <c r="AL124" s="58">
        <f>AL95</f>
        <v>0.5</v>
      </c>
      <c r="AM124" s="58">
        <f>AM95</f>
        <v>0.5</v>
      </c>
      <c r="AN124" s="58">
        <f>AN95</f>
        <v>0</v>
      </c>
      <c r="AO124" s="59">
        <f>AO95</f>
        <v>0</v>
      </c>
      <c r="AR124" s="75" t="s">
        <v>617</v>
      </c>
      <c r="AS124" s="58">
        <f>AS95</f>
        <v>0.75</v>
      </c>
      <c r="AT124" s="58">
        <f>AT95</f>
        <v>0.25</v>
      </c>
      <c r="AU124" s="58">
        <f>AU95</f>
        <v>0</v>
      </c>
      <c r="AV124" s="59">
        <f>AV95</f>
        <v>0</v>
      </c>
    </row>
    <row r="125" spans="2:48" x14ac:dyDescent="0.25">
      <c r="B125" s="75" t="s">
        <v>330</v>
      </c>
      <c r="C125" s="58">
        <f>C100</f>
        <v>0.35317460317460314</v>
      </c>
      <c r="D125" s="58">
        <f>D100</f>
        <v>0.58730158730158732</v>
      </c>
      <c r="E125" s="58">
        <f>E100</f>
        <v>5.5555555555555552E-2</v>
      </c>
      <c r="F125" s="59">
        <f>F100</f>
        <v>3.968253968253968E-3</v>
      </c>
      <c r="I125" s="75" t="s">
        <v>330</v>
      </c>
      <c r="J125" s="58">
        <f>J100</f>
        <v>0.33333333333333331</v>
      </c>
      <c r="K125" s="58">
        <f>K100</f>
        <v>0.49999999999999994</v>
      </c>
      <c r="L125" s="58">
        <f>L100</f>
        <v>0.16666666666666666</v>
      </c>
      <c r="M125" s="59">
        <f>M100</f>
        <v>0</v>
      </c>
      <c r="P125" s="75" t="s">
        <v>330</v>
      </c>
      <c r="Q125" s="58">
        <f>Q100</f>
        <v>0.38297872340425532</v>
      </c>
      <c r="R125" s="58">
        <f>R100</f>
        <v>0.5957446808510638</v>
      </c>
      <c r="S125" s="58">
        <f>S100</f>
        <v>2.1276595744680851E-2</v>
      </c>
      <c r="T125" s="59">
        <f>T100</f>
        <v>0</v>
      </c>
      <c r="W125" s="75" t="s">
        <v>330</v>
      </c>
      <c r="X125" s="58">
        <f>X100</f>
        <v>0.4375</v>
      </c>
      <c r="Y125" s="58">
        <f>Y100</f>
        <v>0.5625</v>
      </c>
      <c r="Z125" s="58">
        <f>Z100</f>
        <v>0</v>
      </c>
      <c r="AA125" s="59">
        <f>AA100</f>
        <v>0</v>
      </c>
      <c r="AD125" s="75" t="s">
        <v>330</v>
      </c>
      <c r="AE125" s="58">
        <f>AE100</f>
        <v>8.3333333333333329E-2</v>
      </c>
      <c r="AF125" s="58">
        <f>AF100</f>
        <v>0.66666666666666674</v>
      </c>
      <c r="AG125" s="58">
        <f>AG100</f>
        <v>0.25</v>
      </c>
      <c r="AH125" s="59">
        <f>AH100</f>
        <v>0</v>
      </c>
      <c r="AK125" s="75" t="s">
        <v>330</v>
      </c>
      <c r="AL125" s="58">
        <f>AL100</f>
        <v>0.25</v>
      </c>
      <c r="AM125" s="58">
        <f>AM100</f>
        <v>0.75</v>
      </c>
      <c r="AN125" s="58">
        <f>AN100</f>
        <v>0</v>
      </c>
      <c r="AO125" s="59">
        <f>AO100</f>
        <v>0</v>
      </c>
      <c r="AR125" s="75" t="s">
        <v>330</v>
      </c>
      <c r="AS125" s="58">
        <f>AS100</f>
        <v>0.625</v>
      </c>
      <c r="AT125" s="58">
        <f>AT100</f>
        <v>0.375</v>
      </c>
      <c r="AU125" s="58">
        <f>AU100</f>
        <v>0</v>
      </c>
      <c r="AV125" s="59">
        <f>AV100</f>
        <v>0</v>
      </c>
    </row>
    <row r="126" spans="2:48" x14ac:dyDescent="0.25">
      <c r="B126" s="75" t="s">
        <v>68</v>
      </c>
      <c r="C126" s="58">
        <f>C106</f>
        <v>0.36190476190476184</v>
      </c>
      <c r="D126" s="58">
        <f>D106</f>
        <v>0.60317460317460314</v>
      </c>
      <c r="E126" s="58">
        <f>E106</f>
        <v>3.4920634920634921E-2</v>
      </c>
      <c r="F126" s="59">
        <f>F106</f>
        <v>0</v>
      </c>
      <c r="I126" s="75" t="s">
        <v>68</v>
      </c>
      <c r="J126" s="58">
        <f>J106</f>
        <v>0.39999999999999997</v>
      </c>
      <c r="K126" s="58">
        <f>K106</f>
        <v>0.59999999999999987</v>
      </c>
      <c r="L126" s="58">
        <f>L106</f>
        <v>0</v>
      </c>
      <c r="M126" s="59">
        <f>M106</f>
        <v>0</v>
      </c>
      <c r="P126" s="75" t="s">
        <v>68</v>
      </c>
      <c r="Q126" s="58">
        <f>Q106</f>
        <v>0.38723404255319144</v>
      </c>
      <c r="R126" s="58">
        <f>R106</f>
        <v>0.60425531914893615</v>
      </c>
      <c r="S126" s="58">
        <f>S106</f>
        <v>8.5106382978723406E-3</v>
      </c>
      <c r="T126" s="59">
        <f>T106</f>
        <v>0</v>
      </c>
      <c r="W126" s="75" t="s">
        <v>68</v>
      </c>
      <c r="X126" s="58">
        <f>X106</f>
        <v>0.3</v>
      </c>
      <c r="Y126" s="58">
        <f>Y106</f>
        <v>0.7</v>
      </c>
      <c r="Z126" s="58">
        <f>Z106</f>
        <v>0</v>
      </c>
      <c r="AA126" s="59">
        <f>AA106</f>
        <v>0</v>
      </c>
      <c r="AD126" s="75" t="s">
        <v>68</v>
      </c>
      <c r="AE126" s="58">
        <f>AE106</f>
        <v>6.6666666666666666E-2</v>
      </c>
      <c r="AF126" s="58">
        <f>AF106</f>
        <v>0.66666666666666674</v>
      </c>
      <c r="AG126" s="58">
        <f>AG106</f>
        <v>0.26666666666666666</v>
      </c>
      <c r="AH126" s="59">
        <f>AH106</f>
        <v>0</v>
      </c>
      <c r="AK126" s="75" t="s">
        <v>68</v>
      </c>
      <c r="AL126" s="58">
        <f>AL106</f>
        <v>0.4</v>
      </c>
      <c r="AM126" s="58">
        <f>AM106</f>
        <v>0.6</v>
      </c>
      <c r="AN126" s="58">
        <f>AN106</f>
        <v>0</v>
      </c>
      <c r="AO126" s="59">
        <f>AO106</f>
        <v>0</v>
      </c>
      <c r="AR126" s="75" t="s">
        <v>68</v>
      </c>
      <c r="AS126" s="58">
        <f>AS106</f>
        <v>0.7</v>
      </c>
      <c r="AT126" s="58">
        <f>AT106</f>
        <v>0.2</v>
      </c>
      <c r="AU126" s="58">
        <f>AU106</f>
        <v>0.1</v>
      </c>
      <c r="AV126" s="59">
        <f>AV106</f>
        <v>0</v>
      </c>
    </row>
    <row r="127" spans="2:48" ht="15.75" thickBot="1" x14ac:dyDescent="0.3">
      <c r="B127" s="76" t="s">
        <v>68</v>
      </c>
      <c r="C127" s="77">
        <f>C111</f>
        <v>0.28174603174603174</v>
      </c>
      <c r="D127" s="77">
        <f>D111</f>
        <v>0.61904761904761907</v>
      </c>
      <c r="E127" s="77">
        <f>E111</f>
        <v>9.9206349206349201E-2</v>
      </c>
      <c r="F127" s="78">
        <f>F111</f>
        <v>0</v>
      </c>
      <c r="I127" s="76" t="s">
        <v>68</v>
      </c>
      <c r="J127" s="77">
        <f>J111</f>
        <v>0.16666666666666666</v>
      </c>
      <c r="K127" s="77">
        <f>K111</f>
        <v>0.75</v>
      </c>
      <c r="L127" s="77">
        <f>L111</f>
        <v>8.3333333333333329E-2</v>
      </c>
      <c r="M127" s="78">
        <f>M111</f>
        <v>0</v>
      </c>
      <c r="P127" s="76" t="s">
        <v>68</v>
      </c>
      <c r="Q127" s="77">
        <f>Q111</f>
        <v>0.28191489361702127</v>
      </c>
      <c r="R127" s="77">
        <f>R111</f>
        <v>0.6436170212765957</v>
      </c>
      <c r="S127" s="77">
        <f>S111</f>
        <v>7.4468085106382975E-2</v>
      </c>
      <c r="T127" s="78">
        <f>T111</f>
        <v>0</v>
      </c>
      <c r="W127" s="76" t="s">
        <v>68</v>
      </c>
      <c r="X127" s="77">
        <f>X111</f>
        <v>0.5</v>
      </c>
      <c r="Y127" s="77">
        <f>Y111</f>
        <v>0.5</v>
      </c>
      <c r="Z127" s="77">
        <f>Z111</f>
        <v>0</v>
      </c>
      <c r="AA127" s="78">
        <f>AA111</f>
        <v>0</v>
      </c>
      <c r="AD127" s="76" t="s">
        <v>68</v>
      </c>
      <c r="AE127" s="77">
        <f>AE111</f>
        <v>4.1666666666666664E-2</v>
      </c>
      <c r="AF127" s="77">
        <f>AF111</f>
        <v>0.54166666666666663</v>
      </c>
      <c r="AG127" s="77">
        <f>AG111</f>
        <v>0.41666666666666663</v>
      </c>
      <c r="AH127" s="78">
        <f>AH111</f>
        <v>0</v>
      </c>
      <c r="AK127" s="76" t="s">
        <v>68</v>
      </c>
      <c r="AL127" s="77">
        <f>AL111</f>
        <v>0.75</v>
      </c>
      <c r="AM127" s="77">
        <f>AM111</f>
        <v>0.25</v>
      </c>
      <c r="AN127" s="77">
        <f>AN111</f>
        <v>0</v>
      </c>
      <c r="AO127" s="78">
        <f>AO111</f>
        <v>0</v>
      </c>
      <c r="AR127" s="76" t="s">
        <v>68</v>
      </c>
      <c r="AS127" s="77">
        <f>AS111</f>
        <v>0.5</v>
      </c>
      <c r="AT127" s="77">
        <f>AT111</f>
        <v>0.5</v>
      </c>
      <c r="AU127" s="77">
        <f>AU111</f>
        <v>0</v>
      </c>
      <c r="AV127" s="78">
        <f>AV111</f>
        <v>0</v>
      </c>
    </row>
    <row r="128" spans="2:48" x14ac:dyDescent="0.25">
      <c r="B128" s="79" t="s">
        <v>669</v>
      </c>
      <c r="C128" s="81">
        <f>SUM(C119:C127)</f>
        <v>3.2592592592592595</v>
      </c>
      <c r="D128" s="81">
        <f>SUM(D119:D127)</f>
        <v>5.1015873015873012</v>
      </c>
      <c r="E128" s="81">
        <f>SUM(E119:E127)</f>
        <v>0.60343915343915333</v>
      </c>
      <c r="F128" s="84">
        <f>SUM(F119:F127)</f>
        <v>3.5714285714285712E-2</v>
      </c>
      <c r="I128" s="79" t="s">
        <v>669</v>
      </c>
      <c r="J128" s="81">
        <f>SUM(J119:J127)</f>
        <v>2.6999999999999997</v>
      </c>
      <c r="K128" s="81">
        <f>SUM(K119:K127)</f>
        <v>5.6055555555555543</v>
      </c>
      <c r="L128" s="81">
        <f>SUM(L119:L127)</f>
        <v>0.69444444444444442</v>
      </c>
      <c r="M128" s="84">
        <f>SUM(M119:M127)</f>
        <v>0</v>
      </c>
      <c r="P128" s="79" t="s">
        <v>669</v>
      </c>
      <c r="Q128" s="81">
        <f>SUM(Q119:Q127)</f>
        <v>3.4471631205673758</v>
      </c>
      <c r="R128" s="81">
        <f>SUM(R119:R127)</f>
        <v>5.083333333333333</v>
      </c>
      <c r="S128" s="81">
        <f>SUM(S119:S127)</f>
        <v>0.46950354609929079</v>
      </c>
      <c r="T128" s="84">
        <f>SUM(T119:T127)</f>
        <v>0</v>
      </c>
      <c r="W128" s="79" t="s">
        <v>669</v>
      </c>
      <c r="X128" s="81">
        <f>SUM(X119:X127)</f>
        <v>3.5458333333333334</v>
      </c>
      <c r="Y128" s="81">
        <f>SUM(Y119:Y127)</f>
        <v>4.9541666666666666</v>
      </c>
      <c r="Z128" s="81">
        <f>SUM(Z119:Z127)</f>
        <v>0.5</v>
      </c>
      <c r="AA128" s="84">
        <f>SUM(AA119:AA127)</f>
        <v>0</v>
      </c>
      <c r="AD128" s="79" t="s">
        <v>669</v>
      </c>
      <c r="AE128" s="81">
        <f>SUM(AE119:AE127)</f>
        <v>0.93055555555555558</v>
      </c>
      <c r="AF128" s="81">
        <f>SUM(AF119:AF127)</f>
        <v>5.9583333333333339</v>
      </c>
      <c r="AG128" s="81">
        <f>SUM(AG119:AG127)</f>
        <v>1.7777777777777777</v>
      </c>
      <c r="AH128" s="84">
        <f>SUM(AH119:AH127)</f>
        <v>0.33333333333333331</v>
      </c>
      <c r="AK128" s="79" t="s">
        <v>669</v>
      </c>
      <c r="AL128" s="81">
        <f>SUM(AL119:AL127)</f>
        <v>4.9000000000000004</v>
      </c>
      <c r="AM128" s="81">
        <f>SUM(AM119:AM127)</f>
        <v>4.0999999999999996</v>
      </c>
      <c r="AN128" s="81">
        <f>SUM(AN119:AN127)</f>
        <v>0</v>
      </c>
      <c r="AO128" s="84">
        <f>SUM(AO119:AO127)</f>
        <v>0</v>
      </c>
      <c r="AR128" s="79" t="s">
        <v>669</v>
      </c>
      <c r="AS128" s="81">
        <f>SUM(AS119:AS127)</f>
        <v>5.5250000000000004</v>
      </c>
      <c r="AT128" s="81">
        <f>SUM(AT119:AT127)</f>
        <v>3.125</v>
      </c>
      <c r="AU128" s="81">
        <f>SUM(AU119:AU127)</f>
        <v>0.35</v>
      </c>
      <c r="AV128" s="84">
        <f>SUM(AV119:AV127)</f>
        <v>0</v>
      </c>
    </row>
    <row r="129" spans="2:48" ht="15.75" thickBot="1" x14ac:dyDescent="0.3">
      <c r="B129" s="80" t="s">
        <v>670</v>
      </c>
      <c r="C129" s="82">
        <f>AVERAGE(C119:C127)</f>
        <v>0.36213991769547327</v>
      </c>
      <c r="D129" s="82">
        <f>AVERAGE(D119:D127)</f>
        <v>0.56684303350970011</v>
      </c>
      <c r="E129" s="82">
        <f>AVERAGE(E119:E127)</f>
        <v>6.7048794826572597E-2</v>
      </c>
      <c r="F129" s="85">
        <f>AVERAGE(F119:F127)</f>
        <v>3.968253968253968E-3</v>
      </c>
      <c r="I129" s="80" t="s">
        <v>670</v>
      </c>
      <c r="J129" s="82">
        <f>AVERAGE(J119:J127)</f>
        <v>0.3</v>
      </c>
      <c r="K129" s="82">
        <f>AVERAGE(K119:K127)</f>
        <v>0.62283950617283934</v>
      </c>
      <c r="L129" s="82">
        <f>AVERAGE(L119:L127)</f>
        <v>7.716049382716049E-2</v>
      </c>
      <c r="M129" s="85">
        <f>AVERAGE(M119:M127)</f>
        <v>0</v>
      </c>
      <c r="P129" s="80" t="s">
        <v>670</v>
      </c>
      <c r="Q129" s="82">
        <f>AVERAGE(Q119:Q127)</f>
        <v>0.38301812450748618</v>
      </c>
      <c r="R129" s="82">
        <f>AVERAGE(R119:R127)</f>
        <v>0.56481481481481477</v>
      </c>
      <c r="S129" s="82">
        <f>AVERAGE(S119:S127)</f>
        <v>5.2167060677698975E-2</v>
      </c>
      <c r="T129" s="85">
        <f>AVERAGE(T119:T127)</f>
        <v>0</v>
      </c>
      <c r="W129" s="80" t="s">
        <v>670</v>
      </c>
      <c r="X129" s="82">
        <f>AVERAGE(X119:X127)</f>
        <v>0.39398148148148149</v>
      </c>
      <c r="Y129" s="82">
        <f>AVERAGE(Y119:Y127)</f>
        <v>0.55046296296296293</v>
      </c>
      <c r="Z129" s="82">
        <f>AVERAGE(Z119:Z127)</f>
        <v>5.5555555555555552E-2</v>
      </c>
      <c r="AA129" s="85">
        <f>AVERAGE(AA119:AA127)</f>
        <v>0</v>
      </c>
      <c r="AD129" s="80" t="s">
        <v>670</v>
      </c>
      <c r="AE129" s="82">
        <f>AVERAGE(AE119:AE127)</f>
        <v>0.10339506172839506</v>
      </c>
      <c r="AF129" s="82">
        <f>AVERAGE(AF119:AF127)</f>
        <v>0.66203703703703709</v>
      </c>
      <c r="AG129" s="82">
        <f>AVERAGE(AG119:AG127)</f>
        <v>0.19753086419753085</v>
      </c>
      <c r="AH129" s="85">
        <f>AVERAGE(AH119:AH127)</f>
        <v>3.7037037037037035E-2</v>
      </c>
      <c r="AK129" s="80" t="s">
        <v>670</v>
      </c>
      <c r="AL129" s="82">
        <f>AVERAGE(AL119:AL127)</f>
        <v>0.54444444444444451</v>
      </c>
      <c r="AM129" s="82">
        <f>AVERAGE(AM119:AM127)</f>
        <v>0.45555555555555549</v>
      </c>
      <c r="AN129" s="82">
        <f>AVERAGE(AN119:AN127)</f>
        <v>0</v>
      </c>
      <c r="AO129" s="85">
        <f>AVERAGE(AO119:AO127)</f>
        <v>0</v>
      </c>
      <c r="AR129" s="80" t="s">
        <v>670</v>
      </c>
      <c r="AS129" s="82">
        <f>AVERAGE(AS119:AS127)</f>
        <v>0.61388888888888893</v>
      </c>
      <c r="AT129" s="82">
        <f>AVERAGE(AT119:AT127)</f>
        <v>0.34722222222222221</v>
      </c>
      <c r="AU129" s="82">
        <f>AVERAGE(AU119:AU127)</f>
        <v>3.888888888888889E-2</v>
      </c>
      <c r="AV129" s="85">
        <f>AVERAGE(AV119:AV127)</f>
        <v>0</v>
      </c>
    </row>
    <row r="131" spans="2:48" ht="23.25" x14ac:dyDescent="0.35">
      <c r="B131" s="63" t="s">
        <v>674</v>
      </c>
    </row>
    <row r="132" spans="2:48" ht="15.75" thickBot="1" x14ac:dyDescent="0.3"/>
    <row r="133" spans="2:48" ht="17.25" thickBot="1" x14ac:dyDescent="0.3">
      <c r="B133" s="64" t="s">
        <v>66</v>
      </c>
      <c r="C133" s="86" t="s">
        <v>141</v>
      </c>
    </row>
    <row r="134" spans="2:48" ht="17.25" thickBot="1" x14ac:dyDescent="0.3">
      <c r="B134" s="64" t="s">
        <v>647</v>
      </c>
      <c r="C134" s="65">
        <v>2016</v>
      </c>
    </row>
    <row r="135" spans="2:48" ht="17.25" thickBot="1" x14ac:dyDescent="0.3">
      <c r="B135" s="64" t="s">
        <v>646</v>
      </c>
      <c r="C135" s="65">
        <f>COUNTIFS(TblUniv2016[th lulus],C134,TblUniv2016[Program Pendidikan],C133)</f>
        <v>56</v>
      </c>
    </row>
    <row r="136" spans="2:48" ht="16.5" x14ac:dyDescent="0.3">
      <c r="B136" s="55"/>
      <c r="C136" s="56" t="s">
        <v>69</v>
      </c>
      <c r="D136" s="56" t="s">
        <v>1</v>
      </c>
      <c r="E136" s="56" t="s">
        <v>75</v>
      </c>
      <c r="F136" s="56" t="s">
        <v>168</v>
      </c>
      <c r="G136" s="56"/>
    </row>
    <row r="137" spans="2:48" ht="16.5" x14ac:dyDescent="0.3">
      <c r="B137" s="57" t="s">
        <v>26</v>
      </c>
      <c r="C137" s="66">
        <f>COUNTIFS(TblUniv2016[B1],C$73,TblUniv2016[Program Pendidikan],$C$133)/$C$135*100%</f>
        <v>0.3392857142857143</v>
      </c>
      <c r="D137" s="66">
        <f>COUNTIFS(TblUniv2016[B1],D$73,TblUniv2016[Program Pendidikan],$C$133)/$C$135*100%</f>
        <v>0.6428571428571429</v>
      </c>
      <c r="E137" s="66">
        <f>COUNTIFS(TblUniv2016[B1],E$73,TblUniv2016[Program Pendidikan],$C$133)/$C$135*100%</f>
        <v>1.7857142857142856E-2</v>
      </c>
      <c r="F137" s="66">
        <f>COUNTIFS(TblUniv2016[B1],F$73,TblUniv2016[Program Pendidikan],$C$133)/$C$135*100%</f>
        <v>0</v>
      </c>
      <c r="G137" s="62">
        <f t="shared" ref="G137:G174" si="7">SUM(C137:F137)</f>
        <v>1</v>
      </c>
    </row>
    <row r="138" spans="2:48" ht="16.5" x14ac:dyDescent="0.3">
      <c r="B138" s="57" t="s">
        <v>27</v>
      </c>
      <c r="C138" s="66">
        <f>COUNTIFS(TblUniv2016[B2],C$73,TblUniv2016[Program Pendidikan],$C$133)/$C$135*100%</f>
        <v>0.5357142857142857</v>
      </c>
      <c r="D138" s="66">
        <f>COUNTIFS(TblUniv2016[B2],D$73,TblUniv2016[Program Pendidikan],$C$133)/$C$135*100%</f>
        <v>0.4642857142857143</v>
      </c>
      <c r="E138" s="66">
        <f>COUNTIFS(TblUniv2016[B2],E$73,TblUniv2016[Program Pendidikan],$C$133)/$C$135*100%</f>
        <v>0</v>
      </c>
      <c r="F138" s="66">
        <f>COUNTIFS(TblUniv2016[B2],F$73,TblUniv2016[Program Pendidikan],$C$133)/$C$135*100%</f>
        <v>0</v>
      </c>
      <c r="G138" s="62">
        <f t="shared" si="7"/>
        <v>1</v>
      </c>
    </row>
    <row r="139" spans="2:48" ht="16.5" x14ac:dyDescent="0.3">
      <c r="B139" s="57" t="s">
        <v>28</v>
      </c>
      <c r="C139" s="66">
        <f>COUNTIFS(TblUniv2016[B3],C$73,TblUniv2016[Program Pendidikan],$C$133)/$C$135*100%</f>
        <v>0.30357142857142855</v>
      </c>
      <c r="D139" s="66">
        <f>COUNTIFS(TblUniv2016[B3],D$73,TblUniv2016[Program Pendidikan],$C$133)/$C$135*100%</f>
        <v>0.6785714285714286</v>
      </c>
      <c r="E139" s="66">
        <f>COUNTIFS(TblUniv2016[B3],E$73,TblUniv2016[Program Pendidikan],$C$133)/$C$135*100%</f>
        <v>1.7857142857142856E-2</v>
      </c>
      <c r="F139" s="66">
        <f>COUNTIFS(TblUniv2016[B3],F$73,TblUniv2016[Program Pendidikan],$C$133)/$C$135*100%</f>
        <v>0</v>
      </c>
      <c r="G139" s="62">
        <f t="shared" si="7"/>
        <v>1</v>
      </c>
    </row>
    <row r="140" spans="2:48" ht="16.5" x14ac:dyDescent="0.3">
      <c r="B140" s="57" t="s">
        <v>29</v>
      </c>
      <c r="C140" s="66">
        <f>COUNTIFS(TblUniv2016[B4],C$73,TblUniv2016[Program Pendidikan],$C$133)/$C$135*100%</f>
        <v>0.5535714285714286</v>
      </c>
      <c r="D140" s="66">
        <f>COUNTIFS(TblUniv2016[B4],D$73,TblUniv2016[Program Pendidikan],$C$133)/$C$135*100%</f>
        <v>0.44642857142857145</v>
      </c>
      <c r="E140" s="66">
        <f>COUNTIFS(TblUniv2016[B4],E$73,TblUniv2016[Program Pendidikan],$C$133)/$C$135*100%</f>
        <v>0</v>
      </c>
      <c r="F140" s="66">
        <f>COUNTIFS(TblUniv2016[B4],F$73,TblUniv2016[Program Pendidikan],$C$133)/$C$135*100%</f>
        <v>0</v>
      </c>
      <c r="G140" s="62">
        <f t="shared" si="7"/>
        <v>1</v>
      </c>
    </row>
    <row r="141" spans="2:48" ht="16.5" x14ac:dyDescent="0.3">
      <c r="B141" s="57" t="s">
        <v>30</v>
      </c>
      <c r="C141" s="66">
        <f>COUNTIFS(TblUniv2016[B5],C$73,TblUniv2016[Program Pendidikan],$C$133)/$C$135*100%</f>
        <v>0.5357142857142857</v>
      </c>
      <c r="D141" s="66">
        <f>COUNTIFS(TblUniv2016[B5],D$73,TblUniv2016[Program Pendidikan],$C$133)/$C$135*100%</f>
        <v>0.4642857142857143</v>
      </c>
      <c r="E141" s="66">
        <f>COUNTIFS(TblUniv2016[B5],E$73,TblUniv2016[Program Pendidikan],$C$133)/$C$135*100%</f>
        <v>0</v>
      </c>
      <c r="F141" s="66">
        <f>COUNTIFS(TblUniv2016[B5],F$73,TblUniv2016[Program Pendidikan],$C$133)/$C$135*100%</f>
        <v>0</v>
      </c>
      <c r="G141" s="62">
        <f t="shared" si="7"/>
        <v>1</v>
      </c>
    </row>
    <row r="142" spans="2:48" ht="16.5" x14ac:dyDescent="0.3">
      <c r="B142" s="60"/>
      <c r="C142" s="61">
        <f>AVERAGE(C137:C141)</f>
        <v>0.45357142857142857</v>
      </c>
      <c r="D142" s="61">
        <f>AVERAGE(D137:D141)</f>
        <v>0.53928571428571437</v>
      </c>
      <c r="E142" s="61">
        <f>AVERAGE(E137:E141)</f>
        <v>7.1428571428571426E-3</v>
      </c>
      <c r="F142" s="61">
        <f>AVERAGE(F137:F141)</f>
        <v>0</v>
      </c>
      <c r="G142" s="62">
        <f t="shared" si="7"/>
        <v>1</v>
      </c>
    </row>
    <row r="143" spans="2:48" ht="16.5" x14ac:dyDescent="0.3">
      <c r="B143" s="57" t="s">
        <v>31</v>
      </c>
      <c r="C143" s="66">
        <f>COUNTIFS(TblUniv2016[C1],C$73,TblUniv2016[Program Pendidikan],$C$133)/$C$135*100%</f>
        <v>0.35714285714285715</v>
      </c>
      <c r="D143" s="66">
        <f>COUNTIFS(TblUniv2016[C1],D$73,TblUniv2016[Program Pendidikan],$C$133)/$C$135*100%</f>
        <v>0.5714285714285714</v>
      </c>
      <c r="E143" s="66">
        <f>COUNTIFS(TblUniv2016[C1],E$73,TblUniv2016[Program Pendidikan],$C$133)/$C$135*100%</f>
        <v>7.1428571428571425E-2</v>
      </c>
      <c r="F143" s="66">
        <f>COUNTIFS(TblUniv2016[C1],F$73,TblUniv2016[Program Pendidikan],$C$133)/$C$135*100%</f>
        <v>0</v>
      </c>
      <c r="G143" s="62">
        <f t="shared" si="7"/>
        <v>1</v>
      </c>
    </row>
    <row r="144" spans="2:48" ht="16.5" x14ac:dyDescent="0.3">
      <c r="B144" s="57" t="s">
        <v>32</v>
      </c>
      <c r="C144" s="66">
        <f>COUNTIFS(TblUniv2016[C2],C$73,TblUniv2016[Program Pendidikan],$C$133)/$C$135*100%</f>
        <v>0.42857142857142855</v>
      </c>
      <c r="D144" s="66">
        <f>COUNTIFS(TblUniv2016[C2],D$73,TblUniv2016[Program Pendidikan],$C$133)/$C$135*100%</f>
        <v>0.5714285714285714</v>
      </c>
      <c r="E144" s="66">
        <f>COUNTIFS(TblUniv2016[C2],E$73,TblUniv2016[Program Pendidikan],$C$133)/$C$135*100%</f>
        <v>0</v>
      </c>
      <c r="F144" s="66">
        <f>COUNTIFS(TblUniv2016[C2],F$73,TblUniv2016[Program Pendidikan],$C$133)/$C$135*100%</f>
        <v>0</v>
      </c>
      <c r="G144" s="62">
        <f t="shared" si="7"/>
        <v>1</v>
      </c>
    </row>
    <row r="145" spans="2:7" ht="16.5" x14ac:dyDescent="0.3">
      <c r="B145" s="60"/>
      <c r="C145" s="61">
        <f>AVERAGE(C143:C144)</f>
        <v>0.39285714285714285</v>
      </c>
      <c r="D145" s="61">
        <f>AVERAGE(D143:D144)</f>
        <v>0.5714285714285714</v>
      </c>
      <c r="E145" s="61">
        <f>AVERAGE(E143:E144)</f>
        <v>3.5714285714285712E-2</v>
      </c>
      <c r="F145" s="61">
        <f>AVERAGE(F143:F144)</f>
        <v>0</v>
      </c>
      <c r="G145" s="62">
        <f t="shared" si="7"/>
        <v>0.99999999999999989</v>
      </c>
    </row>
    <row r="146" spans="2:7" ht="16.5" x14ac:dyDescent="0.3">
      <c r="B146" s="57" t="s">
        <v>33</v>
      </c>
      <c r="C146" s="66">
        <f>COUNTIFS(TblUniv2016[D1],C$73,TblUniv2016[Program Pendidikan],$C$133)/$C$135*100%</f>
        <v>8.9285714285714288E-2</v>
      </c>
      <c r="D146" s="66">
        <f>COUNTIFS(TblUniv2016[D1],D$73,TblUniv2016[Program Pendidikan],$C$133)/$C$135*100%</f>
        <v>0.5357142857142857</v>
      </c>
      <c r="E146" s="66">
        <f>COUNTIFS(TblUniv2016[D1],E$73,TblUniv2016[Program Pendidikan],$C$133)/$C$135*100%</f>
        <v>0.35714285714285715</v>
      </c>
      <c r="F146" s="66">
        <f>COUNTIFS(TblUniv2016[D1],F$73,TblUniv2016[Program Pendidikan],$C$133)/$C$135*100%</f>
        <v>1.7857142857142856E-2</v>
      </c>
      <c r="G146" s="62">
        <f t="shared" si="7"/>
        <v>1</v>
      </c>
    </row>
    <row r="147" spans="2:7" ht="16.5" x14ac:dyDescent="0.3">
      <c r="B147" s="57" t="s">
        <v>34</v>
      </c>
      <c r="C147" s="66">
        <f>COUNTIFS(TblUniv2016[D2],C$73,TblUniv2016[Program Pendidikan],$C$133)/$C$135*100%</f>
        <v>0.14285714285714285</v>
      </c>
      <c r="D147" s="66">
        <f>COUNTIFS(TblUniv2016[D2],D$73,TblUniv2016[Program Pendidikan],$C$133)/$C$135*100%</f>
        <v>0.6071428571428571</v>
      </c>
      <c r="E147" s="66">
        <f>COUNTIFS(TblUniv2016[D2],E$73,TblUniv2016[Program Pendidikan],$C$133)/$C$135*100%</f>
        <v>0.23214285714285715</v>
      </c>
      <c r="F147" s="66">
        <f>COUNTIFS(TblUniv2016[D2],F$73,TblUniv2016[Program Pendidikan],$C$133)/$C$135*100%</f>
        <v>1.7857142857142856E-2</v>
      </c>
      <c r="G147" s="62">
        <f t="shared" si="7"/>
        <v>1</v>
      </c>
    </row>
    <row r="148" spans="2:7" ht="16.5" x14ac:dyDescent="0.3">
      <c r="B148" s="60"/>
      <c r="C148" s="61">
        <f>AVERAGE(C146:C147)</f>
        <v>0.11607142857142858</v>
      </c>
      <c r="D148" s="61">
        <f>AVERAGE(D146:D147)</f>
        <v>0.5714285714285714</v>
      </c>
      <c r="E148" s="61">
        <f>AVERAGE(E146:E147)</f>
        <v>0.29464285714285715</v>
      </c>
      <c r="F148" s="61">
        <f>AVERAGE(F146:F147)</f>
        <v>1.7857142857142856E-2</v>
      </c>
      <c r="G148" s="62">
        <f t="shared" si="7"/>
        <v>1</v>
      </c>
    </row>
    <row r="149" spans="2:7" ht="16.5" x14ac:dyDescent="0.3">
      <c r="B149" s="57" t="s">
        <v>35</v>
      </c>
      <c r="C149" s="66">
        <f>COUNTIFS(TblUniv2016[E1],C$73,TblUniv2016[Program Pendidikan],$C$133)/$C$135*100%</f>
        <v>0.5178571428571429</v>
      </c>
      <c r="D149" s="66">
        <f>COUNTIFS(TblUniv2016[E1],D$73,TblUniv2016[Program Pendidikan],$C$133)/$C$135*100%</f>
        <v>0.4642857142857143</v>
      </c>
      <c r="E149" s="66">
        <f>COUNTIFS(TblUniv2016[E1],E$73,TblUniv2016[Program Pendidikan],$C$133)/$C$135*100%</f>
        <v>1.7857142857142856E-2</v>
      </c>
      <c r="F149" s="66">
        <f>COUNTIFS(TblUniv2016[E1],F$73,TblUniv2016[Program Pendidikan],$C$133)/$C$135*100%</f>
        <v>0</v>
      </c>
      <c r="G149" s="62">
        <f t="shared" si="7"/>
        <v>1</v>
      </c>
    </row>
    <row r="150" spans="2:7" ht="16.5" x14ac:dyDescent="0.3">
      <c r="B150" s="57" t="s">
        <v>36</v>
      </c>
      <c r="C150" s="66">
        <f>COUNTIFS(TblUniv2016[E2],C$73,TblUniv2016[Program Pendidikan],$C$133)/$C$135*100%</f>
        <v>0.5178571428571429</v>
      </c>
      <c r="D150" s="66">
        <f>COUNTIFS(TblUniv2016[E2],D$73,TblUniv2016[Program Pendidikan],$C$133)/$C$135*100%</f>
        <v>0.44642857142857145</v>
      </c>
      <c r="E150" s="66">
        <f>COUNTIFS(TblUniv2016[E2],E$73,TblUniv2016[Program Pendidikan],$C$133)/$C$135*100%</f>
        <v>1.7857142857142856E-2</v>
      </c>
      <c r="F150" s="66">
        <f>COUNTIFS(TblUniv2016[E2],F$73,TblUniv2016[Program Pendidikan],$C$133)/$C$135*100%</f>
        <v>1.7857142857142856E-2</v>
      </c>
      <c r="G150" s="62">
        <f t="shared" si="7"/>
        <v>1.0000000000000002</v>
      </c>
    </row>
    <row r="151" spans="2:7" ht="16.5" x14ac:dyDescent="0.3">
      <c r="B151" s="60"/>
      <c r="C151" s="61">
        <f>AVERAGE(C149:C150)</f>
        <v>0.5178571428571429</v>
      </c>
      <c r="D151" s="61">
        <f>AVERAGE(D149:D150)</f>
        <v>0.4553571428571429</v>
      </c>
      <c r="E151" s="61">
        <f>AVERAGE(E149:E150)</f>
        <v>1.7857142857142856E-2</v>
      </c>
      <c r="F151" s="61">
        <f>AVERAGE(F149:F150)</f>
        <v>8.9285714285714281E-3</v>
      </c>
      <c r="G151" s="62">
        <f t="shared" si="7"/>
        <v>1.0000000000000002</v>
      </c>
    </row>
    <row r="152" spans="2:7" ht="16.5" x14ac:dyDescent="0.3">
      <c r="B152" s="57" t="s">
        <v>37</v>
      </c>
      <c r="C152" s="66">
        <f>COUNTIFS(TblUniv2016[F1],C$73,TblUniv2016[Program Pendidikan],$C$133)/$C$135*100%</f>
        <v>0.44642857142857145</v>
      </c>
      <c r="D152" s="66">
        <f>COUNTIFS(TblUniv2016[F1],D$73,TblUniv2016[Program Pendidikan],$C$133)/$C$135*100%</f>
        <v>0.5357142857142857</v>
      </c>
      <c r="E152" s="66">
        <f>COUNTIFS(TblUniv2016[F1],E$73,TblUniv2016[Program Pendidikan],$C$133)/$C$135*100%</f>
        <v>1.7857142857142856E-2</v>
      </c>
      <c r="F152" s="66">
        <f>COUNTIFS(TblUniv2016[F1],F$73,TblUniv2016[Program Pendidikan],$C$133)/$C$135*100%</f>
        <v>0</v>
      </c>
      <c r="G152" s="62">
        <f t="shared" si="7"/>
        <v>1</v>
      </c>
    </row>
    <row r="153" spans="2:7" ht="16.5" x14ac:dyDescent="0.3">
      <c r="B153" s="57" t="s">
        <v>38</v>
      </c>
      <c r="C153" s="66">
        <f>COUNTIFS(TblUniv2016[F2],C$73,TblUniv2016[Program Pendidikan],$C$133)/$C$135*100%</f>
        <v>0.3392857142857143</v>
      </c>
      <c r="D153" s="66">
        <f>COUNTIFS(TblUniv2016[F2],D$73,TblUniv2016[Program Pendidikan],$C$133)/$C$135*100%</f>
        <v>0.6071428571428571</v>
      </c>
      <c r="E153" s="66">
        <f>COUNTIFS(TblUniv2016[F2],E$73,TblUniv2016[Program Pendidikan],$C$133)/$C$135*100%</f>
        <v>5.3571428571428568E-2</v>
      </c>
      <c r="F153" s="66">
        <f>COUNTIFS(TblUniv2016[F2],F$73,TblUniv2016[Program Pendidikan],$C$133)/$C$135*100%</f>
        <v>0</v>
      </c>
      <c r="G153" s="62">
        <f t="shared" si="7"/>
        <v>1</v>
      </c>
    </row>
    <row r="154" spans="2:7" ht="16.5" x14ac:dyDescent="0.3">
      <c r="B154" s="57" t="s">
        <v>39</v>
      </c>
      <c r="C154" s="66">
        <f>COUNTIFS(TblUniv2016[F3],C$73,TblUniv2016[Program Pendidikan],$C$133)/$C$135*100%</f>
        <v>0.39285714285714285</v>
      </c>
      <c r="D154" s="66">
        <f>COUNTIFS(TblUniv2016[F3],D$73,TblUniv2016[Program Pendidikan],$C$133)/$C$135*100%</f>
        <v>0.5892857142857143</v>
      </c>
      <c r="E154" s="66">
        <f>COUNTIFS(TblUniv2016[F3],E$73,TblUniv2016[Program Pendidikan],$C$133)/$C$135*100%</f>
        <v>1.7857142857142856E-2</v>
      </c>
      <c r="F154" s="66">
        <f>COUNTIFS(TblUniv2016[F3],F$73,TblUniv2016[Program Pendidikan],$C$133)/$C$135*100%</f>
        <v>0</v>
      </c>
      <c r="G154" s="62">
        <f t="shared" si="7"/>
        <v>1</v>
      </c>
    </row>
    <row r="155" spans="2:7" ht="16.5" x14ac:dyDescent="0.3">
      <c r="B155" s="60"/>
      <c r="C155" s="61">
        <f>AVERAGE(C152:C154)</f>
        <v>0.39285714285714285</v>
      </c>
      <c r="D155" s="61">
        <f>AVERAGE(D152:D154)</f>
        <v>0.57738095238095244</v>
      </c>
      <c r="E155" s="61">
        <f>AVERAGE(E152:E154)</f>
        <v>2.9761904761904757E-2</v>
      </c>
      <c r="F155" s="61">
        <f>AVERAGE(F152:F154)</f>
        <v>0</v>
      </c>
      <c r="G155" s="62">
        <f t="shared" si="7"/>
        <v>1</v>
      </c>
    </row>
    <row r="156" spans="2:7" ht="16.5" x14ac:dyDescent="0.3">
      <c r="B156" s="57" t="s">
        <v>40</v>
      </c>
      <c r="C156" s="66">
        <f>COUNTIFS(TblUniv2016[G1],C$73,TblUniv2016[Program Pendidikan],$C$133)/$C$135*100%</f>
        <v>0.39285714285714285</v>
      </c>
      <c r="D156" s="66">
        <f>COUNTIFS(TblUniv2016[G1],D$73,TblUniv2016[Program Pendidikan],$C$133)/$C$135*100%</f>
        <v>0.6071428571428571</v>
      </c>
      <c r="E156" s="66">
        <f>COUNTIFS(TblUniv2016[G1],E$73,TblUniv2016[Program Pendidikan],$C$133)/$C$135*100%</f>
        <v>0</v>
      </c>
      <c r="F156" s="66">
        <f>COUNTIFS(TblUniv2016[G1],F$73,TblUniv2016[Program Pendidikan],$C$133)/$C$135*100%</f>
        <v>0</v>
      </c>
      <c r="G156" s="62">
        <f t="shared" si="7"/>
        <v>1</v>
      </c>
    </row>
    <row r="157" spans="2:7" ht="16.5" x14ac:dyDescent="0.3">
      <c r="B157" s="57" t="s">
        <v>41</v>
      </c>
      <c r="C157" s="66">
        <f>COUNTIFS(TblUniv2016[G2],C$73,TblUniv2016[Program Pendidikan],$C$133)/$C$135*100%</f>
        <v>0.23214285714285715</v>
      </c>
      <c r="D157" s="66">
        <f>COUNTIFS(TblUniv2016[G2],D$73,TblUniv2016[Program Pendidikan],$C$133)/$C$135*100%</f>
        <v>0.6785714285714286</v>
      </c>
      <c r="E157" s="66">
        <f>COUNTIFS(TblUniv2016[G2],E$73,TblUniv2016[Program Pendidikan],$C$133)/$C$135*100%</f>
        <v>7.1428571428571425E-2</v>
      </c>
      <c r="F157" s="66">
        <f>COUNTIFS(TblUniv2016[G2],F$73,TblUniv2016[Program Pendidikan],$C$133)/$C$135*100%</f>
        <v>1.7857142857142856E-2</v>
      </c>
      <c r="G157" s="62">
        <f t="shared" si="7"/>
        <v>1</v>
      </c>
    </row>
    <row r="158" spans="2:7" ht="16.5" x14ac:dyDescent="0.3">
      <c r="B158" s="60"/>
      <c r="C158" s="61">
        <f>AVERAGE(C156:C157)</f>
        <v>0.3125</v>
      </c>
      <c r="D158" s="61">
        <f>AVERAGE(D156:D157)</f>
        <v>0.64285714285714279</v>
      </c>
      <c r="E158" s="61">
        <f>AVERAGE(E156:E157)</f>
        <v>3.5714285714285712E-2</v>
      </c>
      <c r="F158" s="61">
        <f>AVERAGE(F156:F157)</f>
        <v>8.9285714285714281E-3</v>
      </c>
      <c r="G158" s="62">
        <f t="shared" si="7"/>
        <v>0.99999999999999989</v>
      </c>
    </row>
    <row r="159" spans="2:7" ht="16.5" x14ac:dyDescent="0.3">
      <c r="B159" s="57" t="s">
        <v>42</v>
      </c>
      <c r="C159" s="66">
        <f>COUNTIFS(TblUniv2016[H1],C$73,TblUniv2016[Program Pendidikan],$C$133)/$C$135*100%</f>
        <v>0.2857142857142857</v>
      </c>
      <c r="D159" s="66">
        <f>COUNTIFS(TblUniv2016[H1],D$73,TblUniv2016[Program Pendidikan],$C$133)/$C$135*100%</f>
        <v>0.6785714285714286</v>
      </c>
      <c r="E159" s="66">
        <f>COUNTIFS(TblUniv2016[H1],E$73,TblUniv2016[Program Pendidikan],$C$133)/$C$135*100%</f>
        <v>3.5714285714285712E-2</v>
      </c>
      <c r="F159" s="66">
        <f>COUNTIFS(TblUniv2016[H1],F$73,TblUniv2016[Program Pendidikan],$C$133)/$C$135*100%</f>
        <v>0</v>
      </c>
      <c r="G159" s="62">
        <f t="shared" si="7"/>
        <v>1</v>
      </c>
    </row>
    <row r="160" spans="2:7" ht="16.5" x14ac:dyDescent="0.3">
      <c r="B160" s="57" t="s">
        <v>43</v>
      </c>
      <c r="C160" s="66">
        <f>COUNTIFS(TblUniv2016[H1],C$73,TblUniv2016[Program Pendidikan],$C$133)/$C$135*100%</f>
        <v>0.2857142857142857</v>
      </c>
      <c r="D160" s="66">
        <f>COUNTIFS(TblUniv2016[H1],D$73,TblUniv2016[Program Pendidikan],$C$133)/$C$135*100%</f>
        <v>0.6785714285714286</v>
      </c>
      <c r="E160" s="66">
        <f>COUNTIFS(TblUniv2016[H1],E$73,TblUniv2016[Program Pendidikan],$C$133)/$C$135*100%</f>
        <v>3.5714285714285712E-2</v>
      </c>
      <c r="F160" s="66">
        <f>COUNTIFS(TblUniv2016[H1],F$73,TblUniv2016[Program Pendidikan],$C$133)/$C$135*100%</f>
        <v>0</v>
      </c>
      <c r="G160" s="62">
        <f t="shared" si="7"/>
        <v>1</v>
      </c>
    </row>
    <row r="161" spans="2:7" ht="16.5" x14ac:dyDescent="0.3">
      <c r="B161" s="57" t="s">
        <v>44</v>
      </c>
      <c r="C161" s="66">
        <f>COUNTIFS(TblUniv2016[H3],C$73,TblUniv2016[Program Pendidikan],$C$133)/$C$135*100%</f>
        <v>0.39285714285714285</v>
      </c>
      <c r="D161" s="66">
        <f>COUNTIFS(TblUniv2016[H3],D$73,TblUniv2016[Program Pendidikan],$C$133)/$C$135*100%</f>
        <v>0.5714285714285714</v>
      </c>
      <c r="E161" s="66">
        <f>COUNTIFS(TblUniv2016[H3],E$73,TblUniv2016[Program Pendidikan],$C$133)/$C$135*100%</f>
        <v>3.5714285714285712E-2</v>
      </c>
      <c r="F161" s="66">
        <f>COUNTIFS(TblUniv2016[H3],F$73,TblUniv2016[Program Pendidikan],$C$133)/$C$135*100%</f>
        <v>0</v>
      </c>
      <c r="G161" s="62">
        <f t="shared" si="7"/>
        <v>0.99999999999999989</v>
      </c>
    </row>
    <row r="162" spans="2:7" ht="16.5" x14ac:dyDescent="0.3">
      <c r="B162" s="57" t="s">
        <v>45</v>
      </c>
      <c r="C162" s="66">
        <f>COUNTIFS(TblUniv2016[H4],C$73,TblUniv2016[Program Pendidikan],$C$133)/$C$135*100%</f>
        <v>0.42857142857142855</v>
      </c>
      <c r="D162" s="66">
        <f>COUNTIFS(TblUniv2016[H4],D$73,TblUniv2016[Program Pendidikan],$C$133)/$C$135*100%</f>
        <v>0.4642857142857143</v>
      </c>
      <c r="E162" s="66">
        <f>COUNTIFS(TblUniv2016[H4],E$73,TblUniv2016[Program Pendidikan],$C$133)/$C$135*100%</f>
        <v>0.10714285714285714</v>
      </c>
      <c r="F162" s="66">
        <f>COUNTIFS(TblUniv2016[H4],F$73,TblUniv2016[Program Pendidikan],$C$133)/$C$135*100%</f>
        <v>0</v>
      </c>
      <c r="G162" s="62">
        <f t="shared" si="7"/>
        <v>0.99999999999999989</v>
      </c>
    </row>
    <row r="163" spans="2:7" ht="16.5" x14ac:dyDescent="0.3">
      <c r="B163" s="60"/>
      <c r="C163" s="61">
        <f>AVERAGE(C159:C162)</f>
        <v>0.3482142857142857</v>
      </c>
      <c r="D163" s="61">
        <f>AVERAGE(D159:D162)</f>
        <v>0.5982142857142857</v>
      </c>
      <c r="E163" s="61">
        <f>AVERAGE(E159:E162)</f>
        <v>5.3571428571428568E-2</v>
      </c>
      <c r="F163" s="61">
        <f>AVERAGE(F159:F162)</f>
        <v>0</v>
      </c>
      <c r="G163" s="62">
        <f t="shared" si="7"/>
        <v>1</v>
      </c>
    </row>
    <row r="164" spans="2:7" ht="16.5" x14ac:dyDescent="0.3">
      <c r="B164" s="57" t="s">
        <v>648</v>
      </c>
      <c r="C164" s="66">
        <f>COUNTIFS(TblUniv2016[I. a1],C$73,TblUniv2016[Program Pendidikan],$C$133)/$C$135*100%</f>
        <v>0.32142857142857145</v>
      </c>
      <c r="D164" s="66">
        <f>COUNTIFS(TblUniv2016[I. a1],D$73,TblUniv2016[Program Pendidikan],$C$133)/$C$135*100%</f>
        <v>0.6607142857142857</v>
      </c>
      <c r="E164" s="66">
        <f>COUNTIFS(TblUniv2016[I. a1],E$73,TblUniv2016[Program Pendidikan],$C$133)/$C$135*100%</f>
        <v>1.7857142857142856E-2</v>
      </c>
      <c r="F164" s="66">
        <f>COUNTIFS(TblUniv2016[I. a1],F$73,TblUniv2016[Program Pendidikan],$C$133)/$C$135*100%</f>
        <v>0</v>
      </c>
      <c r="G164" s="62">
        <f t="shared" si="7"/>
        <v>1</v>
      </c>
    </row>
    <row r="165" spans="2:7" ht="16.5" x14ac:dyDescent="0.3">
      <c r="B165" s="57" t="s">
        <v>649</v>
      </c>
      <c r="C165" s="66">
        <f>COUNTIFS(TblUniv2016[I. a2],C$73,TblUniv2016[Program Pendidikan],$C$133)/$C$135*100%</f>
        <v>0.26785714285714285</v>
      </c>
      <c r="D165" s="66">
        <f>COUNTIFS(TblUniv2016[I. a2],D$73,TblUniv2016[Program Pendidikan],$C$133)/$C$135*100%</f>
        <v>0.6785714285714286</v>
      </c>
      <c r="E165" s="66">
        <f>COUNTIFS(TblUniv2016[I. a2],E$73,TblUniv2016[Program Pendidikan],$C$133)/$C$135*100%</f>
        <v>5.3571428571428568E-2</v>
      </c>
      <c r="F165" s="66">
        <f>COUNTIFS(TblUniv2016[I. a2],F$73,TblUniv2016[Program Pendidikan],$C$133)/$C$135*100%</f>
        <v>0</v>
      </c>
      <c r="G165" s="62">
        <f t="shared" si="7"/>
        <v>1</v>
      </c>
    </row>
    <row r="166" spans="2:7" ht="16.5" x14ac:dyDescent="0.3">
      <c r="B166" s="57" t="s">
        <v>650</v>
      </c>
      <c r="C166" s="66">
        <f>COUNTIFS(TblUniv2016[I. a3],C$73,TblUniv2016[Program Pendidikan],$C$133)/$C$135*100%</f>
        <v>0.4107142857142857</v>
      </c>
      <c r="D166" s="66">
        <f>COUNTIFS(TblUniv2016[I. a3],D$73,TblUniv2016[Program Pendidikan],$C$133)/$C$135*100%</f>
        <v>0.5892857142857143</v>
      </c>
      <c r="E166" s="66">
        <f>COUNTIFS(TblUniv2016[I. a3],E$73,TblUniv2016[Program Pendidikan],$C$133)/$C$135*100%</f>
        <v>0</v>
      </c>
      <c r="F166" s="66">
        <f>COUNTIFS(TblUniv2016[I. a3],F$73,TblUniv2016[Program Pendidikan],$C$133)/$C$135*100%</f>
        <v>0</v>
      </c>
      <c r="G166" s="62">
        <f t="shared" si="7"/>
        <v>1</v>
      </c>
    </row>
    <row r="167" spans="2:7" ht="16.5" x14ac:dyDescent="0.3">
      <c r="B167" s="57" t="s">
        <v>651</v>
      </c>
      <c r="C167" s="66">
        <f>COUNTIFS(TblUniv2016[I. a4],C$73,TblUniv2016[Program Pendidikan],$C$133)/$C$135*100%</f>
        <v>0.39285714285714285</v>
      </c>
      <c r="D167" s="66">
        <f>COUNTIFS(TblUniv2016[I. a4],D$73,TblUniv2016[Program Pendidikan],$C$133)/$C$135*100%</f>
        <v>0.5535714285714286</v>
      </c>
      <c r="E167" s="66">
        <f>COUNTIFS(TblUniv2016[I. a4],E$73,TblUniv2016[Program Pendidikan],$C$133)/$C$135*100%</f>
        <v>5.3571428571428568E-2</v>
      </c>
      <c r="F167" s="66">
        <f>COUNTIFS(TblUniv2016[I. a4],F$73,TblUniv2016[Program Pendidikan],$C$133)/$C$135*100%</f>
        <v>0</v>
      </c>
      <c r="G167" s="62">
        <f t="shared" si="7"/>
        <v>1</v>
      </c>
    </row>
    <row r="168" spans="2:7" ht="16.5" x14ac:dyDescent="0.3">
      <c r="B168" s="57" t="s">
        <v>652</v>
      </c>
      <c r="C168" s="66">
        <f>COUNTIFS(TblUniv2016[I. a5],C$73,TblUniv2016[Program Pendidikan],$C$133)/$C$135*100%</f>
        <v>0.375</v>
      </c>
      <c r="D168" s="66">
        <f>COUNTIFS(TblUniv2016[I. a5],D$73,TblUniv2016[Program Pendidikan],$C$133)/$C$135*100%</f>
        <v>0.5714285714285714</v>
      </c>
      <c r="E168" s="66">
        <f>COUNTIFS(TblUniv2016[I. a5],E$73,TblUniv2016[Program Pendidikan],$C$133)/$C$135*100%</f>
        <v>5.3571428571428568E-2</v>
      </c>
      <c r="F168" s="66">
        <f>COUNTIFS(TblUniv2016[I. a5],F$73,TblUniv2016[Program Pendidikan],$C$133)/$C$135*100%</f>
        <v>0</v>
      </c>
      <c r="G168" s="62">
        <f t="shared" si="7"/>
        <v>1</v>
      </c>
    </row>
    <row r="169" spans="2:7" ht="16.5" x14ac:dyDescent="0.3">
      <c r="B169" s="60"/>
      <c r="C169" s="61">
        <f>AVERAGE(C164:C168)</f>
        <v>0.35357142857142854</v>
      </c>
      <c r="D169" s="61">
        <f>AVERAGE(D164:D168)</f>
        <v>0.61071428571428577</v>
      </c>
      <c r="E169" s="61">
        <f>AVERAGE(E164:E168)</f>
        <v>3.5714285714285712E-2</v>
      </c>
      <c r="F169" s="61">
        <f>AVERAGE(F164:F168)</f>
        <v>0</v>
      </c>
      <c r="G169" s="62">
        <f t="shared" si="7"/>
        <v>1</v>
      </c>
    </row>
    <row r="170" spans="2:7" ht="16.5" x14ac:dyDescent="0.3">
      <c r="B170" s="57" t="s">
        <v>653</v>
      </c>
      <c r="C170" s="66">
        <f>COUNTIFS(TblUniv2016[I. b1],C$73,TblUniv2016[Program Pendidikan],$C$133)/$C$135*100%</f>
        <v>0.21428571428571427</v>
      </c>
      <c r="D170" s="66">
        <f>COUNTIFS(TblUniv2016[I. b1],D$73,TblUniv2016[Program Pendidikan],$C$133)/$C$135*100%</f>
        <v>0.6428571428571429</v>
      </c>
      <c r="E170" s="66">
        <f>COUNTIFS(TblUniv2016[I. b1],E$73,TblUniv2016[Program Pendidikan],$C$133)/$C$135*100%</f>
        <v>0.14285714285714285</v>
      </c>
      <c r="F170" s="66">
        <f>COUNTIFS(TblUniv2016[I. b1],F$73,TblUniv2016[Program Pendidikan],$C$133)/$C$135*100%</f>
        <v>0</v>
      </c>
      <c r="G170" s="62">
        <f t="shared" si="7"/>
        <v>1</v>
      </c>
    </row>
    <row r="171" spans="2:7" ht="16.5" x14ac:dyDescent="0.3">
      <c r="B171" s="57" t="s">
        <v>654</v>
      </c>
      <c r="C171" s="66">
        <f>COUNTIFS(TblUniv2016[I. b2],C$73,TblUniv2016[Program Pendidikan],$C$133)/$C$135*100%</f>
        <v>0.26785714285714285</v>
      </c>
      <c r="D171" s="66">
        <f>COUNTIFS(TblUniv2016[I. b2],D$73,TblUniv2016[Program Pendidikan],$C$133)/$C$135*100%</f>
        <v>0.6428571428571429</v>
      </c>
      <c r="E171" s="66">
        <f>COUNTIFS(TblUniv2016[I. b2],E$73,TblUniv2016[Program Pendidikan],$C$133)/$C$135*100%</f>
        <v>8.9285714285714288E-2</v>
      </c>
      <c r="F171" s="66">
        <f>COUNTIFS(TblUniv2016[I. b2],F$73,TblUniv2016[Program Pendidikan],$C$133)/$C$135*100%</f>
        <v>0</v>
      </c>
      <c r="G171" s="62">
        <f t="shared" si="7"/>
        <v>1</v>
      </c>
    </row>
    <row r="172" spans="2:7" ht="16.5" x14ac:dyDescent="0.3">
      <c r="B172" s="57" t="s">
        <v>655</v>
      </c>
      <c r="C172" s="66">
        <f>COUNTIFS(TblUniv2016[I. b3],C$73,TblUniv2016[Program Pendidikan],$C$133)/$C$135*100%</f>
        <v>0.23214285714285715</v>
      </c>
      <c r="D172" s="66">
        <f>COUNTIFS(TblUniv2016[I. b3],D$73,TblUniv2016[Program Pendidikan],$C$133)/$C$135*100%</f>
        <v>0.5892857142857143</v>
      </c>
      <c r="E172" s="66">
        <f>COUNTIFS(TblUniv2016[I. b3],E$73,TblUniv2016[Program Pendidikan],$C$133)/$C$135*100%</f>
        <v>0.17857142857142858</v>
      </c>
      <c r="F172" s="66">
        <f>COUNTIFS(TblUniv2016[I. b3],F$73,TblUniv2016[Program Pendidikan],$C$133)/$C$135*100%</f>
        <v>0</v>
      </c>
      <c r="G172" s="62">
        <f t="shared" si="7"/>
        <v>1</v>
      </c>
    </row>
    <row r="173" spans="2:7" ht="16.5" x14ac:dyDescent="0.3">
      <c r="B173" s="57" t="s">
        <v>656</v>
      </c>
      <c r="C173" s="66">
        <f>COUNTIFS(TblUniv2016[I. b4],C$73,TblUniv2016[Program Pendidikan],$C$133)/$C$135*100%</f>
        <v>0.2857142857142857</v>
      </c>
      <c r="D173" s="66">
        <f>COUNTIFS(TblUniv2016[I. b4],D$73,TblUniv2016[Program Pendidikan],$C$133)/$C$135*100%</f>
        <v>0.6785714285714286</v>
      </c>
      <c r="E173" s="66">
        <f>COUNTIFS(TblUniv2016[I. b4],E$73,TblUniv2016[Program Pendidikan],$C$133)/$C$135*100%</f>
        <v>3.5714285714285712E-2</v>
      </c>
      <c r="F173" s="66">
        <f>COUNTIFS(TblUniv2016[I. b4],F$73,TblUniv2016[Program Pendidikan],$C$133)/$C$135*100%</f>
        <v>0</v>
      </c>
      <c r="G173" s="62">
        <f t="shared" si="7"/>
        <v>1</v>
      </c>
    </row>
    <row r="174" spans="2:7" ht="17.25" thickBot="1" x14ac:dyDescent="0.35">
      <c r="B174" s="67"/>
      <c r="C174" s="68">
        <f>AVERAGE(C170:C173)</f>
        <v>0.24999999999999997</v>
      </c>
      <c r="D174" s="68">
        <f>AVERAGE(D170:D173)</f>
        <v>0.63839285714285721</v>
      </c>
      <c r="E174" s="68">
        <f>AVERAGE(E170:E173)</f>
        <v>0.11160714285714285</v>
      </c>
      <c r="F174" s="68">
        <f>AVERAGE(F170:F173)</f>
        <v>0</v>
      </c>
      <c r="G174" s="62">
        <f t="shared" si="7"/>
        <v>1</v>
      </c>
    </row>
    <row r="175" spans="2:7" ht="15.75" thickBot="1" x14ac:dyDescent="0.3"/>
    <row r="176" spans="2:7" ht="17.25" thickBot="1" x14ac:dyDescent="0.3">
      <c r="B176" s="64" t="s">
        <v>14</v>
      </c>
      <c r="C176" s="65" t="str">
        <f>C133</f>
        <v>Sarjana</v>
      </c>
    </row>
    <row r="177" spans="2:6" ht="17.25" thickBot="1" x14ac:dyDescent="0.3">
      <c r="B177" s="64" t="s">
        <v>647</v>
      </c>
      <c r="C177" s="65">
        <f>C134</f>
        <v>2016</v>
      </c>
    </row>
    <row r="178" spans="2:6" ht="17.25" thickBot="1" x14ac:dyDescent="0.3">
      <c r="B178" s="64" t="s">
        <v>646</v>
      </c>
      <c r="C178" s="65">
        <f>C135</f>
        <v>56</v>
      </c>
    </row>
    <row r="179" spans="2:6" ht="15.75" thickBot="1" x14ac:dyDescent="0.3">
      <c r="B179" s="222" t="s">
        <v>658</v>
      </c>
      <c r="C179" s="223" t="s">
        <v>664</v>
      </c>
      <c r="D179" s="223"/>
      <c r="E179" s="223"/>
      <c r="F179" s="223"/>
    </row>
    <row r="180" spans="2:6" ht="15.75" thickBot="1" x14ac:dyDescent="0.3">
      <c r="B180" s="222"/>
      <c r="C180" s="72" t="s">
        <v>645</v>
      </c>
      <c r="D180" s="72" t="s">
        <v>665</v>
      </c>
      <c r="E180" s="72" t="s">
        <v>666</v>
      </c>
      <c r="F180" s="72" t="s">
        <v>667</v>
      </c>
    </row>
    <row r="181" spans="2:6" x14ac:dyDescent="0.25">
      <c r="B181" s="73">
        <v>2</v>
      </c>
      <c r="C181" s="71">
        <v>3</v>
      </c>
      <c r="D181" s="71">
        <v>4</v>
      </c>
      <c r="E181" s="71">
        <v>5</v>
      </c>
      <c r="F181" s="74">
        <v>6</v>
      </c>
    </row>
    <row r="182" spans="2:6" x14ac:dyDescent="0.25">
      <c r="B182" s="75" t="s">
        <v>659</v>
      </c>
      <c r="C182" s="58">
        <f>C142</f>
        <v>0.45357142857142857</v>
      </c>
      <c r="D182" s="58">
        <f>D142</f>
        <v>0.53928571428571437</v>
      </c>
      <c r="E182" s="58">
        <f>E142</f>
        <v>7.1428571428571426E-3</v>
      </c>
      <c r="F182" s="59">
        <f>F142</f>
        <v>0</v>
      </c>
    </row>
    <row r="183" spans="2:6" x14ac:dyDescent="0.25">
      <c r="B183" s="75" t="s">
        <v>660</v>
      </c>
      <c r="C183" s="58">
        <f>C145</f>
        <v>0.39285714285714285</v>
      </c>
      <c r="D183" s="58">
        <f>D145</f>
        <v>0.5714285714285714</v>
      </c>
      <c r="E183" s="58">
        <f>E145</f>
        <v>3.5714285714285712E-2</v>
      </c>
      <c r="F183" s="59">
        <f>F145</f>
        <v>0</v>
      </c>
    </row>
    <row r="184" spans="2:6" x14ac:dyDescent="0.25">
      <c r="B184" s="75" t="s">
        <v>661</v>
      </c>
      <c r="C184" s="58">
        <f>C148</f>
        <v>0.11607142857142858</v>
      </c>
      <c r="D184" s="58">
        <f>D148</f>
        <v>0.5714285714285714</v>
      </c>
      <c r="E184" s="58">
        <f>E148</f>
        <v>0.29464285714285715</v>
      </c>
      <c r="F184" s="59">
        <f>F148</f>
        <v>1.7857142857142856E-2</v>
      </c>
    </row>
    <row r="185" spans="2:6" x14ac:dyDescent="0.25">
      <c r="B185" s="75" t="s">
        <v>662</v>
      </c>
      <c r="C185" s="58">
        <f>C151</f>
        <v>0.5178571428571429</v>
      </c>
      <c r="D185" s="58">
        <f>D151</f>
        <v>0.4553571428571429</v>
      </c>
      <c r="E185" s="58">
        <f>E151</f>
        <v>1.7857142857142856E-2</v>
      </c>
      <c r="F185" s="59">
        <f>F151</f>
        <v>8.9285714285714281E-3</v>
      </c>
    </row>
    <row r="186" spans="2:6" x14ac:dyDescent="0.25">
      <c r="B186" s="75" t="s">
        <v>663</v>
      </c>
      <c r="C186" s="58">
        <f>C155</f>
        <v>0.39285714285714285</v>
      </c>
      <c r="D186" s="58">
        <f>D155</f>
        <v>0.57738095238095244</v>
      </c>
      <c r="E186" s="58">
        <f>E155</f>
        <v>2.9761904761904757E-2</v>
      </c>
      <c r="F186" s="59">
        <f>F155</f>
        <v>0</v>
      </c>
    </row>
    <row r="187" spans="2:6" x14ac:dyDescent="0.25">
      <c r="B187" s="75" t="s">
        <v>617</v>
      </c>
      <c r="C187" s="58">
        <f>C158</f>
        <v>0.3125</v>
      </c>
      <c r="D187" s="58">
        <f>D158</f>
        <v>0.64285714285714279</v>
      </c>
      <c r="E187" s="58">
        <f>E158</f>
        <v>3.5714285714285712E-2</v>
      </c>
      <c r="F187" s="59">
        <f>F158</f>
        <v>8.9285714285714281E-3</v>
      </c>
    </row>
    <row r="188" spans="2:6" x14ac:dyDescent="0.25">
      <c r="B188" s="75" t="s">
        <v>330</v>
      </c>
      <c r="C188" s="58">
        <f>C163</f>
        <v>0.3482142857142857</v>
      </c>
      <c r="D188" s="58">
        <f>D163</f>
        <v>0.5982142857142857</v>
      </c>
      <c r="E188" s="58">
        <f>E163</f>
        <v>5.3571428571428568E-2</v>
      </c>
      <c r="F188" s="59">
        <f>F163</f>
        <v>0</v>
      </c>
    </row>
    <row r="189" spans="2:6" x14ac:dyDescent="0.25">
      <c r="B189" s="75" t="s">
        <v>68</v>
      </c>
      <c r="C189" s="58">
        <f>C169</f>
        <v>0.35357142857142854</v>
      </c>
      <c r="D189" s="58">
        <f>D169</f>
        <v>0.61071428571428577</v>
      </c>
      <c r="E189" s="58">
        <f>E169</f>
        <v>3.5714285714285712E-2</v>
      </c>
      <c r="F189" s="59">
        <f>F169</f>
        <v>0</v>
      </c>
    </row>
    <row r="190" spans="2:6" ht="15.75" thickBot="1" x14ac:dyDescent="0.3">
      <c r="B190" s="76" t="s">
        <v>68</v>
      </c>
      <c r="C190" s="77">
        <f>C174</f>
        <v>0.24999999999999997</v>
      </c>
      <c r="D190" s="77">
        <f>D174</f>
        <v>0.63839285714285721</v>
      </c>
      <c r="E190" s="77">
        <f>E174</f>
        <v>0.11160714285714285</v>
      </c>
      <c r="F190" s="78">
        <f>F174</f>
        <v>0</v>
      </c>
    </row>
    <row r="191" spans="2:6" x14ac:dyDescent="0.25">
      <c r="B191" s="79" t="s">
        <v>669</v>
      </c>
      <c r="C191" s="81">
        <f>SUM(C182:C190)</f>
        <v>3.1375000000000002</v>
      </c>
      <c r="D191" s="81">
        <f>SUM(D182:D190)</f>
        <v>5.2050595238095241</v>
      </c>
      <c r="E191" s="81">
        <f>SUM(E182:E190)</f>
        <v>0.62172619047619038</v>
      </c>
      <c r="F191" s="84">
        <f>SUM(F182:F190)</f>
        <v>3.5714285714285712E-2</v>
      </c>
    </row>
    <row r="192" spans="2:6" ht="15.75" thickBot="1" x14ac:dyDescent="0.3">
      <c r="B192" s="80" t="s">
        <v>670</v>
      </c>
      <c r="C192" s="82">
        <f>AVERAGE(C182:C190)</f>
        <v>0.34861111111111115</v>
      </c>
      <c r="D192" s="82">
        <f>AVERAGE(D182:D190)</f>
        <v>0.57833994708994707</v>
      </c>
      <c r="E192" s="82">
        <f>AVERAGE(E182:E190)</f>
        <v>6.9080687830687826E-2</v>
      </c>
      <c r="F192" s="85">
        <f>AVERAGE(F182:F190)</f>
        <v>3.968253968253968E-3</v>
      </c>
    </row>
    <row r="194" spans="2:7" ht="15.75" thickBot="1" x14ac:dyDescent="0.3"/>
    <row r="195" spans="2:7" ht="33.75" thickBot="1" x14ac:dyDescent="0.3">
      <c r="B195" s="64" t="s">
        <v>66</v>
      </c>
      <c r="C195" s="86" t="s">
        <v>128</v>
      </c>
    </row>
    <row r="196" spans="2:7" ht="17.25" thickBot="1" x14ac:dyDescent="0.3">
      <c r="B196" s="64" t="s">
        <v>647</v>
      </c>
      <c r="C196" s="65">
        <v>2016</v>
      </c>
    </row>
    <row r="197" spans="2:7" ht="17.25" thickBot="1" x14ac:dyDescent="0.3">
      <c r="B197" s="64" t="s">
        <v>646</v>
      </c>
      <c r="C197" s="65">
        <f>COUNTIFS(TblUniv2016[th lulus],C196,TblUniv2016[Program Pendidikan],C195)</f>
        <v>1</v>
      </c>
    </row>
    <row r="198" spans="2:7" ht="16.5" x14ac:dyDescent="0.3">
      <c r="B198" s="55"/>
      <c r="C198" s="56" t="s">
        <v>69</v>
      </c>
      <c r="D198" s="56" t="s">
        <v>1</v>
      </c>
      <c r="E198" s="56" t="s">
        <v>75</v>
      </c>
      <c r="F198" s="56" t="s">
        <v>168</v>
      </c>
      <c r="G198" s="56"/>
    </row>
    <row r="199" spans="2:7" ht="16.5" x14ac:dyDescent="0.3">
      <c r="B199" s="57" t="s">
        <v>26</v>
      </c>
      <c r="C199" s="66">
        <f>COUNTIFS(TblUniv2016[B1],C$73,TblUniv2016[Program Pendidikan],$C$195)/$C$197*100%</f>
        <v>1</v>
      </c>
      <c r="D199" s="66">
        <f>COUNTIFS(TblUniv2016[B1],D$73,TblUniv2016[Program Pendidikan],$C$195)/$C$197*100%</f>
        <v>0</v>
      </c>
      <c r="E199" s="66">
        <f>COUNTIFS(TblUniv2016[B1],E$73,TblUniv2016[Program Pendidikan],$C$195)/$C$197*100%</f>
        <v>0</v>
      </c>
      <c r="F199" s="66">
        <f>COUNTIFS(TblUniv2016[B1],F$73,TblUniv2016[Program Pendidikan],$C$195)/$C$197*100%</f>
        <v>0</v>
      </c>
      <c r="G199" s="62">
        <f t="shared" ref="G199:G236" si="8">SUM(C199:F199)</f>
        <v>1</v>
      </c>
    </row>
    <row r="200" spans="2:7" ht="16.5" x14ac:dyDescent="0.3">
      <c r="B200" s="57" t="s">
        <v>27</v>
      </c>
      <c r="C200" s="66">
        <f>COUNTIFS(TblUniv2016[B2],C$73,TblUniv2016[Program Pendidikan],$C$195)/$C$197*100%</f>
        <v>1</v>
      </c>
      <c r="D200" s="66">
        <f>COUNTIFS(TblUniv2016[B2],D$73,TblUniv2016[Program Pendidikan],$C$195)/$C$197*100%</f>
        <v>0</v>
      </c>
      <c r="E200" s="66">
        <f>COUNTIFS(TblUniv2016[B2],E$73,TblUniv2016[Program Pendidikan],$C$195)/$C$197*100%</f>
        <v>0</v>
      </c>
      <c r="F200" s="66">
        <f>COUNTIFS(TblUniv2016[B2],F$73,TblUniv2016[Program Pendidikan],$C$195)/$C$197*100%</f>
        <v>0</v>
      </c>
      <c r="G200" s="62">
        <f t="shared" si="8"/>
        <v>1</v>
      </c>
    </row>
    <row r="201" spans="2:7" ht="16.5" x14ac:dyDescent="0.3">
      <c r="B201" s="57" t="s">
        <v>28</v>
      </c>
      <c r="C201" s="66">
        <f>COUNTIFS(TblUniv2016[B3],C$73,TblUniv2016[Program Pendidikan],$C$195)/$C$197*100%</f>
        <v>1</v>
      </c>
      <c r="D201" s="66">
        <f>COUNTIFS(TblUniv2016[B3],D$73,TblUniv2016[Program Pendidikan],$C$195)/$C$197*100%</f>
        <v>0</v>
      </c>
      <c r="E201" s="66">
        <f>COUNTIFS(TblUniv2016[B3],E$73,TblUniv2016[Program Pendidikan],$C$195)/$C$197*100%</f>
        <v>0</v>
      </c>
      <c r="F201" s="66">
        <f>COUNTIFS(TblUniv2016[B3],F$73,TblUniv2016[Program Pendidikan],$C$195)/$C$197*100%</f>
        <v>0</v>
      </c>
      <c r="G201" s="62">
        <f t="shared" si="8"/>
        <v>1</v>
      </c>
    </row>
    <row r="202" spans="2:7" ht="16.5" x14ac:dyDescent="0.3">
      <c r="B202" s="57" t="s">
        <v>29</v>
      </c>
      <c r="C202" s="66">
        <f>COUNTIFS(TblUniv2016[B4],C$73,TblUniv2016[Program Pendidikan],$C$195)/$C$197*100%</f>
        <v>1</v>
      </c>
      <c r="D202" s="66">
        <f>COUNTIFS(TblUniv2016[B4],D$73,TblUniv2016[Program Pendidikan],$C$195)/$C$197*100%</f>
        <v>0</v>
      </c>
      <c r="E202" s="66">
        <f>COUNTIFS(TblUniv2016[B4],E$73,TblUniv2016[Program Pendidikan],$C$195)/$C$197*100%</f>
        <v>0</v>
      </c>
      <c r="F202" s="66">
        <f>COUNTIFS(TblUniv2016[B4],F$73,TblUniv2016[Program Pendidikan],$C$195)/$C$197*100%</f>
        <v>0</v>
      </c>
      <c r="G202" s="62">
        <f t="shared" si="8"/>
        <v>1</v>
      </c>
    </row>
    <row r="203" spans="2:7" ht="16.5" x14ac:dyDescent="0.3">
      <c r="B203" s="57" t="s">
        <v>30</v>
      </c>
      <c r="C203" s="66">
        <f>COUNTIFS(TblUniv2016[B5],C$73,TblUniv2016[Program Pendidikan],$C$195)/$C$197*100%</f>
        <v>1</v>
      </c>
      <c r="D203" s="66">
        <f>COUNTIFS(TblUniv2016[B5],D$73,TblUniv2016[Program Pendidikan],$C$195)/$C$197*100%</f>
        <v>0</v>
      </c>
      <c r="E203" s="66">
        <f>COUNTIFS(TblUniv2016[B5],E$73,TblUniv2016[Program Pendidikan],$C$195)/$C$197*100%</f>
        <v>0</v>
      </c>
      <c r="F203" s="66">
        <f>COUNTIFS(TblUniv2016[B5],F$73,TblUniv2016[Program Pendidikan],$C$195)/$C$197*100%</f>
        <v>0</v>
      </c>
      <c r="G203" s="62">
        <f t="shared" si="8"/>
        <v>1</v>
      </c>
    </row>
    <row r="204" spans="2:7" ht="16.5" x14ac:dyDescent="0.3">
      <c r="B204" s="60"/>
      <c r="C204" s="61">
        <f>AVERAGE(C199:C203)</f>
        <v>1</v>
      </c>
      <c r="D204" s="61">
        <f>AVERAGE(D199:D203)</f>
        <v>0</v>
      </c>
      <c r="E204" s="61">
        <f>AVERAGE(E199:E203)</f>
        <v>0</v>
      </c>
      <c r="F204" s="61">
        <f>AVERAGE(F199:F203)</f>
        <v>0</v>
      </c>
      <c r="G204" s="62">
        <f t="shared" si="8"/>
        <v>1</v>
      </c>
    </row>
    <row r="205" spans="2:7" ht="16.5" x14ac:dyDescent="0.3">
      <c r="B205" s="57" t="s">
        <v>31</v>
      </c>
      <c r="C205" s="66">
        <f>COUNTIFS(TblUniv2016[C1],C$73,TblUniv2016[Program Pendidikan],$C$195)/$C$197*100%</f>
        <v>0</v>
      </c>
      <c r="D205" s="66">
        <f>COUNTIFS(TblUniv2016[C1],D$73,TblUniv2016[Program Pendidikan],$C$195)/$C$197*100%</f>
        <v>1</v>
      </c>
      <c r="E205" s="66">
        <f>COUNTIFS(TblUniv2016[C1],E$73,TblUniv2016[Program Pendidikan],$C$195)/$C$197*100%</f>
        <v>0</v>
      </c>
      <c r="F205" s="66">
        <f>COUNTIFS(TblUniv2016[C1],F$73,TblUniv2016[Program Pendidikan],$C$195)/$C$197*100%</f>
        <v>0</v>
      </c>
      <c r="G205" s="62">
        <f t="shared" si="8"/>
        <v>1</v>
      </c>
    </row>
    <row r="206" spans="2:7" ht="16.5" x14ac:dyDescent="0.3">
      <c r="B206" s="57" t="s">
        <v>32</v>
      </c>
      <c r="C206" s="66">
        <f>COUNTIFS(TblUniv2016[C2],C$73,TblUniv2016[Program Pendidikan],$C$195)/$C$197*100%</f>
        <v>0</v>
      </c>
      <c r="D206" s="66">
        <f>COUNTIFS(TblUniv2016[C2],D$73,TblUniv2016[Program Pendidikan],$C$195)/$C$197*100%</f>
        <v>1</v>
      </c>
      <c r="E206" s="66">
        <f>COUNTIFS(TblUniv2016[C2],E$73,TblUniv2016[Program Pendidikan],$C$195)/$C$197*100%</f>
        <v>0</v>
      </c>
      <c r="F206" s="66">
        <f>COUNTIFS(TblUniv2016[C2],F$73,TblUniv2016[Program Pendidikan],$C$195)/$C$197*100%</f>
        <v>0</v>
      </c>
      <c r="G206" s="62">
        <f t="shared" si="8"/>
        <v>1</v>
      </c>
    </row>
    <row r="207" spans="2:7" ht="16.5" x14ac:dyDescent="0.3">
      <c r="B207" s="60"/>
      <c r="C207" s="61">
        <f>AVERAGE(C205:C206)</f>
        <v>0</v>
      </c>
      <c r="D207" s="61">
        <f>AVERAGE(D205:D206)</f>
        <v>1</v>
      </c>
      <c r="E207" s="61">
        <f>AVERAGE(E205:E206)</f>
        <v>0</v>
      </c>
      <c r="F207" s="61">
        <f>AVERAGE(F205:F206)</f>
        <v>0</v>
      </c>
      <c r="G207" s="62">
        <f t="shared" si="8"/>
        <v>1</v>
      </c>
    </row>
    <row r="208" spans="2:7" ht="16.5" x14ac:dyDescent="0.3">
      <c r="B208" s="57" t="s">
        <v>33</v>
      </c>
      <c r="C208" s="66">
        <f>COUNTIFS(TblUniv2016[D1],C$73,TblUniv2016[Program Pendidikan],$C$195)/$C$197*100%</f>
        <v>0</v>
      </c>
      <c r="D208" s="66">
        <f>COUNTIFS(TblUniv2016[D1],D$73,TblUniv2016[Program Pendidikan],$C$195)/$C$197*100%</f>
        <v>1</v>
      </c>
      <c r="E208" s="66">
        <f>COUNTIFS(TblUniv2016[D1],E$73,TblUniv2016[Program Pendidikan],$C$195)/$C$197*100%</f>
        <v>0</v>
      </c>
      <c r="F208" s="66">
        <f>COUNTIFS(TblUniv2016[D1],F$73,TblUniv2016[Program Pendidikan],$C$195)/$C$197*100%</f>
        <v>0</v>
      </c>
      <c r="G208" s="62">
        <f t="shared" si="8"/>
        <v>1</v>
      </c>
    </row>
    <row r="209" spans="2:7" ht="16.5" x14ac:dyDescent="0.3">
      <c r="B209" s="57" t="s">
        <v>34</v>
      </c>
      <c r="C209" s="66">
        <f>COUNTIFS(TblUniv2016[D2],C$73,TblUniv2016[Program Pendidikan],$C$195)/$C$197*100%</f>
        <v>0</v>
      </c>
      <c r="D209" s="66">
        <f>COUNTIFS(TblUniv2016[D2],D$73,TblUniv2016[Program Pendidikan],$C$195)/$C$197*100%</f>
        <v>1</v>
      </c>
      <c r="E209" s="66">
        <f>COUNTIFS(TblUniv2016[D2],E$73,TblUniv2016[Program Pendidikan],$C$195)/$C$197*100%</f>
        <v>0</v>
      </c>
      <c r="F209" s="66">
        <f>COUNTIFS(TblUniv2016[D2],F$73,TblUniv2016[Program Pendidikan],$C$195)/$C$197*100%</f>
        <v>0</v>
      </c>
      <c r="G209" s="62">
        <f t="shared" si="8"/>
        <v>1</v>
      </c>
    </row>
    <row r="210" spans="2:7" ht="16.5" x14ac:dyDescent="0.3">
      <c r="B210" s="60"/>
      <c r="C210" s="61">
        <f>AVERAGE(C208:C209)</f>
        <v>0</v>
      </c>
      <c r="D210" s="61">
        <f>AVERAGE(D208:D209)</f>
        <v>1</v>
      </c>
      <c r="E210" s="61">
        <f>AVERAGE(E208:E209)</f>
        <v>0</v>
      </c>
      <c r="F210" s="61">
        <f>AVERAGE(F208:F209)</f>
        <v>0</v>
      </c>
      <c r="G210" s="62">
        <f t="shared" si="8"/>
        <v>1</v>
      </c>
    </row>
    <row r="211" spans="2:7" ht="16.5" x14ac:dyDescent="0.3">
      <c r="B211" s="57" t="s">
        <v>35</v>
      </c>
      <c r="C211" s="66">
        <f>COUNTIFS(TblUniv2016[E1],C$73,TblUniv2016[Program Pendidikan],$C$195)/$C$197*100%</f>
        <v>1</v>
      </c>
      <c r="D211" s="66">
        <f>COUNTIFS(TblUniv2016[E1],D$73,TblUniv2016[Program Pendidikan],$C$195)/$C$197*100%</f>
        <v>0</v>
      </c>
      <c r="E211" s="66">
        <f>COUNTIFS(TblUniv2016[E1],E$73,TblUniv2016[Program Pendidikan],$C$195)/$C$197*100%</f>
        <v>0</v>
      </c>
      <c r="F211" s="66">
        <f>COUNTIFS(TblUniv2016[E1],F$73,TblUniv2016[Program Pendidikan],$C$195)/$C$197*100%</f>
        <v>0</v>
      </c>
      <c r="G211" s="62">
        <f t="shared" si="8"/>
        <v>1</v>
      </c>
    </row>
    <row r="212" spans="2:7" ht="16.5" x14ac:dyDescent="0.3">
      <c r="B212" s="57" t="s">
        <v>36</v>
      </c>
      <c r="C212" s="66">
        <f>COUNTIFS(TblUniv2016[E2],C$73,TblUniv2016[Program Pendidikan],$C$195)/$C$197*100%</f>
        <v>1</v>
      </c>
      <c r="D212" s="66">
        <f>COUNTIFS(TblUniv2016[E2],D$73,TblUniv2016[Program Pendidikan],$C$195)/$C$197*100%</f>
        <v>0</v>
      </c>
      <c r="E212" s="66">
        <f>COUNTIFS(TblUniv2016[E2],E$73,TblUniv2016[Program Pendidikan],$C$195)/$C$197*100%</f>
        <v>0</v>
      </c>
      <c r="F212" s="66">
        <f>COUNTIFS(TblUniv2016[E2],F$73,TblUniv2016[Program Pendidikan],$C$195)/$C$197*100%</f>
        <v>0</v>
      </c>
      <c r="G212" s="62">
        <f t="shared" si="8"/>
        <v>1</v>
      </c>
    </row>
    <row r="213" spans="2:7" ht="16.5" x14ac:dyDescent="0.3">
      <c r="B213" s="60"/>
      <c r="C213" s="61">
        <f>AVERAGE(C211:C212)</f>
        <v>1</v>
      </c>
      <c r="D213" s="61">
        <f>AVERAGE(D211:D212)</f>
        <v>0</v>
      </c>
      <c r="E213" s="61">
        <f>AVERAGE(E211:E212)</f>
        <v>0</v>
      </c>
      <c r="F213" s="61">
        <f>AVERAGE(F211:F212)</f>
        <v>0</v>
      </c>
      <c r="G213" s="62">
        <f t="shared" si="8"/>
        <v>1</v>
      </c>
    </row>
    <row r="214" spans="2:7" ht="16.5" x14ac:dyDescent="0.3">
      <c r="B214" s="57" t="s">
        <v>37</v>
      </c>
      <c r="C214" s="66">
        <f>COUNTIFS(TblUniv2016[F1],C$73,TblUniv2016[Program Pendidikan],$C$195)/$C$197*100%</f>
        <v>1</v>
      </c>
      <c r="D214" s="66">
        <f>COUNTIFS(TblUniv2016[F1],D$73,TblUniv2016[Program Pendidikan],$C$195)/$C$197*100%</f>
        <v>0</v>
      </c>
      <c r="E214" s="66">
        <f>COUNTIFS(TblUniv2016[F1],E$73,TblUniv2016[Program Pendidikan],$C$195)/$C$197*100%</f>
        <v>0</v>
      </c>
      <c r="F214" s="66">
        <f>COUNTIFS(TblUniv2016[F1],F$73,TblUniv2016[Program Pendidikan],$C$195)/$C$197*100%</f>
        <v>0</v>
      </c>
      <c r="G214" s="62">
        <f t="shared" si="8"/>
        <v>1</v>
      </c>
    </row>
    <row r="215" spans="2:7" ht="16.5" x14ac:dyDescent="0.3">
      <c r="B215" s="57" t="s">
        <v>38</v>
      </c>
      <c r="C215" s="66">
        <f>COUNTIFS(TblUniv2016[F2],C$73,TblUniv2016[Program Pendidikan],$C$195)/$C$197*100%</f>
        <v>1</v>
      </c>
      <c r="D215" s="66">
        <f>COUNTIFS(TblUniv2016[F2],D$73,TblUniv2016[Program Pendidikan],$C$195)/$C$197*100%</f>
        <v>0</v>
      </c>
      <c r="E215" s="66">
        <f>COUNTIFS(TblUniv2016[F2],E$73,TblUniv2016[Program Pendidikan],$C$195)/$C$197*100%</f>
        <v>0</v>
      </c>
      <c r="F215" s="66">
        <f>COUNTIFS(TblUniv2016[F2],F$73,TblUniv2016[Program Pendidikan],$C$195)/$C$197*100%</f>
        <v>0</v>
      </c>
      <c r="G215" s="62">
        <f t="shared" si="8"/>
        <v>1</v>
      </c>
    </row>
    <row r="216" spans="2:7" ht="16.5" x14ac:dyDescent="0.3">
      <c r="B216" s="57" t="s">
        <v>39</v>
      </c>
      <c r="C216" s="66">
        <f>COUNTIFS(TblUniv2016[F3],C$73,TblUniv2016[Program Pendidikan],$C$195)/$C$197*100%</f>
        <v>1</v>
      </c>
      <c r="D216" s="66">
        <f>COUNTIFS(TblUniv2016[F3],D$73,TblUniv2016[Program Pendidikan],$C$195)/$C$197*100%</f>
        <v>0</v>
      </c>
      <c r="E216" s="66">
        <f>COUNTIFS(TblUniv2016[F3],E$73,TblUniv2016[Program Pendidikan],$C$195)/$C$197*100%</f>
        <v>0</v>
      </c>
      <c r="F216" s="66">
        <f>COUNTIFS(TblUniv2016[F3],F$73,TblUniv2016[Program Pendidikan],$C$195)/$C$197*100%</f>
        <v>0</v>
      </c>
      <c r="G216" s="62">
        <f t="shared" si="8"/>
        <v>1</v>
      </c>
    </row>
    <row r="217" spans="2:7" ht="16.5" x14ac:dyDescent="0.3">
      <c r="B217" s="60"/>
      <c r="C217" s="61">
        <f>AVERAGE(C214:C216)</f>
        <v>1</v>
      </c>
      <c r="D217" s="61">
        <f>AVERAGE(D214:D216)</f>
        <v>0</v>
      </c>
      <c r="E217" s="61">
        <f>AVERAGE(E214:E216)</f>
        <v>0</v>
      </c>
      <c r="F217" s="61">
        <f>AVERAGE(F214:F216)</f>
        <v>0</v>
      </c>
      <c r="G217" s="62">
        <f t="shared" si="8"/>
        <v>1</v>
      </c>
    </row>
    <row r="218" spans="2:7" ht="16.5" x14ac:dyDescent="0.3">
      <c r="B218" s="57" t="s">
        <v>40</v>
      </c>
      <c r="C218" s="66">
        <f>COUNTIFS(TblUniv2016[G1],C$73,TblUniv2016[Program Pendidikan],$C$195)/$C$197*100%</f>
        <v>0</v>
      </c>
      <c r="D218" s="66">
        <f>COUNTIFS(TblUniv2016[G1],D$73,TblUniv2016[Program Pendidikan],$C$195)/$C$197*100%</f>
        <v>1</v>
      </c>
      <c r="E218" s="66">
        <f>COUNTIFS(TblUniv2016[G1],E$73,TblUniv2016[Program Pendidikan],$C$195)/$C$197*100%</f>
        <v>0</v>
      </c>
      <c r="F218" s="66">
        <f>COUNTIFS(TblUniv2016[G1],F$73,TblUniv2016[Program Pendidikan],$C$195)/$C$197*100%</f>
        <v>0</v>
      </c>
      <c r="G218" s="62">
        <f t="shared" si="8"/>
        <v>1</v>
      </c>
    </row>
    <row r="219" spans="2:7" ht="16.5" x14ac:dyDescent="0.3">
      <c r="B219" s="57" t="s">
        <v>41</v>
      </c>
      <c r="C219" s="66">
        <f>COUNTIFS(TblUniv2016[G2],C$73,TblUniv2016[Program Pendidikan],$C$195)/$C$197*100%</f>
        <v>1</v>
      </c>
      <c r="D219" s="66">
        <f>COUNTIFS(TblUniv2016[G2],D$73,TblUniv2016[Program Pendidikan],$C$195)/$C$197*100%</f>
        <v>0</v>
      </c>
      <c r="E219" s="66">
        <f>COUNTIFS(TblUniv2016[G2],E$73,TblUniv2016[Program Pendidikan],$C$195)/$C$197*100%</f>
        <v>0</v>
      </c>
      <c r="F219" s="66">
        <f>COUNTIFS(TblUniv2016[G2],F$73,TblUniv2016[Program Pendidikan],$C$195)/$C$197*100%</f>
        <v>0</v>
      </c>
      <c r="G219" s="62">
        <f t="shared" si="8"/>
        <v>1</v>
      </c>
    </row>
    <row r="220" spans="2:7" ht="16.5" x14ac:dyDescent="0.3">
      <c r="B220" s="60"/>
      <c r="C220" s="61">
        <f>AVERAGE(C218:C219)</f>
        <v>0.5</v>
      </c>
      <c r="D220" s="61">
        <f>AVERAGE(D218:D219)</f>
        <v>0.5</v>
      </c>
      <c r="E220" s="61">
        <f>AVERAGE(E218:E219)</f>
        <v>0</v>
      </c>
      <c r="F220" s="61">
        <f>AVERAGE(F218:F219)</f>
        <v>0</v>
      </c>
      <c r="G220" s="62">
        <f t="shared" si="8"/>
        <v>1</v>
      </c>
    </row>
    <row r="221" spans="2:7" ht="16.5" x14ac:dyDescent="0.3">
      <c r="B221" s="57" t="s">
        <v>42</v>
      </c>
      <c r="C221" s="66">
        <f>COUNTIFS(TblUniv2016[H1],C$73,TblUniv2016[Program Pendidikan],$C$195)/$C$197*100%</f>
        <v>0</v>
      </c>
      <c r="D221" s="66">
        <f>COUNTIFS(TblUniv2016[H1],D$73,TblUniv2016[Program Pendidikan],$C$195)/$C$197*100%</f>
        <v>1</v>
      </c>
      <c r="E221" s="66">
        <f>COUNTIFS(TblUniv2016[H1],E$73,TblUniv2016[Program Pendidikan],$C$195)/$C$197*100%</f>
        <v>0</v>
      </c>
      <c r="F221" s="66">
        <f>COUNTIFS(TblUniv2016[H1],F$73,TblUniv2016[Program Pendidikan],$C$195)/$C$197*100%</f>
        <v>0</v>
      </c>
      <c r="G221" s="62">
        <f t="shared" si="8"/>
        <v>1</v>
      </c>
    </row>
    <row r="222" spans="2:7" ht="16.5" x14ac:dyDescent="0.3">
      <c r="B222" s="57" t="s">
        <v>43</v>
      </c>
      <c r="C222" s="66">
        <f>COUNTIFS(TblUniv2016[H1],C$73,TblUniv2016[Program Pendidikan],$C$195)/$C$197*100%</f>
        <v>0</v>
      </c>
      <c r="D222" s="66">
        <f>COUNTIFS(TblUniv2016[H1],D$73,TblUniv2016[Program Pendidikan],$C$195)/$C$197*100%</f>
        <v>1</v>
      </c>
      <c r="E222" s="66">
        <f>COUNTIFS(TblUniv2016[H1],E$73,TblUniv2016[Program Pendidikan],$C$195)/$C$197*100%</f>
        <v>0</v>
      </c>
      <c r="F222" s="66">
        <f>COUNTIFS(TblUniv2016[H1],F$73,TblUniv2016[Program Pendidikan],$C$195)/$C$197*100%</f>
        <v>0</v>
      </c>
      <c r="G222" s="62">
        <f t="shared" si="8"/>
        <v>1</v>
      </c>
    </row>
    <row r="223" spans="2:7" ht="16.5" x14ac:dyDescent="0.3">
      <c r="B223" s="57" t="s">
        <v>44</v>
      </c>
      <c r="C223" s="66">
        <f>COUNTIFS(TblUniv2016[H3],C$73,TblUniv2016[Program Pendidikan],$C$195)/$C$197*100%</f>
        <v>1</v>
      </c>
      <c r="D223" s="66">
        <f>COUNTIFS(TblUniv2016[H3],D$73,TblUniv2016[Program Pendidikan],$C$195)/$C$197*100%</f>
        <v>0</v>
      </c>
      <c r="E223" s="66">
        <f>COUNTIFS(TblUniv2016[H3],E$73,TblUniv2016[Program Pendidikan],$C$195)/$C$197*100%</f>
        <v>0</v>
      </c>
      <c r="F223" s="66">
        <f>COUNTIFS(TblUniv2016[H3],F$73,TblUniv2016[Program Pendidikan],$C$195)/$C$197*100%</f>
        <v>0</v>
      </c>
      <c r="G223" s="62">
        <f t="shared" si="8"/>
        <v>1</v>
      </c>
    </row>
    <row r="224" spans="2:7" ht="16.5" x14ac:dyDescent="0.3">
      <c r="B224" s="57" t="s">
        <v>45</v>
      </c>
      <c r="C224" s="66">
        <f>COUNTIFS(TblUniv2016[H4],C$73,TblUniv2016[Program Pendidikan],$C$195)/$C$197*100%</f>
        <v>0</v>
      </c>
      <c r="D224" s="66">
        <f>COUNTIFS(TblUniv2016[H4],D$73,TblUniv2016[Program Pendidikan],$C$195)/$C$197*100%</f>
        <v>1</v>
      </c>
      <c r="E224" s="66">
        <f>COUNTIFS(TblUniv2016[H4],E$73,TblUniv2016[Program Pendidikan],$C$195)/$C$197*100%</f>
        <v>0</v>
      </c>
      <c r="F224" s="66">
        <f>COUNTIFS(TblUniv2016[H4],F$73,TblUniv2016[Program Pendidikan],$C$195)/$C$197*100%</f>
        <v>0</v>
      </c>
      <c r="G224" s="62">
        <f t="shared" si="8"/>
        <v>1</v>
      </c>
    </row>
    <row r="225" spans="2:7" ht="16.5" x14ac:dyDescent="0.3">
      <c r="B225" s="60"/>
      <c r="C225" s="61">
        <f>AVERAGE(C221:C224)</f>
        <v>0.25</v>
      </c>
      <c r="D225" s="61">
        <f>AVERAGE(D221:D224)</f>
        <v>0.75</v>
      </c>
      <c r="E225" s="61">
        <f>AVERAGE(E221:E224)</f>
        <v>0</v>
      </c>
      <c r="F225" s="61">
        <f>AVERAGE(F221:F224)</f>
        <v>0</v>
      </c>
      <c r="G225" s="62">
        <f t="shared" si="8"/>
        <v>1</v>
      </c>
    </row>
    <row r="226" spans="2:7" ht="16.5" x14ac:dyDescent="0.3">
      <c r="B226" s="57" t="s">
        <v>648</v>
      </c>
      <c r="C226" s="66">
        <f>COUNTIFS(TblUniv2016[I. a1],C$73,TblUniv2016[Program Pendidikan],$C$195)/$C$197*100%</f>
        <v>1</v>
      </c>
      <c r="D226" s="66">
        <f>COUNTIFS(TblUniv2016[I. a1],D$73,TblUniv2016[Program Pendidikan],$C$195)/$C$197*100%</f>
        <v>0</v>
      </c>
      <c r="E226" s="66">
        <f>COUNTIFS(TblUniv2016[I. a1],E$73,TblUniv2016[Program Pendidikan],$C$195)/$C$197*100%</f>
        <v>0</v>
      </c>
      <c r="F226" s="66">
        <f>COUNTIFS(TblUniv2016[I. a1],F$73,TblUniv2016[Program Pendidikan],$C$195)/$C$197*100%</f>
        <v>0</v>
      </c>
      <c r="G226" s="62">
        <f t="shared" si="8"/>
        <v>1</v>
      </c>
    </row>
    <row r="227" spans="2:7" ht="16.5" x14ac:dyDescent="0.3">
      <c r="B227" s="57" t="s">
        <v>649</v>
      </c>
      <c r="C227" s="66">
        <f>COUNTIFS(TblUniv2016[I. a2],C$73,TblUniv2016[Program Pendidikan],$C$195)/$C$197*100%</f>
        <v>1</v>
      </c>
      <c r="D227" s="66">
        <f>COUNTIFS(TblUniv2016[I. a2],D$73,TblUniv2016[Program Pendidikan],$C$195)/$C$197*100%</f>
        <v>0</v>
      </c>
      <c r="E227" s="66">
        <f>COUNTIFS(TblUniv2016[I. a2],E$73,TblUniv2016[Program Pendidikan],$C$195)/$C$197*100%</f>
        <v>0</v>
      </c>
      <c r="F227" s="66">
        <f>COUNTIFS(TblUniv2016[I. a2],F$73,TblUniv2016[Program Pendidikan],$C$195)/$C$197*100%</f>
        <v>0</v>
      </c>
      <c r="G227" s="62">
        <f t="shared" si="8"/>
        <v>1</v>
      </c>
    </row>
    <row r="228" spans="2:7" ht="16.5" x14ac:dyDescent="0.3">
      <c r="B228" s="57" t="s">
        <v>650</v>
      </c>
      <c r="C228" s="66">
        <f>COUNTIFS(TblUniv2016[I. a3],C$73,TblUniv2016[Program Pendidikan],$C$195)/$C$197*100%</f>
        <v>0</v>
      </c>
      <c r="D228" s="66">
        <f>COUNTIFS(TblUniv2016[I. a3],D$73,TblUniv2016[Program Pendidikan],$C$195)/$C$197*100%</f>
        <v>1</v>
      </c>
      <c r="E228" s="66">
        <f>COUNTIFS(TblUniv2016[I. a3],E$73,TblUniv2016[Program Pendidikan],$C$195)/$C$197*100%</f>
        <v>0</v>
      </c>
      <c r="F228" s="66">
        <f>COUNTIFS(TblUniv2016[I. a3],F$73,TblUniv2016[Program Pendidikan],$C$195)/$C$197*100%</f>
        <v>0</v>
      </c>
      <c r="G228" s="62">
        <f t="shared" si="8"/>
        <v>1</v>
      </c>
    </row>
    <row r="229" spans="2:7" ht="16.5" x14ac:dyDescent="0.3">
      <c r="B229" s="57" t="s">
        <v>651</v>
      </c>
      <c r="C229" s="66">
        <f>COUNTIFS(TblUniv2016[I. a4],C$73,TblUniv2016[Program Pendidikan],$C$195)/$C$197*100%</f>
        <v>0</v>
      </c>
      <c r="D229" s="66">
        <f>COUNTIFS(TblUniv2016[I. a4],D$73,TblUniv2016[Program Pendidikan],$C$195)/$C$197*100%</f>
        <v>1</v>
      </c>
      <c r="E229" s="66">
        <f>COUNTIFS(TblUniv2016[I. a4],E$73,TblUniv2016[Program Pendidikan],$C$195)/$C$197*100%</f>
        <v>0</v>
      </c>
      <c r="F229" s="66">
        <f>COUNTIFS(TblUniv2016[I. a4],F$73,TblUniv2016[Program Pendidikan],$C$195)/$C$197*100%</f>
        <v>0</v>
      </c>
      <c r="G229" s="62">
        <f t="shared" si="8"/>
        <v>1</v>
      </c>
    </row>
    <row r="230" spans="2:7" ht="16.5" x14ac:dyDescent="0.3">
      <c r="B230" s="57" t="s">
        <v>652</v>
      </c>
      <c r="C230" s="66">
        <f>COUNTIFS(TblUniv2016[I. a5],C$73,TblUniv2016[Program Pendidikan],$C$195)/$C$197*100%</f>
        <v>0</v>
      </c>
      <c r="D230" s="66">
        <f>COUNTIFS(TblUniv2016[I. a5],D$73,TblUniv2016[Program Pendidikan],$C$195)/$C$197*100%</f>
        <v>1</v>
      </c>
      <c r="E230" s="66">
        <f>COUNTIFS(TblUniv2016[I. a5],E$73,TblUniv2016[Program Pendidikan],$C$195)/$C$197*100%</f>
        <v>0</v>
      </c>
      <c r="F230" s="66">
        <f>COUNTIFS(TblUniv2016[I. a5],F$73,TblUniv2016[Program Pendidikan],$C$195)/$C$197*100%</f>
        <v>0</v>
      </c>
      <c r="G230" s="62">
        <f t="shared" si="8"/>
        <v>1</v>
      </c>
    </row>
    <row r="231" spans="2:7" ht="16.5" x14ac:dyDescent="0.3">
      <c r="B231" s="60"/>
      <c r="C231" s="61">
        <f>AVERAGE(C226:C230)</f>
        <v>0.4</v>
      </c>
      <c r="D231" s="61">
        <f>AVERAGE(D226:D230)</f>
        <v>0.6</v>
      </c>
      <c r="E231" s="61">
        <f>AVERAGE(E226:E230)</f>
        <v>0</v>
      </c>
      <c r="F231" s="61">
        <f>AVERAGE(F226:F230)</f>
        <v>0</v>
      </c>
      <c r="G231" s="62">
        <f t="shared" si="8"/>
        <v>1</v>
      </c>
    </row>
    <row r="232" spans="2:7" ht="16.5" x14ac:dyDescent="0.3">
      <c r="B232" s="57" t="s">
        <v>653</v>
      </c>
      <c r="C232" s="66">
        <f>COUNTIFS(TblUniv2016[I. b1],C$73,TblUniv2016[Program Pendidikan],$C$195)/$C$197*100%</f>
        <v>1</v>
      </c>
      <c r="D232" s="66">
        <f>COUNTIFS(TblUniv2016[I. b1],D$73,TblUniv2016[Program Pendidikan],$C$195)/$C$197*100%</f>
        <v>0</v>
      </c>
      <c r="E232" s="66">
        <f>COUNTIFS(TblUniv2016[I. b1],E$73,TblUniv2016[Program Pendidikan],$C$195)/$C$197*100%</f>
        <v>0</v>
      </c>
      <c r="F232" s="66">
        <f>COUNTIFS(TblUniv2016[I. b1],F$73,TblUniv2016[Program Pendidikan],$C$195)/$C$197*100%</f>
        <v>0</v>
      </c>
      <c r="G232" s="62">
        <f t="shared" si="8"/>
        <v>1</v>
      </c>
    </row>
    <row r="233" spans="2:7" ht="16.5" x14ac:dyDescent="0.3">
      <c r="B233" s="57" t="s">
        <v>654</v>
      </c>
      <c r="C233" s="66">
        <f>COUNTIFS(TblUniv2016[I. b2],C$73,TblUniv2016[Program Pendidikan],$C$195)/$C$197*100%</f>
        <v>1</v>
      </c>
      <c r="D233" s="66">
        <f>COUNTIFS(TblUniv2016[I. b2],D$73,TblUniv2016[Program Pendidikan],$C$195)/$C$197*100%</f>
        <v>0</v>
      </c>
      <c r="E233" s="66">
        <f>COUNTIFS(TblUniv2016[I. b2],E$73,TblUniv2016[Program Pendidikan],$C$195)/$C$197*100%</f>
        <v>0</v>
      </c>
      <c r="F233" s="66">
        <f>COUNTIFS(TblUniv2016[I. b2],F$73,TblUniv2016[Program Pendidikan],$C$195)/$C$197*100%</f>
        <v>0</v>
      </c>
      <c r="G233" s="62">
        <f t="shared" si="8"/>
        <v>1</v>
      </c>
    </row>
    <row r="234" spans="2:7" ht="16.5" x14ac:dyDescent="0.3">
      <c r="B234" s="57" t="s">
        <v>655</v>
      </c>
      <c r="C234" s="66">
        <f>COUNTIFS(TblUniv2016[I. b3],C$73,TblUniv2016[Program Pendidikan],$C$195)/$C$197*100%</f>
        <v>0</v>
      </c>
      <c r="D234" s="66">
        <f>COUNTIFS(TblUniv2016[I. b3],D$73,TblUniv2016[Program Pendidikan],$C$195)/$C$197*100%</f>
        <v>1</v>
      </c>
      <c r="E234" s="66">
        <f>COUNTIFS(TblUniv2016[I. b3],E$73,TblUniv2016[Program Pendidikan],$C$195)/$C$197*100%</f>
        <v>0</v>
      </c>
      <c r="F234" s="66">
        <f>COUNTIFS(TblUniv2016[I. b3],F$73,TblUniv2016[Program Pendidikan],$C$195)/$C$197*100%</f>
        <v>0</v>
      </c>
      <c r="G234" s="62">
        <f t="shared" si="8"/>
        <v>1</v>
      </c>
    </row>
    <row r="235" spans="2:7" ht="16.5" x14ac:dyDescent="0.3">
      <c r="B235" s="57" t="s">
        <v>656</v>
      </c>
      <c r="C235" s="66">
        <f>COUNTIFS(TblUniv2016[I. b4],C$73,TblUniv2016[Program Pendidikan],$C$195)/$C$197*100%</f>
        <v>1</v>
      </c>
      <c r="D235" s="66">
        <f>COUNTIFS(TblUniv2016[I. b4],D$73,TblUniv2016[Program Pendidikan],$C$195)/$C$197*100%</f>
        <v>0</v>
      </c>
      <c r="E235" s="66">
        <f>COUNTIFS(TblUniv2016[I. b4],E$73,TblUniv2016[Program Pendidikan],$C$195)/$C$197*100%</f>
        <v>0</v>
      </c>
      <c r="F235" s="66">
        <f>COUNTIFS(TblUniv2016[I. b4],F$73,TblUniv2016[Program Pendidikan],$C$195)/$C$197*100%</f>
        <v>0</v>
      </c>
      <c r="G235" s="62">
        <f t="shared" si="8"/>
        <v>1</v>
      </c>
    </row>
    <row r="236" spans="2:7" ht="17.25" thickBot="1" x14ac:dyDescent="0.35">
      <c r="B236" s="67"/>
      <c r="C236" s="68">
        <f>AVERAGE(C232:C235)</f>
        <v>0.75</v>
      </c>
      <c r="D236" s="68">
        <f>AVERAGE(D232:D235)</f>
        <v>0.25</v>
      </c>
      <c r="E236" s="68">
        <f>AVERAGE(E232:E235)</f>
        <v>0</v>
      </c>
      <c r="F236" s="68">
        <f>AVERAGE(F232:F235)</f>
        <v>0</v>
      </c>
      <c r="G236" s="62">
        <f t="shared" si="8"/>
        <v>1</v>
      </c>
    </row>
    <row r="237" spans="2:7" ht="15.75" thickBot="1" x14ac:dyDescent="0.3"/>
    <row r="238" spans="2:7" ht="17.25" thickBot="1" x14ac:dyDescent="0.3">
      <c r="B238" s="64" t="s">
        <v>14</v>
      </c>
      <c r="C238" s="65" t="str">
        <f>C195</f>
        <v>Diploma Empat/ Sarjana Terapan</v>
      </c>
      <c r="G238" s="1" t="s">
        <v>73</v>
      </c>
    </row>
    <row r="239" spans="2:7" ht="33.75" thickBot="1" x14ac:dyDescent="0.3">
      <c r="B239" s="64" t="s">
        <v>647</v>
      </c>
      <c r="C239" s="65">
        <f>C196</f>
        <v>2016</v>
      </c>
      <c r="G239" s="83" t="s">
        <v>128</v>
      </c>
    </row>
    <row r="240" spans="2:7" ht="17.25" thickBot="1" x14ac:dyDescent="0.3">
      <c r="B240" s="64" t="s">
        <v>646</v>
      </c>
      <c r="C240" s="65">
        <f>C197</f>
        <v>1</v>
      </c>
    </row>
    <row r="241" spans="2:6" ht="15.75" thickBot="1" x14ac:dyDescent="0.3">
      <c r="B241" s="222" t="s">
        <v>658</v>
      </c>
      <c r="C241" s="223" t="s">
        <v>664</v>
      </c>
      <c r="D241" s="223"/>
      <c r="E241" s="223"/>
      <c r="F241" s="223"/>
    </row>
    <row r="242" spans="2:6" ht="15.75" thickBot="1" x14ac:dyDescent="0.3">
      <c r="B242" s="222"/>
      <c r="C242" s="72" t="s">
        <v>645</v>
      </c>
      <c r="D242" s="72" t="s">
        <v>665</v>
      </c>
      <c r="E242" s="72" t="s">
        <v>666</v>
      </c>
      <c r="F242" s="72" t="s">
        <v>667</v>
      </c>
    </row>
    <row r="243" spans="2:6" x14ac:dyDescent="0.25">
      <c r="B243" s="73">
        <v>2</v>
      </c>
      <c r="C243" s="71">
        <v>3</v>
      </c>
      <c r="D243" s="71">
        <v>4</v>
      </c>
      <c r="E243" s="71">
        <v>5</v>
      </c>
      <c r="F243" s="74">
        <v>6</v>
      </c>
    </row>
    <row r="244" spans="2:6" x14ac:dyDescent="0.25">
      <c r="B244" s="75" t="s">
        <v>659</v>
      </c>
      <c r="C244" s="58">
        <f>C204</f>
        <v>1</v>
      </c>
      <c r="D244" s="58">
        <f>D204</f>
        <v>0</v>
      </c>
      <c r="E244" s="58">
        <f>E204</f>
        <v>0</v>
      </c>
      <c r="F244" s="59">
        <f>F204</f>
        <v>0</v>
      </c>
    </row>
    <row r="245" spans="2:6" x14ac:dyDescent="0.25">
      <c r="B245" s="75" t="s">
        <v>660</v>
      </c>
      <c r="C245" s="58">
        <f>C207</f>
        <v>0</v>
      </c>
      <c r="D245" s="58">
        <f>D207</f>
        <v>1</v>
      </c>
      <c r="E245" s="58">
        <f>E207</f>
        <v>0</v>
      </c>
      <c r="F245" s="59">
        <f>F207</f>
        <v>0</v>
      </c>
    </row>
    <row r="246" spans="2:6" x14ac:dyDescent="0.25">
      <c r="B246" s="75" t="s">
        <v>661</v>
      </c>
      <c r="C246" s="58">
        <f>C210</f>
        <v>0</v>
      </c>
      <c r="D246" s="58">
        <f>D210</f>
        <v>1</v>
      </c>
      <c r="E246" s="58">
        <f>E210</f>
        <v>0</v>
      </c>
      <c r="F246" s="59">
        <f>F210</f>
        <v>0</v>
      </c>
    </row>
    <row r="247" spans="2:6" x14ac:dyDescent="0.25">
      <c r="B247" s="75" t="s">
        <v>662</v>
      </c>
      <c r="C247" s="58">
        <f>C213</f>
        <v>1</v>
      </c>
      <c r="D247" s="58">
        <f>D213</f>
        <v>0</v>
      </c>
      <c r="E247" s="58">
        <f>E213</f>
        <v>0</v>
      </c>
      <c r="F247" s="59">
        <f>F213</f>
        <v>0</v>
      </c>
    </row>
    <row r="248" spans="2:6" x14ac:dyDescent="0.25">
      <c r="B248" s="75" t="s">
        <v>663</v>
      </c>
      <c r="C248" s="58">
        <f>C217</f>
        <v>1</v>
      </c>
      <c r="D248" s="58">
        <f>D217</f>
        <v>0</v>
      </c>
      <c r="E248" s="58">
        <f>E217</f>
        <v>0</v>
      </c>
      <c r="F248" s="59">
        <f>F217</f>
        <v>0</v>
      </c>
    </row>
    <row r="249" spans="2:6" x14ac:dyDescent="0.25">
      <c r="B249" s="75" t="s">
        <v>617</v>
      </c>
      <c r="C249" s="58">
        <f>C220</f>
        <v>0.5</v>
      </c>
      <c r="D249" s="58">
        <f>D220</f>
        <v>0.5</v>
      </c>
      <c r="E249" s="58">
        <f>E220</f>
        <v>0</v>
      </c>
      <c r="F249" s="59">
        <f>F220</f>
        <v>0</v>
      </c>
    </row>
    <row r="250" spans="2:6" x14ac:dyDescent="0.25">
      <c r="B250" s="75" t="s">
        <v>330</v>
      </c>
      <c r="C250" s="58">
        <f>C225</f>
        <v>0.25</v>
      </c>
      <c r="D250" s="58">
        <f>D225</f>
        <v>0.75</v>
      </c>
      <c r="E250" s="58">
        <f>E225</f>
        <v>0</v>
      </c>
      <c r="F250" s="59">
        <f>F225</f>
        <v>0</v>
      </c>
    </row>
    <row r="251" spans="2:6" x14ac:dyDescent="0.25">
      <c r="B251" s="75" t="s">
        <v>68</v>
      </c>
      <c r="C251" s="58">
        <f>C231</f>
        <v>0.4</v>
      </c>
      <c r="D251" s="58">
        <f>D231</f>
        <v>0.6</v>
      </c>
      <c r="E251" s="58">
        <f>E231</f>
        <v>0</v>
      </c>
      <c r="F251" s="59">
        <f>F231</f>
        <v>0</v>
      </c>
    </row>
    <row r="252" spans="2:6" ht="15.75" thickBot="1" x14ac:dyDescent="0.3">
      <c r="B252" s="76" t="s">
        <v>68</v>
      </c>
      <c r="C252" s="77">
        <f>C236</f>
        <v>0.75</v>
      </c>
      <c r="D252" s="77">
        <f>D236</f>
        <v>0.25</v>
      </c>
      <c r="E252" s="77">
        <f>E236</f>
        <v>0</v>
      </c>
      <c r="F252" s="78">
        <f>F236</f>
        <v>0</v>
      </c>
    </row>
    <row r="253" spans="2:6" x14ac:dyDescent="0.25">
      <c r="B253" s="79" t="s">
        <v>669</v>
      </c>
      <c r="C253" s="81">
        <f>SUM(C244:C252)</f>
        <v>4.9000000000000004</v>
      </c>
      <c r="D253" s="81">
        <f>SUM(D244:D252)</f>
        <v>4.0999999999999996</v>
      </c>
      <c r="E253" s="81">
        <f>SUM(E244:E252)</f>
        <v>0</v>
      </c>
      <c r="F253" s="84">
        <f>SUM(F244:F252)</f>
        <v>0</v>
      </c>
    </row>
    <row r="254" spans="2:6" ht="15.75" thickBot="1" x14ac:dyDescent="0.3">
      <c r="B254" s="80" t="s">
        <v>670</v>
      </c>
      <c r="C254" s="82">
        <f>AVERAGE(C244:C252)</f>
        <v>0.54444444444444451</v>
      </c>
      <c r="D254" s="82">
        <f>AVERAGE(D244:D252)</f>
        <v>0.45555555555555549</v>
      </c>
      <c r="E254" s="82">
        <f>AVERAGE(E244:E252)</f>
        <v>0</v>
      </c>
      <c r="F254" s="85">
        <f>AVERAGE(F244:F252)</f>
        <v>0</v>
      </c>
    </row>
    <row r="256" spans="2:6" ht="15.75" thickBot="1" x14ac:dyDescent="0.3"/>
    <row r="257" spans="2:7" ht="17.25" thickBot="1" x14ac:dyDescent="0.3">
      <c r="B257" s="64" t="s">
        <v>66</v>
      </c>
      <c r="C257" s="86" t="s">
        <v>73</v>
      </c>
    </row>
    <row r="258" spans="2:7" ht="17.25" thickBot="1" x14ac:dyDescent="0.3">
      <c r="B258" s="64" t="s">
        <v>647</v>
      </c>
      <c r="C258" s="65">
        <v>2016</v>
      </c>
    </row>
    <row r="259" spans="2:7" ht="17.25" thickBot="1" x14ac:dyDescent="0.3">
      <c r="B259" s="64" t="s">
        <v>646</v>
      </c>
      <c r="C259" s="65">
        <f>COUNTIFS(TblUniv2016[th lulus],C258,TblUniv2016[Program Pendidikan],C257)</f>
        <v>6</v>
      </c>
    </row>
    <row r="260" spans="2:7" ht="16.5" x14ac:dyDescent="0.3">
      <c r="B260" s="55"/>
      <c r="C260" s="56" t="s">
        <v>69</v>
      </c>
      <c r="D260" s="56" t="s">
        <v>1</v>
      </c>
      <c r="E260" s="56" t="s">
        <v>75</v>
      </c>
      <c r="F260" s="56" t="s">
        <v>168</v>
      </c>
      <c r="G260" s="56"/>
    </row>
    <row r="261" spans="2:7" ht="16.5" x14ac:dyDescent="0.3">
      <c r="B261" s="57" t="s">
        <v>26</v>
      </c>
      <c r="C261" s="66">
        <f>COUNTIFS(TblUniv2016[B1],C$73,TblUniv2016[Program Pendidikan],$C$257)/$C$259*100%</f>
        <v>0.5</v>
      </c>
      <c r="D261" s="66">
        <f>COUNTIFS(TblUniv2016[B1],D$73,TblUniv2016[Program Pendidikan],$C$257)/$C$259*100%</f>
        <v>0.5</v>
      </c>
      <c r="E261" s="66">
        <f>COUNTIFS(TblUniv2016[B1],E$73,TblUniv2016[Program Pendidikan],$C$257)/$C$259*100%</f>
        <v>0</v>
      </c>
      <c r="F261" s="66">
        <f>COUNTIFS(TblUniv2016[B1],F$73,TblUniv2016[Program Pendidikan],$C$257)/$C$259*100%</f>
        <v>0</v>
      </c>
      <c r="G261" s="62">
        <f t="shared" ref="G261:G298" si="9">SUM(C261:F261)</f>
        <v>1</v>
      </c>
    </row>
    <row r="262" spans="2:7" ht="16.5" x14ac:dyDescent="0.3">
      <c r="B262" s="57" t="s">
        <v>27</v>
      </c>
      <c r="C262" s="66">
        <f>COUNTIFS(TblUniv2016[B2],C$73,TblUniv2016[Program Pendidikan],$C$257)/$C$259*100%</f>
        <v>0.5</v>
      </c>
      <c r="D262" s="66">
        <f>COUNTIFS(TblUniv2016[B2],D$73,TblUniv2016[Program Pendidikan],$C$257)/$C$259*100%</f>
        <v>0.5</v>
      </c>
      <c r="E262" s="66">
        <f>COUNTIFS(TblUniv2016[B2],E$73,TblUniv2016[Program Pendidikan],$C$257)/$C$259*100%</f>
        <v>0</v>
      </c>
      <c r="F262" s="66">
        <f>COUNTIFS(TblUniv2016[B2],F$73,TblUniv2016[Program Pendidikan],$C$257)/$C$259*100%</f>
        <v>0</v>
      </c>
      <c r="G262" s="62">
        <f t="shared" si="9"/>
        <v>1</v>
      </c>
    </row>
    <row r="263" spans="2:7" ht="16.5" x14ac:dyDescent="0.3">
      <c r="B263" s="57" t="s">
        <v>28</v>
      </c>
      <c r="C263" s="66">
        <f>COUNTIFS(TblUniv2016[B3],C$73,TblUniv2016[Program Pendidikan],$C$257)/$C$259*100%</f>
        <v>0.16666666666666666</v>
      </c>
      <c r="D263" s="66">
        <f>COUNTIFS(TblUniv2016[B3],D$73,TblUniv2016[Program Pendidikan],$C$257)/$C$259*100%</f>
        <v>0.83333333333333337</v>
      </c>
      <c r="E263" s="66">
        <f>COUNTIFS(TblUniv2016[B3],E$73,TblUniv2016[Program Pendidikan],$C$257)/$C$259*100%</f>
        <v>0</v>
      </c>
      <c r="F263" s="66">
        <f>COUNTIFS(TblUniv2016[B3],F$73,TblUniv2016[Program Pendidikan],$C$257)/$C$259*100%</f>
        <v>0</v>
      </c>
      <c r="G263" s="62">
        <f t="shared" si="9"/>
        <v>1</v>
      </c>
    </row>
    <row r="264" spans="2:7" ht="16.5" x14ac:dyDescent="0.3">
      <c r="B264" s="57" t="s">
        <v>29</v>
      </c>
      <c r="C264" s="66">
        <f>COUNTIFS(TblUniv2016[B4],C$73,TblUniv2016[Program Pendidikan],$C$257)/$C$259*100%</f>
        <v>0.33333333333333331</v>
      </c>
      <c r="D264" s="66">
        <f>COUNTIFS(TblUniv2016[B4],D$73,TblUniv2016[Program Pendidikan],$C$257)/$C$259*100%</f>
        <v>0.66666666666666663</v>
      </c>
      <c r="E264" s="66">
        <f>COUNTIFS(TblUniv2016[B4],E$73,TblUniv2016[Program Pendidikan],$C$257)/$C$259*100%</f>
        <v>0</v>
      </c>
      <c r="F264" s="66">
        <f>COUNTIFS(TblUniv2016[B4],F$73,TblUniv2016[Program Pendidikan],$C$257)/$C$259*100%</f>
        <v>0</v>
      </c>
      <c r="G264" s="62">
        <f t="shared" si="9"/>
        <v>1</v>
      </c>
    </row>
    <row r="265" spans="2:7" ht="16.5" x14ac:dyDescent="0.3">
      <c r="B265" s="57" t="s">
        <v>30</v>
      </c>
      <c r="C265" s="66">
        <f>COUNTIFS(TblUniv2016[B5],C$73,TblUniv2016[Program Pendidikan],$C$257)/$C$259*100%</f>
        <v>0.83333333333333337</v>
      </c>
      <c r="D265" s="66">
        <f>COUNTIFS(TblUniv2016[B5],D$73,TblUniv2016[Program Pendidikan],$C$257)/$C$259*100%</f>
        <v>0.16666666666666666</v>
      </c>
      <c r="E265" s="66">
        <f>COUNTIFS(TblUniv2016[B5],E$73,TblUniv2016[Program Pendidikan],$C$257)/$C$259*100%</f>
        <v>0</v>
      </c>
      <c r="F265" s="66">
        <f>COUNTIFS(TblUniv2016[B5],F$73,TblUniv2016[Program Pendidikan],$C$257)/$C$259*100%</f>
        <v>0</v>
      </c>
      <c r="G265" s="62">
        <f t="shared" si="9"/>
        <v>1</v>
      </c>
    </row>
    <row r="266" spans="2:7" ht="16.5" x14ac:dyDescent="0.3">
      <c r="B266" s="60"/>
      <c r="C266" s="61">
        <f>AVERAGE(C261:C265)</f>
        <v>0.46666666666666667</v>
      </c>
      <c r="D266" s="61">
        <f>AVERAGE(D261:D265)</f>
        <v>0.53333333333333333</v>
      </c>
      <c r="E266" s="61">
        <f>AVERAGE(E261:E265)</f>
        <v>0</v>
      </c>
      <c r="F266" s="61">
        <f>AVERAGE(F261:F265)</f>
        <v>0</v>
      </c>
      <c r="G266" s="62">
        <f t="shared" si="9"/>
        <v>1</v>
      </c>
    </row>
    <row r="267" spans="2:7" ht="16.5" x14ac:dyDescent="0.3">
      <c r="B267" s="57" t="s">
        <v>31</v>
      </c>
      <c r="C267" s="66">
        <f>COUNTIFS(TblUniv2016[C1],C$73,TblUniv2016[Program Pendidikan],$C$257)/$C$259*100%</f>
        <v>0.16666666666666666</v>
      </c>
      <c r="D267" s="66">
        <f>COUNTIFS(TblUniv2016[C1],D$73,TblUniv2016[Program Pendidikan],$C$257)/$C$259*100%</f>
        <v>0.66666666666666663</v>
      </c>
      <c r="E267" s="66">
        <f>COUNTIFS(TblUniv2016[C1],E$73,TblUniv2016[Program Pendidikan],$C$257)/$C$259*100%</f>
        <v>0.16666666666666666</v>
      </c>
      <c r="F267" s="66">
        <f>COUNTIFS(TblUniv2016[C1],F$73,TblUniv2016[Program Pendidikan],$C$257)/$C$259*100%</f>
        <v>0</v>
      </c>
      <c r="G267" s="62">
        <f t="shared" si="9"/>
        <v>0.99999999999999989</v>
      </c>
    </row>
    <row r="268" spans="2:7" ht="16.5" x14ac:dyDescent="0.3">
      <c r="B268" s="57" t="s">
        <v>32</v>
      </c>
      <c r="C268" s="66">
        <f>COUNTIFS(TblUniv2016[C2],C$73,TblUniv2016[Program Pendidikan],$C$257)/$C$259*100%</f>
        <v>0.5</v>
      </c>
      <c r="D268" s="66">
        <f>COUNTIFS(TblUniv2016[C2],D$73,TblUniv2016[Program Pendidikan],$C$257)/$C$259*100%</f>
        <v>0.5</v>
      </c>
      <c r="E268" s="66">
        <f>COUNTIFS(TblUniv2016[C2],E$73,TblUniv2016[Program Pendidikan],$C$257)/$C$259*100%</f>
        <v>0</v>
      </c>
      <c r="F268" s="66">
        <f>COUNTIFS(TblUniv2016[C2],F$73,TblUniv2016[Program Pendidikan],$C$257)/$C$259*100%</f>
        <v>0</v>
      </c>
      <c r="G268" s="62">
        <f t="shared" si="9"/>
        <v>1</v>
      </c>
    </row>
    <row r="269" spans="2:7" ht="16.5" x14ac:dyDescent="0.3">
      <c r="B269" s="60"/>
      <c r="C269" s="61">
        <f>AVERAGE(C267:C268)</f>
        <v>0.33333333333333331</v>
      </c>
      <c r="D269" s="61">
        <f>AVERAGE(D267:D268)</f>
        <v>0.58333333333333326</v>
      </c>
      <c r="E269" s="61">
        <f>AVERAGE(E267:E268)</f>
        <v>8.3333333333333329E-2</v>
      </c>
      <c r="F269" s="61">
        <f>AVERAGE(F267:F268)</f>
        <v>0</v>
      </c>
      <c r="G269" s="62">
        <f t="shared" si="9"/>
        <v>0.99999999999999989</v>
      </c>
    </row>
    <row r="270" spans="2:7" ht="16.5" x14ac:dyDescent="0.3">
      <c r="B270" s="57" t="s">
        <v>33</v>
      </c>
      <c r="C270" s="66">
        <f>COUNTIFS(TblUniv2016[D1],C$73,TblUniv2016[Program Pendidikan],$C$257)/$C$259*100%</f>
        <v>0.16666666666666666</v>
      </c>
      <c r="D270" s="66">
        <f>COUNTIFS(TblUniv2016[D1],D$73,TblUniv2016[Program Pendidikan],$C$257)/$C$259*100%</f>
        <v>0.5</v>
      </c>
      <c r="E270" s="66">
        <f>COUNTIFS(TblUniv2016[D1],E$73,TblUniv2016[Program Pendidikan],$C$257)/$C$259*100%</f>
        <v>0.33333333333333331</v>
      </c>
      <c r="F270" s="66">
        <f>COUNTIFS(TblUniv2016[D1],F$73,TblUniv2016[Program Pendidikan],$C$257)/$C$259*100%</f>
        <v>0</v>
      </c>
      <c r="G270" s="62">
        <f t="shared" si="9"/>
        <v>1</v>
      </c>
    </row>
    <row r="271" spans="2:7" ht="16.5" x14ac:dyDescent="0.3">
      <c r="B271" s="57" t="s">
        <v>34</v>
      </c>
      <c r="C271" s="66">
        <f>COUNTIFS(TblUniv2016[D2],C$73,TblUniv2016[Program Pendidikan],$C$257)/$C$259*100%</f>
        <v>0.16666666666666666</v>
      </c>
      <c r="D271" s="66">
        <f>COUNTIFS(TblUniv2016[D2],D$73,TblUniv2016[Program Pendidikan],$C$257)/$C$259*100%</f>
        <v>0.5</v>
      </c>
      <c r="E271" s="66">
        <f>COUNTIFS(TblUniv2016[D2],E$73,TblUniv2016[Program Pendidikan],$C$257)/$C$259*100%</f>
        <v>0.33333333333333331</v>
      </c>
      <c r="F271" s="66">
        <f>COUNTIFS(TblUniv2016[D2],F$73,TblUniv2016[Program Pendidikan],$C$257)/$C$259*100%</f>
        <v>0</v>
      </c>
      <c r="G271" s="62">
        <f t="shared" si="9"/>
        <v>1</v>
      </c>
    </row>
    <row r="272" spans="2:7" ht="16.5" x14ac:dyDescent="0.3">
      <c r="B272" s="60"/>
      <c r="C272" s="61">
        <f>AVERAGE(C270:C271)</f>
        <v>0.16666666666666666</v>
      </c>
      <c r="D272" s="61">
        <f>AVERAGE(D270:D271)</f>
        <v>0.5</v>
      </c>
      <c r="E272" s="61">
        <f>AVERAGE(E270:E271)</f>
        <v>0.33333333333333331</v>
      </c>
      <c r="F272" s="61">
        <f>AVERAGE(F270:F271)</f>
        <v>0</v>
      </c>
      <c r="G272" s="62">
        <f t="shared" si="9"/>
        <v>1</v>
      </c>
    </row>
    <row r="273" spans="2:7" ht="16.5" x14ac:dyDescent="0.3">
      <c r="B273" s="57" t="s">
        <v>35</v>
      </c>
      <c r="C273" s="66">
        <f>COUNTIFS(TblUniv2016[E1],C$73,TblUniv2016[Program Pendidikan],$C$257)/$C$259*100%</f>
        <v>0.5</v>
      </c>
      <c r="D273" s="66">
        <f>COUNTIFS(TblUniv2016[E1],D$73,TblUniv2016[Program Pendidikan],$C$257)/$C$259*100%</f>
        <v>0.5</v>
      </c>
      <c r="E273" s="66">
        <f>COUNTIFS(TblUniv2016[E1],E$73,TblUniv2016[Program Pendidikan],$C$257)/$C$259*100%</f>
        <v>0</v>
      </c>
      <c r="F273" s="66">
        <f>COUNTIFS(TblUniv2016[E1],F$73,TblUniv2016[Program Pendidikan],$C$257)/$C$259*100%</f>
        <v>0</v>
      </c>
      <c r="G273" s="62">
        <f t="shared" si="9"/>
        <v>1</v>
      </c>
    </row>
    <row r="274" spans="2:7" ht="16.5" x14ac:dyDescent="0.3">
      <c r="B274" s="57" t="s">
        <v>36</v>
      </c>
      <c r="C274" s="66">
        <f>COUNTIFS(TblUniv2016[E2],C$73,TblUniv2016[Program Pendidikan],$C$257)/$C$259*100%</f>
        <v>0.5</v>
      </c>
      <c r="D274" s="66">
        <f>COUNTIFS(TblUniv2016[E2],D$73,TblUniv2016[Program Pendidikan],$C$257)/$C$259*100%</f>
        <v>0.5</v>
      </c>
      <c r="E274" s="66">
        <f>COUNTIFS(TblUniv2016[E2],E$73,TblUniv2016[Program Pendidikan],$C$257)/$C$259*100%</f>
        <v>0</v>
      </c>
      <c r="F274" s="66">
        <f>COUNTIFS(TblUniv2016[E2],F$73,TblUniv2016[Program Pendidikan],$C$257)/$C$259*100%</f>
        <v>0</v>
      </c>
      <c r="G274" s="62">
        <f t="shared" si="9"/>
        <v>1</v>
      </c>
    </row>
    <row r="275" spans="2:7" ht="16.5" x14ac:dyDescent="0.3">
      <c r="B275" s="60"/>
      <c r="C275" s="61">
        <f>AVERAGE(C273:C274)</f>
        <v>0.5</v>
      </c>
      <c r="D275" s="61">
        <f>AVERAGE(D273:D274)</f>
        <v>0.5</v>
      </c>
      <c r="E275" s="61">
        <f>AVERAGE(E273:E274)</f>
        <v>0</v>
      </c>
      <c r="F275" s="61">
        <f>AVERAGE(F273:F274)</f>
        <v>0</v>
      </c>
      <c r="G275" s="62">
        <f t="shared" si="9"/>
        <v>1</v>
      </c>
    </row>
    <row r="276" spans="2:7" ht="16.5" x14ac:dyDescent="0.3">
      <c r="B276" s="57" t="s">
        <v>37</v>
      </c>
      <c r="C276" s="66">
        <f>COUNTIFS(TblUniv2016[F1],C$73,TblUniv2016[Program Pendidikan],$C$257)/$C$259*100%</f>
        <v>0.83333333333333337</v>
      </c>
      <c r="D276" s="66">
        <f>COUNTIFS(TblUniv2016[F1],D$73,TblUniv2016[Program Pendidikan],$C$257)/$C$259*100%</f>
        <v>0.16666666666666666</v>
      </c>
      <c r="E276" s="66">
        <f>COUNTIFS(TblUniv2016[F1],E$73,TblUniv2016[Program Pendidikan],$C$257)/$C$259*100%</f>
        <v>0</v>
      </c>
      <c r="F276" s="66">
        <f>COUNTIFS(TblUniv2016[F1],F$73,TblUniv2016[Program Pendidikan],$C$257)/$C$259*100%</f>
        <v>0</v>
      </c>
      <c r="G276" s="62">
        <f t="shared" si="9"/>
        <v>1</v>
      </c>
    </row>
    <row r="277" spans="2:7" ht="16.5" x14ac:dyDescent="0.3">
      <c r="B277" s="57" t="s">
        <v>38</v>
      </c>
      <c r="C277" s="66">
        <f>COUNTIFS(TblUniv2016[F2],C$73,TblUniv2016[Program Pendidikan],$C$257)/$C$259*100%</f>
        <v>0.66666666666666663</v>
      </c>
      <c r="D277" s="66">
        <f>COUNTIFS(TblUniv2016[F2],D$73,TblUniv2016[Program Pendidikan],$C$257)/$C$259*100%</f>
        <v>0.33333333333333331</v>
      </c>
      <c r="E277" s="66">
        <f>COUNTIFS(TblUniv2016[F2],E$73,TblUniv2016[Program Pendidikan],$C$257)/$C$259*100%</f>
        <v>0</v>
      </c>
      <c r="F277" s="66">
        <f>COUNTIFS(TblUniv2016[F2],F$73,TblUniv2016[Program Pendidikan],$C$257)/$C$259*100%</f>
        <v>0</v>
      </c>
      <c r="G277" s="62">
        <f t="shared" si="9"/>
        <v>1</v>
      </c>
    </row>
    <row r="278" spans="2:7" ht="16.5" x14ac:dyDescent="0.3">
      <c r="B278" s="57" t="s">
        <v>39</v>
      </c>
      <c r="C278" s="66">
        <f>COUNTIFS(TblUniv2016[F3],C$73,TblUniv2016[Program Pendidikan],$C$257)/$C$259*100%</f>
        <v>0.66666666666666663</v>
      </c>
      <c r="D278" s="66">
        <f>COUNTIFS(TblUniv2016[F3],D$73,TblUniv2016[Program Pendidikan],$C$257)/$C$259*100%</f>
        <v>0.33333333333333331</v>
      </c>
      <c r="E278" s="66">
        <f>COUNTIFS(TblUniv2016[F3],E$73,TblUniv2016[Program Pendidikan],$C$257)/$C$259*100%</f>
        <v>0</v>
      </c>
      <c r="F278" s="66">
        <f>COUNTIFS(TblUniv2016[F3],F$73,TblUniv2016[Program Pendidikan],$C$257)/$C$259*100%</f>
        <v>0</v>
      </c>
      <c r="G278" s="62">
        <f t="shared" si="9"/>
        <v>1</v>
      </c>
    </row>
    <row r="279" spans="2:7" ht="16.5" x14ac:dyDescent="0.3">
      <c r="B279" s="60"/>
      <c r="C279" s="61">
        <f>AVERAGE(C276:C278)</f>
        <v>0.72222222222222221</v>
      </c>
      <c r="D279" s="61">
        <f>AVERAGE(D276:D278)</f>
        <v>0.27777777777777773</v>
      </c>
      <c r="E279" s="61">
        <f>AVERAGE(E276:E278)</f>
        <v>0</v>
      </c>
      <c r="F279" s="61">
        <f>AVERAGE(F276:F278)</f>
        <v>0</v>
      </c>
      <c r="G279" s="62">
        <f t="shared" si="9"/>
        <v>1</v>
      </c>
    </row>
    <row r="280" spans="2:7" ht="16.5" x14ac:dyDescent="0.3">
      <c r="B280" s="57" t="s">
        <v>40</v>
      </c>
      <c r="C280" s="66">
        <f>COUNTIFS(TblUniv2016[G1],C$73,TblUniv2016[Program Pendidikan],$C$257)/$C$259*100%</f>
        <v>0.66666666666666663</v>
      </c>
      <c r="D280" s="66">
        <f>COUNTIFS(TblUniv2016[G1],D$73,TblUniv2016[Program Pendidikan],$C$257)/$C$259*100%</f>
        <v>0.33333333333333331</v>
      </c>
      <c r="E280" s="66">
        <f>COUNTIFS(TblUniv2016[G1],E$73,TblUniv2016[Program Pendidikan],$C$257)/$C$259*100%</f>
        <v>0</v>
      </c>
      <c r="F280" s="66">
        <f>COUNTIFS(TblUniv2016[G1],F$73,TblUniv2016[Program Pendidikan],$C$257)/$C$259*100%</f>
        <v>0</v>
      </c>
      <c r="G280" s="62">
        <f t="shared" si="9"/>
        <v>1</v>
      </c>
    </row>
    <row r="281" spans="2:7" ht="16.5" x14ac:dyDescent="0.3">
      <c r="B281" s="57" t="s">
        <v>41</v>
      </c>
      <c r="C281" s="66">
        <f>COUNTIFS(TblUniv2016[G2],C$73,TblUniv2016[Program Pendidikan],$C$257)/$C$259*100%</f>
        <v>0.5</v>
      </c>
      <c r="D281" s="66">
        <f>COUNTIFS(TblUniv2016[G2],D$73,TblUniv2016[Program Pendidikan],$C$257)/$C$259*100%</f>
        <v>0.5</v>
      </c>
      <c r="E281" s="66">
        <f>COUNTIFS(TblUniv2016[G2],E$73,TblUniv2016[Program Pendidikan],$C$257)/$C$259*100%</f>
        <v>0</v>
      </c>
      <c r="F281" s="66">
        <f>COUNTIFS(TblUniv2016[G2],F$73,TblUniv2016[Program Pendidikan],$C$257)/$C$259*100%</f>
        <v>0</v>
      </c>
      <c r="G281" s="62">
        <f t="shared" si="9"/>
        <v>1</v>
      </c>
    </row>
    <row r="282" spans="2:7" ht="16.5" x14ac:dyDescent="0.3">
      <c r="B282" s="60"/>
      <c r="C282" s="61">
        <f>AVERAGE(C280:C281)</f>
        <v>0.58333333333333326</v>
      </c>
      <c r="D282" s="61">
        <f>AVERAGE(D280:D281)</f>
        <v>0.41666666666666663</v>
      </c>
      <c r="E282" s="61">
        <f>AVERAGE(E280:E281)</f>
        <v>0</v>
      </c>
      <c r="F282" s="61">
        <f>AVERAGE(F280:F281)</f>
        <v>0</v>
      </c>
      <c r="G282" s="62">
        <f t="shared" si="9"/>
        <v>0.99999999999999989</v>
      </c>
    </row>
    <row r="283" spans="2:7" ht="16.5" x14ac:dyDescent="0.3">
      <c r="B283" s="57" t="s">
        <v>42</v>
      </c>
      <c r="C283" s="66">
        <f>COUNTIFS(TblUniv2016[H1],C$73,TblUniv2016[Program Pendidikan],$C$257)/$C$259*100%</f>
        <v>0.5</v>
      </c>
      <c r="D283" s="66">
        <f>COUNTIFS(TblUniv2016[H1],D$73,TblUniv2016[Program Pendidikan],$C$257)/$C$259*100%</f>
        <v>0.5</v>
      </c>
      <c r="E283" s="66">
        <f>COUNTIFS(TblUniv2016[H1],E$73,TblUniv2016[Program Pendidikan],$C$257)/$C$259*100%</f>
        <v>0</v>
      </c>
      <c r="F283" s="66">
        <f>COUNTIFS(TblUniv2016[H1],F$73,TblUniv2016[Program Pendidikan],$C$257)/$C$259*100%</f>
        <v>0</v>
      </c>
      <c r="G283" s="62">
        <f t="shared" si="9"/>
        <v>1</v>
      </c>
    </row>
    <row r="284" spans="2:7" ht="16.5" x14ac:dyDescent="0.3">
      <c r="B284" s="57" t="s">
        <v>43</v>
      </c>
      <c r="C284" s="66">
        <f>COUNTIFS(TblUniv2016[H1],C$73,TblUniv2016[Program Pendidikan],$C$257)/$C$259*100%</f>
        <v>0.5</v>
      </c>
      <c r="D284" s="66">
        <f>COUNTIFS(TblUniv2016[H1],D$73,TblUniv2016[Program Pendidikan],$C$257)/$C$259*100%</f>
        <v>0.5</v>
      </c>
      <c r="E284" s="66">
        <f>COUNTIFS(TblUniv2016[H1],E$73,TblUniv2016[Program Pendidikan],$C$257)/$C$259*100%</f>
        <v>0</v>
      </c>
      <c r="F284" s="66">
        <f>COUNTIFS(TblUniv2016[H1],F$73,TblUniv2016[Program Pendidikan],$C$257)/$C$259*100%</f>
        <v>0</v>
      </c>
      <c r="G284" s="62">
        <f t="shared" si="9"/>
        <v>1</v>
      </c>
    </row>
    <row r="285" spans="2:7" ht="16.5" x14ac:dyDescent="0.3">
      <c r="B285" s="57" t="s">
        <v>44</v>
      </c>
      <c r="C285" s="66">
        <f>COUNTIFS(TblUniv2016[H3],C$73,TblUniv2016[Program Pendidikan],$C$257)/$C$259*100%</f>
        <v>0.5</v>
      </c>
      <c r="D285" s="66">
        <f>COUNTIFS(TblUniv2016[H3],D$73,TblUniv2016[Program Pendidikan],$C$257)/$C$259*100%</f>
        <v>0.5</v>
      </c>
      <c r="E285" s="66">
        <f>COUNTIFS(TblUniv2016[H3],E$73,TblUniv2016[Program Pendidikan],$C$257)/$C$259*100%</f>
        <v>0</v>
      </c>
      <c r="F285" s="66">
        <f>COUNTIFS(TblUniv2016[H3],F$73,TblUniv2016[Program Pendidikan],$C$257)/$C$259*100%</f>
        <v>0</v>
      </c>
      <c r="G285" s="62">
        <f t="shared" si="9"/>
        <v>1</v>
      </c>
    </row>
    <row r="286" spans="2:7" ht="16.5" x14ac:dyDescent="0.3">
      <c r="B286" s="57" t="s">
        <v>45</v>
      </c>
      <c r="C286" s="66">
        <f>COUNTIFS(TblUniv2016[H4],C$73,TblUniv2016[Program Pendidikan],$C$257)/$C$259*100%</f>
        <v>0.5</v>
      </c>
      <c r="D286" s="66">
        <f>COUNTIFS(TblUniv2016[H4],D$73,TblUniv2016[Program Pendidikan],$C$257)/$C$259*100%</f>
        <v>0.5</v>
      </c>
      <c r="E286" s="66">
        <f>COUNTIFS(TblUniv2016[H4],E$73,TblUniv2016[Program Pendidikan],$C$257)/$C$259*100%</f>
        <v>0</v>
      </c>
      <c r="F286" s="66">
        <f>COUNTIFS(TblUniv2016[H4],F$73,TblUniv2016[Program Pendidikan],$C$257)/$C$259*100%</f>
        <v>0</v>
      </c>
      <c r="G286" s="62">
        <f t="shared" si="9"/>
        <v>1</v>
      </c>
    </row>
    <row r="287" spans="2:7" ht="16.5" x14ac:dyDescent="0.3">
      <c r="B287" s="60"/>
      <c r="C287" s="61">
        <f>AVERAGE(C283:C286)</f>
        <v>0.5</v>
      </c>
      <c r="D287" s="61">
        <f>AVERAGE(D283:D286)</f>
        <v>0.5</v>
      </c>
      <c r="E287" s="61">
        <f>AVERAGE(E283:E286)</f>
        <v>0</v>
      </c>
      <c r="F287" s="61">
        <f>AVERAGE(F283:F286)</f>
        <v>0</v>
      </c>
      <c r="G287" s="62">
        <f t="shared" si="9"/>
        <v>1</v>
      </c>
    </row>
    <row r="288" spans="2:7" ht="16.5" x14ac:dyDescent="0.3">
      <c r="B288" s="57" t="s">
        <v>648</v>
      </c>
      <c r="C288" s="66">
        <f>COUNTIFS(TblUniv2016[I. a1],C$73,TblUniv2016[Program Pendidikan],$C$257)/$C$259*100%</f>
        <v>0.33333333333333331</v>
      </c>
      <c r="D288" s="66">
        <f>COUNTIFS(TblUniv2016[I. a1],D$73,TblUniv2016[Program Pendidikan],$C$257)/$C$259*100%</f>
        <v>0.66666666666666663</v>
      </c>
      <c r="E288" s="66">
        <f>COUNTIFS(TblUniv2016[I. a1],E$73,TblUniv2016[Program Pendidikan],$C$257)/$C$259*100%</f>
        <v>0</v>
      </c>
      <c r="F288" s="66">
        <f>COUNTIFS(TblUniv2016[I. a1],F$73,TblUniv2016[Program Pendidikan],$C$257)/$C$259*100%</f>
        <v>0</v>
      </c>
      <c r="G288" s="62">
        <f t="shared" si="9"/>
        <v>1</v>
      </c>
    </row>
    <row r="289" spans="2:7" ht="16.5" x14ac:dyDescent="0.3">
      <c r="B289" s="57" t="s">
        <v>649</v>
      </c>
      <c r="C289" s="66">
        <f>COUNTIFS(TblUniv2016[I. a2],C$73,TblUniv2016[Program Pendidikan],$C$257)/$C$259*100%</f>
        <v>0.5</v>
      </c>
      <c r="D289" s="66">
        <f>COUNTIFS(TblUniv2016[I. a2],D$73,TblUniv2016[Program Pendidikan],$C$257)/$C$259*100%</f>
        <v>0.33333333333333331</v>
      </c>
      <c r="E289" s="66">
        <f>COUNTIFS(TblUniv2016[I. a2],E$73,TblUniv2016[Program Pendidikan],$C$257)/$C$259*100%</f>
        <v>0.16666666666666666</v>
      </c>
      <c r="F289" s="66">
        <f>COUNTIFS(TblUniv2016[I. a2],F$73,TblUniv2016[Program Pendidikan],$C$257)/$C$259*100%</f>
        <v>0</v>
      </c>
      <c r="G289" s="62">
        <f t="shared" si="9"/>
        <v>0.99999999999999989</v>
      </c>
    </row>
    <row r="290" spans="2:7" ht="16.5" x14ac:dyDescent="0.3">
      <c r="B290" s="57" t="s">
        <v>650</v>
      </c>
      <c r="C290" s="66">
        <f>COUNTIFS(TblUniv2016[I. a3],C$73,TblUniv2016[Program Pendidikan],$C$257)/$C$259*100%</f>
        <v>0.5</v>
      </c>
      <c r="D290" s="66">
        <f>COUNTIFS(TblUniv2016[I. a3],D$73,TblUniv2016[Program Pendidikan],$C$257)/$C$259*100%</f>
        <v>0.5</v>
      </c>
      <c r="E290" s="66">
        <f>COUNTIFS(TblUniv2016[I. a3],E$73,TblUniv2016[Program Pendidikan],$C$257)/$C$259*100%</f>
        <v>0</v>
      </c>
      <c r="F290" s="66">
        <f>COUNTIFS(TblUniv2016[I. a3],F$73,TblUniv2016[Program Pendidikan],$C$257)/$C$259*100%</f>
        <v>0</v>
      </c>
      <c r="G290" s="62">
        <f t="shared" si="9"/>
        <v>1</v>
      </c>
    </row>
    <row r="291" spans="2:7" ht="16.5" x14ac:dyDescent="0.3">
      <c r="B291" s="57" t="s">
        <v>651</v>
      </c>
      <c r="C291" s="66">
        <f>COUNTIFS(TblUniv2016[I. a4],C$73,TblUniv2016[Program Pendidikan],$C$257)/$C$259*100%</f>
        <v>0.33333333333333331</v>
      </c>
      <c r="D291" s="66">
        <f>COUNTIFS(TblUniv2016[I. a4],D$73,TblUniv2016[Program Pendidikan],$C$257)/$C$259*100%</f>
        <v>0.66666666666666663</v>
      </c>
      <c r="E291" s="66">
        <f>COUNTIFS(TblUniv2016[I. a4],E$73,TblUniv2016[Program Pendidikan],$C$257)/$C$259*100%</f>
        <v>0</v>
      </c>
      <c r="F291" s="66">
        <f>COUNTIFS(TblUniv2016[I. a4],F$73,TblUniv2016[Program Pendidikan],$C$257)/$C$259*100%</f>
        <v>0</v>
      </c>
      <c r="G291" s="62">
        <f t="shared" si="9"/>
        <v>1</v>
      </c>
    </row>
    <row r="292" spans="2:7" ht="16.5" x14ac:dyDescent="0.3">
      <c r="B292" s="57" t="s">
        <v>652</v>
      </c>
      <c r="C292" s="66">
        <f>COUNTIFS(TblUniv2016[I. a5],C$73,TblUniv2016[Program Pendidikan],$C$257)/$C$259*100%</f>
        <v>0.5</v>
      </c>
      <c r="D292" s="66">
        <f>COUNTIFS(TblUniv2016[I. a5],D$73,TblUniv2016[Program Pendidikan],$C$257)/$C$259*100%</f>
        <v>0.5</v>
      </c>
      <c r="E292" s="66">
        <f>COUNTIFS(TblUniv2016[I. a5],E$73,TblUniv2016[Program Pendidikan],$C$257)/$C$259*100%</f>
        <v>0</v>
      </c>
      <c r="F292" s="66">
        <f>COUNTIFS(TblUniv2016[I. a5],F$73,TblUniv2016[Program Pendidikan],$C$257)/$C$259*100%</f>
        <v>0</v>
      </c>
      <c r="G292" s="62">
        <f t="shared" si="9"/>
        <v>1</v>
      </c>
    </row>
    <row r="293" spans="2:7" ht="16.5" x14ac:dyDescent="0.3">
      <c r="B293" s="60"/>
      <c r="C293" s="61">
        <f>AVERAGE(C288:C292)</f>
        <v>0.43333333333333329</v>
      </c>
      <c r="D293" s="61">
        <f>AVERAGE(D288:D292)</f>
        <v>0.53333333333333333</v>
      </c>
      <c r="E293" s="61">
        <f>AVERAGE(E288:E292)</f>
        <v>3.3333333333333333E-2</v>
      </c>
      <c r="F293" s="61">
        <f>AVERAGE(F288:F292)</f>
        <v>0</v>
      </c>
      <c r="G293" s="62">
        <f t="shared" si="9"/>
        <v>0.99999999999999989</v>
      </c>
    </row>
    <row r="294" spans="2:7" ht="16.5" x14ac:dyDescent="0.3">
      <c r="B294" s="57" t="s">
        <v>653</v>
      </c>
      <c r="C294" s="66">
        <f>COUNTIFS(TblUniv2016[I. b1],C$73,TblUniv2016[Program Pendidikan],$C$257)/$C$259*100%</f>
        <v>0.5</v>
      </c>
      <c r="D294" s="66">
        <f>COUNTIFS(TblUniv2016[I. b1],D$73,TblUniv2016[Program Pendidikan],$C$257)/$C$259*100%</f>
        <v>0.5</v>
      </c>
      <c r="E294" s="66">
        <f>COUNTIFS(TblUniv2016[I. b1],E$73,TblUniv2016[Program Pendidikan],$C$257)/$C$259*100%</f>
        <v>0</v>
      </c>
      <c r="F294" s="66">
        <f>COUNTIFS(TblUniv2016[I. b1],F$73,TblUniv2016[Program Pendidikan],$C$257)/$C$259*100%</f>
        <v>0</v>
      </c>
      <c r="G294" s="62">
        <f t="shared" si="9"/>
        <v>1</v>
      </c>
    </row>
    <row r="295" spans="2:7" ht="16.5" x14ac:dyDescent="0.3">
      <c r="B295" s="57" t="s">
        <v>654</v>
      </c>
      <c r="C295" s="66">
        <f>COUNTIFS(TblUniv2016[I. b2],C$73,TblUniv2016[Program Pendidikan],$C$257)/$C$259*100%</f>
        <v>0.5</v>
      </c>
      <c r="D295" s="66">
        <f>COUNTIFS(TblUniv2016[I. b2],D$73,TblUniv2016[Program Pendidikan],$C$257)/$C$259*100%</f>
        <v>0.5</v>
      </c>
      <c r="E295" s="66">
        <f>COUNTIFS(TblUniv2016[I. b2],E$73,TblUniv2016[Program Pendidikan],$C$257)/$C$259*100%</f>
        <v>0</v>
      </c>
      <c r="F295" s="66">
        <f>COUNTIFS(TblUniv2016[I. b2],F$73,TblUniv2016[Program Pendidikan],$C$257)/$C$259*100%</f>
        <v>0</v>
      </c>
      <c r="G295" s="62">
        <f t="shared" si="9"/>
        <v>1</v>
      </c>
    </row>
    <row r="296" spans="2:7" ht="16.5" x14ac:dyDescent="0.3">
      <c r="B296" s="57" t="s">
        <v>655</v>
      </c>
      <c r="C296" s="66">
        <f>COUNTIFS(TblUniv2016[I. b3],C$73,TblUniv2016[Program Pendidikan],$C$257)/$C$259*100%</f>
        <v>0.5</v>
      </c>
      <c r="D296" s="66">
        <f>COUNTIFS(TblUniv2016[I. b3],D$73,TblUniv2016[Program Pendidikan],$C$257)/$C$259*100%</f>
        <v>0.5</v>
      </c>
      <c r="E296" s="66">
        <f>COUNTIFS(TblUniv2016[I. b3],E$73,TblUniv2016[Program Pendidikan],$C$257)/$C$259*100%</f>
        <v>0</v>
      </c>
      <c r="F296" s="66">
        <f>COUNTIFS(TblUniv2016[I. b3],F$73,TblUniv2016[Program Pendidikan],$C$257)/$C$259*100%</f>
        <v>0</v>
      </c>
      <c r="G296" s="62">
        <f t="shared" si="9"/>
        <v>1</v>
      </c>
    </row>
    <row r="297" spans="2:7" ht="16.5" x14ac:dyDescent="0.3">
      <c r="B297" s="57" t="s">
        <v>656</v>
      </c>
      <c r="C297" s="66">
        <f>COUNTIFS(TblUniv2016[I. b4],C$73,TblUniv2016[Program Pendidikan],$C$257)/$C$259*100%</f>
        <v>0.5</v>
      </c>
      <c r="D297" s="66">
        <f>COUNTIFS(TblUniv2016[I. b4],D$73,TblUniv2016[Program Pendidikan],$C$257)/$C$259*100%</f>
        <v>0.5</v>
      </c>
      <c r="E297" s="66">
        <f>COUNTIFS(TblUniv2016[I. b4],E$73,TblUniv2016[Program Pendidikan],$C$257)/$C$259*100%</f>
        <v>0</v>
      </c>
      <c r="F297" s="66">
        <f>COUNTIFS(TblUniv2016[I. b4],F$73,TblUniv2016[Program Pendidikan],$C$257)/$C$259*100%</f>
        <v>0</v>
      </c>
      <c r="G297" s="62">
        <f t="shared" si="9"/>
        <v>1</v>
      </c>
    </row>
    <row r="298" spans="2:7" ht="17.25" thickBot="1" x14ac:dyDescent="0.35">
      <c r="B298" s="67"/>
      <c r="C298" s="68">
        <f>AVERAGE(C294:C297)</f>
        <v>0.5</v>
      </c>
      <c r="D298" s="68">
        <f>AVERAGE(D294:D297)</f>
        <v>0.5</v>
      </c>
      <c r="E298" s="68">
        <f>AVERAGE(E294:E297)</f>
        <v>0</v>
      </c>
      <c r="F298" s="68">
        <f>AVERAGE(F294:F297)</f>
        <v>0</v>
      </c>
      <c r="G298" s="62">
        <f t="shared" si="9"/>
        <v>1</v>
      </c>
    </row>
    <row r="299" spans="2:7" ht="15.75" thickBot="1" x14ac:dyDescent="0.3"/>
    <row r="300" spans="2:7" ht="17.25" thickBot="1" x14ac:dyDescent="0.3">
      <c r="B300" s="64" t="s">
        <v>14</v>
      </c>
      <c r="C300" s="65" t="str">
        <f>C257</f>
        <v>Diploma Tiga</v>
      </c>
      <c r="G300" s="1" t="s">
        <v>73</v>
      </c>
    </row>
    <row r="301" spans="2:7" ht="33.75" thickBot="1" x14ac:dyDescent="0.3">
      <c r="B301" s="64" t="s">
        <v>647</v>
      </c>
      <c r="C301" s="65">
        <f>C258</f>
        <v>2016</v>
      </c>
      <c r="G301" s="83" t="s">
        <v>128</v>
      </c>
    </row>
    <row r="302" spans="2:7" ht="17.25" thickBot="1" x14ac:dyDescent="0.3">
      <c r="B302" s="64" t="s">
        <v>646</v>
      </c>
      <c r="C302" s="65">
        <f>C259</f>
        <v>6</v>
      </c>
    </row>
    <row r="303" spans="2:7" ht="15.75" thickBot="1" x14ac:dyDescent="0.3">
      <c r="B303" s="222" t="s">
        <v>658</v>
      </c>
      <c r="C303" s="223" t="s">
        <v>664</v>
      </c>
      <c r="D303" s="223"/>
      <c r="E303" s="223"/>
      <c r="F303" s="223"/>
    </row>
    <row r="304" spans="2:7" ht="15.75" thickBot="1" x14ac:dyDescent="0.3">
      <c r="B304" s="222"/>
      <c r="C304" s="72" t="s">
        <v>645</v>
      </c>
      <c r="D304" s="72" t="s">
        <v>665</v>
      </c>
      <c r="E304" s="72" t="s">
        <v>666</v>
      </c>
      <c r="F304" s="72" t="s">
        <v>667</v>
      </c>
    </row>
    <row r="305" spans="2:6" x14ac:dyDescent="0.25">
      <c r="B305" s="73">
        <v>2</v>
      </c>
      <c r="C305" s="71">
        <v>3</v>
      </c>
      <c r="D305" s="71">
        <v>4</v>
      </c>
      <c r="E305" s="71">
        <v>5</v>
      </c>
      <c r="F305" s="74">
        <v>6</v>
      </c>
    </row>
    <row r="306" spans="2:6" x14ac:dyDescent="0.25">
      <c r="B306" s="75" t="s">
        <v>659</v>
      </c>
      <c r="C306" s="58">
        <f>C266</f>
        <v>0.46666666666666667</v>
      </c>
      <c r="D306" s="58">
        <f>D266</f>
        <v>0.53333333333333333</v>
      </c>
      <c r="E306" s="58">
        <f>E266</f>
        <v>0</v>
      </c>
      <c r="F306" s="59">
        <f>F266</f>
        <v>0</v>
      </c>
    </row>
    <row r="307" spans="2:6" x14ac:dyDescent="0.25">
      <c r="B307" s="75" t="s">
        <v>660</v>
      </c>
      <c r="C307" s="58">
        <f>C269</f>
        <v>0.33333333333333331</v>
      </c>
      <c r="D307" s="58">
        <f>D269</f>
        <v>0.58333333333333326</v>
      </c>
      <c r="E307" s="58">
        <f>E269</f>
        <v>8.3333333333333329E-2</v>
      </c>
      <c r="F307" s="59">
        <f>F269</f>
        <v>0</v>
      </c>
    </row>
    <row r="308" spans="2:6" x14ac:dyDescent="0.25">
      <c r="B308" s="75" t="s">
        <v>661</v>
      </c>
      <c r="C308" s="58">
        <f>C272</f>
        <v>0.16666666666666666</v>
      </c>
      <c r="D308" s="58">
        <f>D272</f>
        <v>0.5</v>
      </c>
      <c r="E308" s="58">
        <f>E272</f>
        <v>0.33333333333333331</v>
      </c>
      <c r="F308" s="59">
        <f>F272</f>
        <v>0</v>
      </c>
    </row>
    <row r="309" spans="2:6" x14ac:dyDescent="0.25">
      <c r="B309" s="75" t="s">
        <v>662</v>
      </c>
      <c r="C309" s="58">
        <f>C275</f>
        <v>0.5</v>
      </c>
      <c r="D309" s="58">
        <f>D275</f>
        <v>0.5</v>
      </c>
      <c r="E309" s="58">
        <f>E275</f>
        <v>0</v>
      </c>
      <c r="F309" s="59">
        <f>F275</f>
        <v>0</v>
      </c>
    </row>
    <row r="310" spans="2:6" x14ac:dyDescent="0.25">
      <c r="B310" s="75" t="s">
        <v>663</v>
      </c>
      <c r="C310" s="58">
        <f>C279</f>
        <v>0.72222222222222221</v>
      </c>
      <c r="D310" s="58">
        <f>D279</f>
        <v>0.27777777777777773</v>
      </c>
      <c r="E310" s="58">
        <f>E279</f>
        <v>0</v>
      </c>
      <c r="F310" s="59">
        <f>F279</f>
        <v>0</v>
      </c>
    </row>
    <row r="311" spans="2:6" x14ac:dyDescent="0.25">
      <c r="B311" s="75" t="s">
        <v>617</v>
      </c>
      <c r="C311" s="58">
        <f>C282</f>
        <v>0.58333333333333326</v>
      </c>
      <c r="D311" s="58">
        <f>D282</f>
        <v>0.41666666666666663</v>
      </c>
      <c r="E311" s="58">
        <f>E282</f>
        <v>0</v>
      </c>
      <c r="F311" s="59">
        <f>F282</f>
        <v>0</v>
      </c>
    </row>
    <row r="312" spans="2:6" x14ac:dyDescent="0.25">
      <c r="B312" s="75" t="s">
        <v>330</v>
      </c>
      <c r="C312" s="58">
        <f>C287</f>
        <v>0.5</v>
      </c>
      <c r="D312" s="58">
        <f>D287</f>
        <v>0.5</v>
      </c>
      <c r="E312" s="58">
        <f>E287</f>
        <v>0</v>
      </c>
      <c r="F312" s="59">
        <f>F287</f>
        <v>0</v>
      </c>
    </row>
    <row r="313" spans="2:6" x14ac:dyDescent="0.25">
      <c r="B313" s="75" t="s">
        <v>68</v>
      </c>
      <c r="C313" s="58">
        <f>C293</f>
        <v>0.43333333333333329</v>
      </c>
      <c r="D313" s="58">
        <f>D293</f>
        <v>0.53333333333333333</v>
      </c>
      <c r="E313" s="58">
        <f>E293</f>
        <v>3.3333333333333333E-2</v>
      </c>
      <c r="F313" s="59">
        <f>F293</f>
        <v>0</v>
      </c>
    </row>
    <row r="314" spans="2:6" ht="15.75" thickBot="1" x14ac:dyDescent="0.3">
      <c r="B314" s="76" t="s">
        <v>68</v>
      </c>
      <c r="C314" s="77">
        <f>C298</f>
        <v>0.5</v>
      </c>
      <c r="D314" s="77">
        <f>D298</f>
        <v>0.5</v>
      </c>
      <c r="E314" s="77">
        <f>E298</f>
        <v>0</v>
      </c>
      <c r="F314" s="78">
        <f>F298</f>
        <v>0</v>
      </c>
    </row>
    <row r="315" spans="2:6" x14ac:dyDescent="0.25">
      <c r="B315" s="79" t="s">
        <v>669</v>
      </c>
      <c r="C315" s="81">
        <f>SUM(C306:C314)</f>
        <v>4.2055555555555557</v>
      </c>
      <c r="D315" s="81">
        <f>SUM(D306:D314)</f>
        <v>4.3444444444444441</v>
      </c>
      <c r="E315" s="81">
        <f>SUM(E306:E314)</f>
        <v>0.44999999999999996</v>
      </c>
      <c r="F315" s="84">
        <f>SUM(F306:F314)</f>
        <v>0</v>
      </c>
    </row>
    <row r="316" spans="2:6" ht="15.75" thickBot="1" x14ac:dyDescent="0.3">
      <c r="B316" s="80" t="s">
        <v>670</v>
      </c>
      <c r="C316" s="82">
        <f>AVERAGE(C306:C314)</f>
        <v>0.46728395061728395</v>
      </c>
      <c r="D316" s="82">
        <f>AVERAGE(D306:D314)</f>
        <v>0.48271604938271601</v>
      </c>
      <c r="E316" s="82">
        <f>AVERAGE(E306:E314)</f>
        <v>4.9999999999999996E-2</v>
      </c>
      <c r="F316" s="85">
        <f>AVERAGE(F306:F314)</f>
        <v>0</v>
      </c>
    </row>
  </sheetData>
  <mergeCells count="33">
    <mergeCell ref="BC1:BE1"/>
    <mergeCell ref="B116:B117"/>
    <mergeCell ref="C116:F116"/>
    <mergeCell ref="I116:I117"/>
    <mergeCell ref="J116:M116"/>
    <mergeCell ref="AD1:AE1"/>
    <mergeCell ref="AF1:AI1"/>
    <mergeCell ref="AJ1:AN1"/>
    <mergeCell ref="AO1:AR1"/>
    <mergeCell ref="AS1:AV1"/>
    <mergeCell ref="AW1:BB1"/>
    <mergeCell ref="G1:O1"/>
    <mergeCell ref="P1:T1"/>
    <mergeCell ref="U1:V1"/>
    <mergeCell ref="W1:X1"/>
    <mergeCell ref="Y1:Z1"/>
    <mergeCell ref="AA1:AC1"/>
    <mergeCell ref="P116:P117"/>
    <mergeCell ref="Q116:T116"/>
    <mergeCell ref="W116:W117"/>
    <mergeCell ref="X116:AA116"/>
    <mergeCell ref="B303:B304"/>
    <mergeCell ref="C303:F303"/>
    <mergeCell ref="AS116:AV116"/>
    <mergeCell ref="B179:B180"/>
    <mergeCell ref="C179:F179"/>
    <mergeCell ref="B241:B242"/>
    <mergeCell ref="C241:F241"/>
    <mergeCell ref="AD116:AD117"/>
    <mergeCell ref="AE116:AH116"/>
    <mergeCell ref="AK116:AK117"/>
    <mergeCell ref="AL116:AO116"/>
    <mergeCell ref="AR116:AR117"/>
  </mergeCells>
  <conditionalFormatting sqref="E2">
    <cfRule type="duplicateValues" dxfId="55" priority="1"/>
  </conditionalFormatting>
  <conditionalFormatting sqref="E3:E65">
    <cfRule type="duplicateValues" dxfId="54" priority="7"/>
  </conditionalFormatting>
  <hyperlinks>
    <hyperlink ref="I3" r:id="rId1"/>
    <hyperlink ref="I62" r:id="rId2"/>
    <hyperlink ref="I13" r:id="rId3"/>
    <hyperlink ref="I64" r:id="rId4"/>
    <hyperlink ref="I60" r:id="rId5"/>
    <hyperlink ref="I54" r:id="rId6"/>
    <hyperlink ref="I53" r:id="rId7"/>
    <hyperlink ref="I52" r:id="rId8"/>
    <hyperlink ref="I49" r:id="rId9"/>
    <hyperlink ref="I40" r:id="rId10"/>
    <hyperlink ref="I35" r:id="rId11"/>
    <hyperlink ref="I34" r:id="rId12"/>
    <hyperlink ref="I33" r:id="rId13"/>
    <hyperlink ref="I26" r:id="rId14"/>
    <hyperlink ref="I24" r:id="rId15"/>
    <hyperlink ref="I21" r:id="rId16"/>
    <hyperlink ref="I20" r:id="rId17"/>
    <hyperlink ref="I19" r:id="rId18"/>
    <hyperlink ref="I17" r:id="rId19"/>
  </hyperlinks>
  <pageMargins left="0.7" right="0.7" top="0.75" bottom="0.75" header="0.3" footer="0.3"/>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E309"/>
  <sheetViews>
    <sheetView topLeftCell="A88" zoomScale="55" zoomScaleNormal="55" workbookViewId="0">
      <selection activeCell="C112" sqref="C112:F112"/>
    </sheetView>
  </sheetViews>
  <sheetFormatPr defaultRowHeight="15" x14ac:dyDescent="0.25"/>
  <cols>
    <col min="1" max="1" width="2.5703125" customWidth="1"/>
    <col min="2" max="2" width="24.42578125" customWidth="1"/>
    <col min="3" max="3" width="20.5703125" customWidth="1"/>
    <col min="4" max="4" width="25" bestFit="1" customWidth="1"/>
    <col min="5" max="5" width="13.28515625" customWidth="1"/>
    <col min="6" max="6" width="31.7109375" bestFit="1" customWidth="1"/>
    <col min="7" max="7" width="26.140625" bestFit="1" customWidth="1"/>
    <col min="8" max="8" width="4.5703125" customWidth="1"/>
    <col min="9" max="9" width="46.7109375" bestFit="1" customWidth="1"/>
    <col min="10" max="10" width="22.140625" customWidth="1"/>
    <col min="11" max="11" width="20.140625" customWidth="1"/>
    <col min="12" max="12" width="15.28515625" customWidth="1"/>
    <col min="13" max="13" width="18.28515625" customWidth="1"/>
    <col min="14" max="14" width="14" customWidth="1"/>
    <col min="15" max="15" width="6.28515625" customWidth="1"/>
    <col min="16" max="16" width="46.7109375" bestFit="1" customWidth="1"/>
    <col min="17" max="17" width="16.85546875" bestFit="1" customWidth="1"/>
    <col min="18" max="18" width="11.5703125" customWidth="1"/>
    <col min="19" max="19" width="13.85546875" customWidth="1"/>
    <col min="20" max="20" width="15.71093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7.85546875" bestFit="1"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7.5703125" bestFit="1" customWidth="1"/>
    <col min="48" max="48" width="30.7109375" customWidth="1"/>
    <col min="49" max="49" width="30" customWidth="1"/>
    <col min="50" max="51" width="7.85546875" bestFit="1" customWidth="1"/>
    <col min="52" max="52" width="8.85546875" bestFit="1" customWidth="1"/>
    <col min="53" max="53" width="7.85546875" bestFit="1" customWidth="1"/>
    <col min="54" max="54" width="39.28515625" customWidth="1"/>
    <col min="55" max="55" width="10.42578125" bestFit="1" customWidth="1"/>
    <col min="56" max="56" width="73.7109375" customWidth="1"/>
    <col min="57" max="57" width="98.28515625" bestFit="1" customWidth="1"/>
  </cols>
  <sheetData>
    <row r="1" spans="2:57"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7" ht="33" x14ac:dyDescent="0.25">
      <c r="B2" s="1" t="s">
        <v>13</v>
      </c>
      <c r="C2" s="1" t="s">
        <v>66</v>
      </c>
      <c r="D2" s="1" t="s">
        <v>14</v>
      </c>
      <c r="E2" s="1" t="s">
        <v>15</v>
      </c>
      <c r="F2" s="1" t="s">
        <v>16</v>
      </c>
      <c r="G2" s="40" t="s">
        <v>17</v>
      </c>
      <c r="H2" s="40" t="s">
        <v>18</v>
      </c>
      <c r="I2" s="40" t="s">
        <v>19</v>
      </c>
      <c r="J2" s="40" t="s">
        <v>20</v>
      </c>
      <c r="K2" s="40" t="s">
        <v>21</v>
      </c>
      <c r="L2" s="40" t="s">
        <v>22</v>
      </c>
      <c r="M2" s="40" t="s">
        <v>23</v>
      </c>
      <c r="N2" s="40" t="s">
        <v>24</v>
      </c>
      <c r="O2" s="40" t="s">
        <v>25</v>
      </c>
      <c r="P2" s="41" t="s">
        <v>26</v>
      </c>
      <c r="Q2" s="41" t="s">
        <v>27</v>
      </c>
      <c r="R2" s="41" t="s">
        <v>28</v>
      </c>
      <c r="S2" s="41" t="s">
        <v>29</v>
      </c>
      <c r="T2" s="41" t="s">
        <v>30</v>
      </c>
      <c r="U2" s="42" t="s">
        <v>31</v>
      </c>
      <c r="V2" s="42" t="s">
        <v>32</v>
      </c>
      <c r="W2" s="43" t="s">
        <v>33</v>
      </c>
      <c r="X2" s="43" t="s">
        <v>34</v>
      </c>
      <c r="Y2" s="44" t="s">
        <v>35</v>
      </c>
      <c r="Z2" s="44" t="s">
        <v>36</v>
      </c>
      <c r="AA2" s="45" t="s">
        <v>37</v>
      </c>
      <c r="AB2" s="45" t="s">
        <v>38</v>
      </c>
      <c r="AC2" s="45" t="s">
        <v>39</v>
      </c>
      <c r="AD2" s="46" t="s">
        <v>40</v>
      </c>
      <c r="AE2" s="46" t="s">
        <v>41</v>
      </c>
      <c r="AF2" s="47" t="s">
        <v>42</v>
      </c>
      <c r="AG2" s="47" t="s">
        <v>43</v>
      </c>
      <c r="AH2" s="47" t="s">
        <v>44</v>
      </c>
      <c r="AI2" s="47" t="s">
        <v>45</v>
      </c>
      <c r="AJ2" s="48" t="s">
        <v>46</v>
      </c>
      <c r="AK2" s="48" t="s">
        <v>47</v>
      </c>
      <c r="AL2" s="48" t="s">
        <v>48</v>
      </c>
      <c r="AM2" s="48" t="s">
        <v>49</v>
      </c>
      <c r="AN2" s="48" t="s">
        <v>50</v>
      </c>
      <c r="AO2" s="49" t="s">
        <v>51</v>
      </c>
      <c r="AP2" s="49" t="s">
        <v>52</v>
      </c>
      <c r="AQ2" s="49" t="s">
        <v>53</v>
      </c>
      <c r="AR2" s="49" t="s">
        <v>54</v>
      </c>
      <c r="AS2" s="50" t="s">
        <v>55</v>
      </c>
      <c r="AT2" s="50" t="s">
        <v>56</v>
      </c>
      <c r="AU2" s="50" t="s">
        <v>57</v>
      </c>
      <c r="AV2" s="50" t="s">
        <v>58</v>
      </c>
      <c r="AW2" s="51" t="s">
        <v>11</v>
      </c>
      <c r="AX2" s="51" t="s">
        <v>59</v>
      </c>
      <c r="AY2" s="51" t="s">
        <v>60</v>
      </c>
      <c r="AZ2" s="51" t="s">
        <v>61</v>
      </c>
      <c r="BA2" s="51" t="s">
        <v>62</v>
      </c>
      <c r="BB2" s="51" t="s">
        <v>63</v>
      </c>
      <c r="BC2" s="52" t="s">
        <v>12</v>
      </c>
      <c r="BD2" s="52" t="s">
        <v>64</v>
      </c>
      <c r="BE2" s="53" t="s">
        <v>65</v>
      </c>
    </row>
    <row r="3" spans="2:57" ht="66" hidden="1" x14ac:dyDescent="0.25">
      <c r="B3" s="113">
        <v>2017</v>
      </c>
      <c r="C3" s="113" t="s">
        <v>73</v>
      </c>
      <c r="D3" s="113" t="s">
        <v>67</v>
      </c>
      <c r="E3" s="114">
        <v>12390150003</v>
      </c>
      <c r="F3" s="114" t="s">
        <v>675</v>
      </c>
      <c r="G3" s="92" t="s">
        <v>676</v>
      </c>
      <c r="H3" s="93" t="s">
        <v>677</v>
      </c>
      <c r="I3" s="94" t="s">
        <v>68</v>
      </c>
      <c r="J3" s="95" t="s">
        <v>678</v>
      </c>
      <c r="K3" s="95" t="s">
        <v>68</v>
      </c>
      <c r="L3" s="95" t="s">
        <v>68</v>
      </c>
      <c r="M3" s="95" t="s">
        <v>679</v>
      </c>
      <c r="N3" s="95">
        <v>1</v>
      </c>
      <c r="O3" s="95">
        <v>24</v>
      </c>
      <c r="P3" s="96" t="s">
        <v>1</v>
      </c>
      <c r="Q3" s="96" t="s">
        <v>1</v>
      </c>
      <c r="R3" s="96" t="s">
        <v>1</v>
      </c>
      <c r="S3" s="96" t="s">
        <v>1</v>
      </c>
      <c r="T3" s="96" t="s">
        <v>1</v>
      </c>
      <c r="U3" s="97" t="s">
        <v>1</v>
      </c>
      <c r="V3" s="97" t="s">
        <v>1</v>
      </c>
      <c r="W3" s="98" t="s">
        <v>1</v>
      </c>
      <c r="X3" s="98" t="s">
        <v>1</v>
      </c>
      <c r="Y3" s="99" t="s">
        <v>1</v>
      </c>
      <c r="Z3" s="99" t="s">
        <v>1</v>
      </c>
      <c r="AA3" s="100" t="s">
        <v>1</v>
      </c>
      <c r="AB3" s="100" t="s">
        <v>1</v>
      </c>
      <c r="AC3" s="100" t="s">
        <v>1</v>
      </c>
      <c r="AD3" s="101" t="s">
        <v>1</v>
      </c>
      <c r="AE3" s="101" t="s">
        <v>1</v>
      </c>
      <c r="AF3" s="102" t="s">
        <v>1</v>
      </c>
      <c r="AG3" s="102" t="s">
        <v>1</v>
      </c>
      <c r="AH3" s="102" t="s">
        <v>1</v>
      </c>
      <c r="AI3" s="102" t="s">
        <v>1</v>
      </c>
      <c r="AJ3" s="103" t="s">
        <v>69</v>
      </c>
      <c r="AK3" s="103" t="s">
        <v>69</v>
      </c>
      <c r="AL3" s="103" t="s">
        <v>69</v>
      </c>
      <c r="AM3" s="103" t="s">
        <v>69</v>
      </c>
      <c r="AN3" s="103" t="s">
        <v>69</v>
      </c>
      <c r="AO3" s="104" t="s">
        <v>69</v>
      </c>
      <c r="AP3" s="104" t="s">
        <v>69</v>
      </c>
      <c r="AQ3" s="104" t="s">
        <v>69</v>
      </c>
      <c r="AR3" s="104" t="s">
        <v>1</v>
      </c>
      <c r="AS3" s="105" t="s">
        <v>70</v>
      </c>
      <c r="AT3" s="105"/>
      <c r="AU3" s="105" t="s">
        <v>71</v>
      </c>
      <c r="AV3" s="105" t="s">
        <v>680</v>
      </c>
      <c r="AW3" s="106" t="s">
        <v>72</v>
      </c>
      <c r="AX3" s="106" t="s">
        <v>71</v>
      </c>
      <c r="AY3" s="106" t="s">
        <v>71</v>
      </c>
      <c r="AZ3" s="106" t="s">
        <v>71</v>
      </c>
      <c r="BA3" s="106" t="s">
        <v>72</v>
      </c>
      <c r="BB3" s="106" t="s">
        <v>68</v>
      </c>
      <c r="BC3" s="107" t="s">
        <v>69</v>
      </c>
      <c r="BD3" s="108" t="s">
        <v>68</v>
      </c>
      <c r="BE3" s="111" t="s">
        <v>68</v>
      </c>
    </row>
    <row r="4" spans="2:57" ht="82.5" hidden="1" x14ac:dyDescent="0.25">
      <c r="B4" s="1">
        <v>2017</v>
      </c>
      <c r="C4" s="1" t="s">
        <v>73</v>
      </c>
      <c r="D4" s="1" t="s">
        <v>67</v>
      </c>
      <c r="E4" s="2">
        <v>13390150003</v>
      </c>
      <c r="F4" s="2" t="s">
        <v>681</v>
      </c>
      <c r="G4" s="3" t="s">
        <v>682</v>
      </c>
      <c r="H4" s="4" t="s">
        <v>683</v>
      </c>
      <c r="I4" s="88" t="s">
        <v>684</v>
      </c>
      <c r="J4" s="6" t="s">
        <v>685</v>
      </c>
      <c r="K4" s="6" t="s">
        <v>686</v>
      </c>
      <c r="L4" s="6" t="s">
        <v>68</v>
      </c>
      <c r="M4" s="6" t="s">
        <v>687</v>
      </c>
      <c r="N4" s="6">
        <v>1</v>
      </c>
      <c r="O4" s="6">
        <v>8</v>
      </c>
      <c r="P4" s="7" t="s">
        <v>1</v>
      </c>
      <c r="Q4" s="7" t="s">
        <v>1</v>
      </c>
      <c r="R4" s="7" t="s">
        <v>1</v>
      </c>
      <c r="S4" s="7" t="s">
        <v>1</v>
      </c>
      <c r="T4" s="7" t="s">
        <v>1</v>
      </c>
      <c r="U4" s="8" t="s">
        <v>1</v>
      </c>
      <c r="V4" s="8" t="s">
        <v>1</v>
      </c>
      <c r="W4" s="9" t="s">
        <v>1</v>
      </c>
      <c r="X4" s="9" t="s">
        <v>1</v>
      </c>
      <c r="Y4" s="10" t="s">
        <v>1</v>
      </c>
      <c r="Z4" s="10" t="s">
        <v>1</v>
      </c>
      <c r="AA4" s="11" t="s">
        <v>1</v>
      </c>
      <c r="AB4" s="11" t="s">
        <v>1</v>
      </c>
      <c r="AC4" s="11" t="s">
        <v>1</v>
      </c>
      <c r="AD4" s="12" t="s">
        <v>1</v>
      </c>
      <c r="AE4" s="12" t="s">
        <v>1</v>
      </c>
      <c r="AF4" s="13" t="s">
        <v>1</v>
      </c>
      <c r="AG4" s="13" t="s">
        <v>1</v>
      </c>
      <c r="AH4" s="13" t="s">
        <v>1</v>
      </c>
      <c r="AI4" s="13" t="s">
        <v>1</v>
      </c>
      <c r="AJ4" s="14" t="s">
        <v>1</v>
      </c>
      <c r="AK4" s="14" t="s">
        <v>1</v>
      </c>
      <c r="AL4" s="14" t="s">
        <v>1</v>
      </c>
      <c r="AM4" s="14" t="s">
        <v>1</v>
      </c>
      <c r="AN4" s="14" t="s">
        <v>1</v>
      </c>
      <c r="AO4" s="15" t="s">
        <v>1</v>
      </c>
      <c r="AP4" s="15" t="s">
        <v>1</v>
      </c>
      <c r="AQ4" s="15" t="s">
        <v>1</v>
      </c>
      <c r="AR4" s="15" t="s">
        <v>1</v>
      </c>
      <c r="AS4" s="16" t="s">
        <v>70</v>
      </c>
      <c r="AT4" s="16"/>
      <c r="AU4" s="16" t="s">
        <v>71</v>
      </c>
      <c r="AV4" s="16" t="s">
        <v>680</v>
      </c>
      <c r="AW4" s="17" t="s">
        <v>72</v>
      </c>
      <c r="AX4" s="17" t="s">
        <v>71</v>
      </c>
      <c r="AY4" s="17" t="s">
        <v>71</v>
      </c>
      <c r="AZ4" s="17" t="s">
        <v>71</v>
      </c>
      <c r="BA4" s="17" t="s">
        <v>72</v>
      </c>
      <c r="BB4" s="17" t="s">
        <v>68</v>
      </c>
      <c r="BC4" s="18" t="s">
        <v>69</v>
      </c>
      <c r="BD4" s="19" t="s">
        <v>688</v>
      </c>
      <c r="BE4" s="109" t="s">
        <v>689</v>
      </c>
    </row>
    <row r="5" spans="2:57" ht="33" hidden="1" x14ac:dyDescent="0.25">
      <c r="B5" s="113">
        <v>2017</v>
      </c>
      <c r="C5" s="113" t="s">
        <v>73</v>
      </c>
      <c r="D5" s="113" t="s">
        <v>67</v>
      </c>
      <c r="E5" s="114">
        <v>14390150003</v>
      </c>
      <c r="F5" s="114" t="s">
        <v>690</v>
      </c>
      <c r="G5" s="3" t="s">
        <v>691</v>
      </c>
      <c r="H5" s="6" t="s">
        <v>68</v>
      </c>
      <c r="I5" s="88" t="s">
        <v>692</v>
      </c>
      <c r="J5" s="6" t="s">
        <v>693</v>
      </c>
      <c r="K5" s="6" t="s">
        <v>694</v>
      </c>
      <c r="L5" s="4" t="s">
        <v>695</v>
      </c>
      <c r="M5" s="6" t="s">
        <v>696</v>
      </c>
      <c r="N5" s="6">
        <v>1</v>
      </c>
      <c r="O5" s="6">
        <v>12</v>
      </c>
      <c r="P5" s="7" t="s">
        <v>69</v>
      </c>
      <c r="Q5" s="7" t="s">
        <v>69</v>
      </c>
      <c r="R5" s="7" t="s">
        <v>69</v>
      </c>
      <c r="S5" s="7" t="s">
        <v>69</v>
      </c>
      <c r="T5" s="7" t="s">
        <v>69</v>
      </c>
      <c r="U5" s="8" t="s">
        <v>69</v>
      </c>
      <c r="V5" s="8" t="s">
        <v>69</v>
      </c>
      <c r="W5" s="9" t="s">
        <v>1</v>
      </c>
      <c r="X5" s="9" t="s">
        <v>1</v>
      </c>
      <c r="Y5" s="10" t="s">
        <v>1</v>
      </c>
      <c r="Z5" s="10" t="s">
        <v>69</v>
      </c>
      <c r="AA5" s="11" t="s">
        <v>1</v>
      </c>
      <c r="AB5" s="11" t="s">
        <v>69</v>
      </c>
      <c r="AC5" s="11" t="s">
        <v>69</v>
      </c>
      <c r="AD5" s="12" t="s">
        <v>1</v>
      </c>
      <c r="AE5" s="12" t="s">
        <v>1</v>
      </c>
      <c r="AF5" s="13" t="s">
        <v>69</v>
      </c>
      <c r="AG5" s="13" t="s">
        <v>69</v>
      </c>
      <c r="AH5" s="13" t="s">
        <v>69</v>
      </c>
      <c r="AI5" s="13" t="s">
        <v>69</v>
      </c>
      <c r="AJ5" s="14" t="s">
        <v>69</v>
      </c>
      <c r="AK5" s="14" t="s">
        <v>69</v>
      </c>
      <c r="AL5" s="14" t="s">
        <v>69</v>
      </c>
      <c r="AM5" s="14" t="s">
        <v>69</v>
      </c>
      <c r="AN5" s="14" t="s">
        <v>69</v>
      </c>
      <c r="AO5" s="15" t="s">
        <v>69</v>
      </c>
      <c r="AP5" s="15" t="s">
        <v>69</v>
      </c>
      <c r="AQ5" s="15" t="s">
        <v>69</v>
      </c>
      <c r="AR5" s="15" t="s">
        <v>69</v>
      </c>
      <c r="AS5" s="16" t="s">
        <v>70</v>
      </c>
      <c r="AT5" s="16" t="s">
        <v>68</v>
      </c>
      <c r="AU5" s="16" t="s">
        <v>71</v>
      </c>
      <c r="AV5" s="16" t="s">
        <v>68</v>
      </c>
      <c r="AW5" s="17" t="s">
        <v>71</v>
      </c>
      <c r="AX5" s="17" t="s">
        <v>71</v>
      </c>
      <c r="AY5" s="17" t="s">
        <v>71</v>
      </c>
      <c r="AZ5" s="17" t="s">
        <v>71</v>
      </c>
      <c r="BA5" s="17" t="s">
        <v>71</v>
      </c>
      <c r="BB5" s="17" t="s">
        <v>68</v>
      </c>
      <c r="BC5" s="18" t="s">
        <v>1</v>
      </c>
      <c r="BD5" s="19" t="s">
        <v>68</v>
      </c>
      <c r="BE5" s="109" t="s">
        <v>68</v>
      </c>
    </row>
    <row r="6" spans="2:57" ht="66" hidden="1" x14ac:dyDescent="0.25">
      <c r="B6" s="1">
        <v>2017</v>
      </c>
      <c r="C6" s="1" t="s">
        <v>73</v>
      </c>
      <c r="D6" s="1" t="s">
        <v>67</v>
      </c>
      <c r="E6" s="2">
        <v>14390150008</v>
      </c>
      <c r="F6" s="2" t="s">
        <v>697</v>
      </c>
      <c r="G6" s="3" t="s">
        <v>698</v>
      </c>
      <c r="H6" s="4" t="s">
        <v>699</v>
      </c>
      <c r="I6" s="88" t="s">
        <v>700</v>
      </c>
      <c r="J6" s="6" t="s">
        <v>701</v>
      </c>
      <c r="K6" s="6" t="s">
        <v>702</v>
      </c>
      <c r="L6" s="4" t="s">
        <v>703</v>
      </c>
      <c r="M6" s="6" t="s">
        <v>74</v>
      </c>
      <c r="N6" s="6">
        <v>1</v>
      </c>
      <c r="O6" s="6">
        <v>36</v>
      </c>
      <c r="P6" s="7" t="s">
        <v>1</v>
      </c>
      <c r="Q6" s="7" t="s">
        <v>1</v>
      </c>
      <c r="R6" s="7" t="s">
        <v>1</v>
      </c>
      <c r="S6" s="7" t="s">
        <v>1</v>
      </c>
      <c r="T6" s="7" t="s">
        <v>1</v>
      </c>
      <c r="U6" s="8" t="s">
        <v>1</v>
      </c>
      <c r="V6" s="8" t="s">
        <v>1</v>
      </c>
      <c r="W6" s="9" t="s">
        <v>75</v>
      </c>
      <c r="X6" s="9" t="s">
        <v>75</v>
      </c>
      <c r="Y6" s="10" t="s">
        <v>1</v>
      </c>
      <c r="Z6" s="10" t="s">
        <v>1</v>
      </c>
      <c r="AA6" s="11" t="s">
        <v>1</v>
      </c>
      <c r="AB6" s="11" t="s">
        <v>1</v>
      </c>
      <c r="AC6" s="11" t="s">
        <v>1</v>
      </c>
      <c r="AD6" s="12" t="s">
        <v>1</v>
      </c>
      <c r="AE6" s="12" t="s">
        <v>1</v>
      </c>
      <c r="AF6" s="13" t="s">
        <v>1</v>
      </c>
      <c r="AG6" s="13" t="s">
        <v>1</v>
      </c>
      <c r="AH6" s="13" t="s">
        <v>1</v>
      </c>
      <c r="AI6" s="13" t="s">
        <v>75</v>
      </c>
      <c r="AJ6" s="14" t="s">
        <v>75</v>
      </c>
      <c r="AK6" s="14" t="s">
        <v>1</v>
      </c>
      <c r="AL6" s="14" t="s">
        <v>1</v>
      </c>
      <c r="AM6" s="14" t="s">
        <v>1</v>
      </c>
      <c r="AN6" s="14" t="s">
        <v>1</v>
      </c>
      <c r="AO6" s="15" t="s">
        <v>75</v>
      </c>
      <c r="AP6" s="15" t="s">
        <v>1</v>
      </c>
      <c r="AQ6" s="15" t="s">
        <v>75</v>
      </c>
      <c r="AR6" s="15" t="s">
        <v>1</v>
      </c>
      <c r="AS6" s="16" t="s">
        <v>76</v>
      </c>
      <c r="AT6" s="16"/>
      <c r="AU6" s="16" t="s">
        <v>71</v>
      </c>
      <c r="AV6" s="16" t="s">
        <v>68</v>
      </c>
      <c r="AW6" s="17" t="s">
        <v>72</v>
      </c>
      <c r="AX6" s="17" t="s">
        <v>71</v>
      </c>
      <c r="AY6" s="17" t="s">
        <v>71</v>
      </c>
      <c r="AZ6" s="17" t="s">
        <v>71</v>
      </c>
      <c r="BA6" s="17" t="s">
        <v>72</v>
      </c>
      <c r="BB6" s="17" t="s">
        <v>704</v>
      </c>
      <c r="BC6" s="18" t="s">
        <v>1</v>
      </c>
      <c r="BD6" s="19" t="s">
        <v>705</v>
      </c>
      <c r="BE6" s="109" t="s">
        <v>706</v>
      </c>
    </row>
    <row r="7" spans="2:57" ht="66" hidden="1" x14ac:dyDescent="0.25">
      <c r="B7" s="113">
        <v>2017</v>
      </c>
      <c r="C7" s="113" t="s">
        <v>73</v>
      </c>
      <c r="D7" s="113" t="s">
        <v>67</v>
      </c>
      <c r="E7" s="114">
        <v>14390150009</v>
      </c>
      <c r="F7" s="114" t="s">
        <v>707</v>
      </c>
      <c r="G7" s="3" t="s">
        <v>708</v>
      </c>
      <c r="H7" s="4" t="s">
        <v>709</v>
      </c>
      <c r="I7" s="88" t="s">
        <v>710</v>
      </c>
      <c r="J7" s="6" t="s">
        <v>711</v>
      </c>
      <c r="K7" s="6" t="s">
        <v>712</v>
      </c>
      <c r="L7" s="6" t="s">
        <v>713</v>
      </c>
      <c r="M7" s="6" t="s">
        <v>714</v>
      </c>
      <c r="N7" s="6">
        <v>1</v>
      </c>
      <c r="O7" s="6">
        <v>24</v>
      </c>
      <c r="P7" s="7" t="s">
        <v>69</v>
      </c>
      <c r="Q7" s="7" t="s">
        <v>69</v>
      </c>
      <c r="R7" s="7" t="s">
        <v>69</v>
      </c>
      <c r="S7" s="7" t="s">
        <v>69</v>
      </c>
      <c r="T7" s="7" t="s">
        <v>69</v>
      </c>
      <c r="U7" s="8" t="s">
        <v>69</v>
      </c>
      <c r="V7" s="8" t="s">
        <v>69</v>
      </c>
      <c r="W7" s="9" t="s">
        <v>1</v>
      </c>
      <c r="X7" s="9" t="s">
        <v>1</v>
      </c>
      <c r="Y7" s="10" t="s">
        <v>69</v>
      </c>
      <c r="Z7" s="10" t="s">
        <v>69</v>
      </c>
      <c r="AA7" s="11" t="s">
        <v>1</v>
      </c>
      <c r="AB7" s="11" t="s">
        <v>1</v>
      </c>
      <c r="AC7" s="11" t="s">
        <v>1</v>
      </c>
      <c r="AD7" s="12" t="s">
        <v>69</v>
      </c>
      <c r="AE7" s="12" t="s">
        <v>1</v>
      </c>
      <c r="AF7" s="13" t="s">
        <v>69</v>
      </c>
      <c r="AG7" s="13" t="s">
        <v>69</v>
      </c>
      <c r="AH7" s="13" t="s">
        <v>69</v>
      </c>
      <c r="AI7" s="13" t="s">
        <v>69</v>
      </c>
      <c r="AJ7" s="14" t="s">
        <v>69</v>
      </c>
      <c r="AK7" s="14" t="s">
        <v>69</v>
      </c>
      <c r="AL7" s="14" t="s">
        <v>69</v>
      </c>
      <c r="AM7" s="14" t="s">
        <v>69</v>
      </c>
      <c r="AN7" s="14" t="s">
        <v>69</v>
      </c>
      <c r="AO7" s="15" t="s">
        <v>69</v>
      </c>
      <c r="AP7" s="15" t="s">
        <v>69</v>
      </c>
      <c r="AQ7" s="15" t="s">
        <v>69</v>
      </c>
      <c r="AR7" s="15" t="s">
        <v>69</v>
      </c>
      <c r="AS7" s="16" t="s">
        <v>70</v>
      </c>
      <c r="AT7" s="16" t="s">
        <v>715</v>
      </c>
      <c r="AU7" s="16" t="s">
        <v>71</v>
      </c>
      <c r="AV7" s="16" t="s">
        <v>68</v>
      </c>
      <c r="AW7" s="17" t="s">
        <v>72</v>
      </c>
      <c r="AX7" s="17" t="s">
        <v>72</v>
      </c>
      <c r="AY7" s="17" t="s">
        <v>72</v>
      </c>
      <c r="AZ7" s="17" t="s">
        <v>72</v>
      </c>
      <c r="BA7" s="17" t="s">
        <v>72</v>
      </c>
      <c r="BB7" s="17" t="s">
        <v>68</v>
      </c>
      <c r="BC7" s="18" t="s">
        <v>69</v>
      </c>
      <c r="BD7" s="19" t="s">
        <v>68</v>
      </c>
      <c r="BE7" s="109" t="s">
        <v>68</v>
      </c>
    </row>
    <row r="8" spans="2:57" ht="66" hidden="1" x14ac:dyDescent="0.25">
      <c r="B8" s="1">
        <v>2017</v>
      </c>
      <c r="C8" s="1" t="s">
        <v>73</v>
      </c>
      <c r="D8" s="1" t="s">
        <v>67</v>
      </c>
      <c r="E8" s="2">
        <v>14390150017</v>
      </c>
      <c r="F8" s="2" t="s">
        <v>716</v>
      </c>
      <c r="G8" s="3" t="s">
        <v>717</v>
      </c>
      <c r="H8" s="4" t="s">
        <v>718</v>
      </c>
      <c r="I8" s="5" t="s">
        <v>719</v>
      </c>
      <c r="J8" s="6" t="s">
        <v>720</v>
      </c>
      <c r="K8" s="6" t="s">
        <v>721</v>
      </c>
      <c r="L8" s="4" t="s">
        <v>722</v>
      </c>
      <c r="M8" s="6" t="s">
        <v>696</v>
      </c>
      <c r="N8" s="6">
        <v>1</v>
      </c>
      <c r="O8" s="6">
        <v>24</v>
      </c>
      <c r="P8" s="7" t="s">
        <v>69</v>
      </c>
      <c r="Q8" s="7" t="s">
        <v>69</v>
      </c>
      <c r="R8" s="7" t="s">
        <v>69</v>
      </c>
      <c r="S8" s="7" t="s">
        <v>69</v>
      </c>
      <c r="T8" s="7" t="s">
        <v>69</v>
      </c>
      <c r="U8" s="8" t="s">
        <v>69</v>
      </c>
      <c r="V8" s="8" t="s">
        <v>69</v>
      </c>
      <c r="W8" s="9" t="s">
        <v>1</v>
      </c>
      <c r="X8" s="9" t="s">
        <v>1</v>
      </c>
      <c r="Y8" s="10" t="s">
        <v>1</v>
      </c>
      <c r="Z8" s="10" t="s">
        <v>69</v>
      </c>
      <c r="AA8" s="11" t="s">
        <v>1</v>
      </c>
      <c r="AB8" s="11" t="s">
        <v>69</v>
      </c>
      <c r="AC8" s="11" t="s">
        <v>69</v>
      </c>
      <c r="AD8" s="12" t="s">
        <v>1</v>
      </c>
      <c r="AE8" s="12" t="s">
        <v>1</v>
      </c>
      <c r="AF8" s="13" t="s">
        <v>69</v>
      </c>
      <c r="AG8" s="13" t="s">
        <v>69</v>
      </c>
      <c r="AH8" s="13" t="s">
        <v>69</v>
      </c>
      <c r="AI8" s="13" t="s">
        <v>69</v>
      </c>
      <c r="AJ8" s="14" t="s">
        <v>69</v>
      </c>
      <c r="AK8" s="14" t="s">
        <v>69</v>
      </c>
      <c r="AL8" s="14" t="s">
        <v>69</v>
      </c>
      <c r="AM8" s="14" t="s">
        <v>69</v>
      </c>
      <c r="AN8" s="14" t="s">
        <v>69</v>
      </c>
      <c r="AO8" s="15" t="s">
        <v>69</v>
      </c>
      <c r="AP8" s="15" t="s">
        <v>69</v>
      </c>
      <c r="AQ8" s="15" t="s">
        <v>69</v>
      </c>
      <c r="AR8" s="15" t="s">
        <v>69</v>
      </c>
      <c r="AS8" s="16" t="s">
        <v>70</v>
      </c>
      <c r="AT8" s="16" t="s">
        <v>723</v>
      </c>
      <c r="AU8" s="16" t="s">
        <v>71</v>
      </c>
      <c r="AV8" s="16" t="s">
        <v>68</v>
      </c>
      <c r="AW8" s="17" t="s">
        <v>71</v>
      </c>
      <c r="AX8" s="17" t="s">
        <v>71</v>
      </c>
      <c r="AY8" s="17" t="s">
        <v>71</v>
      </c>
      <c r="AZ8" s="17" t="s">
        <v>71</v>
      </c>
      <c r="BA8" s="17" t="s">
        <v>71</v>
      </c>
      <c r="BB8" s="17" t="s">
        <v>724</v>
      </c>
      <c r="BC8" s="18" t="s">
        <v>1</v>
      </c>
      <c r="BD8" s="19" t="s">
        <v>68</v>
      </c>
      <c r="BE8" s="109" t="s">
        <v>68</v>
      </c>
    </row>
    <row r="9" spans="2:57" ht="66" x14ac:dyDescent="0.25">
      <c r="B9" s="113">
        <v>2017</v>
      </c>
      <c r="C9" s="113" t="s">
        <v>73</v>
      </c>
      <c r="D9" s="113" t="s">
        <v>90</v>
      </c>
      <c r="E9" s="114">
        <v>14390100023</v>
      </c>
      <c r="F9" s="114" t="s">
        <v>725</v>
      </c>
      <c r="G9" s="3" t="s">
        <v>726</v>
      </c>
      <c r="H9" s="4" t="s">
        <v>727</v>
      </c>
      <c r="I9" s="88" t="s">
        <v>728</v>
      </c>
      <c r="J9" s="6" t="s">
        <v>729</v>
      </c>
      <c r="K9" s="4" t="s">
        <v>730</v>
      </c>
      <c r="L9" s="4" t="s">
        <v>731</v>
      </c>
      <c r="M9" s="4" t="s">
        <v>732</v>
      </c>
      <c r="N9" s="6">
        <v>1</v>
      </c>
      <c r="O9" s="6">
        <v>12</v>
      </c>
      <c r="P9" s="7" t="s">
        <v>1</v>
      </c>
      <c r="Q9" s="7" t="s">
        <v>69</v>
      </c>
      <c r="R9" s="7" t="s">
        <v>1</v>
      </c>
      <c r="S9" s="7" t="s">
        <v>1</v>
      </c>
      <c r="T9" s="7" t="s">
        <v>69</v>
      </c>
      <c r="U9" s="8" t="s">
        <v>1</v>
      </c>
      <c r="V9" s="8" t="s">
        <v>69</v>
      </c>
      <c r="W9" s="9" t="s">
        <v>1</v>
      </c>
      <c r="X9" s="9" t="s">
        <v>1</v>
      </c>
      <c r="Y9" s="10" t="s">
        <v>69</v>
      </c>
      <c r="Z9" s="10" t="s">
        <v>1</v>
      </c>
      <c r="AA9" s="11" t="s">
        <v>1</v>
      </c>
      <c r="AB9" s="11" t="s">
        <v>1</v>
      </c>
      <c r="AC9" s="11" t="s">
        <v>1</v>
      </c>
      <c r="AD9" s="12" t="s">
        <v>69</v>
      </c>
      <c r="AE9" s="12" t="s">
        <v>1</v>
      </c>
      <c r="AF9" s="13" t="s">
        <v>1</v>
      </c>
      <c r="AG9" s="13" t="s">
        <v>1</v>
      </c>
      <c r="AH9" s="13" t="s">
        <v>1</v>
      </c>
      <c r="AI9" s="13" t="s">
        <v>1</v>
      </c>
      <c r="AJ9" s="14" t="s">
        <v>1</v>
      </c>
      <c r="AK9" s="14" t="s">
        <v>1</v>
      </c>
      <c r="AL9" s="14" t="s">
        <v>69</v>
      </c>
      <c r="AM9" s="14" t="s">
        <v>1</v>
      </c>
      <c r="AN9" s="14" t="s">
        <v>1</v>
      </c>
      <c r="AO9" s="15" t="s">
        <v>1</v>
      </c>
      <c r="AP9" s="15" t="s">
        <v>1</v>
      </c>
      <c r="AQ9" s="15" t="s">
        <v>1</v>
      </c>
      <c r="AR9" s="15" t="s">
        <v>1</v>
      </c>
      <c r="AS9" s="16" t="s">
        <v>70</v>
      </c>
      <c r="AT9" s="16" t="s">
        <v>733</v>
      </c>
      <c r="AU9" s="16" t="s">
        <v>71</v>
      </c>
      <c r="AV9" s="16" t="s">
        <v>734</v>
      </c>
      <c r="AW9" s="17" t="s">
        <v>71</v>
      </c>
      <c r="AX9" s="17" t="s">
        <v>71</v>
      </c>
      <c r="AY9" s="17" t="s">
        <v>71</v>
      </c>
      <c r="AZ9" s="17" t="s">
        <v>71</v>
      </c>
      <c r="BA9" s="17" t="s">
        <v>72</v>
      </c>
      <c r="BB9" s="17" t="s">
        <v>68</v>
      </c>
      <c r="BC9" s="18" t="s">
        <v>69</v>
      </c>
      <c r="BD9" s="19" t="s">
        <v>91</v>
      </c>
      <c r="BE9" s="109" t="s">
        <v>68</v>
      </c>
    </row>
    <row r="10" spans="2:57" ht="33" x14ac:dyDescent="0.25">
      <c r="B10" s="1">
        <v>2017</v>
      </c>
      <c r="C10" s="1" t="s">
        <v>73</v>
      </c>
      <c r="D10" s="1" t="s">
        <v>90</v>
      </c>
      <c r="E10" s="2">
        <v>12390100019</v>
      </c>
      <c r="F10" s="2" t="s">
        <v>735</v>
      </c>
      <c r="G10" s="3" t="s">
        <v>736</v>
      </c>
      <c r="H10" s="6">
        <v>81574266656</v>
      </c>
      <c r="I10" s="88" t="s">
        <v>737</v>
      </c>
      <c r="J10" s="6" t="s">
        <v>738</v>
      </c>
      <c r="K10" s="6" t="s">
        <v>739</v>
      </c>
      <c r="L10" s="6" t="s">
        <v>740</v>
      </c>
      <c r="M10" s="6" t="s">
        <v>74</v>
      </c>
      <c r="N10" s="6">
        <v>1</v>
      </c>
      <c r="O10" s="6">
        <v>6</v>
      </c>
      <c r="P10" s="7" t="s">
        <v>69</v>
      </c>
      <c r="Q10" s="7" t="s">
        <v>1</v>
      </c>
      <c r="R10" s="7" t="s">
        <v>69</v>
      </c>
      <c r="S10" s="7" t="s">
        <v>1</v>
      </c>
      <c r="T10" s="7" t="s">
        <v>1</v>
      </c>
      <c r="U10" s="8" t="s">
        <v>1</v>
      </c>
      <c r="V10" s="8" t="s">
        <v>69</v>
      </c>
      <c r="W10" s="9" t="s">
        <v>1</v>
      </c>
      <c r="X10" s="9" t="s">
        <v>1</v>
      </c>
      <c r="Y10" s="10" t="s">
        <v>69</v>
      </c>
      <c r="Z10" s="10" t="s">
        <v>69</v>
      </c>
      <c r="AA10" s="11" t="s">
        <v>1</v>
      </c>
      <c r="AB10" s="11" t="s">
        <v>1</v>
      </c>
      <c r="AC10" s="11" t="s">
        <v>1</v>
      </c>
      <c r="AD10" s="12" t="s">
        <v>69</v>
      </c>
      <c r="AE10" s="12" t="s">
        <v>69</v>
      </c>
      <c r="AF10" s="13" t="s">
        <v>1</v>
      </c>
      <c r="AG10" s="13" t="s">
        <v>69</v>
      </c>
      <c r="AH10" s="13" t="s">
        <v>1</v>
      </c>
      <c r="AI10" s="13" t="s">
        <v>69</v>
      </c>
      <c r="AJ10" s="14" t="s">
        <v>1</v>
      </c>
      <c r="AK10" s="14" t="s">
        <v>1</v>
      </c>
      <c r="AL10" s="14" t="s">
        <v>69</v>
      </c>
      <c r="AM10" s="14" t="s">
        <v>1</v>
      </c>
      <c r="AN10" s="14" t="s">
        <v>1</v>
      </c>
      <c r="AO10" s="15" t="s">
        <v>69</v>
      </c>
      <c r="AP10" s="15" t="s">
        <v>69</v>
      </c>
      <c r="AQ10" s="15" t="s">
        <v>69</v>
      </c>
      <c r="AR10" s="15" t="s">
        <v>69</v>
      </c>
      <c r="AS10" s="16" t="s">
        <v>70</v>
      </c>
      <c r="AT10" s="16"/>
      <c r="AU10" s="16" t="s">
        <v>71</v>
      </c>
      <c r="AV10" s="16"/>
      <c r="AW10" s="17" t="s">
        <v>72</v>
      </c>
      <c r="AX10" s="17" t="s">
        <v>71</v>
      </c>
      <c r="AY10" s="17" t="s">
        <v>71</v>
      </c>
      <c r="AZ10" s="17" t="s">
        <v>71</v>
      </c>
      <c r="BA10" s="17" t="s">
        <v>72</v>
      </c>
      <c r="BB10" s="17" t="s">
        <v>741</v>
      </c>
      <c r="BC10" s="18" t="s">
        <v>1</v>
      </c>
      <c r="BD10" s="19" t="s">
        <v>91</v>
      </c>
      <c r="BE10" s="109" t="s">
        <v>742</v>
      </c>
    </row>
    <row r="11" spans="2:57" ht="66" x14ac:dyDescent="0.25">
      <c r="B11" s="113">
        <v>2017</v>
      </c>
      <c r="C11" s="113" t="s">
        <v>73</v>
      </c>
      <c r="D11" s="113" t="s">
        <v>90</v>
      </c>
      <c r="E11" s="114">
        <v>14390100021</v>
      </c>
      <c r="F11" s="114" t="s">
        <v>743</v>
      </c>
      <c r="G11" s="3" t="s">
        <v>744</v>
      </c>
      <c r="H11" s="4" t="s">
        <v>745</v>
      </c>
      <c r="I11" s="88" t="s">
        <v>746</v>
      </c>
      <c r="J11" s="6" t="s">
        <v>92</v>
      </c>
      <c r="K11" s="6" t="s">
        <v>747</v>
      </c>
      <c r="L11" s="4" t="s">
        <v>748</v>
      </c>
      <c r="M11" s="6" t="s">
        <v>749</v>
      </c>
      <c r="N11" s="6">
        <v>5</v>
      </c>
      <c r="O11" s="6">
        <v>24</v>
      </c>
      <c r="P11" s="7" t="s">
        <v>1</v>
      </c>
      <c r="Q11" s="7" t="s">
        <v>69</v>
      </c>
      <c r="R11" s="7" t="s">
        <v>1</v>
      </c>
      <c r="S11" s="7" t="s">
        <v>1</v>
      </c>
      <c r="T11" s="7" t="s">
        <v>69</v>
      </c>
      <c r="U11" s="8" t="s">
        <v>1</v>
      </c>
      <c r="V11" s="8" t="s">
        <v>69</v>
      </c>
      <c r="W11" s="9" t="s">
        <v>1</v>
      </c>
      <c r="X11" s="9" t="s">
        <v>1</v>
      </c>
      <c r="Y11" s="10" t="s">
        <v>69</v>
      </c>
      <c r="Z11" s="10" t="s">
        <v>1</v>
      </c>
      <c r="AA11" s="11" t="s">
        <v>1</v>
      </c>
      <c r="AB11" s="11" t="s">
        <v>1</v>
      </c>
      <c r="AC11" s="11" t="s">
        <v>1</v>
      </c>
      <c r="AD11" s="12" t="s">
        <v>69</v>
      </c>
      <c r="AE11" s="12" t="s">
        <v>1</v>
      </c>
      <c r="AF11" s="13" t="s">
        <v>1</v>
      </c>
      <c r="AG11" s="13" t="s">
        <v>1</v>
      </c>
      <c r="AH11" s="13" t="s">
        <v>1</v>
      </c>
      <c r="AI11" s="13" t="s">
        <v>1</v>
      </c>
      <c r="AJ11" s="14" t="s">
        <v>1</v>
      </c>
      <c r="AK11" s="14" t="s">
        <v>1</v>
      </c>
      <c r="AL11" s="14" t="s">
        <v>69</v>
      </c>
      <c r="AM11" s="14" t="s">
        <v>1</v>
      </c>
      <c r="AN11" s="14" t="s">
        <v>1</v>
      </c>
      <c r="AO11" s="15" t="s">
        <v>1</v>
      </c>
      <c r="AP11" s="15" t="s">
        <v>1</v>
      </c>
      <c r="AQ11" s="15" t="s">
        <v>1</v>
      </c>
      <c r="AR11" s="15" t="s">
        <v>1</v>
      </c>
      <c r="AS11" s="16" t="s">
        <v>70</v>
      </c>
      <c r="AT11" s="16" t="s">
        <v>733</v>
      </c>
      <c r="AU11" s="16" t="s">
        <v>71</v>
      </c>
      <c r="AV11" s="16" t="s">
        <v>734</v>
      </c>
      <c r="AW11" s="17" t="s">
        <v>71</v>
      </c>
      <c r="AX11" s="17" t="s">
        <v>71</v>
      </c>
      <c r="AY11" s="17" t="s">
        <v>71</v>
      </c>
      <c r="AZ11" s="17" t="s">
        <v>71</v>
      </c>
      <c r="BA11" s="17" t="s">
        <v>72</v>
      </c>
      <c r="BB11" s="17" t="s">
        <v>68</v>
      </c>
      <c r="BC11" s="18" t="s">
        <v>1</v>
      </c>
      <c r="BD11" s="19" t="s">
        <v>750</v>
      </c>
      <c r="BE11" s="109" t="s">
        <v>751</v>
      </c>
    </row>
    <row r="12" spans="2:57" ht="66" x14ac:dyDescent="0.25">
      <c r="B12" s="1">
        <v>2017</v>
      </c>
      <c r="C12" s="1" t="s">
        <v>73</v>
      </c>
      <c r="D12" s="1" t="s">
        <v>90</v>
      </c>
      <c r="E12" s="2">
        <v>14390100025</v>
      </c>
      <c r="F12" s="2" t="s">
        <v>752</v>
      </c>
      <c r="G12" s="3" t="s">
        <v>753</v>
      </c>
      <c r="H12" s="4" t="s">
        <v>754</v>
      </c>
      <c r="I12" s="88" t="s">
        <v>755</v>
      </c>
      <c r="J12" s="6" t="s">
        <v>756</v>
      </c>
      <c r="K12" s="6" t="s">
        <v>757</v>
      </c>
      <c r="L12" s="4" t="s">
        <v>758</v>
      </c>
      <c r="M12" s="6" t="s">
        <v>93</v>
      </c>
      <c r="N12" s="6">
        <v>1</v>
      </c>
      <c r="O12" s="6">
        <v>6</v>
      </c>
      <c r="P12" s="7" t="s">
        <v>1</v>
      </c>
      <c r="Q12" s="7" t="s">
        <v>1</v>
      </c>
      <c r="R12" s="7" t="s">
        <v>1</v>
      </c>
      <c r="S12" s="7" t="s">
        <v>1</v>
      </c>
      <c r="T12" s="7" t="s">
        <v>1</v>
      </c>
      <c r="U12" s="8" t="s">
        <v>1</v>
      </c>
      <c r="V12" s="8" t="s">
        <v>1</v>
      </c>
      <c r="W12" s="9" t="s">
        <v>1</v>
      </c>
      <c r="X12" s="9" t="s">
        <v>1</v>
      </c>
      <c r="Y12" s="10" t="s">
        <v>1</v>
      </c>
      <c r="Z12" s="10" t="s">
        <v>1</v>
      </c>
      <c r="AA12" s="11" t="s">
        <v>1</v>
      </c>
      <c r="AB12" s="11" t="s">
        <v>1</v>
      </c>
      <c r="AC12" s="11" t="s">
        <v>1</v>
      </c>
      <c r="AD12" s="12" t="s">
        <v>1</v>
      </c>
      <c r="AE12" s="12" t="s">
        <v>1</v>
      </c>
      <c r="AF12" s="13" t="s">
        <v>1</v>
      </c>
      <c r="AG12" s="13" t="s">
        <v>1</v>
      </c>
      <c r="AH12" s="13" t="s">
        <v>1</v>
      </c>
      <c r="AI12" s="13" t="s">
        <v>1</v>
      </c>
      <c r="AJ12" s="14" t="s">
        <v>1</v>
      </c>
      <c r="AK12" s="14" t="s">
        <v>1</v>
      </c>
      <c r="AL12" s="14" t="s">
        <v>1</v>
      </c>
      <c r="AM12" s="14" t="s">
        <v>1</v>
      </c>
      <c r="AN12" s="14" t="s">
        <v>1</v>
      </c>
      <c r="AO12" s="15" t="s">
        <v>1</v>
      </c>
      <c r="AP12" s="15" t="s">
        <v>1</v>
      </c>
      <c r="AQ12" s="15" t="s">
        <v>1</v>
      </c>
      <c r="AR12" s="15" t="s">
        <v>1</v>
      </c>
      <c r="AS12" s="16" t="s">
        <v>70</v>
      </c>
      <c r="AT12" s="16" t="s">
        <v>68</v>
      </c>
      <c r="AU12" s="16" t="s">
        <v>71</v>
      </c>
      <c r="AV12" s="16" t="s">
        <v>68</v>
      </c>
      <c r="AW12" s="17" t="s">
        <v>72</v>
      </c>
      <c r="AX12" s="17" t="s">
        <v>72</v>
      </c>
      <c r="AY12" s="17" t="s">
        <v>71</v>
      </c>
      <c r="AZ12" s="17" t="s">
        <v>72</v>
      </c>
      <c r="BA12" s="17" t="s">
        <v>72</v>
      </c>
      <c r="BB12" s="89" t="s">
        <v>759</v>
      </c>
      <c r="BC12" s="18" t="s">
        <v>1</v>
      </c>
      <c r="BD12" s="19" t="s">
        <v>94</v>
      </c>
      <c r="BE12" s="109" t="s">
        <v>68</v>
      </c>
    </row>
    <row r="13" spans="2:57" ht="66" hidden="1" x14ac:dyDescent="0.25">
      <c r="B13" s="113">
        <v>2017</v>
      </c>
      <c r="C13" s="113" t="s">
        <v>128</v>
      </c>
      <c r="D13" s="113" t="s">
        <v>127</v>
      </c>
      <c r="E13" s="114">
        <v>13510160008</v>
      </c>
      <c r="F13" s="114" t="s">
        <v>760</v>
      </c>
      <c r="G13" s="3" t="s">
        <v>761</v>
      </c>
      <c r="H13" s="4" t="s">
        <v>762</v>
      </c>
      <c r="I13" s="88" t="s">
        <v>763</v>
      </c>
      <c r="J13" s="6" t="s">
        <v>764</v>
      </c>
      <c r="K13" s="6" t="s">
        <v>765</v>
      </c>
      <c r="L13" s="4" t="s">
        <v>766</v>
      </c>
      <c r="M13" s="6" t="s">
        <v>767</v>
      </c>
      <c r="N13" s="6">
        <v>1</v>
      </c>
      <c r="O13" s="6">
        <v>12</v>
      </c>
      <c r="P13" s="7" t="s">
        <v>69</v>
      </c>
      <c r="Q13" s="7" t="s">
        <v>69</v>
      </c>
      <c r="R13" s="7" t="s">
        <v>1</v>
      </c>
      <c r="S13" s="7" t="s">
        <v>69</v>
      </c>
      <c r="T13" s="7" t="s">
        <v>69</v>
      </c>
      <c r="U13" s="8" t="s">
        <v>75</v>
      </c>
      <c r="V13" s="8" t="s">
        <v>69</v>
      </c>
      <c r="W13" s="9" t="s">
        <v>69</v>
      </c>
      <c r="X13" s="9" t="s">
        <v>69</v>
      </c>
      <c r="Y13" s="10" t="s">
        <v>69</v>
      </c>
      <c r="Z13" s="10" t="s">
        <v>69</v>
      </c>
      <c r="AA13" s="11" t="s">
        <v>69</v>
      </c>
      <c r="AB13" s="11" t="s">
        <v>1</v>
      </c>
      <c r="AC13" s="11" t="s">
        <v>69</v>
      </c>
      <c r="AD13" s="12" t="s">
        <v>69</v>
      </c>
      <c r="AE13" s="12" t="s">
        <v>69</v>
      </c>
      <c r="AF13" s="13" t="s">
        <v>69</v>
      </c>
      <c r="AG13" s="13" t="s">
        <v>69</v>
      </c>
      <c r="AH13" s="13" t="s">
        <v>69</v>
      </c>
      <c r="AI13" s="13" t="s">
        <v>69</v>
      </c>
      <c r="AJ13" s="14" t="s">
        <v>69</v>
      </c>
      <c r="AK13" s="14" t="s">
        <v>69</v>
      </c>
      <c r="AL13" s="14" t="s">
        <v>69</v>
      </c>
      <c r="AM13" s="14" t="s">
        <v>69</v>
      </c>
      <c r="AN13" s="14" t="s">
        <v>69</v>
      </c>
      <c r="AO13" s="15" t="s">
        <v>1</v>
      </c>
      <c r="AP13" s="15" t="s">
        <v>69</v>
      </c>
      <c r="AQ13" s="15" t="s">
        <v>69</v>
      </c>
      <c r="AR13" s="15" t="s">
        <v>1</v>
      </c>
      <c r="AS13" s="16" t="s">
        <v>70</v>
      </c>
      <c r="AT13" s="16" t="s">
        <v>71</v>
      </c>
      <c r="AU13" s="16" t="s">
        <v>72</v>
      </c>
      <c r="AV13" s="16" t="s">
        <v>71</v>
      </c>
      <c r="AW13" s="17" t="s">
        <v>72</v>
      </c>
      <c r="AX13" s="17" t="s">
        <v>71</v>
      </c>
      <c r="AY13" s="17" t="s">
        <v>71</v>
      </c>
      <c r="AZ13" s="17" t="s">
        <v>72</v>
      </c>
      <c r="BA13" s="17" t="s">
        <v>71</v>
      </c>
      <c r="BB13" s="17" t="s">
        <v>768</v>
      </c>
      <c r="BC13" s="18" t="s">
        <v>69</v>
      </c>
      <c r="BD13" s="19" t="s">
        <v>68</v>
      </c>
      <c r="BE13" s="109" t="s">
        <v>769</v>
      </c>
    </row>
    <row r="14" spans="2:57" ht="66" hidden="1" x14ac:dyDescent="0.25">
      <c r="B14" s="1">
        <v>2017</v>
      </c>
      <c r="C14" s="1" t="s">
        <v>128</v>
      </c>
      <c r="D14" s="1" t="s">
        <v>127</v>
      </c>
      <c r="E14" s="2">
        <v>13510160045</v>
      </c>
      <c r="F14" s="2" t="s">
        <v>770</v>
      </c>
      <c r="G14" s="3" t="s">
        <v>771</v>
      </c>
      <c r="H14" s="4" t="s">
        <v>772</v>
      </c>
      <c r="I14" s="88" t="s">
        <v>773</v>
      </c>
      <c r="J14" s="6" t="s">
        <v>774</v>
      </c>
      <c r="K14" s="6" t="s">
        <v>775</v>
      </c>
      <c r="L14" s="6" t="s">
        <v>68</v>
      </c>
      <c r="M14" s="6" t="s">
        <v>776</v>
      </c>
      <c r="N14" s="6">
        <v>1</v>
      </c>
      <c r="O14" s="6">
        <v>24</v>
      </c>
      <c r="P14" s="7" t="s">
        <v>69</v>
      </c>
      <c r="Q14" s="7" t="s">
        <v>69</v>
      </c>
      <c r="R14" s="7" t="s">
        <v>1</v>
      </c>
      <c r="S14" s="7" t="s">
        <v>69</v>
      </c>
      <c r="T14" s="7" t="s">
        <v>69</v>
      </c>
      <c r="U14" s="8" t="s">
        <v>75</v>
      </c>
      <c r="V14" s="8" t="s">
        <v>69</v>
      </c>
      <c r="W14" s="9" t="s">
        <v>69</v>
      </c>
      <c r="X14" s="9" t="s">
        <v>69</v>
      </c>
      <c r="Y14" s="10" t="s">
        <v>69</v>
      </c>
      <c r="Z14" s="10" t="s">
        <v>1</v>
      </c>
      <c r="AA14" s="11" t="s">
        <v>1</v>
      </c>
      <c r="AB14" s="11" t="s">
        <v>1</v>
      </c>
      <c r="AC14" s="11" t="s">
        <v>1</v>
      </c>
      <c r="AD14" s="12" t="s">
        <v>69</v>
      </c>
      <c r="AE14" s="12" t="s">
        <v>1</v>
      </c>
      <c r="AF14" s="13" t="s">
        <v>1</v>
      </c>
      <c r="AG14" s="13" t="s">
        <v>1</v>
      </c>
      <c r="AH14" s="13" t="s">
        <v>1</v>
      </c>
      <c r="AI14" s="13" t="s">
        <v>1</v>
      </c>
      <c r="AJ14" s="14" t="s">
        <v>1</v>
      </c>
      <c r="AK14" s="14" t="s">
        <v>1</v>
      </c>
      <c r="AL14" s="14" t="s">
        <v>69</v>
      </c>
      <c r="AM14" s="14" t="s">
        <v>1</v>
      </c>
      <c r="AN14" s="14" t="s">
        <v>1</v>
      </c>
      <c r="AO14" s="15" t="s">
        <v>1</v>
      </c>
      <c r="AP14" s="15" t="s">
        <v>1</v>
      </c>
      <c r="AQ14" s="15" t="s">
        <v>1</v>
      </c>
      <c r="AR14" s="15" t="s">
        <v>1</v>
      </c>
      <c r="AS14" s="16" t="s">
        <v>70</v>
      </c>
      <c r="AT14" s="16" t="s">
        <v>71</v>
      </c>
      <c r="AU14" s="16" t="s">
        <v>72</v>
      </c>
      <c r="AV14" s="16" t="s">
        <v>71</v>
      </c>
      <c r="AW14" s="17" t="s">
        <v>72</v>
      </c>
      <c r="AX14" s="17" t="s">
        <v>71</v>
      </c>
      <c r="AY14" s="17" t="s">
        <v>71</v>
      </c>
      <c r="AZ14" s="17" t="s">
        <v>72</v>
      </c>
      <c r="BA14" s="17" t="s">
        <v>71</v>
      </c>
      <c r="BB14" s="17"/>
      <c r="BC14" s="18" t="s">
        <v>69</v>
      </c>
      <c r="BD14" s="19" t="s">
        <v>68</v>
      </c>
      <c r="BE14" s="109"/>
    </row>
    <row r="15" spans="2:57" ht="66" hidden="1" x14ac:dyDescent="0.25">
      <c r="B15" s="113">
        <v>2017</v>
      </c>
      <c r="C15" s="113" t="s">
        <v>141</v>
      </c>
      <c r="D15" s="113" t="s">
        <v>142</v>
      </c>
      <c r="E15" s="114">
        <v>13420100017</v>
      </c>
      <c r="F15" s="114" t="s">
        <v>777</v>
      </c>
      <c r="G15" s="3" t="s">
        <v>778</v>
      </c>
      <c r="H15" s="4" t="s">
        <v>779</v>
      </c>
      <c r="I15" s="88" t="s">
        <v>780</v>
      </c>
      <c r="J15" s="6" t="s">
        <v>781</v>
      </c>
      <c r="K15" s="4" t="s">
        <v>782</v>
      </c>
      <c r="L15" s="4" t="s">
        <v>783</v>
      </c>
      <c r="M15" s="4" t="s">
        <v>143</v>
      </c>
      <c r="N15" s="6">
        <v>2</v>
      </c>
      <c r="O15" s="6">
        <v>36</v>
      </c>
      <c r="P15" s="7" t="s">
        <v>1</v>
      </c>
      <c r="Q15" s="7" t="s">
        <v>69</v>
      </c>
      <c r="R15" s="7" t="s">
        <v>1</v>
      </c>
      <c r="S15" s="7" t="s">
        <v>1</v>
      </c>
      <c r="T15" s="7" t="s">
        <v>1</v>
      </c>
      <c r="U15" s="8" t="s">
        <v>1</v>
      </c>
      <c r="V15" s="8" t="s">
        <v>1</v>
      </c>
      <c r="W15" s="9" t="s">
        <v>75</v>
      </c>
      <c r="X15" s="9" t="s">
        <v>1</v>
      </c>
      <c r="Y15" s="10" t="s">
        <v>1</v>
      </c>
      <c r="Z15" s="10" t="s">
        <v>1</v>
      </c>
      <c r="AA15" s="11" t="s">
        <v>69</v>
      </c>
      <c r="AB15" s="11" t="s">
        <v>1</v>
      </c>
      <c r="AC15" s="11" t="s">
        <v>1</v>
      </c>
      <c r="AD15" s="12" t="s">
        <v>1</v>
      </c>
      <c r="AE15" s="12" t="s">
        <v>75</v>
      </c>
      <c r="AF15" s="13" t="s">
        <v>1</v>
      </c>
      <c r="AG15" s="13" t="s">
        <v>1</v>
      </c>
      <c r="AH15" s="13" t="s">
        <v>1</v>
      </c>
      <c r="AI15" s="13" t="s">
        <v>1</v>
      </c>
      <c r="AJ15" s="14" t="s">
        <v>1</v>
      </c>
      <c r="AK15" s="14" t="s">
        <v>1</v>
      </c>
      <c r="AL15" s="14" t="s">
        <v>1</v>
      </c>
      <c r="AM15" s="14" t="s">
        <v>1</v>
      </c>
      <c r="AN15" s="14" t="s">
        <v>69</v>
      </c>
      <c r="AO15" s="15" t="s">
        <v>1</v>
      </c>
      <c r="AP15" s="15" t="s">
        <v>1</v>
      </c>
      <c r="AQ15" s="15" t="s">
        <v>1</v>
      </c>
      <c r="AR15" s="15" t="s">
        <v>1</v>
      </c>
      <c r="AS15" s="16" t="s">
        <v>76</v>
      </c>
      <c r="AT15" s="16"/>
      <c r="AU15" s="16" t="s">
        <v>71</v>
      </c>
      <c r="AV15" s="16" t="s">
        <v>784</v>
      </c>
      <c r="AW15" s="17" t="s">
        <v>72</v>
      </c>
      <c r="AX15" s="17" t="s">
        <v>72</v>
      </c>
      <c r="AY15" s="17" t="s">
        <v>71</v>
      </c>
      <c r="AZ15" s="17" t="s">
        <v>72</v>
      </c>
      <c r="BA15" s="17" t="s">
        <v>72</v>
      </c>
      <c r="BB15" s="17" t="s">
        <v>68</v>
      </c>
      <c r="BC15" s="18" t="s">
        <v>1</v>
      </c>
      <c r="BD15" s="19" t="s">
        <v>94</v>
      </c>
      <c r="BE15" s="109" t="s">
        <v>785</v>
      </c>
    </row>
    <row r="16" spans="2:57" ht="66" hidden="1" x14ac:dyDescent="0.25">
      <c r="B16" s="1">
        <v>2017</v>
      </c>
      <c r="C16" s="1" t="s">
        <v>141</v>
      </c>
      <c r="D16" s="1" t="s">
        <v>197</v>
      </c>
      <c r="E16" s="2">
        <v>11410110017</v>
      </c>
      <c r="F16" s="2" t="s">
        <v>786</v>
      </c>
      <c r="G16" s="3" t="s">
        <v>787</v>
      </c>
      <c r="H16" s="4" t="s">
        <v>788</v>
      </c>
      <c r="I16" s="88" t="s">
        <v>789</v>
      </c>
      <c r="J16" s="6" t="s">
        <v>790</v>
      </c>
      <c r="K16" s="4" t="s">
        <v>791</v>
      </c>
      <c r="L16" s="4" t="s">
        <v>792</v>
      </c>
      <c r="M16" s="4" t="s">
        <v>793</v>
      </c>
      <c r="N16" s="6">
        <v>36</v>
      </c>
      <c r="O16" s="6">
        <v>48</v>
      </c>
      <c r="P16" s="7" t="s">
        <v>1</v>
      </c>
      <c r="Q16" s="7" t="s">
        <v>1</v>
      </c>
      <c r="R16" s="7" t="s">
        <v>75</v>
      </c>
      <c r="S16" s="7" t="s">
        <v>1</v>
      </c>
      <c r="T16" s="7" t="s">
        <v>1</v>
      </c>
      <c r="U16" s="8" t="s">
        <v>1</v>
      </c>
      <c r="V16" s="8" t="s">
        <v>75</v>
      </c>
      <c r="W16" s="9" t="s">
        <v>75</v>
      </c>
      <c r="X16" s="9" t="s">
        <v>75</v>
      </c>
      <c r="Y16" s="10" t="s">
        <v>1</v>
      </c>
      <c r="Z16" s="10" t="s">
        <v>75</v>
      </c>
      <c r="AA16" s="11" t="s">
        <v>1</v>
      </c>
      <c r="AB16" s="11" t="s">
        <v>1</v>
      </c>
      <c r="AC16" s="11" t="s">
        <v>1</v>
      </c>
      <c r="AD16" s="12" t="s">
        <v>1</v>
      </c>
      <c r="AE16" s="12" t="s">
        <v>75</v>
      </c>
      <c r="AF16" s="13" t="s">
        <v>1</v>
      </c>
      <c r="AG16" s="13" t="s">
        <v>75</v>
      </c>
      <c r="AH16" s="13" t="s">
        <v>1</v>
      </c>
      <c r="AI16" s="13" t="s">
        <v>75</v>
      </c>
      <c r="AJ16" s="14" t="s">
        <v>1</v>
      </c>
      <c r="AK16" s="14" t="s">
        <v>1</v>
      </c>
      <c r="AL16" s="14" t="s">
        <v>1</v>
      </c>
      <c r="AM16" s="14" t="s">
        <v>1</v>
      </c>
      <c r="AN16" s="14" t="s">
        <v>1</v>
      </c>
      <c r="AO16" s="15" t="s">
        <v>75</v>
      </c>
      <c r="AP16" s="15" t="s">
        <v>75</v>
      </c>
      <c r="AQ16" s="15" t="s">
        <v>75</v>
      </c>
      <c r="AR16" s="15" t="s">
        <v>1</v>
      </c>
      <c r="AS16" s="16" t="s">
        <v>70</v>
      </c>
      <c r="AT16" s="16" t="s">
        <v>794</v>
      </c>
      <c r="AU16" s="16" t="s">
        <v>795</v>
      </c>
      <c r="AV16" s="16" t="s">
        <v>796</v>
      </c>
      <c r="AW16" s="17" t="s">
        <v>71</v>
      </c>
      <c r="AX16" s="17" t="s">
        <v>71</v>
      </c>
      <c r="AY16" s="17" t="s">
        <v>71</v>
      </c>
      <c r="AZ16" s="17" t="s">
        <v>71</v>
      </c>
      <c r="BA16" s="17" t="s">
        <v>71</v>
      </c>
      <c r="BB16" s="17" t="s">
        <v>797</v>
      </c>
      <c r="BC16" s="18" t="s">
        <v>1</v>
      </c>
      <c r="BD16" s="19" t="s">
        <v>798</v>
      </c>
      <c r="BE16" s="109" t="s">
        <v>799</v>
      </c>
    </row>
    <row r="17" spans="2:57" ht="66" hidden="1" x14ac:dyDescent="0.25">
      <c r="B17" s="113">
        <v>2017</v>
      </c>
      <c r="C17" s="113" t="s">
        <v>141</v>
      </c>
      <c r="D17" s="113" t="s">
        <v>197</v>
      </c>
      <c r="E17" s="114">
        <v>11410110034</v>
      </c>
      <c r="F17" s="114" t="s">
        <v>800</v>
      </c>
      <c r="G17" s="3" t="s">
        <v>801</v>
      </c>
      <c r="H17" s="4" t="s">
        <v>802</v>
      </c>
      <c r="I17" s="88" t="s">
        <v>803</v>
      </c>
      <c r="J17" s="6" t="s">
        <v>701</v>
      </c>
      <c r="K17" s="6" t="s">
        <v>804</v>
      </c>
      <c r="L17" s="4" t="s">
        <v>805</v>
      </c>
      <c r="M17" s="6" t="s">
        <v>74</v>
      </c>
      <c r="N17" s="6">
        <v>3</v>
      </c>
      <c r="O17" s="6">
        <v>48</v>
      </c>
      <c r="P17" s="7" t="s">
        <v>69</v>
      </c>
      <c r="Q17" s="7" t="s">
        <v>69</v>
      </c>
      <c r="R17" s="7" t="s">
        <v>1</v>
      </c>
      <c r="S17" s="7" t="s">
        <v>69</v>
      </c>
      <c r="T17" s="7" t="s">
        <v>69</v>
      </c>
      <c r="U17" s="8" t="s">
        <v>69</v>
      </c>
      <c r="V17" s="8" t="s">
        <v>69</v>
      </c>
      <c r="W17" s="9" t="s">
        <v>1</v>
      </c>
      <c r="X17" s="9" t="s">
        <v>1</v>
      </c>
      <c r="Y17" s="10" t="s">
        <v>69</v>
      </c>
      <c r="Z17" s="10" t="s">
        <v>69</v>
      </c>
      <c r="AA17" s="11" t="s">
        <v>69</v>
      </c>
      <c r="AB17" s="11" t="s">
        <v>69</v>
      </c>
      <c r="AC17" s="11" t="s">
        <v>69</v>
      </c>
      <c r="AD17" s="12" t="s">
        <v>69</v>
      </c>
      <c r="AE17" s="12" t="s">
        <v>1</v>
      </c>
      <c r="AF17" s="13" t="s">
        <v>1</v>
      </c>
      <c r="AG17" s="13" t="s">
        <v>75</v>
      </c>
      <c r="AH17" s="13" t="s">
        <v>1</v>
      </c>
      <c r="AI17" s="13" t="s">
        <v>75</v>
      </c>
      <c r="AJ17" s="14" t="s">
        <v>1</v>
      </c>
      <c r="AK17" s="14" t="s">
        <v>1</v>
      </c>
      <c r="AL17" s="14" t="s">
        <v>1</v>
      </c>
      <c r="AM17" s="14" t="s">
        <v>1</v>
      </c>
      <c r="AN17" s="14" t="s">
        <v>1</v>
      </c>
      <c r="AO17" s="15" t="s">
        <v>75</v>
      </c>
      <c r="AP17" s="15" t="s">
        <v>75</v>
      </c>
      <c r="AQ17" s="15" t="s">
        <v>75</v>
      </c>
      <c r="AR17" s="15" t="s">
        <v>1</v>
      </c>
      <c r="AS17" s="16" t="s">
        <v>151</v>
      </c>
      <c r="AT17" s="16" t="s">
        <v>68</v>
      </c>
      <c r="AU17" s="16" t="s">
        <v>71</v>
      </c>
      <c r="AV17" s="16" t="s">
        <v>68</v>
      </c>
      <c r="AW17" s="17" t="s">
        <v>71</v>
      </c>
      <c r="AX17" s="17" t="s">
        <v>71</v>
      </c>
      <c r="AY17" s="17" t="s">
        <v>71</v>
      </c>
      <c r="AZ17" s="17" t="s">
        <v>71</v>
      </c>
      <c r="BA17" s="17" t="s">
        <v>71</v>
      </c>
      <c r="BB17" s="17" t="s">
        <v>68</v>
      </c>
      <c r="BC17" s="18" t="s">
        <v>69</v>
      </c>
      <c r="BD17" s="19" t="s">
        <v>68</v>
      </c>
      <c r="BE17" s="109" t="s">
        <v>68</v>
      </c>
    </row>
    <row r="18" spans="2:57" ht="66" hidden="1" x14ac:dyDescent="0.25">
      <c r="B18" s="1">
        <v>2017</v>
      </c>
      <c r="C18" s="1" t="s">
        <v>141</v>
      </c>
      <c r="D18" s="1" t="s">
        <v>197</v>
      </c>
      <c r="E18" s="2">
        <v>12410110012</v>
      </c>
      <c r="F18" s="2" t="s">
        <v>806</v>
      </c>
      <c r="G18" s="3" t="s">
        <v>807</v>
      </c>
      <c r="H18" s="4" t="s">
        <v>808</v>
      </c>
      <c r="I18" s="88" t="s">
        <v>809</v>
      </c>
      <c r="J18" s="6" t="s">
        <v>810</v>
      </c>
      <c r="K18" s="6" t="s">
        <v>811</v>
      </c>
      <c r="L18" s="4" t="s">
        <v>812</v>
      </c>
      <c r="M18" s="6" t="s">
        <v>813</v>
      </c>
      <c r="N18" s="6">
        <v>3</v>
      </c>
      <c r="O18" s="6">
        <v>32</v>
      </c>
      <c r="P18" s="7" t="s">
        <v>1</v>
      </c>
      <c r="Q18" s="7" t="s">
        <v>69</v>
      </c>
      <c r="R18" s="7" t="s">
        <v>69</v>
      </c>
      <c r="S18" s="7" t="s">
        <v>1</v>
      </c>
      <c r="T18" s="7" t="s">
        <v>1</v>
      </c>
      <c r="U18" s="8" t="s">
        <v>69</v>
      </c>
      <c r="V18" s="8" t="s">
        <v>69</v>
      </c>
      <c r="W18" s="9" t="s">
        <v>1</v>
      </c>
      <c r="X18" s="9" t="s">
        <v>1</v>
      </c>
      <c r="Y18" s="10" t="s">
        <v>69</v>
      </c>
      <c r="Z18" s="10" t="s">
        <v>69</v>
      </c>
      <c r="AA18" s="11" t="s">
        <v>1</v>
      </c>
      <c r="AB18" s="11" t="s">
        <v>1</v>
      </c>
      <c r="AC18" s="11" t="s">
        <v>1</v>
      </c>
      <c r="AD18" s="12" t="s">
        <v>69</v>
      </c>
      <c r="AE18" s="12" t="s">
        <v>69</v>
      </c>
      <c r="AF18" s="13" t="s">
        <v>1</v>
      </c>
      <c r="AG18" s="13" t="s">
        <v>1</v>
      </c>
      <c r="AH18" s="13" t="s">
        <v>69</v>
      </c>
      <c r="AI18" s="13" t="s">
        <v>1</v>
      </c>
      <c r="AJ18" s="14" t="s">
        <v>1</v>
      </c>
      <c r="AK18" s="14" t="s">
        <v>1</v>
      </c>
      <c r="AL18" s="14" t="s">
        <v>69</v>
      </c>
      <c r="AM18" s="14" t="s">
        <v>69</v>
      </c>
      <c r="AN18" s="14" t="s">
        <v>69</v>
      </c>
      <c r="AO18" s="15" t="s">
        <v>69</v>
      </c>
      <c r="AP18" s="15" t="s">
        <v>69</v>
      </c>
      <c r="AQ18" s="15" t="s">
        <v>69</v>
      </c>
      <c r="AR18" s="15" t="s">
        <v>69</v>
      </c>
      <c r="AS18" s="16" t="s">
        <v>70</v>
      </c>
      <c r="AT18" s="16" t="s">
        <v>814</v>
      </c>
      <c r="AU18" s="16" t="s">
        <v>71</v>
      </c>
      <c r="AV18" s="16" t="s">
        <v>815</v>
      </c>
      <c r="AW18" s="17" t="s">
        <v>72</v>
      </c>
      <c r="AX18" s="17" t="s">
        <v>72</v>
      </c>
      <c r="AY18" s="17" t="s">
        <v>71</v>
      </c>
      <c r="AZ18" s="17" t="s">
        <v>71</v>
      </c>
      <c r="BA18" s="17" t="s">
        <v>72</v>
      </c>
      <c r="BB18" s="17" t="s">
        <v>68</v>
      </c>
      <c r="BC18" s="18" t="s">
        <v>69</v>
      </c>
      <c r="BD18" s="19" t="s">
        <v>816</v>
      </c>
      <c r="BE18" s="109" t="s">
        <v>817</v>
      </c>
    </row>
    <row r="19" spans="2:57" ht="23.25" hidden="1" customHeight="1" x14ac:dyDescent="0.25">
      <c r="B19" s="113">
        <v>2017</v>
      </c>
      <c r="C19" s="113" t="s">
        <v>141</v>
      </c>
      <c r="D19" s="113" t="s">
        <v>197</v>
      </c>
      <c r="E19" s="114">
        <v>12410110032</v>
      </c>
      <c r="F19" s="114" t="s">
        <v>818</v>
      </c>
      <c r="G19" s="3" t="s">
        <v>819</v>
      </c>
      <c r="H19" s="4" t="s">
        <v>820</v>
      </c>
      <c r="I19" s="88" t="s">
        <v>821</v>
      </c>
      <c r="J19" s="6" t="s">
        <v>822</v>
      </c>
      <c r="K19" s="4" t="s">
        <v>823</v>
      </c>
      <c r="L19" s="4" t="s">
        <v>824</v>
      </c>
      <c r="M19" s="4" t="s">
        <v>696</v>
      </c>
      <c r="N19" s="6">
        <v>2</v>
      </c>
      <c r="O19" s="6">
        <v>36</v>
      </c>
      <c r="P19" s="7" t="s">
        <v>69</v>
      </c>
      <c r="Q19" s="7" t="s">
        <v>69</v>
      </c>
      <c r="R19" s="7" t="s">
        <v>69</v>
      </c>
      <c r="S19" s="7" t="s">
        <v>69</v>
      </c>
      <c r="T19" s="7" t="s">
        <v>69</v>
      </c>
      <c r="U19" s="8" t="s">
        <v>69</v>
      </c>
      <c r="V19" s="8" t="s">
        <v>69</v>
      </c>
      <c r="W19" s="9" t="s">
        <v>1</v>
      </c>
      <c r="X19" s="9" t="s">
        <v>1</v>
      </c>
      <c r="Y19" s="10" t="s">
        <v>69</v>
      </c>
      <c r="Z19" s="10" t="s">
        <v>69</v>
      </c>
      <c r="AA19" s="11" t="s">
        <v>69</v>
      </c>
      <c r="AB19" s="11" t="s">
        <v>69</v>
      </c>
      <c r="AC19" s="11" t="s">
        <v>69</v>
      </c>
      <c r="AD19" s="12" t="s">
        <v>69</v>
      </c>
      <c r="AE19" s="12" t="s">
        <v>69</v>
      </c>
      <c r="AF19" s="13" t="s">
        <v>69</v>
      </c>
      <c r="AG19" s="13" t="s">
        <v>69</v>
      </c>
      <c r="AH19" s="13" t="s">
        <v>69</v>
      </c>
      <c r="AI19" s="13" t="s">
        <v>69</v>
      </c>
      <c r="AJ19" s="14" t="s">
        <v>69</v>
      </c>
      <c r="AK19" s="14" t="s">
        <v>69</v>
      </c>
      <c r="AL19" s="14" t="s">
        <v>69</v>
      </c>
      <c r="AM19" s="14" t="s">
        <v>69</v>
      </c>
      <c r="AN19" s="14" t="s">
        <v>69</v>
      </c>
      <c r="AO19" s="15" t="s">
        <v>69</v>
      </c>
      <c r="AP19" s="15" t="s">
        <v>69</v>
      </c>
      <c r="AQ19" s="15" t="s">
        <v>69</v>
      </c>
      <c r="AR19" s="15" t="s">
        <v>69</v>
      </c>
      <c r="AS19" s="16" t="s">
        <v>151</v>
      </c>
      <c r="AT19" s="16"/>
      <c r="AU19" s="16" t="s">
        <v>71</v>
      </c>
      <c r="AV19" s="16" t="s">
        <v>680</v>
      </c>
      <c r="AW19" s="17" t="s">
        <v>72</v>
      </c>
      <c r="AX19" s="17" t="s">
        <v>72</v>
      </c>
      <c r="AY19" s="17" t="s">
        <v>71</v>
      </c>
      <c r="AZ19" s="17" t="s">
        <v>72</v>
      </c>
      <c r="BA19" s="17" t="s">
        <v>72</v>
      </c>
      <c r="BB19" s="17" t="s">
        <v>68</v>
      </c>
      <c r="BC19" s="18" t="s">
        <v>69</v>
      </c>
      <c r="BD19" s="19" t="s">
        <v>91</v>
      </c>
      <c r="BE19" s="109" t="s">
        <v>68</v>
      </c>
    </row>
    <row r="20" spans="2:57" ht="13.5" hidden="1" customHeight="1" x14ac:dyDescent="0.25">
      <c r="B20" s="1">
        <v>2017</v>
      </c>
      <c r="C20" s="1" t="s">
        <v>141</v>
      </c>
      <c r="D20" s="1" t="s">
        <v>197</v>
      </c>
      <c r="E20" s="2">
        <v>12410110006</v>
      </c>
      <c r="F20" s="2" t="s">
        <v>825</v>
      </c>
      <c r="G20" s="3" t="s">
        <v>826</v>
      </c>
      <c r="H20" s="4" t="s">
        <v>827</v>
      </c>
      <c r="I20" s="88" t="s">
        <v>828</v>
      </c>
      <c r="J20" s="6" t="s">
        <v>701</v>
      </c>
      <c r="K20" s="6" t="s">
        <v>702</v>
      </c>
      <c r="L20" s="4" t="s">
        <v>198</v>
      </c>
      <c r="M20" s="6" t="s">
        <v>74</v>
      </c>
      <c r="N20" s="6">
        <v>1</v>
      </c>
      <c r="O20" s="6">
        <v>24</v>
      </c>
      <c r="P20" s="7" t="s">
        <v>69</v>
      </c>
      <c r="Q20" s="7" t="s">
        <v>69</v>
      </c>
      <c r="R20" s="7" t="s">
        <v>69</v>
      </c>
      <c r="S20" s="7" t="s">
        <v>69</v>
      </c>
      <c r="T20" s="7" t="s">
        <v>69</v>
      </c>
      <c r="U20" s="8" t="s">
        <v>69</v>
      </c>
      <c r="V20" s="8" t="s">
        <v>69</v>
      </c>
      <c r="W20" s="9" t="s">
        <v>1</v>
      </c>
      <c r="X20" s="9" t="s">
        <v>1</v>
      </c>
      <c r="Y20" s="10" t="s">
        <v>69</v>
      </c>
      <c r="Z20" s="10" t="s">
        <v>69</v>
      </c>
      <c r="AA20" s="11" t="s">
        <v>69</v>
      </c>
      <c r="AB20" s="11" t="s">
        <v>69</v>
      </c>
      <c r="AC20" s="11" t="s">
        <v>69</v>
      </c>
      <c r="AD20" s="12" t="s">
        <v>69</v>
      </c>
      <c r="AE20" s="12" t="s">
        <v>69</v>
      </c>
      <c r="AF20" s="13" t="s">
        <v>69</v>
      </c>
      <c r="AG20" s="13" t="s">
        <v>69</v>
      </c>
      <c r="AH20" s="13" t="s">
        <v>69</v>
      </c>
      <c r="AI20" s="13" t="s">
        <v>69</v>
      </c>
      <c r="AJ20" s="14" t="s">
        <v>69</v>
      </c>
      <c r="AK20" s="14" t="s">
        <v>69</v>
      </c>
      <c r="AL20" s="14" t="s">
        <v>69</v>
      </c>
      <c r="AM20" s="14" t="s">
        <v>69</v>
      </c>
      <c r="AN20" s="14" t="s">
        <v>69</v>
      </c>
      <c r="AO20" s="15" t="s">
        <v>69</v>
      </c>
      <c r="AP20" s="15" t="s">
        <v>69</v>
      </c>
      <c r="AQ20" s="15" t="s">
        <v>1</v>
      </c>
      <c r="AR20" s="15" t="s">
        <v>69</v>
      </c>
      <c r="AS20" s="16" t="s">
        <v>70</v>
      </c>
      <c r="AT20" s="16" t="s">
        <v>829</v>
      </c>
      <c r="AU20" s="16" t="s">
        <v>71</v>
      </c>
      <c r="AV20" s="16" t="s">
        <v>830</v>
      </c>
      <c r="AW20" s="17" t="s">
        <v>72</v>
      </c>
      <c r="AX20" s="17" t="s">
        <v>71</v>
      </c>
      <c r="AY20" s="17" t="s">
        <v>71</v>
      </c>
      <c r="AZ20" s="17" t="s">
        <v>72</v>
      </c>
      <c r="BA20" s="17" t="s">
        <v>72</v>
      </c>
      <c r="BB20" s="17" t="s">
        <v>68</v>
      </c>
      <c r="BC20" s="18" t="s">
        <v>69</v>
      </c>
      <c r="BD20" s="19" t="s">
        <v>831</v>
      </c>
      <c r="BE20" s="109" t="s">
        <v>799</v>
      </c>
    </row>
    <row r="21" spans="2:57" ht="66" hidden="1" x14ac:dyDescent="0.25">
      <c r="B21" s="113">
        <v>2017</v>
      </c>
      <c r="C21" s="113" t="s">
        <v>141</v>
      </c>
      <c r="D21" s="113" t="s">
        <v>197</v>
      </c>
      <c r="E21" s="114">
        <v>8410100302</v>
      </c>
      <c r="F21" s="114" t="s">
        <v>832</v>
      </c>
      <c r="G21" s="3" t="s">
        <v>833</v>
      </c>
      <c r="H21" s="4" t="s">
        <v>834</v>
      </c>
      <c r="I21" s="88" t="s">
        <v>835</v>
      </c>
      <c r="J21" s="6" t="s">
        <v>836</v>
      </c>
      <c r="K21" s="4" t="s">
        <v>837</v>
      </c>
      <c r="L21" s="4" t="s">
        <v>838</v>
      </c>
      <c r="M21" s="4" t="s">
        <v>839</v>
      </c>
      <c r="N21" s="6">
        <v>1</v>
      </c>
      <c r="O21" s="6">
        <v>35</v>
      </c>
      <c r="P21" s="7" t="s">
        <v>1</v>
      </c>
      <c r="Q21" s="7" t="s">
        <v>1</v>
      </c>
      <c r="R21" s="7" t="s">
        <v>1</v>
      </c>
      <c r="S21" s="7" t="s">
        <v>1</v>
      </c>
      <c r="T21" s="7" t="s">
        <v>1</v>
      </c>
      <c r="U21" s="8" t="s">
        <v>69</v>
      </c>
      <c r="V21" s="8" t="s">
        <v>1</v>
      </c>
      <c r="W21" s="9" t="s">
        <v>1</v>
      </c>
      <c r="X21" s="9" t="s">
        <v>75</v>
      </c>
      <c r="Y21" s="10" t="s">
        <v>1</v>
      </c>
      <c r="Z21" s="10" t="s">
        <v>1</v>
      </c>
      <c r="AA21" s="11" t="s">
        <v>69</v>
      </c>
      <c r="AB21" s="11" t="s">
        <v>69</v>
      </c>
      <c r="AC21" s="11" t="s">
        <v>69</v>
      </c>
      <c r="AD21" s="12" t="s">
        <v>69</v>
      </c>
      <c r="AE21" s="12" t="s">
        <v>1</v>
      </c>
      <c r="AF21" s="13" t="s">
        <v>69</v>
      </c>
      <c r="AG21" s="13" t="s">
        <v>1</v>
      </c>
      <c r="AH21" s="13" t="s">
        <v>1</v>
      </c>
      <c r="AI21" s="13" t="s">
        <v>1</v>
      </c>
      <c r="AJ21" s="14" t="s">
        <v>1</v>
      </c>
      <c r="AK21" s="14" t="s">
        <v>1</v>
      </c>
      <c r="AL21" s="14" t="s">
        <v>1</v>
      </c>
      <c r="AM21" s="14" t="s">
        <v>1</v>
      </c>
      <c r="AN21" s="14" t="s">
        <v>1</v>
      </c>
      <c r="AO21" s="15" t="s">
        <v>1</v>
      </c>
      <c r="AP21" s="15" t="s">
        <v>1</v>
      </c>
      <c r="AQ21" s="15" t="s">
        <v>1</v>
      </c>
      <c r="AR21" s="15" t="s">
        <v>1</v>
      </c>
      <c r="AS21" s="16" t="s">
        <v>70</v>
      </c>
      <c r="AT21" s="16" t="s">
        <v>840</v>
      </c>
      <c r="AU21" s="16" t="s">
        <v>71</v>
      </c>
      <c r="AV21" s="16" t="s">
        <v>841</v>
      </c>
      <c r="AW21" s="17" t="s">
        <v>72</v>
      </c>
      <c r="AX21" s="17" t="s">
        <v>72</v>
      </c>
      <c r="AY21" s="17" t="s">
        <v>71</v>
      </c>
      <c r="AZ21" s="17" t="s">
        <v>71</v>
      </c>
      <c r="BA21" s="17" t="s">
        <v>72</v>
      </c>
      <c r="BB21" s="17" t="s">
        <v>841</v>
      </c>
      <c r="BC21" s="18" t="s">
        <v>1</v>
      </c>
      <c r="BD21" s="19" t="s">
        <v>842</v>
      </c>
      <c r="BE21" s="109" t="s">
        <v>799</v>
      </c>
    </row>
    <row r="22" spans="2:57" ht="66" hidden="1" x14ac:dyDescent="0.25">
      <c r="B22" s="1">
        <v>2017</v>
      </c>
      <c r="C22" s="1" t="s">
        <v>141</v>
      </c>
      <c r="D22" s="1" t="s">
        <v>197</v>
      </c>
      <c r="E22" s="2">
        <v>9410100036</v>
      </c>
      <c r="F22" s="2" t="s">
        <v>843</v>
      </c>
      <c r="G22" s="3" t="s">
        <v>787</v>
      </c>
      <c r="H22" s="4" t="s">
        <v>788</v>
      </c>
      <c r="I22" s="88" t="s">
        <v>789</v>
      </c>
      <c r="J22" s="6" t="s">
        <v>790</v>
      </c>
      <c r="K22" s="4" t="s">
        <v>791</v>
      </c>
      <c r="L22" s="4" t="s">
        <v>792</v>
      </c>
      <c r="M22" s="4" t="s">
        <v>793</v>
      </c>
      <c r="N22" s="6">
        <v>36</v>
      </c>
      <c r="O22" s="6">
        <v>48</v>
      </c>
      <c r="P22" s="7" t="s">
        <v>1</v>
      </c>
      <c r="Q22" s="7" t="s">
        <v>1</v>
      </c>
      <c r="R22" s="7" t="s">
        <v>75</v>
      </c>
      <c r="S22" s="7" t="s">
        <v>1</v>
      </c>
      <c r="T22" s="7" t="s">
        <v>1</v>
      </c>
      <c r="U22" s="8" t="s">
        <v>1</v>
      </c>
      <c r="V22" s="8" t="s">
        <v>75</v>
      </c>
      <c r="W22" s="9" t="s">
        <v>75</v>
      </c>
      <c r="X22" s="9" t="s">
        <v>75</v>
      </c>
      <c r="Y22" s="10" t="s">
        <v>1</v>
      </c>
      <c r="Z22" s="10" t="s">
        <v>75</v>
      </c>
      <c r="AA22" s="11" t="s">
        <v>1</v>
      </c>
      <c r="AB22" s="11" t="s">
        <v>1</v>
      </c>
      <c r="AC22" s="11" t="s">
        <v>1</v>
      </c>
      <c r="AD22" s="12" t="s">
        <v>1</v>
      </c>
      <c r="AE22" s="12" t="s">
        <v>75</v>
      </c>
      <c r="AF22" s="13" t="s">
        <v>1</v>
      </c>
      <c r="AG22" s="13" t="s">
        <v>75</v>
      </c>
      <c r="AH22" s="13" t="s">
        <v>1</v>
      </c>
      <c r="AI22" s="13" t="s">
        <v>75</v>
      </c>
      <c r="AJ22" s="14" t="s">
        <v>1</v>
      </c>
      <c r="AK22" s="14" t="s">
        <v>1</v>
      </c>
      <c r="AL22" s="14" t="s">
        <v>1</v>
      </c>
      <c r="AM22" s="14" t="s">
        <v>1</v>
      </c>
      <c r="AN22" s="14" t="s">
        <v>1</v>
      </c>
      <c r="AO22" s="15" t="s">
        <v>75</v>
      </c>
      <c r="AP22" s="15" t="s">
        <v>75</v>
      </c>
      <c r="AQ22" s="15" t="s">
        <v>75</v>
      </c>
      <c r="AR22" s="15" t="s">
        <v>1</v>
      </c>
      <c r="AS22" s="16" t="s">
        <v>70</v>
      </c>
      <c r="AT22" s="16" t="s">
        <v>794</v>
      </c>
      <c r="AU22" s="16" t="s">
        <v>795</v>
      </c>
      <c r="AV22" s="16" t="s">
        <v>796</v>
      </c>
      <c r="AW22" s="17" t="s">
        <v>71</v>
      </c>
      <c r="AX22" s="17" t="s">
        <v>71</v>
      </c>
      <c r="AY22" s="17" t="s">
        <v>71</v>
      </c>
      <c r="AZ22" s="17" t="s">
        <v>71</v>
      </c>
      <c r="BA22" s="17" t="s">
        <v>71</v>
      </c>
      <c r="BB22" s="17" t="s">
        <v>797</v>
      </c>
      <c r="BC22" s="18" t="s">
        <v>1</v>
      </c>
      <c r="BD22" s="19" t="s">
        <v>798</v>
      </c>
      <c r="BE22" s="109" t="s">
        <v>799</v>
      </c>
    </row>
    <row r="23" spans="2:57" ht="66" hidden="1" x14ac:dyDescent="0.25">
      <c r="B23" s="113">
        <v>2017</v>
      </c>
      <c r="C23" s="113" t="s">
        <v>141</v>
      </c>
      <c r="D23" s="113" t="s">
        <v>197</v>
      </c>
      <c r="E23" s="114">
        <v>9410100038</v>
      </c>
      <c r="F23" s="114" t="s">
        <v>844</v>
      </c>
      <c r="G23" s="3" t="s">
        <v>787</v>
      </c>
      <c r="H23" s="4" t="s">
        <v>788</v>
      </c>
      <c r="I23" s="88" t="s">
        <v>789</v>
      </c>
      <c r="J23" s="6" t="s">
        <v>790</v>
      </c>
      <c r="K23" s="4" t="s">
        <v>791</v>
      </c>
      <c r="L23" s="4" t="s">
        <v>792</v>
      </c>
      <c r="M23" s="4" t="s">
        <v>793</v>
      </c>
      <c r="N23" s="6">
        <v>36</v>
      </c>
      <c r="O23" s="6">
        <v>48</v>
      </c>
      <c r="P23" s="7" t="s">
        <v>1</v>
      </c>
      <c r="Q23" s="7" t="s">
        <v>1</v>
      </c>
      <c r="R23" s="7" t="s">
        <v>75</v>
      </c>
      <c r="S23" s="7" t="s">
        <v>1</v>
      </c>
      <c r="T23" s="7" t="s">
        <v>1</v>
      </c>
      <c r="U23" s="8" t="s">
        <v>1</v>
      </c>
      <c r="V23" s="8" t="s">
        <v>75</v>
      </c>
      <c r="W23" s="9" t="s">
        <v>75</v>
      </c>
      <c r="X23" s="9" t="s">
        <v>75</v>
      </c>
      <c r="Y23" s="10" t="s">
        <v>1</v>
      </c>
      <c r="Z23" s="10" t="s">
        <v>75</v>
      </c>
      <c r="AA23" s="11" t="s">
        <v>1</v>
      </c>
      <c r="AB23" s="11" t="s">
        <v>1</v>
      </c>
      <c r="AC23" s="11" t="s">
        <v>1</v>
      </c>
      <c r="AD23" s="12" t="s">
        <v>1</v>
      </c>
      <c r="AE23" s="12" t="s">
        <v>75</v>
      </c>
      <c r="AF23" s="13" t="s">
        <v>1</v>
      </c>
      <c r="AG23" s="13" t="s">
        <v>75</v>
      </c>
      <c r="AH23" s="13" t="s">
        <v>1</v>
      </c>
      <c r="AI23" s="13" t="s">
        <v>75</v>
      </c>
      <c r="AJ23" s="14" t="s">
        <v>1</v>
      </c>
      <c r="AK23" s="14" t="s">
        <v>1</v>
      </c>
      <c r="AL23" s="14" t="s">
        <v>1</v>
      </c>
      <c r="AM23" s="14" t="s">
        <v>1</v>
      </c>
      <c r="AN23" s="14" t="s">
        <v>1</v>
      </c>
      <c r="AO23" s="15" t="s">
        <v>75</v>
      </c>
      <c r="AP23" s="15" t="s">
        <v>75</v>
      </c>
      <c r="AQ23" s="15" t="s">
        <v>75</v>
      </c>
      <c r="AR23" s="15" t="s">
        <v>1</v>
      </c>
      <c r="AS23" s="16" t="s">
        <v>70</v>
      </c>
      <c r="AT23" s="16" t="s">
        <v>794</v>
      </c>
      <c r="AU23" s="16" t="s">
        <v>795</v>
      </c>
      <c r="AV23" s="16" t="s">
        <v>796</v>
      </c>
      <c r="AW23" s="17" t="s">
        <v>71</v>
      </c>
      <c r="AX23" s="17" t="s">
        <v>71</v>
      </c>
      <c r="AY23" s="17" t="s">
        <v>71</v>
      </c>
      <c r="AZ23" s="17" t="s">
        <v>71</v>
      </c>
      <c r="BA23" s="17" t="s">
        <v>71</v>
      </c>
      <c r="BB23" s="17" t="s">
        <v>797</v>
      </c>
      <c r="BC23" s="18" t="s">
        <v>1</v>
      </c>
      <c r="BD23" s="19" t="s">
        <v>798</v>
      </c>
      <c r="BE23" s="109" t="s">
        <v>799</v>
      </c>
    </row>
    <row r="24" spans="2:57" ht="66" hidden="1" x14ac:dyDescent="0.25">
      <c r="B24" s="1">
        <v>2017</v>
      </c>
      <c r="C24" s="1" t="s">
        <v>141</v>
      </c>
      <c r="D24" s="1" t="s">
        <v>197</v>
      </c>
      <c r="E24" s="2">
        <v>10410100201</v>
      </c>
      <c r="F24" s="2" t="s">
        <v>845</v>
      </c>
      <c r="G24" s="3" t="s">
        <v>846</v>
      </c>
      <c r="H24" s="4" t="s">
        <v>847</v>
      </c>
      <c r="I24" s="5" t="s">
        <v>848</v>
      </c>
      <c r="J24" s="6" t="s">
        <v>849</v>
      </c>
      <c r="K24" s="4" t="s">
        <v>850</v>
      </c>
      <c r="L24" s="4" t="s">
        <v>851</v>
      </c>
      <c r="M24" s="4" t="s">
        <v>199</v>
      </c>
      <c r="N24" s="6">
        <v>2</v>
      </c>
      <c r="O24" s="6">
        <v>24</v>
      </c>
      <c r="P24" s="7" t="s">
        <v>69</v>
      </c>
      <c r="Q24" s="7" t="s">
        <v>69</v>
      </c>
      <c r="R24" s="7" t="s">
        <v>1</v>
      </c>
      <c r="S24" s="7" t="s">
        <v>69</v>
      </c>
      <c r="T24" s="7" t="s">
        <v>69</v>
      </c>
      <c r="U24" s="8" t="s">
        <v>69</v>
      </c>
      <c r="V24" s="8" t="s">
        <v>1</v>
      </c>
      <c r="W24" s="9" t="s">
        <v>1</v>
      </c>
      <c r="X24" s="9" t="s">
        <v>1</v>
      </c>
      <c r="Y24" s="10" t="s">
        <v>69</v>
      </c>
      <c r="Z24" s="10" t="s">
        <v>69</v>
      </c>
      <c r="AA24" s="11" t="s">
        <v>69</v>
      </c>
      <c r="AB24" s="11" t="s">
        <v>69</v>
      </c>
      <c r="AC24" s="11" t="s">
        <v>69</v>
      </c>
      <c r="AD24" s="12" t="s">
        <v>69</v>
      </c>
      <c r="AE24" s="12" t="s">
        <v>1</v>
      </c>
      <c r="AF24" s="13" t="s">
        <v>69</v>
      </c>
      <c r="AG24" s="13" t="s">
        <v>1</v>
      </c>
      <c r="AH24" s="13" t="s">
        <v>69</v>
      </c>
      <c r="AI24" s="13" t="s">
        <v>69</v>
      </c>
      <c r="AJ24" s="14" t="s">
        <v>1</v>
      </c>
      <c r="AK24" s="14" t="s">
        <v>69</v>
      </c>
      <c r="AL24" s="14" t="s">
        <v>69</v>
      </c>
      <c r="AM24" s="14" t="s">
        <v>1</v>
      </c>
      <c r="AN24" s="14" t="s">
        <v>69</v>
      </c>
      <c r="AO24" s="15" t="s">
        <v>1</v>
      </c>
      <c r="AP24" s="15" t="s">
        <v>69</v>
      </c>
      <c r="AQ24" s="15" t="s">
        <v>69</v>
      </c>
      <c r="AR24" s="15" t="s">
        <v>1</v>
      </c>
      <c r="AS24" s="16" t="s">
        <v>72</v>
      </c>
      <c r="AT24" s="16" t="s">
        <v>68</v>
      </c>
      <c r="AU24" s="16" t="s">
        <v>71</v>
      </c>
      <c r="AV24" s="16" t="s">
        <v>852</v>
      </c>
      <c r="AW24" s="17" t="s">
        <v>72</v>
      </c>
      <c r="AX24" s="17" t="s">
        <v>72</v>
      </c>
      <c r="AY24" s="17" t="s">
        <v>71</v>
      </c>
      <c r="AZ24" s="17" t="s">
        <v>71</v>
      </c>
      <c r="BA24" s="17" t="s">
        <v>71</v>
      </c>
      <c r="BB24" s="17" t="s">
        <v>68</v>
      </c>
      <c r="BC24" s="18" t="s">
        <v>69</v>
      </c>
      <c r="BD24" s="19" t="s">
        <v>853</v>
      </c>
      <c r="BE24" s="109" t="s">
        <v>68</v>
      </c>
    </row>
    <row r="25" spans="2:57" ht="33" hidden="1" x14ac:dyDescent="0.25">
      <c r="B25" s="113">
        <v>2017</v>
      </c>
      <c r="C25" s="113" t="s">
        <v>141</v>
      </c>
      <c r="D25" s="113" t="s">
        <v>197</v>
      </c>
      <c r="E25" s="114">
        <v>10410100241</v>
      </c>
      <c r="F25" s="114" t="s">
        <v>854</v>
      </c>
      <c r="G25" s="3" t="s">
        <v>855</v>
      </c>
      <c r="H25" s="6">
        <v>85645255840</v>
      </c>
      <c r="I25" s="88" t="s">
        <v>856</v>
      </c>
      <c r="J25" s="6" t="s">
        <v>857</v>
      </c>
      <c r="K25" s="6" t="s">
        <v>858</v>
      </c>
      <c r="L25" s="6" t="s">
        <v>859</v>
      </c>
      <c r="M25" s="6" t="s">
        <v>860</v>
      </c>
      <c r="N25" s="6">
        <v>1</v>
      </c>
      <c r="O25" s="6">
        <v>8</v>
      </c>
      <c r="P25" s="7" t="s">
        <v>1</v>
      </c>
      <c r="Q25" s="7" t="s">
        <v>1</v>
      </c>
      <c r="R25" s="7" t="s">
        <v>1</v>
      </c>
      <c r="S25" s="7" t="s">
        <v>1</v>
      </c>
      <c r="T25" s="7" t="s">
        <v>69</v>
      </c>
      <c r="U25" s="8" t="s">
        <v>1</v>
      </c>
      <c r="V25" s="8" t="s">
        <v>1</v>
      </c>
      <c r="W25" s="9" t="s">
        <v>75</v>
      </c>
      <c r="X25" s="9" t="s">
        <v>1</v>
      </c>
      <c r="Y25" s="10" t="s">
        <v>1</v>
      </c>
      <c r="Z25" s="10" t="s">
        <v>1</v>
      </c>
      <c r="AA25" s="11" t="s">
        <v>69</v>
      </c>
      <c r="AB25" s="11" t="s">
        <v>69</v>
      </c>
      <c r="AC25" s="11" t="s">
        <v>69</v>
      </c>
      <c r="AD25" s="12" t="s">
        <v>69</v>
      </c>
      <c r="AE25" s="12" t="s">
        <v>1</v>
      </c>
      <c r="AF25" s="13" t="s">
        <v>1</v>
      </c>
      <c r="AG25" s="13" t="s">
        <v>1</v>
      </c>
      <c r="AH25" s="13" t="s">
        <v>1</v>
      </c>
      <c r="AI25" s="13" t="s">
        <v>1</v>
      </c>
      <c r="AJ25" s="14" t="s">
        <v>69</v>
      </c>
      <c r="AK25" s="14" t="s">
        <v>1</v>
      </c>
      <c r="AL25" s="14" t="s">
        <v>1</v>
      </c>
      <c r="AM25" s="14" t="s">
        <v>1</v>
      </c>
      <c r="AN25" s="14" t="s">
        <v>69</v>
      </c>
      <c r="AO25" s="15" t="s">
        <v>1</v>
      </c>
      <c r="AP25" s="15" t="s">
        <v>1</v>
      </c>
      <c r="AQ25" s="15" t="s">
        <v>1</v>
      </c>
      <c r="AR25" s="15" t="s">
        <v>1</v>
      </c>
      <c r="AS25" s="16" t="s">
        <v>70</v>
      </c>
      <c r="AT25" s="16" t="s">
        <v>861</v>
      </c>
      <c r="AU25" s="16" t="s">
        <v>862</v>
      </c>
      <c r="AV25" s="16" t="s">
        <v>863</v>
      </c>
      <c r="AW25" s="17" t="s">
        <v>72</v>
      </c>
      <c r="AX25" s="17" t="s">
        <v>72</v>
      </c>
      <c r="AY25" s="17" t="s">
        <v>72</v>
      </c>
      <c r="AZ25" s="17" t="s">
        <v>72</v>
      </c>
      <c r="BA25" s="17" t="s">
        <v>72</v>
      </c>
      <c r="BB25" s="17" t="s">
        <v>68</v>
      </c>
      <c r="BC25" s="18" t="s">
        <v>1</v>
      </c>
      <c r="BD25" s="19" t="s">
        <v>94</v>
      </c>
      <c r="BE25" s="109" t="s">
        <v>864</v>
      </c>
    </row>
    <row r="26" spans="2:57" ht="66" hidden="1" x14ac:dyDescent="0.25">
      <c r="B26" s="1">
        <v>2017</v>
      </c>
      <c r="C26" s="1" t="s">
        <v>141</v>
      </c>
      <c r="D26" s="1" t="s">
        <v>197</v>
      </c>
      <c r="E26" s="2">
        <v>10410100245</v>
      </c>
      <c r="F26" s="2" t="s">
        <v>865</v>
      </c>
      <c r="G26" s="3" t="s">
        <v>866</v>
      </c>
      <c r="H26" s="4" t="s">
        <v>867</v>
      </c>
      <c r="I26" s="88" t="s">
        <v>868</v>
      </c>
      <c r="J26" s="6" t="s">
        <v>701</v>
      </c>
      <c r="K26" s="6" t="s">
        <v>702</v>
      </c>
      <c r="L26" s="4" t="s">
        <v>198</v>
      </c>
      <c r="M26" s="6" t="s">
        <v>74</v>
      </c>
      <c r="N26" s="6">
        <v>7</v>
      </c>
      <c r="O26" s="6">
        <v>48</v>
      </c>
      <c r="P26" s="7" t="s">
        <v>69</v>
      </c>
      <c r="Q26" s="7" t="s">
        <v>69</v>
      </c>
      <c r="R26" s="7" t="s">
        <v>1</v>
      </c>
      <c r="S26" s="7" t="s">
        <v>69</v>
      </c>
      <c r="T26" s="7" t="s">
        <v>69</v>
      </c>
      <c r="U26" s="8" t="s">
        <v>69</v>
      </c>
      <c r="V26" s="8" t="s">
        <v>69</v>
      </c>
      <c r="W26" s="9" t="s">
        <v>1</v>
      </c>
      <c r="X26" s="9" t="s">
        <v>1</v>
      </c>
      <c r="Y26" s="10" t="s">
        <v>69</v>
      </c>
      <c r="Z26" s="10" t="s">
        <v>69</v>
      </c>
      <c r="AA26" s="11" t="s">
        <v>69</v>
      </c>
      <c r="AB26" s="11" t="s">
        <v>69</v>
      </c>
      <c r="AC26" s="11" t="s">
        <v>69</v>
      </c>
      <c r="AD26" s="12" t="s">
        <v>69</v>
      </c>
      <c r="AE26" s="12" t="s">
        <v>1</v>
      </c>
      <c r="AF26" s="13" t="s">
        <v>69</v>
      </c>
      <c r="AG26" s="13" t="s">
        <v>1</v>
      </c>
      <c r="AH26" s="13" t="s">
        <v>69</v>
      </c>
      <c r="AI26" s="13" t="s">
        <v>69</v>
      </c>
      <c r="AJ26" s="14" t="s">
        <v>69</v>
      </c>
      <c r="AK26" s="14" t="s">
        <v>69</v>
      </c>
      <c r="AL26" s="14" t="s">
        <v>69</v>
      </c>
      <c r="AM26" s="14" t="s">
        <v>69</v>
      </c>
      <c r="AN26" s="14" t="s">
        <v>69</v>
      </c>
      <c r="AO26" s="15" t="s">
        <v>1</v>
      </c>
      <c r="AP26" s="15" t="s">
        <v>69</v>
      </c>
      <c r="AQ26" s="15" t="s">
        <v>1</v>
      </c>
      <c r="AR26" s="15" t="s">
        <v>69</v>
      </c>
      <c r="AS26" s="16" t="s">
        <v>70</v>
      </c>
      <c r="AT26" s="16" t="s">
        <v>869</v>
      </c>
      <c r="AU26" s="16" t="s">
        <v>71</v>
      </c>
      <c r="AV26" s="16" t="s">
        <v>869</v>
      </c>
      <c r="AW26" s="17" t="s">
        <v>71</v>
      </c>
      <c r="AX26" s="17" t="s">
        <v>71</v>
      </c>
      <c r="AY26" s="17" t="s">
        <v>71</v>
      </c>
      <c r="AZ26" s="17" t="s">
        <v>71</v>
      </c>
      <c r="BA26" s="17" t="s">
        <v>71</v>
      </c>
      <c r="BB26" s="17" t="s">
        <v>870</v>
      </c>
      <c r="BC26" s="18" t="s">
        <v>69</v>
      </c>
      <c r="BD26" s="19" t="s">
        <v>871</v>
      </c>
      <c r="BE26" s="109" t="s">
        <v>872</v>
      </c>
    </row>
    <row r="27" spans="2:57" ht="66" hidden="1" x14ac:dyDescent="0.25">
      <c r="B27" s="113">
        <v>2017</v>
      </c>
      <c r="C27" s="113" t="s">
        <v>141</v>
      </c>
      <c r="D27" s="113" t="s">
        <v>197</v>
      </c>
      <c r="E27" s="114">
        <v>11410100130</v>
      </c>
      <c r="F27" s="114" t="s">
        <v>873</v>
      </c>
      <c r="G27" s="3" t="s">
        <v>874</v>
      </c>
      <c r="H27" s="6" t="s">
        <v>875</v>
      </c>
      <c r="I27" s="5" t="s">
        <v>68</v>
      </c>
      <c r="J27" s="6" t="s">
        <v>876</v>
      </c>
      <c r="K27" s="6" t="s">
        <v>877</v>
      </c>
      <c r="L27" s="4" t="s">
        <v>878</v>
      </c>
      <c r="M27" s="6" t="s">
        <v>696</v>
      </c>
      <c r="N27" s="6">
        <v>1</v>
      </c>
      <c r="O27" s="6">
        <v>24</v>
      </c>
      <c r="P27" s="7" t="s">
        <v>1</v>
      </c>
      <c r="Q27" s="7" t="s">
        <v>1</v>
      </c>
      <c r="R27" s="7" t="s">
        <v>1</v>
      </c>
      <c r="S27" s="7" t="s">
        <v>69</v>
      </c>
      <c r="T27" s="7" t="s">
        <v>69</v>
      </c>
      <c r="U27" s="8" t="s">
        <v>1</v>
      </c>
      <c r="V27" s="8" t="s">
        <v>1</v>
      </c>
      <c r="W27" s="9" t="s">
        <v>1</v>
      </c>
      <c r="X27" s="9" t="s">
        <v>1</v>
      </c>
      <c r="Y27" s="10" t="s">
        <v>69</v>
      </c>
      <c r="Z27" s="10" t="s">
        <v>69</v>
      </c>
      <c r="AA27" s="11" t="s">
        <v>69</v>
      </c>
      <c r="AB27" s="11" t="s">
        <v>1</v>
      </c>
      <c r="AC27" s="11" t="s">
        <v>1</v>
      </c>
      <c r="AD27" s="12" t="s">
        <v>69</v>
      </c>
      <c r="AE27" s="12" t="s">
        <v>1</v>
      </c>
      <c r="AF27" s="13" t="s">
        <v>75</v>
      </c>
      <c r="AG27" s="13" t="s">
        <v>75</v>
      </c>
      <c r="AH27" s="13" t="s">
        <v>1</v>
      </c>
      <c r="AI27" s="13" t="s">
        <v>1</v>
      </c>
      <c r="AJ27" s="14" t="s">
        <v>69</v>
      </c>
      <c r="AK27" s="14" t="s">
        <v>1</v>
      </c>
      <c r="AL27" s="14" t="s">
        <v>1</v>
      </c>
      <c r="AM27" s="14" t="s">
        <v>1</v>
      </c>
      <c r="AN27" s="14" t="s">
        <v>1</v>
      </c>
      <c r="AO27" s="15" t="s">
        <v>1</v>
      </c>
      <c r="AP27" s="15" t="s">
        <v>1</v>
      </c>
      <c r="AQ27" s="15" t="s">
        <v>75</v>
      </c>
      <c r="AR27" s="15" t="s">
        <v>75</v>
      </c>
      <c r="AS27" s="16" t="s">
        <v>70</v>
      </c>
      <c r="AT27" s="16" t="s">
        <v>879</v>
      </c>
      <c r="AU27" s="16" t="s">
        <v>71</v>
      </c>
      <c r="AV27" s="16" t="s">
        <v>880</v>
      </c>
      <c r="AW27" s="17" t="s">
        <v>72</v>
      </c>
      <c r="AX27" s="17" t="s">
        <v>72</v>
      </c>
      <c r="AY27" s="17" t="s">
        <v>72</v>
      </c>
      <c r="AZ27" s="17" t="s">
        <v>71</v>
      </c>
      <c r="BA27" s="17" t="s">
        <v>72</v>
      </c>
      <c r="BB27" s="17" t="s">
        <v>68</v>
      </c>
      <c r="BC27" s="18" t="s">
        <v>1</v>
      </c>
      <c r="BD27" s="19" t="s">
        <v>881</v>
      </c>
      <c r="BE27" s="109" t="s">
        <v>882</v>
      </c>
    </row>
    <row r="28" spans="2:57" ht="33" hidden="1" x14ac:dyDescent="0.25">
      <c r="B28" s="1">
        <v>2017</v>
      </c>
      <c r="C28" s="1" t="s">
        <v>141</v>
      </c>
      <c r="D28" s="1" t="s">
        <v>197</v>
      </c>
      <c r="E28" s="2">
        <v>11410100203</v>
      </c>
      <c r="F28" s="2" t="s">
        <v>883</v>
      </c>
      <c r="G28" s="3" t="s">
        <v>884</v>
      </c>
      <c r="H28" s="6" t="s">
        <v>68</v>
      </c>
      <c r="I28" s="5" t="s">
        <v>68</v>
      </c>
      <c r="J28" s="6" t="s">
        <v>885</v>
      </c>
      <c r="K28" s="6" t="s">
        <v>886</v>
      </c>
      <c r="L28" s="4" t="s">
        <v>887</v>
      </c>
      <c r="M28" s="6" t="s">
        <v>888</v>
      </c>
      <c r="N28" s="6">
        <v>6</v>
      </c>
      <c r="O28" s="6">
        <v>24</v>
      </c>
      <c r="P28" s="7" t="s">
        <v>69</v>
      </c>
      <c r="Q28" s="7" t="s">
        <v>69</v>
      </c>
      <c r="R28" s="7" t="s">
        <v>1</v>
      </c>
      <c r="S28" s="7" t="s">
        <v>69</v>
      </c>
      <c r="T28" s="7" t="s">
        <v>69</v>
      </c>
      <c r="U28" s="8" t="s">
        <v>69</v>
      </c>
      <c r="V28" s="8" t="s">
        <v>69</v>
      </c>
      <c r="W28" s="9" t="s">
        <v>1</v>
      </c>
      <c r="X28" s="9" t="s">
        <v>1</v>
      </c>
      <c r="Y28" s="10" t="s">
        <v>69</v>
      </c>
      <c r="Z28" s="10" t="s">
        <v>69</v>
      </c>
      <c r="AA28" s="11" t="s">
        <v>69</v>
      </c>
      <c r="AB28" s="11" t="s">
        <v>69</v>
      </c>
      <c r="AC28" s="11" t="s">
        <v>69</v>
      </c>
      <c r="AD28" s="12" t="s">
        <v>69</v>
      </c>
      <c r="AE28" s="12" t="s">
        <v>1</v>
      </c>
      <c r="AF28" s="13" t="s">
        <v>69</v>
      </c>
      <c r="AG28" s="13" t="s">
        <v>1</v>
      </c>
      <c r="AH28" s="13" t="s">
        <v>69</v>
      </c>
      <c r="AI28" s="13" t="s">
        <v>69</v>
      </c>
      <c r="AJ28" s="14" t="s">
        <v>69</v>
      </c>
      <c r="AK28" s="14" t="s">
        <v>69</v>
      </c>
      <c r="AL28" s="14" t="s">
        <v>69</v>
      </c>
      <c r="AM28" s="14" t="s">
        <v>69</v>
      </c>
      <c r="AN28" s="14" t="s">
        <v>69</v>
      </c>
      <c r="AO28" s="15" t="s">
        <v>1</v>
      </c>
      <c r="AP28" s="15" t="s">
        <v>69</v>
      </c>
      <c r="AQ28" s="15" t="s">
        <v>1</v>
      </c>
      <c r="AR28" s="15" t="s">
        <v>69</v>
      </c>
      <c r="AS28" s="16" t="s">
        <v>70</v>
      </c>
      <c r="AT28" s="16" t="s">
        <v>869</v>
      </c>
      <c r="AU28" s="16" t="s">
        <v>71</v>
      </c>
      <c r="AV28" s="16" t="s">
        <v>869</v>
      </c>
      <c r="AW28" s="17" t="s">
        <v>71</v>
      </c>
      <c r="AX28" s="17" t="s">
        <v>71</v>
      </c>
      <c r="AY28" s="17" t="s">
        <v>71</v>
      </c>
      <c r="AZ28" s="17" t="s">
        <v>71</v>
      </c>
      <c r="BA28" s="17" t="s">
        <v>71</v>
      </c>
      <c r="BB28" s="17" t="s">
        <v>68</v>
      </c>
      <c r="BC28" s="18" t="s">
        <v>69</v>
      </c>
      <c r="BD28" s="19" t="s">
        <v>889</v>
      </c>
      <c r="BE28" s="109" t="s">
        <v>68</v>
      </c>
    </row>
    <row r="29" spans="2:57" ht="66" hidden="1" x14ac:dyDescent="0.25">
      <c r="B29" s="113">
        <v>2017</v>
      </c>
      <c r="C29" s="113" t="s">
        <v>141</v>
      </c>
      <c r="D29" s="113" t="s">
        <v>197</v>
      </c>
      <c r="E29" s="114">
        <v>11410100272</v>
      </c>
      <c r="F29" s="114" t="s">
        <v>890</v>
      </c>
      <c r="G29" s="3" t="s">
        <v>801</v>
      </c>
      <c r="H29" s="4" t="s">
        <v>802</v>
      </c>
      <c r="I29" s="88" t="s">
        <v>803</v>
      </c>
      <c r="J29" s="6" t="s">
        <v>701</v>
      </c>
      <c r="K29" s="6" t="s">
        <v>804</v>
      </c>
      <c r="L29" s="4" t="s">
        <v>805</v>
      </c>
      <c r="M29" s="6" t="s">
        <v>74</v>
      </c>
      <c r="N29" s="6">
        <v>3</v>
      </c>
      <c r="O29" s="6">
        <v>48</v>
      </c>
      <c r="P29" s="7" t="s">
        <v>69</v>
      </c>
      <c r="Q29" s="7" t="s">
        <v>69</v>
      </c>
      <c r="R29" s="7" t="s">
        <v>1</v>
      </c>
      <c r="S29" s="7" t="s">
        <v>69</v>
      </c>
      <c r="T29" s="7" t="s">
        <v>69</v>
      </c>
      <c r="U29" s="8" t="s">
        <v>69</v>
      </c>
      <c r="V29" s="8" t="s">
        <v>69</v>
      </c>
      <c r="W29" s="9" t="s">
        <v>1</v>
      </c>
      <c r="X29" s="9" t="s">
        <v>1</v>
      </c>
      <c r="Y29" s="10" t="s">
        <v>69</v>
      </c>
      <c r="Z29" s="10" t="s">
        <v>69</v>
      </c>
      <c r="AA29" s="11" t="s">
        <v>69</v>
      </c>
      <c r="AB29" s="11" t="s">
        <v>69</v>
      </c>
      <c r="AC29" s="11" t="s">
        <v>69</v>
      </c>
      <c r="AD29" s="12" t="s">
        <v>69</v>
      </c>
      <c r="AE29" s="12" t="s">
        <v>1</v>
      </c>
      <c r="AF29" s="13" t="s">
        <v>1</v>
      </c>
      <c r="AG29" s="13" t="s">
        <v>75</v>
      </c>
      <c r="AH29" s="13" t="s">
        <v>1</v>
      </c>
      <c r="AI29" s="13" t="s">
        <v>75</v>
      </c>
      <c r="AJ29" s="14" t="s">
        <v>1</v>
      </c>
      <c r="AK29" s="14" t="s">
        <v>1</v>
      </c>
      <c r="AL29" s="14" t="s">
        <v>1</v>
      </c>
      <c r="AM29" s="14" t="s">
        <v>1</v>
      </c>
      <c r="AN29" s="14" t="s">
        <v>1</v>
      </c>
      <c r="AO29" s="15" t="s">
        <v>75</v>
      </c>
      <c r="AP29" s="15" t="s">
        <v>75</v>
      </c>
      <c r="AQ29" s="15" t="s">
        <v>75</v>
      </c>
      <c r="AR29" s="15" t="s">
        <v>1</v>
      </c>
      <c r="AS29" s="16" t="s">
        <v>151</v>
      </c>
      <c r="AT29" s="16" t="s">
        <v>68</v>
      </c>
      <c r="AU29" s="16" t="s">
        <v>71</v>
      </c>
      <c r="AV29" s="16" t="s">
        <v>68</v>
      </c>
      <c r="AW29" s="17" t="s">
        <v>71</v>
      </c>
      <c r="AX29" s="17" t="s">
        <v>71</v>
      </c>
      <c r="AY29" s="17" t="s">
        <v>71</v>
      </c>
      <c r="AZ29" s="17" t="s">
        <v>71</v>
      </c>
      <c r="BA29" s="17" t="s">
        <v>71</v>
      </c>
      <c r="BB29" s="17" t="s">
        <v>68</v>
      </c>
      <c r="BC29" s="18" t="s">
        <v>69</v>
      </c>
      <c r="BD29" s="19" t="s">
        <v>68</v>
      </c>
      <c r="BE29" s="109" t="s">
        <v>68</v>
      </c>
    </row>
    <row r="30" spans="2:57" ht="66" hidden="1" x14ac:dyDescent="0.25">
      <c r="B30" s="1">
        <v>2017</v>
      </c>
      <c r="C30" s="1" t="s">
        <v>141</v>
      </c>
      <c r="D30" s="1" t="s">
        <v>197</v>
      </c>
      <c r="E30" s="2">
        <v>12410100076</v>
      </c>
      <c r="F30" s="2" t="s">
        <v>891</v>
      </c>
      <c r="G30" s="3" t="s">
        <v>787</v>
      </c>
      <c r="H30" s="4" t="s">
        <v>788</v>
      </c>
      <c r="I30" s="88" t="s">
        <v>789</v>
      </c>
      <c r="J30" s="6" t="s">
        <v>790</v>
      </c>
      <c r="K30" s="4" t="s">
        <v>791</v>
      </c>
      <c r="L30" s="4" t="s">
        <v>792</v>
      </c>
      <c r="M30" s="4" t="s">
        <v>793</v>
      </c>
      <c r="N30" s="6">
        <v>36</v>
      </c>
      <c r="O30" s="6">
        <v>48</v>
      </c>
      <c r="P30" s="7" t="s">
        <v>1</v>
      </c>
      <c r="Q30" s="7" t="s">
        <v>1</v>
      </c>
      <c r="R30" s="7" t="s">
        <v>75</v>
      </c>
      <c r="S30" s="7" t="s">
        <v>1</v>
      </c>
      <c r="T30" s="7" t="s">
        <v>1</v>
      </c>
      <c r="U30" s="8" t="s">
        <v>1</v>
      </c>
      <c r="V30" s="8" t="s">
        <v>75</v>
      </c>
      <c r="W30" s="9" t="s">
        <v>75</v>
      </c>
      <c r="X30" s="9" t="s">
        <v>75</v>
      </c>
      <c r="Y30" s="10" t="s">
        <v>1</v>
      </c>
      <c r="Z30" s="10" t="s">
        <v>75</v>
      </c>
      <c r="AA30" s="11" t="s">
        <v>1</v>
      </c>
      <c r="AB30" s="11" t="s">
        <v>1</v>
      </c>
      <c r="AC30" s="11" t="s">
        <v>1</v>
      </c>
      <c r="AD30" s="12" t="s">
        <v>1</v>
      </c>
      <c r="AE30" s="12" t="s">
        <v>75</v>
      </c>
      <c r="AF30" s="13" t="s">
        <v>1</v>
      </c>
      <c r="AG30" s="13" t="s">
        <v>75</v>
      </c>
      <c r="AH30" s="13" t="s">
        <v>1</v>
      </c>
      <c r="AI30" s="13" t="s">
        <v>75</v>
      </c>
      <c r="AJ30" s="14" t="s">
        <v>1</v>
      </c>
      <c r="AK30" s="14" t="s">
        <v>1</v>
      </c>
      <c r="AL30" s="14" t="s">
        <v>1</v>
      </c>
      <c r="AM30" s="14" t="s">
        <v>1</v>
      </c>
      <c r="AN30" s="14" t="s">
        <v>1</v>
      </c>
      <c r="AO30" s="15" t="s">
        <v>75</v>
      </c>
      <c r="AP30" s="15" t="s">
        <v>75</v>
      </c>
      <c r="AQ30" s="15" t="s">
        <v>75</v>
      </c>
      <c r="AR30" s="15" t="s">
        <v>1</v>
      </c>
      <c r="AS30" s="16" t="s">
        <v>70</v>
      </c>
      <c r="AT30" s="16" t="s">
        <v>794</v>
      </c>
      <c r="AU30" s="16" t="s">
        <v>795</v>
      </c>
      <c r="AV30" s="16" t="s">
        <v>796</v>
      </c>
      <c r="AW30" s="17" t="s">
        <v>71</v>
      </c>
      <c r="AX30" s="17" t="s">
        <v>71</v>
      </c>
      <c r="AY30" s="17" t="s">
        <v>71</v>
      </c>
      <c r="AZ30" s="17" t="s">
        <v>71</v>
      </c>
      <c r="BA30" s="17" t="s">
        <v>71</v>
      </c>
      <c r="BB30" s="17" t="s">
        <v>797</v>
      </c>
      <c r="BC30" s="18" t="s">
        <v>1</v>
      </c>
      <c r="BD30" s="19" t="s">
        <v>798</v>
      </c>
      <c r="BE30" s="109" t="s">
        <v>799</v>
      </c>
    </row>
    <row r="31" spans="2:57" ht="66" hidden="1" x14ac:dyDescent="0.25">
      <c r="B31" s="113">
        <v>2017</v>
      </c>
      <c r="C31" s="113" t="s">
        <v>141</v>
      </c>
      <c r="D31" s="113" t="s">
        <v>197</v>
      </c>
      <c r="E31" s="114">
        <v>13410100032</v>
      </c>
      <c r="F31" s="114" t="s">
        <v>892</v>
      </c>
      <c r="G31" s="3" t="s">
        <v>893</v>
      </c>
      <c r="H31" s="4" t="s">
        <v>894</v>
      </c>
      <c r="I31" s="88" t="s">
        <v>895</v>
      </c>
      <c r="J31" s="6" t="s">
        <v>896</v>
      </c>
      <c r="K31" s="4" t="s">
        <v>897</v>
      </c>
      <c r="L31" s="4" t="s">
        <v>68</v>
      </c>
      <c r="M31" s="4" t="s">
        <v>898</v>
      </c>
      <c r="N31" s="6">
        <v>1</v>
      </c>
      <c r="O31" s="6">
        <v>12</v>
      </c>
      <c r="P31" s="7" t="s">
        <v>69</v>
      </c>
      <c r="Q31" s="7" t="s">
        <v>69</v>
      </c>
      <c r="R31" s="7" t="s">
        <v>69</v>
      </c>
      <c r="S31" s="7" t="s">
        <v>69</v>
      </c>
      <c r="T31" s="7" t="s">
        <v>69</v>
      </c>
      <c r="U31" s="8" t="s">
        <v>69</v>
      </c>
      <c r="V31" s="8" t="s">
        <v>69</v>
      </c>
      <c r="W31" s="9" t="s">
        <v>69</v>
      </c>
      <c r="X31" s="9" t="s">
        <v>69</v>
      </c>
      <c r="Y31" s="10" t="s">
        <v>69</v>
      </c>
      <c r="Z31" s="10" t="s">
        <v>69</v>
      </c>
      <c r="AA31" s="11" t="s">
        <v>1</v>
      </c>
      <c r="AB31" s="11" t="s">
        <v>69</v>
      </c>
      <c r="AC31" s="11" t="s">
        <v>69</v>
      </c>
      <c r="AD31" s="12" t="s">
        <v>69</v>
      </c>
      <c r="AE31" s="12" t="s">
        <v>69</v>
      </c>
      <c r="AF31" s="13" t="s">
        <v>69</v>
      </c>
      <c r="AG31" s="13" t="s">
        <v>69</v>
      </c>
      <c r="AH31" s="13" t="s">
        <v>69</v>
      </c>
      <c r="AI31" s="13" t="s">
        <v>69</v>
      </c>
      <c r="AJ31" s="14" t="s">
        <v>69</v>
      </c>
      <c r="AK31" s="14" t="s">
        <v>69</v>
      </c>
      <c r="AL31" s="14" t="s">
        <v>69</v>
      </c>
      <c r="AM31" s="14" t="s">
        <v>69</v>
      </c>
      <c r="AN31" s="14" t="s">
        <v>69</v>
      </c>
      <c r="AO31" s="15" t="s">
        <v>69</v>
      </c>
      <c r="AP31" s="15" t="s">
        <v>69</v>
      </c>
      <c r="AQ31" s="15" t="s">
        <v>69</v>
      </c>
      <c r="AR31" s="15" t="s">
        <v>69</v>
      </c>
      <c r="AS31" s="16" t="s">
        <v>70</v>
      </c>
      <c r="AT31" s="16" t="s">
        <v>899</v>
      </c>
      <c r="AU31" s="16" t="s">
        <v>72</v>
      </c>
      <c r="AV31" s="16" t="s">
        <v>68</v>
      </c>
      <c r="AW31" s="17" t="s">
        <v>71</v>
      </c>
      <c r="AX31" s="17" t="s">
        <v>71</v>
      </c>
      <c r="AY31" s="17" t="s">
        <v>71</v>
      </c>
      <c r="AZ31" s="17" t="s">
        <v>71</v>
      </c>
      <c r="BA31" s="17" t="s">
        <v>71</v>
      </c>
      <c r="BB31" s="17" t="s">
        <v>900</v>
      </c>
      <c r="BC31" s="18" t="s">
        <v>69</v>
      </c>
      <c r="BD31" s="19" t="s">
        <v>200</v>
      </c>
      <c r="BE31" s="109" t="s">
        <v>901</v>
      </c>
    </row>
    <row r="32" spans="2:57" ht="60" hidden="1" customHeight="1" x14ac:dyDescent="0.25">
      <c r="B32" s="1">
        <v>2017</v>
      </c>
      <c r="C32" s="1" t="s">
        <v>141</v>
      </c>
      <c r="D32" s="1" t="s">
        <v>197</v>
      </c>
      <c r="E32" s="2">
        <v>11410100052</v>
      </c>
      <c r="F32" s="2" t="s">
        <v>902</v>
      </c>
      <c r="G32" s="3" t="s">
        <v>903</v>
      </c>
      <c r="H32" s="4" t="s">
        <v>904</v>
      </c>
      <c r="I32" s="88" t="s">
        <v>905</v>
      </c>
      <c r="J32" s="6" t="s">
        <v>906</v>
      </c>
      <c r="K32" s="6" t="s">
        <v>907</v>
      </c>
      <c r="L32" s="4" t="s">
        <v>908</v>
      </c>
      <c r="M32" s="6" t="s">
        <v>74</v>
      </c>
      <c r="N32" s="6">
        <v>1</v>
      </c>
      <c r="O32" s="6">
        <v>24</v>
      </c>
      <c r="P32" s="7" t="s">
        <v>1</v>
      </c>
      <c r="Q32" s="7" t="s">
        <v>69</v>
      </c>
      <c r="R32" s="7" t="s">
        <v>1</v>
      </c>
      <c r="S32" s="7" t="s">
        <v>69</v>
      </c>
      <c r="T32" s="7" t="s">
        <v>1</v>
      </c>
      <c r="U32" s="8" t="s">
        <v>69</v>
      </c>
      <c r="V32" s="8" t="s">
        <v>1</v>
      </c>
      <c r="W32" s="9" t="s">
        <v>1</v>
      </c>
      <c r="X32" s="9" t="s">
        <v>1</v>
      </c>
      <c r="Y32" s="10" t="s">
        <v>69</v>
      </c>
      <c r="Z32" s="10" t="s">
        <v>69</v>
      </c>
      <c r="AA32" s="11" t="s">
        <v>69</v>
      </c>
      <c r="AB32" s="11" t="s">
        <v>1</v>
      </c>
      <c r="AC32" s="11" t="s">
        <v>1</v>
      </c>
      <c r="AD32" s="12" t="s">
        <v>1</v>
      </c>
      <c r="AE32" s="12" t="s">
        <v>1</v>
      </c>
      <c r="AF32" s="13" t="s">
        <v>1</v>
      </c>
      <c r="AG32" s="13" t="s">
        <v>1</v>
      </c>
      <c r="AH32" s="13" t="s">
        <v>1</v>
      </c>
      <c r="AI32" s="13" t="s">
        <v>1</v>
      </c>
      <c r="AJ32" s="14" t="s">
        <v>1</v>
      </c>
      <c r="AK32" s="14" t="s">
        <v>1</v>
      </c>
      <c r="AL32" s="14" t="s">
        <v>1</v>
      </c>
      <c r="AM32" s="14" t="s">
        <v>1</v>
      </c>
      <c r="AN32" s="14" t="s">
        <v>1</v>
      </c>
      <c r="AO32" s="15" t="s">
        <v>1</v>
      </c>
      <c r="AP32" s="15" t="s">
        <v>1</v>
      </c>
      <c r="AQ32" s="15" t="s">
        <v>1</v>
      </c>
      <c r="AR32" s="15" t="s">
        <v>1</v>
      </c>
      <c r="AS32" s="16" t="s">
        <v>70</v>
      </c>
      <c r="AT32" s="16" t="s">
        <v>909</v>
      </c>
      <c r="AU32" s="16" t="s">
        <v>71</v>
      </c>
      <c r="AV32" s="16" t="s">
        <v>68</v>
      </c>
      <c r="AW32" s="17" t="s">
        <v>72</v>
      </c>
      <c r="AX32" s="17" t="s">
        <v>72</v>
      </c>
      <c r="AY32" s="17" t="s">
        <v>71</v>
      </c>
      <c r="AZ32" s="17" t="s">
        <v>72</v>
      </c>
      <c r="BA32" s="17" t="s">
        <v>71</v>
      </c>
      <c r="BB32" s="17" t="s">
        <v>68</v>
      </c>
      <c r="BC32" s="18" t="s">
        <v>1</v>
      </c>
      <c r="BD32" s="19" t="s">
        <v>68</v>
      </c>
      <c r="BE32" s="109" t="s">
        <v>68</v>
      </c>
    </row>
    <row r="33" spans="2:57" ht="66" hidden="1" x14ac:dyDescent="0.25">
      <c r="B33" s="113">
        <v>2017</v>
      </c>
      <c r="C33" s="113" t="s">
        <v>141</v>
      </c>
      <c r="D33" s="113" t="s">
        <v>197</v>
      </c>
      <c r="E33" s="114">
        <v>11410100085</v>
      </c>
      <c r="F33" s="114" t="s">
        <v>910</v>
      </c>
      <c r="G33" s="3" t="s">
        <v>911</v>
      </c>
      <c r="H33" s="4" t="s">
        <v>912</v>
      </c>
      <c r="I33" s="88" t="s">
        <v>913</v>
      </c>
      <c r="J33" s="6" t="s">
        <v>914</v>
      </c>
      <c r="K33" s="6" t="s">
        <v>915</v>
      </c>
      <c r="L33" s="6" t="s">
        <v>68</v>
      </c>
      <c r="M33" s="6" t="s">
        <v>93</v>
      </c>
      <c r="N33" s="6">
        <v>1</v>
      </c>
      <c r="O33" s="6">
        <v>12</v>
      </c>
      <c r="P33" s="7" t="s">
        <v>69</v>
      </c>
      <c r="Q33" s="7" t="s">
        <v>1</v>
      </c>
      <c r="R33" s="7" t="s">
        <v>1</v>
      </c>
      <c r="S33" s="7" t="s">
        <v>69</v>
      </c>
      <c r="T33" s="7" t="s">
        <v>69</v>
      </c>
      <c r="U33" s="8" t="s">
        <v>1</v>
      </c>
      <c r="V33" s="8" t="s">
        <v>69</v>
      </c>
      <c r="W33" s="9" t="s">
        <v>69</v>
      </c>
      <c r="X33" s="9" t="s">
        <v>69</v>
      </c>
      <c r="Y33" s="10" t="s">
        <v>69</v>
      </c>
      <c r="Z33" s="10" t="s">
        <v>1</v>
      </c>
      <c r="AA33" s="11" t="s">
        <v>1</v>
      </c>
      <c r="AB33" s="11" t="s">
        <v>1</v>
      </c>
      <c r="AC33" s="11" t="s">
        <v>1</v>
      </c>
      <c r="AD33" s="12" t="s">
        <v>69</v>
      </c>
      <c r="AE33" s="12" t="s">
        <v>1</v>
      </c>
      <c r="AF33" s="13" t="s">
        <v>69</v>
      </c>
      <c r="AG33" s="13" t="s">
        <v>1</v>
      </c>
      <c r="AH33" s="13" t="s">
        <v>1</v>
      </c>
      <c r="AI33" s="13" t="s">
        <v>69</v>
      </c>
      <c r="AJ33" s="14" t="s">
        <v>69</v>
      </c>
      <c r="AK33" s="14" t="s">
        <v>1</v>
      </c>
      <c r="AL33" s="14" t="s">
        <v>69</v>
      </c>
      <c r="AM33" s="14" t="s">
        <v>1</v>
      </c>
      <c r="AN33" s="14" t="s">
        <v>69</v>
      </c>
      <c r="AO33" s="15" t="s">
        <v>1</v>
      </c>
      <c r="AP33" s="15" t="s">
        <v>1</v>
      </c>
      <c r="AQ33" s="15" t="s">
        <v>1</v>
      </c>
      <c r="AR33" s="15" t="s">
        <v>69</v>
      </c>
      <c r="AS33" s="16" t="s">
        <v>70</v>
      </c>
      <c r="AT33" s="16" t="s">
        <v>916</v>
      </c>
      <c r="AU33" s="16" t="s">
        <v>71</v>
      </c>
      <c r="AV33" s="16" t="s">
        <v>71</v>
      </c>
      <c r="AW33" s="17" t="s">
        <v>71</v>
      </c>
      <c r="AX33" s="17" t="s">
        <v>71</v>
      </c>
      <c r="AY33" s="17" t="s">
        <v>71</v>
      </c>
      <c r="AZ33" s="17" t="s">
        <v>71</v>
      </c>
      <c r="BA33" s="17" t="s">
        <v>71</v>
      </c>
      <c r="BB33" s="17" t="s">
        <v>68</v>
      </c>
      <c r="BC33" s="18" t="s">
        <v>1</v>
      </c>
      <c r="BD33" s="19" t="s">
        <v>917</v>
      </c>
      <c r="BE33" s="109" t="s">
        <v>68</v>
      </c>
    </row>
    <row r="34" spans="2:57" ht="66" hidden="1" x14ac:dyDescent="0.25">
      <c r="B34" s="1">
        <v>2017</v>
      </c>
      <c r="C34" s="1" t="s">
        <v>141</v>
      </c>
      <c r="D34" s="1" t="s">
        <v>197</v>
      </c>
      <c r="E34" s="2">
        <v>11410100094</v>
      </c>
      <c r="F34" s="2" t="s">
        <v>918</v>
      </c>
      <c r="G34" s="3" t="s">
        <v>919</v>
      </c>
      <c r="H34" s="4" t="s">
        <v>920</v>
      </c>
      <c r="I34" s="88" t="s">
        <v>921</v>
      </c>
      <c r="J34" s="6" t="s">
        <v>922</v>
      </c>
      <c r="K34" s="6" t="s">
        <v>923</v>
      </c>
      <c r="L34" s="6" t="s">
        <v>68</v>
      </c>
      <c r="M34" s="6" t="s">
        <v>924</v>
      </c>
      <c r="N34" s="6">
        <v>1</v>
      </c>
      <c r="O34" s="6">
        <v>12</v>
      </c>
      <c r="P34" s="7" t="s">
        <v>69</v>
      </c>
      <c r="Q34" s="7" t="s">
        <v>69</v>
      </c>
      <c r="R34" s="7" t="s">
        <v>69</v>
      </c>
      <c r="S34" s="7" t="s">
        <v>69</v>
      </c>
      <c r="T34" s="7" t="s">
        <v>69</v>
      </c>
      <c r="U34" s="8" t="s">
        <v>69</v>
      </c>
      <c r="V34" s="8" t="s">
        <v>69</v>
      </c>
      <c r="W34" s="9" t="s">
        <v>1</v>
      </c>
      <c r="X34" s="9" t="s">
        <v>1</v>
      </c>
      <c r="Y34" s="10" t="s">
        <v>69</v>
      </c>
      <c r="Z34" s="10" t="s">
        <v>69</v>
      </c>
      <c r="AA34" s="11" t="s">
        <v>69</v>
      </c>
      <c r="AB34" s="11" t="s">
        <v>69</v>
      </c>
      <c r="AC34" s="11" t="s">
        <v>69</v>
      </c>
      <c r="AD34" s="12" t="s">
        <v>69</v>
      </c>
      <c r="AE34" s="12" t="s">
        <v>69</v>
      </c>
      <c r="AF34" s="13" t="s">
        <v>69</v>
      </c>
      <c r="AG34" s="13" t="s">
        <v>69</v>
      </c>
      <c r="AH34" s="13" t="s">
        <v>69</v>
      </c>
      <c r="AI34" s="13" t="s">
        <v>69</v>
      </c>
      <c r="AJ34" s="14" t="s">
        <v>69</v>
      </c>
      <c r="AK34" s="14" t="s">
        <v>69</v>
      </c>
      <c r="AL34" s="14" t="s">
        <v>69</v>
      </c>
      <c r="AM34" s="14" t="s">
        <v>69</v>
      </c>
      <c r="AN34" s="14" t="s">
        <v>69</v>
      </c>
      <c r="AO34" s="15" t="s">
        <v>69</v>
      </c>
      <c r="AP34" s="15" t="s">
        <v>69</v>
      </c>
      <c r="AQ34" s="15" t="s">
        <v>69</v>
      </c>
      <c r="AR34" s="15" t="s">
        <v>69</v>
      </c>
      <c r="AS34" s="16" t="s">
        <v>76</v>
      </c>
      <c r="AT34" s="16" t="s">
        <v>68</v>
      </c>
      <c r="AU34" s="16" t="s">
        <v>71</v>
      </c>
      <c r="AV34" s="16" t="s">
        <v>925</v>
      </c>
      <c r="AW34" s="17" t="s">
        <v>72</v>
      </c>
      <c r="AX34" s="17" t="s">
        <v>72</v>
      </c>
      <c r="AY34" s="17" t="s">
        <v>71</v>
      </c>
      <c r="AZ34" s="17" t="s">
        <v>71</v>
      </c>
      <c r="BA34" s="17" t="s">
        <v>71</v>
      </c>
      <c r="BB34" s="17" t="s">
        <v>68</v>
      </c>
      <c r="BC34" s="18" t="s">
        <v>1</v>
      </c>
      <c r="BD34" s="19" t="s">
        <v>94</v>
      </c>
      <c r="BE34" s="109" t="s">
        <v>68</v>
      </c>
    </row>
    <row r="35" spans="2:57" ht="33" hidden="1" x14ac:dyDescent="0.25">
      <c r="B35" s="113">
        <v>2017</v>
      </c>
      <c r="C35" s="113" t="s">
        <v>141</v>
      </c>
      <c r="D35" s="113" t="s">
        <v>197</v>
      </c>
      <c r="E35" s="114">
        <v>11410100114</v>
      </c>
      <c r="F35" s="114" t="s">
        <v>926</v>
      </c>
      <c r="G35" s="3" t="s">
        <v>927</v>
      </c>
      <c r="H35" s="6">
        <v>82333088805</v>
      </c>
      <c r="I35" s="88" t="s">
        <v>928</v>
      </c>
      <c r="J35" s="6" t="s">
        <v>929</v>
      </c>
      <c r="K35" s="6" t="s">
        <v>930</v>
      </c>
      <c r="L35" s="6" t="s">
        <v>931</v>
      </c>
      <c r="M35" s="6" t="s">
        <v>696</v>
      </c>
      <c r="N35" s="6">
        <v>1</v>
      </c>
      <c r="O35" s="6">
        <v>12</v>
      </c>
      <c r="P35" s="7" t="s">
        <v>1</v>
      </c>
      <c r="Q35" s="7" t="s">
        <v>1</v>
      </c>
      <c r="R35" s="7" t="s">
        <v>75</v>
      </c>
      <c r="S35" s="7" t="s">
        <v>69</v>
      </c>
      <c r="T35" s="7" t="s">
        <v>1</v>
      </c>
      <c r="U35" s="8" t="s">
        <v>75</v>
      </c>
      <c r="V35" s="8" t="s">
        <v>1</v>
      </c>
      <c r="W35" s="9" t="s">
        <v>168</v>
      </c>
      <c r="X35" s="9" t="s">
        <v>168</v>
      </c>
      <c r="Y35" s="10" t="s">
        <v>1</v>
      </c>
      <c r="Z35" s="10" t="s">
        <v>69</v>
      </c>
      <c r="AA35" s="11" t="s">
        <v>69</v>
      </c>
      <c r="AB35" s="11" t="s">
        <v>1</v>
      </c>
      <c r="AC35" s="11" t="s">
        <v>75</v>
      </c>
      <c r="AD35" s="12" t="s">
        <v>1</v>
      </c>
      <c r="AE35" s="12" t="s">
        <v>168</v>
      </c>
      <c r="AF35" s="13" t="s">
        <v>1</v>
      </c>
      <c r="AG35" s="13" t="s">
        <v>75</v>
      </c>
      <c r="AH35" s="13" t="s">
        <v>168</v>
      </c>
      <c r="AI35" s="13" t="s">
        <v>168</v>
      </c>
      <c r="AJ35" s="14" t="s">
        <v>75</v>
      </c>
      <c r="AK35" s="14" t="s">
        <v>75</v>
      </c>
      <c r="AL35" s="14" t="s">
        <v>1</v>
      </c>
      <c r="AM35" s="14" t="s">
        <v>75</v>
      </c>
      <c r="AN35" s="14" t="s">
        <v>1</v>
      </c>
      <c r="AO35" s="15" t="s">
        <v>75</v>
      </c>
      <c r="AP35" s="15" t="s">
        <v>75</v>
      </c>
      <c r="AQ35" s="15" t="s">
        <v>75</v>
      </c>
      <c r="AR35" s="15" t="s">
        <v>75</v>
      </c>
      <c r="AS35" s="16" t="s">
        <v>70</v>
      </c>
      <c r="AT35" s="16"/>
      <c r="AU35" s="16" t="s">
        <v>71</v>
      </c>
      <c r="AV35" s="16"/>
      <c r="AW35" s="17" t="s">
        <v>72</v>
      </c>
      <c r="AX35" s="17" t="s">
        <v>72</v>
      </c>
      <c r="AY35" s="17" t="s">
        <v>72</v>
      </c>
      <c r="AZ35" s="17" t="s">
        <v>71</v>
      </c>
      <c r="BA35" s="17" t="s">
        <v>72</v>
      </c>
      <c r="BB35" s="17" t="s">
        <v>750</v>
      </c>
      <c r="BC35" s="18" t="s">
        <v>1</v>
      </c>
      <c r="BD35" s="19" t="s">
        <v>932</v>
      </c>
      <c r="BE35" s="109" t="s">
        <v>933</v>
      </c>
    </row>
    <row r="36" spans="2:57" ht="66" hidden="1" x14ac:dyDescent="0.25">
      <c r="B36" s="1">
        <v>2017</v>
      </c>
      <c r="C36" s="1" t="s">
        <v>141</v>
      </c>
      <c r="D36" s="1" t="s">
        <v>197</v>
      </c>
      <c r="E36" s="2">
        <v>12410100003</v>
      </c>
      <c r="F36" s="2" t="s">
        <v>934</v>
      </c>
      <c r="G36" s="3" t="s">
        <v>866</v>
      </c>
      <c r="H36" s="4" t="s">
        <v>867</v>
      </c>
      <c r="I36" s="88" t="s">
        <v>868</v>
      </c>
      <c r="J36" s="6" t="s">
        <v>701</v>
      </c>
      <c r="K36" s="6" t="s">
        <v>702</v>
      </c>
      <c r="L36" s="4" t="s">
        <v>198</v>
      </c>
      <c r="M36" s="6" t="s">
        <v>74</v>
      </c>
      <c r="N36" s="6">
        <v>7</v>
      </c>
      <c r="O36" s="6">
        <v>48</v>
      </c>
      <c r="P36" s="7" t="s">
        <v>69</v>
      </c>
      <c r="Q36" s="7" t="s">
        <v>69</v>
      </c>
      <c r="R36" s="7" t="s">
        <v>1</v>
      </c>
      <c r="S36" s="7" t="s">
        <v>69</v>
      </c>
      <c r="T36" s="7" t="s">
        <v>69</v>
      </c>
      <c r="U36" s="8" t="s">
        <v>69</v>
      </c>
      <c r="V36" s="8" t="s">
        <v>69</v>
      </c>
      <c r="W36" s="9" t="s">
        <v>1</v>
      </c>
      <c r="X36" s="9" t="s">
        <v>1</v>
      </c>
      <c r="Y36" s="10" t="s">
        <v>69</v>
      </c>
      <c r="Z36" s="10" t="s">
        <v>69</v>
      </c>
      <c r="AA36" s="11" t="s">
        <v>69</v>
      </c>
      <c r="AB36" s="11" t="s">
        <v>69</v>
      </c>
      <c r="AC36" s="11" t="s">
        <v>69</v>
      </c>
      <c r="AD36" s="12" t="s">
        <v>69</v>
      </c>
      <c r="AE36" s="12" t="s">
        <v>1</v>
      </c>
      <c r="AF36" s="13" t="s">
        <v>69</v>
      </c>
      <c r="AG36" s="13" t="s">
        <v>1</v>
      </c>
      <c r="AH36" s="13" t="s">
        <v>69</v>
      </c>
      <c r="AI36" s="13" t="s">
        <v>69</v>
      </c>
      <c r="AJ36" s="14" t="s">
        <v>69</v>
      </c>
      <c r="AK36" s="14" t="s">
        <v>69</v>
      </c>
      <c r="AL36" s="14" t="s">
        <v>69</v>
      </c>
      <c r="AM36" s="14" t="s">
        <v>69</v>
      </c>
      <c r="AN36" s="14" t="s">
        <v>69</v>
      </c>
      <c r="AO36" s="15" t="s">
        <v>1</v>
      </c>
      <c r="AP36" s="15" t="s">
        <v>69</v>
      </c>
      <c r="AQ36" s="15" t="s">
        <v>1</v>
      </c>
      <c r="AR36" s="15" t="s">
        <v>69</v>
      </c>
      <c r="AS36" s="16" t="s">
        <v>70</v>
      </c>
      <c r="AT36" s="16" t="s">
        <v>869</v>
      </c>
      <c r="AU36" s="16" t="s">
        <v>71</v>
      </c>
      <c r="AV36" s="16" t="s">
        <v>869</v>
      </c>
      <c r="AW36" s="17" t="s">
        <v>71</v>
      </c>
      <c r="AX36" s="17" t="s">
        <v>71</v>
      </c>
      <c r="AY36" s="17" t="s">
        <v>71</v>
      </c>
      <c r="AZ36" s="17" t="s">
        <v>71</v>
      </c>
      <c r="BA36" s="17" t="s">
        <v>71</v>
      </c>
      <c r="BB36" s="17" t="s">
        <v>870</v>
      </c>
      <c r="BC36" s="18" t="s">
        <v>69</v>
      </c>
      <c r="BD36" s="19" t="s">
        <v>871</v>
      </c>
      <c r="BE36" s="109" t="s">
        <v>872</v>
      </c>
    </row>
    <row r="37" spans="2:57" ht="33" hidden="1" x14ac:dyDescent="0.25">
      <c r="B37" s="113">
        <v>2017</v>
      </c>
      <c r="C37" s="113" t="s">
        <v>141</v>
      </c>
      <c r="D37" s="113" t="s">
        <v>197</v>
      </c>
      <c r="E37" s="114">
        <v>12410100016</v>
      </c>
      <c r="F37" s="114" t="s">
        <v>935</v>
      </c>
      <c r="G37" s="3" t="s">
        <v>936</v>
      </c>
      <c r="H37" s="6">
        <v>81317605040</v>
      </c>
      <c r="I37" s="88" t="s">
        <v>937</v>
      </c>
      <c r="J37" s="6" t="s">
        <v>938</v>
      </c>
      <c r="K37" s="6" t="s">
        <v>939</v>
      </c>
      <c r="L37" s="6" t="s">
        <v>940</v>
      </c>
      <c r="M37" s="6" t="s">
        <v>696</v>
      </c>
      <c r="N37" s="6">
        <v>1</v>
      </c>
      <c r="O37" s="6">
        <v>12</v>
      </c>
      <c r="P37" s="7" t="s">
        <v>1</v>
      </c>
      <c r="Q37" s="7" t="s">
        <v>1</v>
      </c>
      <c r="R37" s="7" t="s">
        <v>1</v>
      </c>
      <c r="S37" s="7" t="s">
        <v>1</v>
      </c>
      <c r="T37" s="7" t="s">
        <v>1</v>
      </c>
      <c r="U37" s="8" t="s">
        <v>1</v>
      </c>
      <c r="V37" s="8" t="s">
        <v>1</v>
      </c>
      <c r="W37" s="9" t="s">
        <v>1</v>
      </c>
      <c r="X37" s="9" t="s">
        <v>1</v>
      </c>
      <c r="Y37" s="10" t="s">
        <v>1</v>
      </c>
      <c r="Z37" s="10" t="s">
        <v>1</v>
      </c>
      <c r="AA37" s="11" t="s">
        <v>1</v>
      </c>
      <c r="AB37" s="11" t="s">
        <v>1</v>
      </c>
      <c r="AC37" s="11" t="s">
        <v>1</v>
      </c>
      <c r="AD37" s="12" t="s">
        <v>1</v>
      </c>
      <c r="AE37" s="12" t="s">
        <v>1</v>
      </c>
      <c r="AF37" s="13" t="s">
        <v>1</v>
      </c>
      <c r="AG37" s="13" t="s">
        <v>1</v>
      </c>
      <c r="AH37" s="13" t="s">
        <v>1</v>
      </c>
      <c r="AI37" s="13" t="s">
        <v>1</v>
      </c>
      <c r="AJ37" s="14" t="s">
        <v>1</v>
      </c>
      <c r="AK37" s="14" t="s">
        <v>1</v>
      </c>
      <c r="AL37" s="14" t="s">
        <v>1</v>
      </c>
      <c r="AM37" s="14" t="s">
        <v>1</v>
      </c>
      <c r="AN37" s="14" t="s">
        <v>1</v>
      </c>
      <c r="AO37" s="15" t="s">
        <v>1</v>
      </c>
      <c r="AP37" s="15" t="s">
        <v>1</v>
      </c>
      <c r="AQ37" s="15" t="s">
        <v>1</v>
      </c>
      <c r="AR37" s="15" t="s">
        <v>1</v>
      </c>
      <c r="AS37" s="16" t="s">
        <v>72</v>
      </c>
      <c r="AT37" s="16"/>
      <c r="AU37" s="16" t="s">
        <v>71</v>
      </c>
      <c r="AV37" s="16"/>
      <c r="AW37" s="17" t="s">
        <v>72</v>
      </c>
      <c r="AX37" s="17" t="s">
        <v>72</v>
      </c>
      <c r="AY37" s="17" t="s">
        <v>71</v>
      </c>
      <c r="AZ37" s="17" t="s">
        <v>71</v>
      </c>
      <c r="BA37" s="17" t="s">
        <v>72</v>
      </c>
      <c r="BB37" s="17" t="s">
        <v>68</v>
      </c>
      <c r="BC37" s="18" t="s">
        <v>1</v>
      </c>
      <c r="BD37" s="19" t="s">
        <v>68</v>
      </c>
      <c r="BE37" s="109" t="s">
        <v>68</v>
      </c>
    </row>
    <row r="38" spans="2:57" ht="66" hidden="1" x14ac:dyDescent="0.25">
      <c r="B38" s="1">
        <v>2017</v>
      </c>
      <c r="C38" s="1" t="s">
        <v>141</v>
      </c>
      <c r="D38" s="1" t="s">
        <v>197</v>
      </c>
      <c r="E38" s="2">
        <v>12410100065</v>
      </c>
      <c r="F38" s="2" t="s">
        <v>941</v>
      </c>
      <c r="G38" s="3" t="s">
        <v>787</v>
      </c>
      <c r="H38" s="4" t="s">
        <v>788</v>
      </c>
      <c r="I38" s="88" t="s">
        <v>789</v>
      </c>
      <c r="J38" s="6" t="s">
        <v>790</v>
      </c>
      <c r="K38" s="4" t="s">
        <v>791</v>
      </c>
      <c r="L38" s="4" t="s">
        <v>792</v>
      </c>
      <c r="M38" s="4" t="s">
        <v>793</v>
      </c>
      <c r="N38" s="6">
        <v>36</v>
      </c>
      <c r="O38" s="6">
        <v>48</v>
      </c>
      <c r="P38" s="7" t="s">
        <v>1</v>
      </c>
      <c r="Q38" s="7" t="s">
        <v>1</v>
      </c>
      <c r="R38" s="7" t="s">
        <v>75</v>
      </c>
      <c r="S38" s="7" t="s">
        <v>1</v>
      </c>
      <c r="T38" s="7" t="s">
        <v>1</v>
      </c>
      <c r="U38" s="8" t="s">
        <v>1</v>
      </c>
      <c r="V38" s="8" t="s">
        <v>75</v>
      </c>
      <c r="W38" s="9" t="s">
        <v>75</v>
      </c>
      <c r="X38" s="9" t="s">
        <v>75</v>
      </c>
      <c r="Y38" s="10" t="s">
        <v>1</v>
      </c>
      <c r="Z38" s="10" t="s">
        <v>75</v>
      </c>
      <c r="AA38" s="11" t="s">
        <v>1</v>
      </c>
      <c r="AB38" s="11" t="s">
        <v>1</v>
      </c>
      <c r="AC38" s="11" t="s">
        <v>1</v>
      </c>
      <c r="AD38" s="12" t="s">
        <v>1</v>
      </c>
      <c r="AE38" s="12" t="s">
        <v>75</v>
      </c>
      <c r="AF38" s="13" t="s">
        <v>1</v>
      </c>
      <c r="AG38" s="13" t="s">
        <v>75</v>
      </c>
      <c r="AH38" s="13" t="s">
        <v>1</v>
      </c>
      <c r="AI38" s="13" t="s">
        <v>75</v>
      </c>
      <c r="AJ38" s="14" t="s">
        <v>1</v>
      </c>
      <c r="AK38" s="14" t="s">
        <v>1</v>
      </c>
      <c r="AL38" s="14" t="s">
        <v>1</v>
      </c>
      <c r="AM38" s="14" t="s">
        <v>1</v>
      </c>
      <c r="AN38" s="14" t="s">
        <v>1</v>
      </c>
      <c r="AO38" s="15" t="s">
        <v>75</v>
      </c>
      <c r="AP38" s="15" t="s">
        <v>75</v>
      </c>
      <c r="AQ38" s="15" t="s">
        <v>75</v>
      </c>
      <c r="AR38" s="15" t="s">
        <v>1</v>
      </c>
      <c r="AS38" s="16" t="s">
        <v>70</v>
      </c>
      <c r="AT38" s="16" t="s">
        <v>794</v>
      </c>
      <c r="AU38" s="16" t="s">
        <v>795</v>
      </c>
      <c r="AV38" s="16" t="s">
        <v>796</v>
      </c>
      <c r="AW38" s="17" t="s">
        <v>71</v>
      </c>
      <c r="AX38" s="17" t="s">
        <v>71</v>
      </c>
      <c r="AY38" s="17" t="s">
        <v>71</v>
      </c>
      <c r="AZ38" s="17" t="s">
        <v>71</v>
      </c>
      <c r="BA38" s="17" t="s">
        <v>71</v>
      </c>
      <c r="BB38" s="17" t="s">
        <v>797</v>
      </c>
      <c r="BC38" s="18" t="s">
        <v>1</v>
      </c>
      <c r="BD38" s="19" t="s">
        <v>798</v>
      </c>
      <c r="BE38" s="109"/>
    </row>
    <row r="39" spans="2:57" ht="66" hidden="1" x14ac:dyDescent="0.25">
      <c r="B39" s="113">
        <v>2017</v>
      </c>
      <c r="C39" s="113" t="s">
        <v>141</v>
      </c>
      <c r="D39" s="113" t="s">
        <v>197</v>
      </c>
      <c r="E39" s="114">
        <v>12410100186</v>
      </c>
      <c r="F39" s="114" t="s">
        <v>942</v>
      </c>
      <c r="G39" s="3" t="s">
        <v>943</v>
      </c>
      <c r="H39" s="4" t="s">
        <v>944</v>
      </c>
      <c r="I39" s="5" t="s">
        <v>68</v>
      </c>
      <c r="J39" s="6" t="s">
        <v>945</v>
      </c>
      <c r="K39" s="6" t="s">
        <v>946</v>
      </c>
      <c r="L39" s="6" t="s">
        <v>68</v>
      </c>
      <c r="M39" s="6" t="s">
        <v>947</v>
      </c>
      <c r="N39" s="6">
        <v>1</v>
      </c>
      <c r="O39" s="6">
        <v>12</v>
      </c>
      <c r="P39" s="7" t="s">
        <v>1</v>
      </c>
      <c r="Q39" s="7" t="s">
        <v>1</v>
      </c>
      <c r="R39" s="7" t="s">
        <v>1</v>
      </c>
      <c r="S39" s="7" t="s">
        <v>1</v>
      </c>
      <c r="T39" s="7" t="s">
        <v>1</v>
      </c>
      <c r="U39" s="8" t="s">
        <v>69</v>
      </c>
      <c r="V39" s="8" t="s">
        <v>69</v>
      </c>
      <c r="W39" s="9" t="s">
        <v>1</v>
      </c>
      <c r="X39" s="9" t="s">
        <v>1</v>
      </c>
      <c r="Y39" s="10" t="s">
        <v>1</v>
      </c>
      <c r="Z39" s="10" t="s">
        <v>1</v>
      </c>
      <c r="AA39" s="11" t="s">
        <v>1</v>
      </c>
      <c r="AB39" s="11" t="s">
        <v>1</v>
      </c>
      <c r="AC39" s="11" t="s">
        <v>1</v>
      </c>
      <c r="AD39" s="12" t="s">
        <v>1</v>
      </c>
      <c r="AE39" s="12" t="s">
        <v>1</v>
      </c>
      <c r="AF39" s="13" t="s">
        <v>1</v>
      </c>
      <c r="AG39" s="13" t="s">
        <v>1</v>
      </c>
      <c r="AH39" s="13" t="s">
        <v>1</v>
      </c>
      <c r="AI39" s="13" t="s">
        <v>1</v>
      </c>
      <c r="AJ39" s="14" t="s">
        <v>69</v>
      </c>
      <c r="AK39" s="14" t="s">
        <v>1</v>
      </c>
      <c r="AL39" s="14" t="s">
        <v>69</v>
      </c>
      <c r="AM39" s="14" t="s">
        <v>69</v>
      </c>
      <c r="AN39" s="14" t="s">
        <v>1</v>
      </c>
      <c r="AO39" s="15" t="s">
        <v>1</v>
      </c>
      <c r="AP39" s="15" t="s">
        <v>1</v>
      </c>
      <c r="AQ39" s="15" t="s">
        <v>75</v>
      </c>
      <c r="AR39" s="15" t="s">
        <v>1</v>
      </c>
      <c r="AS39" s="16" t="s">
        <v>151</v>
      </c>
      <c r="AT39" s="16" t="s">
        <v>68</v>
      </c>
      <c r="AU39" s="16" t="s">
        <v>71</v>
      </c>
      <c r="AV39" s="16" t="s">
        <v>68</v>
      </c>
      <c r="AW39" s="17" t="s">
        <v>72</v>
      </c>
      <c r="AX39" s="17" t="s">
        <v>71</v>
      </c>
      <c r="AY39" s="17" t="s">
        <v>71</v>
      </c>
      <c r="AZ39" s="17" t="s">
        <v>948</v>
      </c>
      <c r="BA39" s="17" t="s">
        <v>72</v>
      </c>
      <c r="BB39" s="17" t="s">
        <v>68</v>
      </c>
      <c r="BC39" s="18" t="s">
        <v>1</v>
      </c>
      <c r="BD39" s="19" t="s">
        <v>91</v>
      </c>
      <c r="BE39" s="109" t="s">
        <v>68</v>
      </c>
    </row>
    <row r="40" spans="2:57" ht="33" hidden="1" x14ac:dyDescent="0.25">
      <c r="B40" s="1">
        <v>2017</v>
      </c>
      <c r="C40" s="1" t="s">
        <v>141</v>
      </c>
      <c r="D40" s="1" t="s">
        <v>197</v>
      </c>
      <c r="E40" s="2">
        <v>13410100035</v>
      </c>
      <c r="F40" s="2" t="s">
        <v>949</v>
      </c>
      <c r="G40" s="3" t="s">
        <v>950</v>
      </c>
      <c r="H40" s="6">
        <v>81233920913</v>
      </c>
      <c r="I40" s="88" t="s">
        <v>951</v>
      </c>
      <c r="J40" s="6" t="s">
        <v>952</v>
      </c>
      <c r="K40" s="6" t="s">
        <v>953</v>
      </c>
      <c r="L40" s="6" t="s">
        <v>68</v>
      </c>
      <c r="M40" s="6" t="s">
        <v>954</v>
      </c>
      <c r="N40" s="6">
        <v>2</v>
      </c>
      <c r="O40" s="6">
        <v>12</v>
      </c>
      <c r="P40" s="7" t="s">
        <v>1</v>
      </c>
      <c r="Q40" s="7" t="s">
        <v>69</v>
      </c>
      <c r="R40" s="7" t="s">
        <v>69</v>
      </c>
      <c r="S40" s="7" t="s">
        <v>1</v>
      </c>
      <c r="T40" s="7" t="s">
        <v>69</v>
      </c>
      <c r="U40" s="8" t="s">
        <v>69</v>
      </c>
      <c r="V40" s="8" t="s">
        <v>69</v>
      </c>
      <c r="W40" s="9" t="s">
        <v>1</v>
      </c>
      <c r="X40" s="9" t="s">
        <v>1</v>
      </c>
      <c r="Y40" s="10" t="s">
        <v>69</v>
      </c>
      <c r="Z40" s="10" t="s">
        <v>69</v>
      </c>
      <c r="AA40" s="11" t="s">
        <v>69</v>
      </c>
      <c r="AB40" s="11" t="s">
        <v>69</v>
      </c>
      <c r="AC40" s="11" t="s">
        <v>69</v>
      </c>
      <c r="AD40" s="12" t="s">
        <v>69</v>
      </c>
      <c r="AE40" s="12" t="s">
        <v>69</v>
      </c>
      <c r="AF40" s="13" t="s">
        <v>69</v>
      </c>
      <c r="AG40" s="13" t="s">
        <v>69</v>
      </c>
      <c r="AH40" s="13" t="s">
        <v>69</v>
      </c>
      <c r="AI40" s="13" t="s">
        <v>1</v>
      </c>
      <c r="AJ40" s="14" t="s">
        <v>69</v>
      </c>
      <c r="AK40" s="14" t="s">
        <v>1</v>
      </c>
      <c r="AL40" s="14" t="s">
        <v>69</v>
      </c>
      <c r="AM40" s="14" t="s">
        <v>1</v>
      </c>
      <c r="AN40" s="14" t="s">
        <v>69</v>
      </c>
      <c r="AO40" s="15" t="s">
        <v>69</v>
      </c>
      <c r="AP40" s="15" t="s">
        <v>69</v>
      </c>
      <c r="AQ40" s="15" t="s">
        <v>1</v>
      </c>
      <c r="AR40" s="15" t="s">
        <v>69</v>
      </c>
      <c r="AS40" s="16" t="s">
        <v>76</v>
      </c>
      <c r="AT40" s="16" t="s">
        <v>68</v>
      </c>
      <c r="AU40" s="16" t="s">
        <v>71</v>
      </c>
      <c r="AV40" s="16" t="s">
        <v>815</v>
      </c>
      <c r="AW40" s="17" t="s">
        <v>71</v>
      </c>
      <c r="AX40" s="17" t="s">
        <v>71</v>
      </c>
      <c r="AY40" s="17" t="s">
        <v>71</v>
      </c>
      <c r="AZ40" s="17" t="s">
        <v>71</v>
      </c>
      <c r="BA40" s="17" t="s">
        <v>72</v>
      </c>
      <c r="BB40" s="17" t="s">
        <v>68</v>
      </c>
      <c r="BC40" s="18" t="s">
        <v>1</v>
      </c>
      <c r="BD40" s="19" t="s">
        <v>955</v>
      </c>
      <c r="BE40" s="109" t="s">
        <v>68</v>
      </c>
    </row>
    <row r="41" spans="2:57" ht="66" hidden="1" x14ac:dyDescent="0.25">
      <c r="B41" s="113">
        <v>2017</v>
      </c>
      <c r="C41" s="113" t="s">
        <v>141</v>
      </c>
      <c r="D41" s="113" t="s">
        <v>197</v>
      </c>
      <c r="E41" s="114">
        <v>13410100041</v>
      </c>
      <c r="F41" s="114" t="s">
        <v>956</v>
      </c>
      <c r="G41" s="3" t="s">
        <v>957</v>
      </c>
      <c r="H41" s="4" t="s">
        <v>958</v>
      </c>
      <c r="I41" s="88" t="s">
        <v>959</v>
      </c>
      <c r="J41" s="6" t="s">
        <v>960</v>
      </c>
      <c r="K41" s="6" t="s">
        <v>961</v>
      </c>
      <c r="L41" s="4" t="s">
        <v>962</v>
      </c>
      <c r="M41" s="6" t="s">
        <v>963</v>
      </c>
      <c r="N41" s="6">
        <v>2</v>
      </c>
      <c r="O41" s="6">
        <v>36</v>
      </c>
      <c r="P41" s="7" t="s">
        <v>69</v>
      </c>
      <c r="Q41" s="7" t="s">
        <v>69</v>
      </c>
      <c r="R41" s="7" t="s">
        <v>69</v>
      </c>
      <c r="S41" s="7" t="s">
        <v>69</v>
      </c>
      <c r="T41" s="7" t="s">
        <v>69</v>
      </c>
      <c r="U41" s="8" t="s">
        <v>1</v>
      </c>
      <c r="V41" s="8" t="s">
        <v>1</v>
      </c>
      <c r="W41" s="9" t="s">
        <v>1</v>
      </c>
      <c r="X41" s="9" t="s">
        <v>1</v>
      </c>
      <c r="Y41" s="10" t="s">
        <v>1</v>
      </c>
      <c r="Z41" s="10" t="s">
        <v>1</v>
      </c>
      <c r="AA41" s="11" t="s">
        <v>69</v>
      </c>
      <c r="AB41" s="11" t="s">
        <v>69</v>
      </c>
      <c r="AC41" s="11" t="s">
        <v>69</v>
      </c>
      <c r="AD41" s="12" t="s">
        <v>69</v>
      </c>
      <c r="AE41" s="12" t="s">
        <v>69</v>
      </c>
      <c r="AF41" s="13" t="s">
        <v>69</v>
      </c>
      <c r="AG41" s="13" t="s">
        <v>1</v>
      </c>
      <c r="AH41" s="13" t="s">
        <v>69</v>
      </c>
      <c r="AI41" s="13" t="s">
        <v>1</v>
      </c>
      <c r="AJ41" s="14" t="s">
        <v>1</v>
      </c>
      <c r="AK41" s="14" t="s">
        <v>1</v>
      </c>
      <c r="AL41" s="14" t="s">
        <v>69</v>
      </c>
      <c r="AM41" s="14" t="s">
        <v>69</v>
      </c>
      <c r="AN41" s="14" t="s">
        <v>1</v>
      </c>
      <c r="AO41" s="15" t="s">
        <v>1</v>
      </c>
      <c r="AP41" s="15" t="s">
        <v>1</v>
      </c>
      <c r="AQ41" s="15" t="s">
        <v>1</v>
      </c>
      <c r="AR41" s="15" t="s">
        <v>1</v>
      </c>
      <c r="AS41" s="16" t="s">
        <v>70</v>
      </c>
      <c r="AT41" s="16" t="s">
        <v>964</v>
      </c>
      <c r="AU41" s="16" t="s">
        <v>71</v>
      </c>
      <c r="AV41" s="16" t="s">
        <v>965</v>
      </c>
      <c r="AW41" s="17" t="s">
        <v>71</v>
      </c>
      <c r="AX41" s="17" t="s">
        <v>71</v>
      </c>
      <c r="AY41" s="17" t="s">
        <v>71</v>
      </c>
      <c r="AZ41" s="17" t="s">
        <v>71</v>
      </c>
      <c r="BA41" s="17" t="s">
        <v>72</v>
      </c>
      <c r="BB41" s="17" t="s">
        <v>797</v>
      </c>
      <c r="BC41" s="18" t="s">
        <v>69</v>
      </c>
      <c r="BD41" s="19" t="s">
        <v>966</v>
      </c>
      <c r="BE41" s="109" t="s">
        <v>967</v>
      </c>
    </row>
    <row r="42" spans="2:57" ht="66" hidden="1" x14ac:dyDescent="0.25">
      <c r="B42" s="1">
        <v>2017</v>
      </c>
      <c r="C42" s="1" t="s">
        <v>141</v>
      </c>
      <c r="D42" s="1" t="s">
        <v>197</v>
      </c>
      <c r="E42" s="2">
        <v>13410100050</v>
      </c>
      <c r="F42" s="2" t="s">
        <v>968</v>
      </c>
      <c r="G42" s="3" t="s">
        <v>957</v>
      </c>
      <c r="H42" s="4" t="s">
        <v>958</v>
      </c>
      <c r="I42" s="88" t="s">
        <v>959</v>
      </c>
      <c r="J42" s="6" t="s">
        <v>960</v>
      </c>
      <c r="K42" s="6" t="s">
        <v>961</v>
      </c>
      <c r="L42" s="4" t="s">
        <v>962</v>
      </c>
      <c r="M42" s="6" t="s">
        <v>963</v>
      </c>
      <c r="N42" s="6">
        <v>2</v>
      </c>
      <c r="O42" s="6">
        <v>36</v>
      </c>
      <c r="P42" s="7" t="s">
        <v>69</v>
      </c>
      <c r="Q42" s="7" t="s">
        <v>69</v>
      </c>
      <c r="R42" s="7" t="s">
        <v>69</v>
      </c>
      <c r="S42" s="7" t="s">
        <v>69</v>
      </c>
      <c r="T42" s="7" t="s">
        <v>69</v>
      </c>
      <c r="U42" s="8" t="s">
        <v>1</v>
      </c>
      <c r="V42" s="8" t="s">
        <v>1</v>
      </c>
      <c r="W42" s="9" t="s">
        <v>1</v>
      </c>
      <c r="X42" s="9" t="s">
        <v>1</v>
      </c>
      <c r="Y42" s="10" t="s">
        <v>1</v>
      </c>
      <c r="Z42" s="10" t="s">
        <v>1</v>
      </c>
      <c r="AA42" s="11" t="s">
        <v>69</v>
      </c>
      <c r="AB42" s="11" t="s">
        <v>69</v>
      </c>
      <c r="AC42" s="11" t="s">
        <v>69</v>
      </c>
      <c r="AD42" s="12" t="s">
        <v>69</v>
      </c>
      <c r="AE42" s="12" t="s">
        <v>69</v>
      </c>
      <c r="AF42" s="13" t="s">
        <v>69</v>
      </c>
      <c r="AG42" s="13" t="s">
        <v>1</v>
      </c>
      <c r="AH42" s="13" t="s">
        <v>69</v>
      </c>
      <c r="AI42" s="13" t="s">
        <v>1</v>
      </c>
      <c r="AJ42" s="14" t="s">
        <v>1</v>
      </c>
      <c r="AK42" s="14" t="s">
        <v>1</v>
      </c>
      <c r="AL42" s="14" t="s">
        <v>69</v>
      </c>
      <c r="AM42" s="14" t="s">
        <v>69</v>
      </c>
      <c r="AN42" s="14" t="s">
        <v>1</v>
      </c>
      <c r="AO42" s="15" t="s">
        <v>1</v>
      </c>
      <c r="AP42" s="15" t="s">
        <v>1</v>
      </c>
      <c r="AQ42" s="15" t="s">
        <v>1</v>
      </c>
      <c r="AR42" s="15" t="s">
        <v>1</v>
      </c>
      <c r="AS42" s="16" t="s">
        <v>70</v>
      </c>
      <c r="AT42" s="16" t="s">
        <v>964</v>
      </c>
      <c r="AU42" s="16" t="s">
        <v>71</v>
      </c>
      <c r="AV42" s="16" t="s">
        <v>965</v>
      </c>
      <c r="AW42" s="17" t="s">
        <v>71</v>
      </c>
      <c r="AX42" s="17" t="s">
        <v>71</v>
      </c>
      <c r="AY42" s="17" t="s">
        <v>71</v>
      </c>
      <c r="AZ42" s="17" t="s">
        <v>71</v>
      </c>
      <c r="BA42" s="17" t="s">
        <v>72</v>
      </c>
      <c r="BB42" s="17" t="s">
        <v>797</v>
      </c>
      <c r="BC42" s="18" t="s">
        <v>69</v>
      </c>
      <c r="BD42" s="19" t="s">
        <v>966</v>
      </c>
      <c r="BE42" s="109" t="s">
        <v>967</v>
      </c>
    </row>
    <row r="43" spans="2:57" ht="82.5" hidden="1" x14ac:dyDescent="0.25">
      <c r="B43" s="113">
        <v>2017</v>
      </c>
      <c r="C43" s="113" t="s">
        <v>141</v>
      </c>
      <c r="D43" s="113" t="s">
        <v>197</v>
      </c>
      <c r="E43" s="114">
        <v>13410100062</v>
      </c>
      <c r="F43" s="114" t="s">
        <v>969</v>
      </c>
      <c r="G43" s="3" t="s">
        <v>201</v>
      </c>
      <c r="H43" s="4" t="s">
        <v>202</v>
      </c>
      <c r="I43" s="88" t="s">
        <v>970</v>
      </c>
      <c r="J43" s="6" t="s">
        <v>971</v>
      </c>
      <c r="K43" s="6" t="s">
        <v>702</v>
      </c>
      <c r="L43" s="4" t="s">
        <v>198</v>
      </c>
      <c r="M43" s="6" t="s">
        <v>972</v>
      </c>
      <c r="N43" s="6">
        <v>8</v>
      </c>
      <c r="O43" s="6">
        <v>60</v>
      </c>
      <c r="P43" s="7" t="s">
        <v>69</v>
      </c>
      <c r="Q43" s="7" t="s">
        <v>1</v>
      </c>
      <c r="R43" s="7" t="s">
        <v>1</v>
      </c>
      <c r="S43" s="7" t="s">
        <v>1</v>
      </c>
      <c r="T43" s="7" t="s">
        <v>1</v>
      </c>
      <c r="U43" s="8" t="s">
        <v>69</v>
      </c>
      <c r="V43" s="8" t="s">
        <v>1</v>
      </c>
      <c r="W43" s="9" t="s">
        <v>75</v>
      </c>
      <c r="X43" s="9" t="s">
        <v>75</v>
      </c>
      <c r="Y43" s="10" t="s">
        <v>69</v>
      </c>
      <c r="Z43" s="10" t="s">
        <v>69</v>
      </c>
      <c r="AA43" s="11" t="s">
        <v>1</v>
      </c>
      <c r="AB43" s="11" t="s">
        <v>1</v>
      </c>
      <c r="AC43" s="11" t="s">
        <v>1</v>
      </c>
      <c r="AD43" s="12" t="s">
        <v>69</v>
      </c>
      <c r="AE43" s="12" t="s">
        <v>1</v>
      </c>
      <c r="AF43" s="13" t="s">
        <v>1</v>
      </c>
      <c r="AG43" s="13" t="s">
        <v>1</v>
      </c>
      <c r="AH43" s="13" t="s">
        <v>1</v>
      </c>
      <c r="AI43" s="13" t="s">
        <v>1</v>
      </c>
      <c r="AJ43" s="14" t="s">
        <v>1</v>
      </c>
      <c r="AK43" s="14" t="s">
        <v>1</v>
      </c>
      <c r="AL43" s="14" t="s">
        <v>1</v>
      </c>
      <c r="AM43" s="14" t="s">
        <v>1</v>
      </c>
      <c r="AN43" s="14" t="s">
        <v>1</v>
      </c>
      <c r="AO43" s="15" t="s">
        <v>1</v>
      </c>
      <c r="AP43" s="15" t="s">
        <v>1</v>
      </c>
      <c r="AQ43" s="15" t="s">
        <v>1</v>
      </c>
      <c r="AR43" s="15" t="s">
        <v>1</v>
      </c>
      <c r="AS43" s="16" t="s">
        <v>70</v>
      </c>
      <c r="AT43" s="16" t="s">
        <v>973</v>
      </c>
      <c r="AU43" s="16" t="s">
        <v>71</v>
      </c>
      <c r="AV43" s="16" t="s">
        <v>974</v>
      </c>
      <c r="AW43" s="17" t="s">
        <v>203</v>
      </c>
      <c r="AX43" s="17" t="s">
        <v>71</v>
      </c>
      <c r="AY43" s="17" t="s">
        <v>71</v>
      </c>
      <c r="AZ43" s="17" t="s">
        <v>72</v>
      </c>
      <c r="BA43" s="17" t="s">
        <v>71</v>
      </c>
      <c r="BB43" s="17" t="s">
        <v>975</v>
      </c>
      <c r="BC43" s="18" t="s">
        <v>1</v>
      </c>
      <c r="BD43" s="19" t="s">
        <v>976</v>
      </c>
      <c r="BE43" s="109" t="s">
        <v>977</v>
      </c>
    </row>
    <row r="44" spans="2:57" ht="33" hidden="1" x14ac:dyDescent="0.25">
      <c r="B44" s="1">
        <v>2017</v>
      </c>
      <c r="C44" s="1" t="s">
        <v>141</v>
      </c>
      <c r="D44" s="1" t="s">
        <v>197</v>
      </c>
      <c r="E44" s="2">
        <v>13410100076</v>
      </c>
      <c r="F44" s="2" t="s">
        <v>978</v>
      </c>
      <c r="G44" s="3" t="s">
        <v>979</v>
      </c>
      <c r="H44" s="6">
        <v>8123071561</v>
      </c>
      <c r="I44" s="5" t="s">
        <v>68</v>
      </c>
      <c r="J44" s="6" t="s">
        <v>980</v>
      </c>
      <c r="K44" s="6" t="s">
        <v>981</v>
      </c>
      <c r="L44" s="4" t="s">
        <v>982</v>
      </c>
      <c r="M44" s="6" t="s">
        <v>983</v>
      </c>
      <c r="N44" s="6">
        <v>1</v>
      </c>
      <c r="O44" s="6">
        <v>24</v>
      </c>
      <c r="P44" s="7" t="s">
        <v>1</v>
      </c>
      <c r="Q44" s="7" t="s">
        <v>1</v>
      </c>
      <c r="R44" s="7" t="s">
        <v>1</v>
      </c>
      <c r="S44" s="7" t="s">
        <v>1</v>
      </c>
      <c r="T44" s="7" t="s">
        <v>1</v>
      </c>
      <c r="U44" s="8" t="s">
        <v>1</v>
      </c>
      <c r="V44" s="8" t="s">
        <v>1</v>
      </c>
      <c r="W44" s="9" t="s">
        <v>75</v>
      </c>
      <c r="X44" s="9" t="s">
        <v>1</v>
      </c>
      <c r="Y44" s="10" t="s">
        <v>1</v>
      </c>
      <c r="Z44" s="10" t="s">
        <v>1</v>
      </c>
      <c r="AA44" s="11" t="s">
        <v>1</v>
      </c>
      <c r="AB44" s="11" t="s">
        <v>1</v>
      </c>
      <c r="AC44" s="11" t="s">
        <v>1</v>
      </c>
      <c r="AD44" s="12" t="s">
        <v>1</v>
      </c>
      <c r="AE44" s="12" t="s">
        <v>1</v>
      </c>
      <c r="AF44" s="13" t="s">
        <v>1</v>
      </c>
      <c r="AG44" s="13" t="s">
        <v>1</v>
      </c>
      <c r="AH44" s="13" t="s">
        <v>1</v>
      </c>
      <c r="AI44" s="13" t="s">
        <v>1</v>
      </c>
      <c r="AJ44" s="14" t="s">
        <v>1</v>
      </c>
      <c r="AK44" s="14" t="s">
        <v>1</v>
      </c>
      <c r="AL44" s="14" t="s">
        <v>69</v>
      </c>
      <c r="AM44" s="14" t="s">
        <v>69</v>
      </c>
      <c r="AN44" s="14" t="s">
        <v>69</v>
      </c>
      <c r="AO44" s="15" t="s">
        <v>69</v>
      </c>
      <c r="AP44" s="15" t="s">
        <v>69</v>
      </c>
      <c r="AQ44" s="15" t="s">
        <v>1</v>
      </c>
      <c r="AR44" s="15" t="s">
        <v>1</v>
      </c>
      <c r="AS44" s="16" t="s">
        <v>76</v>
      </c>
      <c r="AT44" s="16"/>
      <c r="AU44" s="16" t="s">
        <v>72</v>
      </c>
      <c r="AV44" s="16"/>
      <c r="AW44" s="17" t="s">
        <v>72</v>
      </c>
      <c r="AX44" s="17" t="s">
        <v>72</v>
      </c>
      <c r="AY44" s="17" t="s">
        <v>72</v>
      </c>
      <c r="AZ44" s="17" t="s">
        <v>72</v>
      </c>
      <c r="BA44" s="17" t="s">
        <v>72</v>
      </c>
      <c r="BB44" s="17" t="s">
        <v>68</v>
      </c>
      <c r="BC44" s="18" t="s">
        <v>1</v>
      </c>
      <c r="BD44" s="19" t="s">
        <v>984</v>
      </c>
      <c r="BE44" s="109" t="s">
        <v>985</v>
      </c>
    </row>
    <row r="45" spans="2:57" ht="66" hidden="1" x14ac:dyDescent="0.25">
      <c r="B45" s="113">
        <v>2017</v>
      </c>
      <c r="C45" s="113" t="s">
        <v>141</v>
      </c>
      <c r="D45" s="113" t="s">
        <v>197</v>
      </c>
      <c r="E45" s="114">
        <v>13410100113</v>
      </c>
      <c r="F45" s="114" t="s">
        <v>986</v>
      </c>
      <c r="G45" s="3" t="s">
        <v>987</v>
      </c>
      <c r="H45" s="4" t="s">
        <v>988</v>
      </c>
      <c r="I45" s="88" t="s">
        <v>989</v>
      </c>
      <c r="J45" s="6" t="s">
        <v>990</v>
      </c>
      <c r="K45" s="6" t="s">
        <v>991</v>
      </c>
      <c r="L45" s="4" t="s">
        <v>992</v>
      </c>
      <c r="M45" s="6" t="s">
        <v>993</v>
      </c>
      <c r="N45" s="6">
        <v>3</v>
      </c>
      <c r="O45" s="6">
        <v>12</v>
      </c>
      <c r="P45" s="7" t="s">
        <v>1</v>
      </c>
      <c r="Q45" s="7" t="s">
        <v>1</v>
      </c>
      <c r="R45" s="7" t="s">
        <v>75</v>
      </c>
      <c r="S45" s="7" t="s">
        <v>1</v>
      </c>
      <c r="T45" s="7" t="s">
        <v>1</v>
      </c>
      <c r="U45" s="8" t="s">
        <v>1</v>
      </c>
      <c r="V45" s="8" t="s">
        <v>1</v>
      </c>
      <c r="W45" s="9" t="s">
        <v>75</v>
      </c>
      <c r="X45" s="9" t="s">
        <v>1</v>
      </c>
      <c r="Y45" s="10" t="s">
        <v>69</v>
      </c>
      <c r="Z45" s="10" t="s">
        <v>1</v>
      </c>
      <c r="AA45" s="11" t="s">
        <v>1</v>
      </c>
      <c r="AB45" s="11" t="s">
        <v>1</v>
      </c>
      <c r="AC45" s="11" t="s">
        <v>1</v>
      </c>
      <c r="AD45" s="12" t="s">
        <v>1</v>
      </c>
      <c r="AE45" s="12" t="s">
        <v>75</v>
      </c>
      <c r="AF45" s="13" t="s">
        <v>1</v>
      </c>
      <c r="AG45" s="13" t="s">
        <v>1</v>
      </c>
      <c r="AH45" s="13" t="s">
        <v>1</v>
      </c>
      <c r="AI45" s="13" t="s">
        <v>75</v>
      </c>
      <c r="AJ45" s="14" t="s">
        <v>1</v>
      </c>
      <c r="AK45" s="14" t="s">
        <v>1</v>
      </c>
      <c r="AL45" s="14" t="s">
        <v>1</v>
      </c>
      <c r="AM45" s="14" t="s">
        <v>69</v>
      </c>
      <c r="AN45" s="14" t="s">
        <v>1</v>
      </c>
      <c r="AO45" s="15" t="s">
        <v>75</v>
      </c>
      <c r="AP45" s="15" t="s">
        <v>1</v>
      </c>
      <c r="AQ45" s="15" t="s">
        <v>1</v>
      </c>
      <c r="AR45" s="15" t="s">
        <v>1</v>
      </c>
      <c r="AS45" s="16" t="s">
        <v>70</v>
      </c>
      <c r="AT45" s="16" t="s">
        <v>994</v>
      </c>
      <c r="AU45" s="16" t="s">
        <v>71</v>
      </c>
      <c r="AV45" s="16" t="s">
        <v>995</v>
      </c>
      <c r="AW45" s="17" t="s">
        <v>71</v>
      </c>
      <c r="AX45" s="17" t="s">
        <v>71</v>
      </c>
      <c r="AY45" s="17" t="s">
        <v>71</v>
      </c>
      <c r="AZ45" s="17" t="s">
        <v>71</v>
      </c>
      <c r="BA45" s="17" t="s">
        <v>71</v>
      </c>
      <c r="BB45" s="17" t="s">
        <v>996</v>
      </c>
      <c r="BC45" s="18" t="s">
        <v>1</v>
      </c>
      <c r="BD45" s="19" t="s">
        <v>997</v>
      </c>
      <c r="BE45" s="110" t="s">
        <v>998</v>
      </c>
    </row>
    <row r="46" spans="2:57" ht="33" hidden="1" x14ac:dyDescent="0.25">
      <c r="B46" s="1">
        <v>2017</v>
      </c>
      <c r="C46" s="1" t="s">
        <v>141</v>
      </c>
      <c r="D46" s="1" t="s">
        <v>197</v>
      </c>
      <c r="E46" s="2">
        <v>13410100153</v>
      </c>
      <c r="F46" s="2" t="s">
        <v>999</v>
      </c>
      <c r="G46" s="3" t="s">
        <v>1000</v>
      </c>
      <c r="H46" s="6">
        <v>82331010007</v>
      </c>
      <c r="I46" s="88" t="s">
        <v>1001</v>
      </c>
      <c r="J46" s="6" t="s">
        <v>1002</v>
      </c>
      <c r="K46" s="6" t="s">
        <v>1003</v>
      </c>
      <c r="L46" s="6" t="s">
        <v>1004</v>
      </c>
      <c r="M46" s="6" t="s">
        <v>1005</v>
      </c>
      <c r="N46" s="6">
        <v>1</v>
      </c>
      <c r="O46" s="6">
        <v>12</v>
      </c>
      <c r="P46" s="7" t="s">
        <v>69</v>
      </c>
      <c r="Q46" s="7" t="s">
        <v>69</v>
      </c>
      <c r="R46" s="7" t="s">
        <v>1</v>
      </c>
      <c r="S46" s="7" t="s">
        <v>1</v>
      </c>
      <c r="T46" s="7" t="s">
        <v>1</v>
      </c>
      <c r="U46" s="8" t="s">
        <v>69</v>
      </c>
      <c r="V46" s="8" t="s">
        <v>1</v>
      </c>
      <c r="W46" s="9" t="s">
        <v>75</v>
      </c>
      <c r="X46" s="9" t="s">
        <v>1</v>
      </c>
      <c r="Y46" s="10" t="s">
        <v>69</v>
      </c>
      <c r="Z46" s="10" t="s">
        <v>69</v>
      </c>
      <c r="AA46" s="11" t="s">
        <v>1</v>
      </c>
      <c r="AB46" s="11" t="s">
        <v>1</v>
      </c>
      <c r="AC46" s="11" t="s">
        <v>69</v>
      </c>
      <c r="AD46" s="12" t="s">
        <v>69</v>
      </c>
      <c r="AE46" s="12" t="s">
        <v>1</v>
      </c>
      <c r="AF46" s="13" t="s">
        <v>1</v>
      </c>
      <c r="AG46" s="13" t="s">
        <v>1</v>
      </c>
      <c r="AH46" s="13" t="s">
        <v>1</v>
      </c>
      <c r="AI46" s="13" t="s">
        <v>1</v>
      </c>
      <c r="AJ46" s="14" t="s">
        <v>1</v>
      </c>
      <c r="AK46" s="14" t="s">
        <v>69</v>
      </c>
      <c r="AL46" s="14" t="s">
        <v>69</v>
      </c>
      <c r="AM46" s="14" t="s">
        <v>69</v>
      </c>
      <c r="AN46" s="14" t="s">
        <v>69</v>
      </c>
      <c r="AO46" s="15" t="s">
        <v>1</v>
      </c>
      <c r="AP46" s="15" t="s">
        <v>1</v>
      </c>
      <c r="AQ46" s="15" t="s">
        <v>1</v>
      </c>
      <c r="AR46" s="15" t="s">
        <v>1</v>
      </c>
      <c r="AS46" s="16" t="s">
        <v>70</v>
      </c>
      <c r="AT46" s="16" t="s">
        <v>1006</v>
      </c>
      <c r="AU46" s="16" t="s">
        <v>862</v>
      </c>
      <c r="AV46" s="16" t="s">
        <v>1007</v>
      </c>
      <c r="AW46" s="17" t="s">
        <v>72</v>
      </c>
      <c r="AX46" s="17" t="s">
        <v>72</v>
      </c>
      <c r="AY46" s="17" t="s">
        <v>72</v>
      </c>
      <c r="AZ46" s="17" t="s">
        <v>71</v>
      </c>
      <c r="BA46" s="17" t="s">
        <v>72</v>
      </c>
      <c r="BB46" s="17" t="s">
        <v>68</v>
      </c>
      <c r="BC46" s="18" t="s">
        <v>69</v>
      </c>
      <c r="BD46" s="19" t="s">
        <v>204</v>
      </c>
      <c r="BE46" s="109" t="s">
        <v>1008</v>
      </c>
    </row>
    <row r="47" spans="2:57" ht="33" hidden="1" x14ac:dyDescent="0.25">
      <c r="B47" s="113">
        <v>2017</v>
      </c>
      <c r="C47" s="113" t="s">
        <v>141</v>
      </c>
      <c r="D47" s="113" t="s">
        <v>197</v>
      </c>
      <c r="E47" s="114">
        <v>13410100168</v>
      </c>
      <c r="F47" s="114" t="s">
        <v>1009</v>
      </c>
      <c r="G47" s="3" t="s">
        <v>1010</v>
      </c>
      <c r="H47" s="6">
        <v>81330575330</v>
      </c>
      <c r="I47" s="88" t="s">
        <v>1011</v>
      </c>
      <c r="J47" s="6" t="s">
        <v>1012</v>
      </c>
      <c r="K47" s="6" t="s">
        <v>1013</v>
      </c>
      <c r="L47" s="6" t="s">
        <v>68</v>
      </c>
      <c r="M47" s="6" t="s">
        <v>1014</v>
      </c>
      <c r="N47" s="6">
        <v>1</v>
      </c>
      <c r="O47" s="6">
        <v>12</v>
      </c>
      <c r="P47" s="7" t="s">
        <v>1</v>
      </c>
      <c r="Q47" s="7" t="s">
        <v>1</v>
      </c>
      <c r="R47" s="7" t="s">
        <v>1</v>
      </c>
      <c r="S47" s="7" t="s">
        <v>1</v>
      </c>
      <c r="T47" s="7" t="s">
        <v>1</v>
      </c>
      <c r="U47" s="8" t="s">
        <v>1</v>
      </c>
      <c r="V47" s="8" t="s">
        <v>69</v>
      </c>
      <c r="W47" s="9" t="s">
        <v>1</v>
      </c>
      <c r="X47" s="9" t="s">
        <v>1</v>
      </c>
      <c r="Y47" s="10" t="s">
        <v>69</v>
      </c>
      <c r="Z47" s="10" t="s">
        <v>69</v>
      </c>
      <c r="AA47" s="11" t="s">
        <v>69</v>
      </c>
      <c r="AB47" s="11" t="s">
        <v>69</v>
      </c>
      <c r="AC47" s="11" t="s">
        <v>69</v>
      </c>
      <c r="AD47" s="12" t="s">
        <v>69</v>
      </c>
      <c r="AE47" s="12" t="s">
        <v>69</v>
      </c>
      <c r="AF47" s="13" t="s">
        <v>69</v>
      </c>
      <c r="AG47" s="13" t="s">
        <v>69</v>
      </c>
      <c r="AH47" s="13" t="s">
        <v>69</v>
      </c>
      <c r="AI47" s="13" t="s">
        <v>69</v>
      </c>
      <c r="AJ47" s="14" t="s">
        <v>69</v>
      </c>
      <c r="AK47" s="14" t="s">
        <v>69</v>
      </c>
      <c r="AL47" s="14" t="s">
        <v>69</v>
      </c>
      <c r="AM47" s="14" t="s">
        <v>69</v>
      </c>
      <c r="AN47" s="14" t="s">
        <v>69</v>
      </c>
      <c r="AO47" s="15" t="s">
        <v>69</v>
      </c>
      <c r="AP47" s="15" t="s">
        <v>69</v>
      </c>
      <c r="AQ47" s="15" t="s">
        <v>69</v>
      </c>
      <c r="AR47" s="15" t="s">
        <v>69</v>
      </c>
      <c r="AS47" s="16" t="s">
        <v>70</v>
      </c>
      <c r="AT47" s="16" t="s">
        <v>1015</v>
      </c>
      <c r="AU47" s="16" t="s">
        <v>72</v>
      </c>
      <c r="AV47" s="16" t="s">
        <v>68</v>
      </c>
      <c r="AW47" s="17" t="s">
        <v>72</v>
      </c>
      <c r="AX47" s="17" t="s">
        <v>72</v>
      </c>
      <c r="AY47" s="17" t="s">
        <v>72</v>
      </c>
      <c r="AZ47" s="17" t="s">
        <v>71</v>
      </c>
      <c r="BA47" s="17" t="s">
        <v>72</v>
      </c>
      <c r="BB47" s="17" t="s">
        <v>68</v>
      </c>
      <c r="BC47" s="18" t="s">
        <v>69</v>
      </c>
      <c r="BD47" s="19" t="s">
        <v>68</v>
      </c>
      <c r="BE47" s="109" t="s">
        <v>68</v>
      </c>
    </row>
    <row r="48" spans="2:57" ht="66" hidden="1" x14ac:dyDescent="0.25">
      <c r="B48" s="1">
        <v>2017</v>
      </c>
      <c r="C48" s="1" t="s">
        <v>141</v>
      </c>
      <c r="D48" s="1" t="s">
        <v>197</v>
      </c>
      <c r="E48" s="2">
        <v>13410100204</v>
      </c>
      <c r="F48" s="2" t="s">
        <v>1016</v>
      </c>
      <c r="G48" s="3" t="s">
        <v>1017</v>
      </c>
      <c r="H48" s="4" t="s">
        <v>1018</v>
      </c>
      <c r="I48" s="88" t="s">
        <v>1019</v>
      </c>
      <c r="J48" s="6" t="s">
        <v>1020</v>
      </c>
      <c r="K48" s="6" t="s">
        <v>1021</v>
      </c>
      <c r="L48" s="4" t="s">
        <v>1022</v>
      </c>
      <c r="M48" s="6" t="s">
        <v>1023</v>
      </c>
      <c r="N48" s="6">
        <v>1</v>
      </c>
      <c r="O48" s="6">
        <v>5</v>
      </c>
      <c r="P48" s="7" t="s">
        <v>1</v>
      </c>
      <c r="Q48" s="7" t="s">
        <v>1</v>
      </c>
      <c r="R48" s="7" t="s">
        <v>69</v>
      </c>
      <c r="S48" s="7" t="s">
        <v>1</v>
      </c>
      <c r="T48" s="7" t="s">
        <v>1</v>
      </c>
      <c r="U48" s="8" t="s">
        <v>69</v>
      </c>
      <c r="V48" s="8" t="s">
        <v>1</v>
      </c>
      <c r="W48" s="9" t="s">
        <v>1</v>
      </c>
      <c r="X48" s="9" t="s">
        <v>1</v>
      </c>
      <c r="Y48" s="10" t="s">
        <v>1</v>
      </c>
      <c r="Z48" s="10" t="s">
        <v>1</v>
      </c>
      <c r="AA48" s="11" t="s">
        <v>1</v>
      </c>
      <c r="AB48" s="11" t="s">
        <v>1</v>
      </c>
      <c r="AC48" s="11" t="s">
        <v>1</v>
      </c>
      <c r="AD48" s="12" t="s">
        <v>1</v>
      </c>
      <c r="AE48" s="12" t="s">
        <v>69</v>
      </c>
      <c r="AF48" s="13" t="s">
        <v>1</v>
      </c>
      <c r="AG48" s="13" t="s">
        <v>1</v>
      </c>
      <c r="AH48" s="13" t="s">
        <v>1</v>
      </c>
      <c r="AI48" s="13" t="s">
        <v>1</v>
      </c>
      <c r="AJ48" s="14" t="s">
        <v>1</v>
      </c>
      <c r="AK48" s="14" t="s">
        <v>1</v>
      </c>
      <c r="AL48" s="14" t="s">
        <v>1</v>
      </c>
      <c r="AM48" s="14" t="s">
        <v>1</v>
      </c>
      <c r="AN48" s="14" t="s">
        <v>1</v>
      </c>
      <c r="AO48" s="15" t="s">
        <v>69</v>
      </c>
      <c r="AP48" s="15" t="s">
        <v>1</v>
      </c>
      <c r="AQ48" s="15" t="s">
        <v>1</v>
      </c>
      <c r="AR48" s="15" t="s">
        <v>69</v>
      </c>
      <c r="AS48" s="16" t="s">
        <v>70</v>
      </c>
      <c r="AT48" s="16" t="s">
        <v>1024</v>
      </c>
      <c r="AU48" s="16" t="s">
        <v>71</v>
      </c>
      <c r="AV48" s="16" t="s">
        <v>1025</v>
      </c>
      <c r="AW48" s="17" t="s">
        <v>71</v>
      </c>
      <c r="AX48" s="17" t="s">
        <v>71</v>
      </c>
      <c r="AY48" s="17" t="s">
        <v>71</v>
      </c>
      <c r="AZ48" s="17" t="s">
        <v>71</v>
      </c>
      <c r="BA48" s="17" t="s">
        <v>72</v>
      </c>
      <c r="BB48" s="17" t="s">
        <v>1026</v>
      </c>
      <c r="BC48" s="18" t="s">
        <v>1</v>
      </c>
      <c r="BD48" s="19" t="s">
        <v>1027</v>
      </c>
      <c r="BE48" s="110" t="s">
        <v>1028</v>
      </c>
    </row>
    <row r="49" spans="2:57" ht="66" hidden="1" x14ac:dyDescent="0.25">
      <c r="B49" s="113">
        <v>2017</v>
      </c>
      <c r="C49" s="113" t="s">
        <v>141</v>
      </c>
      <c r="D49" s="113" t="s">
        <v>197</v>
      </c>
      <c r="E49" s="114">
        <v>15410100168</v>
      </c>
      <c r="F49" s="114" t="s">
        <v>1029</v>
      </c>
      <c r="G49" s="3" t="s">
        <v>807</v>
      </c>
      <c r="H49" s="4" t="s">
        <v>808</v>
      </c>
      <c r="I49" s="88" t="s">
        <v>809</v>
      </c>
      <c r="J49" s="6" t="s">
        <v>810</v>
      </c>
      <c r="K49" s="6" t="s">
        <v>811</v>
      </c>
      <c r="L49" s="4" t="s">
        <v>812</v>
      </c>
      <c r="M49" s="6" t="s">
        <v>813</v>
      </c>
      <c r="N49" s="6">
        <v>3</v>
      </c>
      <c r="O49" s="6">
        <v>32</v>
      </c>
      <c r="P49" s="7" t="s">
        <v>1</v>
      </c>
      <c r="Q49" s="7" t="s">
        <v>69</v>
      </c>
      <c r="R49" s="7" t="s">
        <v>69</v>
      </c>
      <c r="S49" s="7" t="s">
        <v>1</v>
      </c>
      <c r="T49" s="7" t="s">
        <v>1</v>
      </c>
      <c r="U49" s="8" t="s">
        <v>69</v>
      </c>
      <c r="V49" s="8" t="s">
        <v>69</v>
      </c>
      <c r="W49" s="9" t="s">
        <v>1</v>
      </c>
      <c r="X49" s="9" t="s">
        <v>1</v>
      </c>
      <c r="Y49" s="10" t="s">
        <v>69</v>
      </c>
      <c r="Z49" s="10" t="s">
        <v>69</v>
      </c>
      <c r="AA49" s="11" t="s">
        <v>1</v>
      </c>
      <c r="AB49" s="11" t="s">
        <v>1</v>
      </c>
      <c r="AC49" s="11" t="s">
        <v>1</v>
      </c>
      <c r="AD49" s="12" t="s">
        <v>69</v>
      </c>
      <c r="AE49" s="12" t="s">
        <v>69</v>
      </c>
      <c r="AF49" s="13" t="s">
        <v>1</v>
      </c>
      <c r="AG49" s="13" t="s">
        <v>1</v>
      </c>
      <c r="AH49" s="13" t="s">
        <v>69</v>
      </c>
      <c r="AI49" s="13" t="s">
        <v>1</v>
      </c>
      <c r="AJ49" s="14" t="s">
        <v>1</v>
      </c>
      <c r="AK49" s="14" t="s">
        <v>1</v>
      </c>
      <c r="AL49" s="14" t="s">
        <v>69</v>
      </c>
      <c r="AM49" s="14" t="s">
        <v>69</v>
      </c>
      <c r="AN49" s="14" t="s">
        <v>69</v>
      </c>
      <c r="AO49" s="15" t="s">
        <v>69</v>
      </c>
      <c r="AP49" s="15" t="s">
        <v>69</v>
      </c>
      <c r="AQ49" s="15" t="s">
        <v>69</v>
      </c>
      <c r="AR49" s="15" t="s">
        <v>69</v>
      </c>
      <c r="AS49" s="16" t="s">
        <v>70</v>
      </c>
      <c r="AT49" s="16" t="s">
        <v>814</v>
      </c>
      <c r="AU49" s="16" t="s">
        <v>71</v>
      </c>
      <c r="AV49" s="16" t="s">
        <v>815</v>
      </c>
      <c r="AW49" s="17" t="s">
        <v>72</v>
      </c>
      <c r="AX49" s="17" t="s">
        <v>72</v>
      </c>
      <c r="AY49" s="17" t="s">
        <v>71</v>
      </c>
      <c r="AZ49" s="17" t="s">
        <v>71</v>
      </c>
      <c r="BA49" s="17" t="s">
        <v>72</v>
      </c>
      <c r="BB49" s="17" t="s">
        <v>68</v>
      </c>
      <c r="BC49" s="18" t="s">
        <v>69</v>
      </c>
      <c r="BD49" s="19" t="s">
        <v>816</v>
      </c>
      <c r="BE49" s="109" t="s">
        <v>817</v>
      </c>
    </row>
    <row r="50" spans="2:57" ht="33" hidden="1" x14ac:dyDescent="0.25">
      <c r="B50" s="1">
        <v>2017</v>
      </c>
      <c r="C50" s="1" t="s">
        <v>141</v>
      </c>
      <c r="D50" s="1" t="s">
        <v>618</v>
      </c>
      <c r="E50" s="2">
        <v>12410200005</v>
      </c>
      <c r="F50" s="2" t="s">
        <v>1030</v>
      </c>
      <c r="G50" s="3" t="s">
        <v>1031</v>
      </c>
      <c r="H50" s="6">
        <v>8115000014</v>
      </c>
      <c r="I50" s="88" t="s">
        <v>1032</v>
      </c>
      <c r="J50" s="6" t="s">
        <v>1033</v>
      </c>
      <c r="K50" s="6" t="s">
        <v>1034</v>
      </c>
      <c r="L50" s="6" t="s">
        <v>68</v>
      </c>
      <c r="M50" s="6" t="s">
        <v>199</v>
      </c>
      <c r="N50" s="6">
        <v>1</v>
      </c>
      <c r="O50" s="6">
        <v>24</v>
      </c>
      <c r="P50" s="7" t="s">
        <v>69</v>
      </c>
      <c r="Q50" s="7" t="s">
        <v>69</v>
      </c>
      <c r="R50" s="7" t="s">
        <v>69</v>
      </c>
      <c r="S50" s="7" t="s">
        <v>69</v>
      </c>
      <c r="T50" s="7" t="s">
        <v>69</v>
      </c>
      <c r="U50" s="8" t="s">
        <v>1</v>
      </c>
      <c r="V50" s="8" t="s">
        <v>69</v>
      </c>
      <c r="W50" s="9" t="s">
        <v>1</v>
      </c>
      <c r="X50" s="9" t="s">
        <v>1</v>
      </c>
      <c r="Y50" s="10" t="s">
        <v>1</v>
      </c>
      <c r="Z50" s="10" t="s">
        <v>1</v>
      </c>
      <c r="AA50" s="11" t="s">
        <v>1</v>
      </c>
      <c r="AB50" s="11" t="s">
        <v>1</v>
      </c>
      <c r="AC50" s="11" t="s">
        <v>1</v>
      </c>
      <c r="AD50" s="12" t="s">
        <v>1</v>
      </c>
      <c r="AE50" s="12" t="s">
        <v>1</v>
      </c>
      <c r="AF50" s="13" t="s">
        <v>1</v>
      </c>
      <c r="AG50" s="13" t="s">
        <v>1</v>
      </c>
      <c r="AH50" s="13" t="s">
        <v>1</v>
      </c>
      <c r="AI50" s="13" t="s">
        <v>1</v>
      </c>
      <c r="AJ50" s="14" t="s">
        <v>1</v>
      </c>
      <c r="AK50" s="14" t="s">
        <v>1</v>
      </c>
      <c r="AL50" s="14" t="s">
        <v>1</v>
      </c>
      <c r="AM50" s="14" t="s">
        <v>1</v>
      </c>
      <c r="AN50" s="14" t="s">
        <v>1</v>
      </c>
      <c r="AO50" s="15" t="s">
        <v>1</v>
      </c>
      <c r="AP50" s="15" t="s">
        <v>1</v>
      </c>
      <c r="AQ50" s="15" t="s">
        <v>1</v>
      </c>
      <c r="AR50" s="15" t="s">
        <v>1</v>
      </c>
      <c r="AS50" s="16" t="s">
        <v>70</v>
      </c>
      <c r="AT50" s="16" t="s">
        <v>68</v>
      </c>
      <c r="AU50" s="16" t="s">
        <v>71</v>
      </c>
      <c r="AV50" s="16" t="s">
        <v>1035</v>
      </c>
      <c r="AW50" s="17" t="s">
        <v>72</v>
      </c>
      <c r="AX50" s="17" t="s">
        <v>72</v>
      </c>
      <c r="AY50" s="17" t="s">
        <v>71</v>
      </c>
      <c r="AZ50" s="17" t="s">
        <v>71</v>
      </c>
      <c r="BA50" s="17" t="s">
        <v>72</v>
      </c>
      <c r="BB50" s="17" t="s">
        <v>68</v>
      </c>
      <c r="BC50" s="18" t="s">
        <v>1</v>
      </c>
      <c r="BD50" s="19" t="s">
        <v>68</v>
      </c>
      <c r="BE50" s="109" t="s">
        <v>1036</v>
      </c>
    </row>
    <row r="51" spans="2:57" ht="66" hidden="1" x14ac:dyDescent="0.25">
      <c r="B51" s="113">
        <v>2017</v>
      </c>
      <c r="C51" s="113" t="s">
        <v>141</v>
      </c>
      <c r="D51" s="113" t="s">
        <v>618</v>
      </c>
      <c r="E51" s="114">
        <v>13410200039</v>
      </c>
      <c r="F51" s="114" t="s">
        <v>1037</v>
      </c>
      <c r="G51" s="3" t="s">
        <v>866</v>
      </c>
      <c r="H51" s="4" t="s">
        <v>867</v>
      </c>
      <c r="I51" s="88" t="s">
        <v>868</v>
      </c>
      <c r="J51" s="6" t="s">
        <v>701</v>
      </c>
      <c r="K51" s="6" t="s">
        <v>702</v>
      </c>
      <c r="L51" s="4" t="s">
        <v>198</v>
      </c>
      <c r="M51" s="6" t="s">
        <v>74</v>
      </c>
      <c r="N51" s="6">
        <v>7</v>
      </c>
      <c r="O51" s="6">
        <v>48</v>
      </c>
      <c r="P51" s="7" t="s">
        <v>69</v>
      </c>
      <c r="Q51" s="7" t="s">
        <v>69</v>
      </c>
      <c r="R51" s="7" t="s">
        <v>1</v>
      </c>
      <c r="S51" s="7" t="s">
        <v>69</v>
      </c>
      <c r="T51" s="7" t="s">
        <v>69</v>
      </c>
      <c r="U51" s="8" t="s">
        <v>69</v>
      </c>
      <c r="V51" s="8" t="s">
        <v>69</v>
      </c>
      <c r="W51" s="9" t="s">
        <v>1</v>
      </c>
      <c r="X51" s="9" t="s">
        <v>1</v>
      </c>
      <c r="Y51" s="10" t="s">
        <v>69</v>
      </c>
      <c r="Z51" s="10" t="s">
        <v>69</v>
      </c>
      <c r="AA51" s="11" t="s">
        <v>69</v>
      </c>
      <c r="AB51" s="11" t="s">
        <v>69</v>
      </c>
      <c r="AC51" s="11" t="s">
        <v>69</v>
      </c>
      <c r="AD51" s="12" t="s">
        <v>69</v>
      </c>
      <c r="AE51" s="12" t="s">
        <v>1</v>
      </c>
      <c r="AF51" s="13" t="s">
        <v>69</v>
      </c>
      <c r="AG51" s="13" t="s">
        <v>1</v>
      </c>
      <c r="AH51" s="13" t="s">
        <v>69</v>
      </c>
      <c r="AI51" s="13" t="s">
        <v>69</v>
      </c>
      <c r="AJ51" s="14" t="s">
        <v>69</v>
      </c>
      <c r="AK51" s="14" t="s">
        <v>69</v>
      </c>
      <c r="AL51" s="14" t="s">
        <v>69</v>
      </c>
      <c r="AM51" s="14" t="s">
        <v>69</v>
      </c>
      <c r="AN51" s="14" t="s">
        <v>69</v>
      </c>
      <c r="AO51" s="15" t="s">
        <v>1</v>
      </c>
      <c r="AP51" s="15" t="s">
        <v>69</v>
      </c>
      <c r="AQ51" s="15" t="s">
        <v>1</v>
      </c>
      <c r="AR51" s="15" t="s">
        <v>69</v>
      </c>
      <c r="AS51" s="16" t="s">
        <v>70</v>
      </c>
      <c r="AT51" s="16" t="s">
        <v>869</v>
      </c>
      <c r="AU51" s="16" t="s">
        <v>71</v>
      </c>
      <c r="AV51" s="16" t="s">
        <v>869</v>
      </c>
      <c r="AW51" s="17" t="s">
        <v>71</v>
      </c>
      <c r="AX51" s="17" t="s">
        <v>71</v>
      </c>
      <c r="AY51" s="17" t="s">
        <v>71</v>
      </c>
      <c r="AZ51" s="17" t="s">
        <v>71</v>
      </c>
      <c r="BA51" s="17" t="s">
        <v>71</v>
      </c>
      <c r="BB51" s="17" t="s">
        <v>870</v>
      </c>
      <c r="BC51" s="18" t="s">
        <v>69</v>
      </c>
      <c r="BD51" s="19" t="s">
        <v>871</v>
      </c>
      <c r="BE51" s="109" t="s">
        <v>872</v>
      </c>
    </row>
    <row r="52" spans="2:57" ht="66" hidden="1" x14ac:dyDescent="0.25">
      <c r="B52" s="1">
        <v>2017</v>
      </c>
      <c r="C52" s="1" t="s">
        <v>141</v>
      </c>
      <c r="D52" s="1" t="s">
        <v>618</v>
      </c>
      <c r="E52" s="2">
        <v>13410200047</v>
      </c>
      <c r="F52" s="2" t="s">
        <v>1038</v>
      </c>
      <c r="G52" s="3" t="s">
        <v>1039</v>
      </c>
      <c r="H52" s="4" t="s">
        <v>1040</v>
      </c>
      <c r="I52" s="88" t="s">
        <v>1041</v>
      </c>
      <c r="J52" s="6" t="s">
        <v>701</v>
      </c>
      <c r="K52" s="6" t="s">
        <v>702</v>
      </c>
      <c r="L52" s="4" t="s">
        <v>198</v>
      </c>
      <c r="M52" s="6" t="s">
        <v>74</v>
      </c>
      <c r="N52" s="6">
        <v>3</v>
      </c>
      <c r="O52" s="6">
        <v>12</v>
      </c>
      <c r="P52" s="7" t="s">
        <v>1</v>
      </c>
      <c r="Q52" s="7" t="s">
        <v>1</v>
      </c>
      <c r="R52" s="7" t="s">
        <v>1</v>
      </c>
      <c r="S52" s="7" t="s">
        <v>1</v>
      </c>
      <c r="T52" s="7" t="s">
        <v>1</v>
      </c>
      <c r="U52" s="8" t="s">
        <v>69</v>
      </c>
      <c r="V52" s="8" t="s">
        <v>69</v>
      </c>
      <c r="W52" s="9" t="s">
        <v>1</v>
      </c>
      <c r="X52" s="9" t="s">
        <v>1</v>
      </c>
      <c r="Y52" s="10" t="s">
        <v>69</v>
      </c>
      <c r="Z52" s="10" t="s">
        <v>69</v>
      </c>
      <c r="AA52" s="11" t="s">
        <v>1</v>
      </c>
      <c r="AB52" s="11" t="s">
        <v>1</v>
      </c>
      <c r="AC52" s="11" t="s">
        <v>1</v>
      </c>
      <c r="AD52" s="12" t="s">
        <v>1</v>
      </c>
      <c r="AE52" s="12" t="s">
        <v>1</v>
      </c>
      <c r="AF52" s="13" t="s">
        <v>1</v>
      </c>
      <c r="AG52" s="13" t="s">
        <v>1</v>
      </c>
      <c r="AH52" s="13" t="s">
        <v>1</v>
      </c>
      <c r="AI52" s="13" t="s">
        <v>1</v>
      </c>
      <c r="AJ52" s="14" t="s">
        <v>1</v>
      </c>
      <c r="AK52" s="14" t="s">
        <v>1</v>
      </c>
      <c r="AL52" s="14" t="s">
        <v>69</v>
      </c>
      <c r="AM52" s="14" t="s">
        <v>69</v>
      </c>
      <c r="AN52" s="14" t="s">
        <v>69</v>
      </c>
      <c r="AO52" s="15" t="s">
        <v>1</v>
      </c>
      <c r="AP52" s="15" t="s">
        <v>1</v>
      </c>
      <c r="AQ52" s="15" t="s">
        <v>1</v>
      </c>
      <c r="AR52" s="15" t="s">
        <v>69</v>
      </c>
      <c r="AS52" s="16" t="s">
        <v>70</v>
      </c>
      <c r="AT52" s="16" t="s">
        <v>1042</v>
      </c>
      <c r="AU52" s="16" t="s">
        <v>71</v>
      </c>
      <c r="AV52" s="16" t="s">
        <v>1043</v>
      </c>
      <c r="AW52" s="17" t="s">
        <v>71</v>
      </c>
      <c r="AX52" s="17" t="s">
        <v>71</v>
      </c>
      <c r="AY52" s="17" t="s">
        <v>71</v>
      </c>
      <c r="AZ52" s="17" t="s">
        <v>71</v>
      </c>
      <c r="BA52" s="17" t="s">
        <v>72</v>
      </c>
      <c r="BB52" s="17" t="s">
        <v>1044</v>
      </c>
      <c r="BC52" s="18" t="s">
        <v>69</v>
      </c>
      <c r="BD52" s="19" t="s">
        <v>94</v>
      </c>
      <c r="BE52" s="109" t="s">
        <v>1045</v>
      </c>
    </row>
    <row r="53" spans="2:57" ht="66" hidden="1" x14ac:dyDescent="0.25">
      <c r="B53" s="113">
        <v>2017</v>
      </c>
      <c r="C53" s="113" t="s">
        <v>141</v>
      </c>
      <c r="D53" s="113" t="s">
        <v>618</v>
      </c>
      <c r="E53" s="114">
        <v>13410200055</v>
      </c>
      <c r="F53" s="114" t="s">
        <v>1046</v>
      </c>
      <c r="G53" s="3" t="s">
        <v>1047</v>
      </c>
      <c r="H53" s="4" t="s">
        <v>1048</v>
      </c>
      <c r="I53" s="88" t="s">
        <v>1049</v>
      </c>
      <c r="J53" s="6" t="s">
        <v>1050</v>
      </c>
      <c r="K53" s="6" t="s">
        <v>1051</v>
      </c>
      <c r="L53" s="6" t="s">
        <v>68</v>
      </c>
      <c r="M53" s="6" t="s">
        <v>1052</v>
      </c>
      <c r="N53" s="6">
        <v>1</v>
      </c>
      <c r="O53" s="6">
        <v>12</v>
      </c>
      <c r="P53" s="7" t="s">
        <v>1</v>
      </c>
      <c r="Q53" s="7" t="s">
        <v>1</v>
      </c>
      <c r="R53" s="7" t="s">
        <v>1</v>
      </c>
      <c r="S53" s="7" t="s">
        <v>1</v>
      </c>
      <c r="T53" s="7" t="s">
        <v>1</v>
      </c>
      <c r="U53" s="8" t="s">
        <v>1</v>
      </c>
      <c r="V53" s="8" t="s">
        <v>1</v>
      </c>
      <c r="W53" s="9" t="s">
        <v>1</v>
      </c>
      <c r="X53" s="9" t="s">
        <v>1</v>
      </c>
      <c r="Y53" s="10" t="s">
        <v>1</v>
      </c>
      <c r="Z53" s="10" t="s">
        <v>1</v>
      </c>
      <c r="AA53" s="11" t="s">
        <v>1</v>
      </c>
      <c r="AB53" s="11" t="s">
        <v>1</v>
      </c>
      <c r="AC53" s="11" t="s">
        <v>1</v>
      </c>
      <c r="AD53" s="12" t="s">
        <v>1</v>
      </c>
      <c r="AE53" s="12" t="s">
        <v>1</v>
      </c>
      <c r="AF53" s="13" t="s">
        <v>1</v>
      </c>
      <c r="AG53" s="13" t="s">
        <v>1</v>
      </c>
      <c r="AH53" s="13" t="s">
        <v>1</v>
      </c>
      <c r="AI53" s="13" t="s">
        <v>69</v>
      </c>
      <c r="AJ53" s="14" t="s">
        <v>1</v>
      </c>
      <c r="AK53" s="14" t="s">
        <v>1</v>
      </c>
      <c r="AL53" s="14" t="s">
        <v>1</v>
      </c>
      <c r="AM53" s="14" t="s">
        <v>1</v>
      </c>
      <c r="AN53" s="14" t="s">
        <v>1</v>
      </c>
      <c r="AO53" s="15" t="s">
        <v>1</v>
      </c>
      <c r="AP53" s="15" t="s">
        <v>1</v>
      </c>
      <c r="AQ53" s="15" t="s">
        <v>1</v>
      </c>
      <c r="AR53" s="15" t="s">
        <v>1</v>
      </c>
      <c r="AS53" s="16" t="s">
        <v>70</v>
      </c>
      <c r="AT53" s="16" t="s">
        <v>68</v>
      </c>
      <c r="AU53" s="16" t="s">
        <v>71</v>
      </c>
      <c r="AV53" s="16" t="s">
        <v>68</v>
      </c>
      <c r="AW53" s="17" t="s">
        <v>71</v>
      </c>
      <c r="AX53" s="17" t="s">
        <v>72</v>
      </c>
      <c r="AY53" s="17" t="s">
        <v>71</v>
      </c>
      <c r="AZ53" s="17" t="s">
        <v>72</v>
      </c>
      <c r="BA53" s="17" t="s">
        <v>72</v>
      </c>
      <c r="BB53" s="17" t="s">
        <v>1053</v>
      </c>
      <c r="BC53" s="18" t="s">
        <v>1</v>
      </c>
      <c r="BD53" s="19" t="s">
        <v>94</v>
      </c>
      <c r="BE53" s="109" t="s">
        <v>1054</v>
      </c>
    </row>
    <row r="54" spans="2:57" ht="33" hidden="1" x14ac:dyDescent="0.25">
      <c r="B54" s="1">
        <v>2017</v>
      </c>
      <c r="C54" s="1" t="s">
        <v>141</v>
      </c>
      <c r="D54" s="1" t="s">
        <v>618</v>
      </c>
      <c r="E54" s="2">
        <v>13410200095</v>
      </c>
      <c r="F54" s="2" t="s">
        <v>1055</v>
      </c>
      <c r="G54" s="3" t="s">
        <v>1056</v>
      </c>
      <c r="H54" s="6">
        <v>85731282996</v>
      </c>
      <c r="I54" s="88" t="s">
        <v>1057</v>
      </c>
      <c r="J54" s="6" t="s">
        <v>1058</v>
      </c>
      <c r="K54" s="6" t="s">
        <v>1059</v>
      </c>
      <c r="L54" s="4" t="s">
        <v>1060</v>
      </c>
      <c r="M54" s="6" t="s">
        <v>1061</v>
      </c>
      <c r="N54" s="6">
        <v>1</v>
      </c>
      <c r="O54" s="6">
        <v>24</v>
      </c>
      <c r="P54" s="7" t="s">
        <v>69</v>
      </c>
      <c r="Q54" s="7" t="s">
        <v>69</v>
      </c>
      <c r="R54" s="7" t="s">
        <v>69</v>
      </c>
      <c r="S54" s="7" t="s">
        <v>69</v>
      </c>
      <c r="T54" s="7" t="s">
        <v>69</v>
      </c>
      <c r="U54" s="8" t="s">
        <v>69</v>
      </c>
      <c r="V54" s="8" t="s">
        <v>69</v>
      </c>
      <c r="W54" s="9" t="s">
        <v>1</v>
      </c>
      <c r="X54" s="9" t="s">
        <v>1</v>
      </c>
      <c r="Y54" s="10" t="s">
        <v>69</v>
      </c>
      <c r="Z54" s="10" t="s">
        <v>69</v>
      </c>
      <c r="AA54" s="11" t="s">
        <v>1</v>
      </c>
      <c r="AB54" s="11" t="s">
        <v>1</v>
      </c>
      <c r="AC54" s="11" t="s">
        <v>1</v>
      </c>
      <c r="AD54" s="12" t="s">
        <v>1</v>
      </c>
      <c r="AE54" s="12" t="s">
        <v>1</v>
      </c>
      <c r="AF54" s="13" t="s">
        <v>69</v>
      </c>
      <c r="AG54" s="13" t="s">
        <v>69</v>
      </c>
      <c r="AH54" s="13" t="s">
        <v>69</v>
      </c>
      <c r="AI54" s="13" t="s">
        <v>69</v>
      </c>
      <c r="AJ54" s="14" t="s">
        <v>1</v>
      </c>
      <c r="AK54" s="14" t="s">
        <v>1</v>
      </c>
      <c r="AL54" s="14" t="s">
        <v>69</v>
      </c>
      <c r="AM54" s="14" t="s">
        <v>69</v>
      </c>
      <c r="AN54" s="14" t="s">
        <v>69</v>
      </c>
      <c r="AO54" s="15" t="s">
        <v>69</v>
      </c>
      <c r="AP54" s="15" t="s">
        <v>69</v>
      </c>
      <c r="AQ54" s="15" t="s">
        <v>69</v>
      </c>
      <c r="AR54" s="15" t="s">
        <v>69</v>
      </c>
      <c r="AS54" s="16" t="s">
        <v>70</v>
      </c>
      <c r="AT54" s="16" t="s">
        <v>1062</v>
      </c>
      <c r="AU54" s="16" t="s">
        <v>71</v>
      </c>
      <c r="AV54" s="16" t="s">
        <v>1063</v>
      </c>
      <c r="AW54" s="17" t="s">
        <v>72</v>
      </c>
      <c r="AX54" s="17" t="s">
        <v>71</v>
      </c>
      <c r="AY54" s="17" t="s">
        <v>71</v>
      </c>
      <c r="AZ54" s="17" t="s">
        <v>72</v>
      </c>
      <c r="BA54" s="17" t="s">
        <v>72</v>
      </c>
      <c r="BB54" s="17" t="s">
        <v>68</v>
      </c>
      <c r="BC54" s="18" t="s">
        <v>69</v>
      </c>
      <c r="BD54" s="19" t="s">
        <v>1064</v>
      </c>
      <c r="BE54" s="109" t="s">
        <v>1065</v>
      </c>
    </row>
    <row r="55" spans="2:57" ht="66" hidden="1" x14ac:dyDescent="0.25">
      <c r="B55" s="113">
        <v>2017</v>
      </c>
      <c r="C55" s="113" t="s">
        <v>141</v>
      </c>
      <c r="D55" s="113" t="s">
        <v>618</v>
      </c>
      <c r="E55" s="114">
        <v>13410200121</v>
      </c>
      <c r="F55" s="114" t="s">
        <v>1066</v>
      </c>
      <c r="G55" s="3" t="s">
        <v>1039</v>
      </c>
      <c r="H55" s="4" t="s">
        <v>1040</v>
      </c>
      <c r="I55" s="88" t="s">
        <v>1041</v>
      </c>
      <c r="J55" s="6" t="s">
        <v>701</v>
      </c>
      <c r="K55" s="6" t="s">
        <v>702</v>
      </c>
      <c r="L55" s="4" t="s">
        <v>198</v>
      </c>
      <c r="M55" s="6" t="s">
        <v>74</v>
      </c>
      <c r="N55" s="6">
        <v>3</v>
      </c>
      <c r="O55" s="6">
        <v>12</v>
      </c>
      <c r="P55" s="7" t="s">
        <v>1</v>
      </c>
      <c r="Q55" s="7" t="s">
        <v>1</v>
      </c>
      <c r="R55" s="7" t="s">
        <v>1</v>
      </c>
      <c r="S55" s="7" t="s">
        <v>1</v>
      </c>
      <c r="T55" s="7" t="s">
        <v>1</v>
      </c>
      <c r="U55" s="8" t="s">
        <v>69</v>
      </c>
      <c r="V55" s="8" t="s">
        <v>69</v>
      </c>
      <c r="W55" s="9" t="s">
        <v>1</v>
      </c>
      <c r="X55" s="9" t="s">
        <v>1</v>
      </c>
      <c r="Y55" s="10" t="s">
        <v>69</v>
      </c>
      <c r="Z55" s="10" t="s">
        <v>69</v>
      </c>
      <c r="AA55" s="11" t="s">
        <v>1</v>
      </c>
      <c r="AB55" s="11" t="s">
        <v>1</v>
      </c>
      <c r="AC55" s="11" t="s">
        <v>1</v>
      </c>
      <c r="AD55" s="12" t="s">
        <v>1</v>
      </c>
      <c r="AE55" s="12" t="s">
        <v>1</v>
      </c>
      <c r="AF55" s="13" t="s">
        <v>1</v>
      </c>
      <c r="AG55" s="13" t="s">
        <v>1</v>
      </c>
      <c r="AH55" s="13" t="s">
        <v>1</v>
      </c>
      <c r="AI55" s="13" t="s">
        <v>1</v>
      </c>
      <c r="AJ55" s="14" t="s">
        <v>1</v>
      </c>
      <c r="AK55" s="14" t="s">
        <v>1</v>
      </c>
      <c r="AL55" s="14" t="s">
        <v>69</v>
      </c>
      <c r="AM55" s="14" t="s">
        <v>69</v>
      </c>
      <c r="AN55" s="14" t="s">
        <v>69</v>
      </c>
      <c r="AO55" s="15" t="s">
        <v>1</v>
      </c>
      <c r="AP55" s="15" t="s">
        <v>1</v>
      </c>
      <c r="AQ55" s="15" t="s">
        <v>1</v>
      </c>
      <c r="AR55" s="15" t="s">
        <v>69</v>
      </c>
      <c r="AS55" s="16" t="s">
        <v>70</v>
      </c>
      <c r="AT55" s="16" t="s">
        <v>1042</v>
      </c>
      <c r="AU55" s="16" t="s">
        <v>71</v>
      </c>
      <c r="AV55" s="16" t="s">
        <v>1043</v>
      </c>
      <c r="AW55" s="17" t="s">
        <v>71</v>
      </c>
      <c r="AX55" s="17" t="s">
        <v>71</v>
      </c>
      <c r="AY55" s="17" t="s">
        <v>71</v>
      </c>
      <c r="AZ55" s="17" t="s">
        <v>71</v>
      </c>
      <c r="BA55" s="17" t="s">
        <v>72</v>
      </c>
      <c r="BB55" s="17" t="s">
        <v>1044</v>
      </c>
      <c r="BC55" s="18" t="s">
        <v>69</v>
      </c>
      <c r="BD55" s="19" t="s">
        <v>94</v>
      </c>
      <c r="BE55" s="109" t="s">
        <v>1045</v>
      </c>
    </row>
    <row r="56" spans="2:57" ht="16.5" hidden="1" x14ac:dyDescent="0.25">
      <c r="B56" s="1">
        <v>2017</v>
      </c>
      <c r="C56" s="1" t="s">
        <v>141</v>
      </c>
      <c r="D56" s="1" t="s">
        <v>618</v>
      </c>
      <c r="E56" s="2">
        <v>12410200007</v>
      </c>
      <c r="F56" s="2" t="s">
        <v>1067</v>
      </c>
      <c r="G56" s="3" t="s">
        <v>1068</v>
      </c>
      <c r="H56" s="6">
        <v>81232544155</v>
      </c>
      <c r="I56" s="88" t="s">
        <v>1069</v>
      </c>
      <c r="J56" s="6" t="s">
        <v>1070</v>
      </c>
      <c r="K56" s="6" t="s">
        <v>1071</v>
      </c>
      <c r="L56" s="4" t="s">
        <v>1072</v>
      </c>
      <c r="M56" s="6" t="s">
        <v>696</v>
      </c>
      <c r="N56" s="6">
        <v>1</v>
      </c>
      <c r="O56" s="6">
        <v>12</v>
      </c>
      <c r="P56" s="7" t="s">
        <v>1</v>
      </c>
      <c r="Q56" s="7" t="s">
        <v>1</v>
      </c>
      <c r="R56" s="7" t="s">
        <v>1</v>
      </c>
      <c r="S56" s="7" t="s">
        <v>1</v>
      </c>
      <c r="T56" s="7" t="s">
        <v>1</v>
      </c>
      <c r="U56" s="8" t="s">
        <v>69</v>
      </c>
      <c r="V56" s="8" t="s">
        <v>69</v>
      </c>
      <c r="W56" s="9" t="s">
        <v>1</v>
      </c>
      <c r="X56" s="9" t="s">
        <v>1</v>
      </c>
      <c r="Y56" s="10" t="s">
        <v>69</v>
      </c>
      <c r="Z56" s="10" t="s">
        <v>69</v>
      </c>
      <c r="AA56" s="11" t="s">
        <v>1</v>
      </c>
      <c r="AB56" s="11" t="s">
        <v>69</v>
      </c>
      <c r="AC56" s="11" t="s">
        <v>69</v>
      </c>
      <c r="AD56" s="12" t="s">
        <v>1</v>
      </c>
      <c r="AE56" s="12" t="s">
        <v>1</v>
      </c>
      <c r="AF56" s="13" t="s">
        <v>69</v>
      </c>
      <c r="AG56" s="13" t="s">
        <v>1</v>
      </c>
      <c r="AH56" s="13" t="s">
        <v>1</v>
      </c>
      <c r="AI56" s="13" t="s">
        <v>1</v>
      </c>
      <c r="AJ56" s="14" t="s">
        <v>1</v>
      </c>
      <c r="AK56" s="14" t="s">
        <v>1</v>
      </c>
      <c r="AL56" s="14" t="s">
        <v>1</v>
      </c>
      <c r="AM56" s="14" t="s">
        <v>1</v>
      </c>
      <c r="AN56" s="14" t="s">
        <v>69</v>
      </c>
      <c r="AO56" s="15" t="s">
        <v>1</v>
      </c>
      <c r="AP56" s="15" t="s">
        <v>1</v>
      </c>
      <c r="AQ56" s="15" t="s">
        <v>1</v>
      </c>
      <c r="AR56" s="15" t="s">
        <v>1</v>
      </c>
      <c r="AS56" s="16" t="s">
        <v>76</v>
      </c>
      <c r="AT56" s="16" t="s">
        <v>68</v>
      </c>
      <c r="AU56" s="16" t="s">
        <v>71</v>
      </c>
      <c r="AV56" s="16" t="s">
        <v>68</v>
      </c>
      <c r="AW56" s="17" t="s">
        <v>72</v>
      </c>
      <c r="AX56" s="17" t="s">
        <v>72</v>
      </c>
      <c r="AY56" s="17" t="s">
        <v>72</v>
      </c>
      <c r="AZ56" s="17" t="s">
        <v>72</v>
      </c>
      <c r="BA56" s="17" t="s">
        <v>72</v>
      </c>
      <c r="BB56" s="17" t="s">
        <v>68</v>
      </c>
      <c r="BC56" s="18" t="s">
        <v>69</v>
      </c>
      <c r="BD56" s="19" t="s">
        <v>94</v>
      </c>
      <c r="BE56" s="109" t="s">
        <v>68</v>
      </c>
    </row>
    <row r="57" spans="2:57" ht="66" hidden="1" x14ac:dyDescent="0.25">
      <c r="B57" s="113">
        <v>2017</v>
      </c>
      <c r="C57" s="113" t="s">
        <v>141</v>
      </c>
      <c r="D57" s="113" t="s">
        <v>618</v>
      </c>
      <c r="E57" s="114">
        <v>13410200120</v>
      </c>
      <c r="F57" s="114" t="s">
        <v>1073</v>
      </c>
      <c r="G57" s="3" t="s">
        <v>1039</v>
      </c>
      <c r="H57" s="4" t="s">
        <v>1040</v>
      </c>
      <c r="I57" s="88" t="s">
        <v>1041</v>
      </c>
      <c r="J57" s="6" t="s">
        <v>701</v>
      </c>
      <c r="K57" s="6" t="s">
        <v>702</v>
      </c>
      <c r="L57" s="4" t="s">
        <v>198</v>
      </c>
      <c r="M57" s="6" t="s">
        <v>74</v>
      </c>
      <c r="N57" s="6">
        <v>3</v>
      </c>
      <c r="O57" s="6">
        <v>12</v>
      </c>
      <c r="P57" s="7" t="s">
        <v>1</v>
      </c>
      <c r="Q57" s="7" t="s">
        <v>1</v>
      </c>
      <c r="R57" s="7" t="s">
        <v>1</v>
      </c>
      <c r="S57" s="7" t="s">
        <v>1</v>
      </c>
      <c r="T57" s="7" t="s">
        <v>1</v>
      </c>
      <c r="U57" s="8" t="s">
        <v>69</v>
      </c>
      <c r="V57" s="8" t="s">
        <v>69</v>
      </c>
      <c r="W57" s="9" t="s">
        <v>1</v>
      </c>
      <c r="X57" s="9" t="s">
        <v>1</v>
      </c>
      <c r="Y57" s="10" t="s">
        <v>69</v>
      </c>
      <c r="Z57" s="10" t="s">
        <v>69</v>
      </c>
      <c r="AA57" s="11" t="s">
        <v>1</v>
      </c>
      <c r="AB57" s="11" t="s">
        <v>1</v>
      </c>
      <c r="AC57" s="11" t="s">
        <v>1</v>
      </c>
      <c r="AD57" s="12" t="s">
        <v>1</v>
      </c>
      <c r="AE57" s="12" t="s">
        <v>1</v>
      </c>
      <c r="AF57" s="13" t="s">
        <v>1</v>
      </c>
      <c r="AG57" s="13" t="s">
        <v>1</v>
      </c>
      <c r="AH57" s="13" t="s">
        <v>1</v>
      </c>
      <c r="AI57" s="13" t="s">
        <v>1</v>
      </c>
      <c r="AJ57" s="14" t="s">
        <v>1</v>
      </c>
      <c r="AK57" s="14" t="s">
        <v>1</v>
      </c>
      <c r="AL57" s="14" t="s">
        <v>69</v>
      </c>
      <c r="AM57" s="14" t="s">
        <v>69</v>
      </c>
      <c r="AN57" s="14" t="s">
        <v>69</v>
      </c>
      <c r="AO57" s="15" t="s">
        <v>1</v>
      </c>
      <c r="AP57" s="15" t="s">
        <v>1</v>
      </c>
      <c r="AQ57" s="15" t="s">
        <v>1</v>
      </c>
      <c r="AR57" s="15" t="s">
        <v>69</v>
      </c>
      <c r="AS57" s="16" t="s">
        <v>70</v>
      </c>
      <c r="AT57" s="16" t="s">
        <v>1042</v>
      </c>
      <c r="AU57" s="16" t="s">
        <v>71</v>
      </c>
      <c r="AV57" s="16" t="s">
        <v>1043</v>
      </c>
      <c r="AW57" s="17" t="s">
        <v>71</v>
      </c>
      <c r="AX57" s="17" t="s">
        <v>71</v>
      </c>
      <c r="AY57" s="17" t="s">
        <v>71</v>
      </c>
      <c r="AZ57" s="17" t="s">
        <v>71</v>
      </c>
      <c r="BA57" s="17" t="s">
        <v>72</v>
      </c>
      <c r="BB57" s="17" t="s">
        <v>1044</v>
      </c>
      <c r="BC57" s="18" t="s">
        <v>69</v>
      </c>
      <c r="BD57" s="19" t="s">
        <v>94</v>
      </c>
      <c r="BE57" s="109" t="s">
        <v>1045</v>
      </c>
    </row>
    <row r="58" spans="2:57" ht="49.5" x14ac:dyDescent="0.25">
      <c r="B58" s="1">
        <v>2017</v>
      </c>
      <c r="C58" s="1" t="s">
        <v>73</v>
      </c>
      <c r="D58" s="1" t="s">
        <v>90</v>
      </c>
      <c r="E58" s="2">
        <v>14390100016</v>
      </c>
      <c r="F58" s="2" t="s">
        <v>1074</v>
      </c>
      <c r="G58" s="3" t="s">
        <v>68</v>
      </c>
      <c r="H58" s="4">
        <v>315947505</v>
      </c>
      <c r="I58" s="88" t="s">
        <v>68</v>
      </c>
      <c r="J58" s="6" t="s">
        <v>1075</v>
      </c>
      <c r="K58" s="6" t="s">
        <v>1076</v>
      </c>
      <c r="L58" s="4">
        <v>315947505</v>
      </c>
      <c r="M58" s="6" t="s">
        <v>74</v>
      </c>
      <c r="N58" s="6">
        <v>2</v>
      </c>
      <c r="O58" s="6">
        <v>12</v>
      </c>
      <c r="P58" s="7" t="s">
        <v>69</v>
      </c>
      <c r="Q58" s="7" t="s">
        <v>69</v>
      </c>
      <c r="R58" s="7" t="s">
        <v>69</v>
      </c>
      <c r="S58" s="7" t="s">
        <v>69</v>
      </c>
      <c r="T58" s="7" t="s">
        <v>69</v>
      </c>
      <c r="U58" s="8" t="s">
        <v>1</v>
      </c>
      <c r="V58" s="8" t="s">
        <v>69</v>
      </c>
      <c r="W58" s="9" t="s">
        <v>69</v>
      </c>
      <c r="X58" s="9" t="s">
        <v>69</v>
      </c>
      <c r="Y58" s="10" t="s">
        <v>1</v>
      </c>
      <c r="Z58" s="10" t="s">
        <v>69</v>
      </c>
      <c r="AA58" s="11" t="s">
        <v>69</v>
      </c>
      <c r="AB58" s="11" t="s">
        <v>69</v>
      </c>
      <c r="AC58" s="11" t="s">
        <v>69</v>
      </c>
      <c r="AD58" s="12" t="s">
        <v>69</v>
      </c>
      <c r="AE58" s="12" t="s">
        <v>69</v>
      </c>
      <c r="AF58" s="13" t="s">
        <v>69</v>
      </c>
      <c r="AG58" s="13" t="s">
        <v>69</v>
      </c>
      <c r="AH58" s="13" t="s">
        <v>1</v>
      </c>
      <c r="AI58" s="13" t="s">
        <v>69</v>
      </c>
      <c r="AJ58" s="14" t="s">
        <v>69</v>
      </c>
      <c r="AK58" s="14" t="s">
        <v>69</v>
      </c>
      <c r="AL58" s="14" t="s">
        <v>69</v>
      </c>
      <c r="AM58" s="14" t="s">
        <v>69</v>
      </c>
      <c r="AN58" s="14" t="s">
        <v>69</v>
      </c>
      <c r="AO58" s="15" t="s">
        <v>69</v>
      </c>
      <c r="AP58" s="15" t="s">
        <v>1</v>
      </c>
      <c r="AQ58" s="15" t="s">
        <v>69</v>
      </c>
      <c r="AR58" s="15" t="s">
        <v>69</v>
      </c>
      <c r="AS58" s="16" t="s">
        <v>76</v>
      </c>
      <c r="AT58" s="16" t="s">
        <v>68</v>
      </c>
      <c r="AU58" s="16" t="s">
        <v>72</v>
      </c>
      <c r="AV58" s="16" t="s">
        <v>68</v>
      </c>
      <c r="AW58" s="17" t="s">
        <v>71</v>
      </c>
      <c r="AX58" s="17" t="s">
        <v>71</v>
      </c>
      <c r="AY58" s="17" t="s">
        <v>72</v>
      </c>
      <c r="AZ58" s="17" t="s">
        <v>72</v>
      </c>
      <c r="BA58" s="17" t="s">
        <v>71</v>
      </c>
      <c r="BB58" s="17" t="s">
        <v>68</v>
      </c>
      <c r="BC58" s="18" t="s">
        <v>645</v>
      </c>
      <c r="BD58" s="19" t="s">
        <v>89</v>
      </c>
      <c r="BE58" s="109" t="s">
        <v>68</v>
      </c>
    </row>
    <row r="61" spans="2:57" ht="23.25" x14ac:dyDescent="0.35">
      <c r="B61" s="63" t="s">
        <v>657</v>
      </c>
      <c r="I61" s="63" t="s">
        <v>668</v>
      </c>
      <c r="AD61" s="63" t="s">
        <v>671</v>
      </c>
      <c r="AR61" s="63" t="s">
        <v>672</v>
      </c>
    </row>
    <row r="62" spans="2:57" ht="24" thickBot="1" x14ac:dyDescent="0.4">
      <c r="B62" s="63"/>
      <c r="I62" s="63"/>
    </row>
    <row r="63" spans="2:57" ht="17.25" thickBot="1" x14ac:dyDescent="0.3">
      <c r="B63" s="64" t="s">
        <v>14</v>
      </c>
      <c r="C63" s="65" t="s">
        <v>673</v>
      </c>
      <c r="I63" s="64" t="s">
        <v>14</v>
      </c>
      <c r="J63" s="65" t="s">
        <v>618</v>
      </c>
      <c r="P63" s="64" t="s">
        <v>14</v>
      </c>
      <c r="Q63" s="1" t="s">
        <v>197</v>
      </c>
      <c r="W63" s="64" t="s">
        <v>14</v>
      </c>
      <c r="X63" s="1" t="s">
        <v>90</v>
      </c>
      <c r="AD63" s="64" t="s">
        <v>14</v>
      </c>
      <c r="AE63" s="65" t="s">
        <v>142</v>
      </c>
      <c r="AK63" s="64" t="s">
        <v>14</v>
      </c>
      <c r="AL63" s="86" t="s">
        <v>127</v>
      </c>
      <c r="AR63" s="64" t="s">
        <v>14</v>
      </c>
      <c r="AS63" s="86" t="s">
        <v>67</v>
      </c>
    </row>
    <row r="64" spans="2:57" ht="17.25" thickBot="1" x14ac:dyDescent="0.3">
      <c r="B64" s="64" t="s">
        <v>647</v>
      </c>
      <c r="C64" s="65">
        <v>2017</v>
      </c>
      <c r="I64" s="64" t="s">
        <v>647</v>
      </c>
      <c r="J64" s="65">
        <v>2017</v>
      </c>
      <c r="P64" s="64" t="s">
        <v>647</v>
      </c>
      <c r="Q64" s="65">
        <v>2017</v>
      </c>
      <c r="W64" s="64" t="s">
        <v>647</v>
      </c>
      <c r="X64" s="65">
        <v>2017</v>
      </c>
      <c r="AD64" s="64" t="s">
        <v>647</v>
      </c>
      <c r="AE64" s="65">
        <v>2017</v>
      </c>
      <c r="AK64" s="64" t="s">
        <v>647</v>
      </c>
      <c r="AL64" s="65">
        <v>2017</v>
      </c>
      <c r="AR64" s="64" t="s">
        <v>647</v>
      </c>
      <c r="AS64" s="65">
        <v>2017</v>
      </c>
    </row>
    <row r="65" spans="2:49" ht="17.25" thickBot="1" x14ac:dyDescent="0.3">
      <c r="B65" s="64" t="s">
        <v>646</v>
      </c>
      <c r="C65" s="65">
        <f>COUNTIF(TblUniv2017[th lulus],C64)</f>
        <v>56</v>
      </c>
      <c r="I65" s="64" t="s">
        <v>646</v>
      </c>
      <c r="J65" s="65">
        <f>COUNTIFS(TblUniv2017[th lulus],J64,TblUniv2017[Prodi],J63)</f>
        <v>8</v>
      </c>
      <c r="P65" s="64" t="s">
        <v>646</v>
      </c>
      <c r="Q65" s="65">
        <f>COUNTIFS(TblUniv2017[th lulus],Q64,TblUniv2017[Prodi],Q63)</f>
        <v>34</v>
      </c>
      <c r="W65" s="64" t="s">
        <v>646</v>
      </c>
      <c r="X65" s="65">
        <f>COUNTIFS(TblUniv2017[th lulus],X64,TblUniv2017[Prodi],X63)</f>
        <v>5</v>
      </c>
      <c r="AD65" s="64" t="s">
        <v>646</v>
      </c>
      <c r="AE65" s="65">
        <f>COUNTIFS(TblUniv2017[th lulus],AE64,TblUniv2017[Prodi],AE63)</f>
        <v>1</v>
      </c>
      <c r="AK65" s="64" t="s">
        <v>646</v>
      </c>
      <c r="AL65" s="65">
        <f>COUNTIFS(TblUniv2017[th lulus],AL64,TblUniv2017[Prodi],AL63)</f>
        <v>2</v>
      </c>
      <c r="AR65" s="64" t="s">
        <v>646</v>
      </c>
      <c r="AS65" s="65">
        <f>COUNTIFS(TblUniv2017[th lulus],AS64,TblUniv2017[Prodi],AS63)</f>
        <v>6</v>
      </c>
    </row>
    <row r="66" spans="2:49" ht="16.5" x14ac:dyDescent="0.3">
      <c r="B66" s="55"/>
      <c r="C66" s="56" t="s">
        <v>69</v>
      </c>
      <c r="D66" s="56" t="s">
        <v>1</v>
      </c>
      <c r="E66" s="56" t="s">
        <v>75</v>
      </c>
      <c r="F66" s="56" t="s">
        <v>168</v>
      </c>
      <c r="G66" s="56"/>
      <c r="I66" s="55"/>
      <c r="J66" s="56" t="s">
        <v>69</v>
      </c>
      <c r="K66" s="56" t="s">
        <v>1</v>
      </c>
      <c r="L66" s="56" t="s">
        <v>75</v>
      </c>
      <c r="M66" s="56" t="s">
        <v>168</v>
      </c>
      <c r="N66" s="56"/>
      <c r="P66" s="55"/>
      <c r="Q66" s="56" t="s">
        <v>69</v>
      </c>
      <c r="R66" s="56" t="s">
        <v>1</v>
      </c>
      <c r="S66" s="56" t="s">
        <v>75</v>
      </c>
      <c r="T66" s="56" t="s">
        <v>168</v>
      </c>
      <c r="U66" s="56"/>
      <c r="W66" s="55"/>
      <c r="X66" s="56" t="s">
        <v>69</v>
      </c>
      <c r="Y66" s="56" t="s">
        <v>1</v>
      </c>
      <c r="Z66" s="56" t="s">
        <v>75</v>
      </c>
      <c r="AA66" s="56" t="s">
        <v>168</v>
      </c>
      <c r="AB66" s="56"/>
      <c r="AD66" s="55"/>
      <c r="AE66" s="56" t="s">
        <v>69</v>
      </c>
      <c r="AF66" s="56" t="s">
        <v>1</v>
      </c>
      <c r="AG66" s="56" t="s">
        <v>75</v>
      </c>
      <c r="AH66" s="56" t="s">
        <v>168</v>
      </c>
      <c r="AI66" s="56"/>
      <c r="AK66" s="55"/>
      <c r="AL66" s="56" t="s">
        <v>69</v>
      </c>
      <c r="AM66" s="56" t="s">
        <v>1</v>
      </c>
      <c r="AN66" s="56" t="s">
        <v>75</v>
      </c>
      <c r="AO66" s="56" t="s">
        <v>168</v>
      </c>
      <c r="AP66" s="56"/>
      <c r="AR66" s="55"/>
      <c r="AS66" s="56" t="s">
        <v>69</v>
      </c>
      <c r="AT66" s="56" t="s">
        <v>1</v>
      </c>
      <c r="AU66" s="56" t="s">
        <v>75</v>
      </c>
      <c r="AV66" s="56" t="s">
        <v>168</v>
      </c>
      <c r="AW66" s="56"/>
    </row>
    <row r="67" spans="2:49" ht="16.5" x14ac:dyDescent="0.3">
      <c r="B67" s="57" t="s">
        <v>26</v>
      </c>
      <c r="C67" s="66">
        <f>COUNTIFS(TblUniv2017[B1],$C$66)/$C$65*100%</f>
        <v>0.44642857142857145</v>
      </c>
      <c r="D67" s="66">
        <f>COUNTIFS(TblUniv2017[B1],$D$66)/C65*100%</f>
        <v>0.5535714285714286</v>
      </c>
      <c r="E67" s="66">
        <f>COUNTIFS(TblUniv2017[B1],$E$66)/C65*100%</f>
        <v>0</v>
      </c>
      <c r="F67" s="66">
        <f>COUNTIFS(TblUniv2017[B1],$F$66)/C65*100%</f>
        <v>0</v>
      </c>
      <c r="G67" s="62">
        <f t="shared" ref="G67:G104" si="0">SUM(C67:F67)</f>
        <v>1</v>
      </c>
      <c r="I67" s="57" t="s">
        <v>26</v>
      </c>
      <c r="J67" s="66">
        <f>COUNTIFS(TblUniv2017[B1],J$66,TblUniv2017[Prodi],$J$63)/$J$65*100%</f>
        <v>0.375</v>
      </c>
      <c r="K67" s="66">
        <f>COUNTIFS(TblUniv2017[B1],K$66,TblUniv2017[Prodi],$J$63)/$J$65*100%</f>
        <v>0.625</v>
      </c>
      <c r="L67" s="66">
        <f>COUNTIFS(TblUniv2017[B1],L$66,TblUniv2017[Prodi],$J$63)/$J$65*100%</f>
        <v>0</v>
      </c>
      <c r="M67" s="66">
        <f>COUNTIFS(TblUniv2017[B1],M$66,TblUniv2017[Prodi],$J$63)/$J$65*100%</f>
        <v>0</v>
      </c>
      <c r="N67" s="62">
        <f t="shared" ref="N67:N104" si="1">SUM(J67:M67)</f>
        <v>1</v>
      </c>
      <c r="P67" s="57" t="s">
        <v>26</v>
      </c>
      <c r="Q67" s="66">
        <f>COUNTIFS(TblUniv2017[B1],Q$66,TblUniv2017[Prodi],$Q$63)/$Q$65*100%</f>
        <v>0.44117647058823528</v>
      </c>
      <c r="R67" s="66">
        <f>COUNTIFS(TblUniv2017[B1],R$66,TblUniv2017[Prodi],$Q$63)/$Q$65*100%</f>
        <v>0.55882352941176472</v>
      </c>
      <c r="S67" s="66">
        <f>COUNTIFS(TblUniv2017[B1],S$66,TblUniv2017[Prodi],$Q$63)/$Q$65*100%</f>
        <v>0</v>
      </c>
      <c r="T67" s="66">
        <f>COUNTIFS(TblUniv2017[B1],T$66,TblUniv2017[Prodi],$Q$63)/$Q$65*100%</f>
        <v>0</v>
      </c>
      <c r="U67" s="62">
        <f t="shared" ref="U67:U104" si="2">SUM(Q67:T67)</f>
        <v>1</v>
      </c>
      <c r="W67" s="57" t="s">
        <v>26</v>
      </c>
      <c r="X67" s="66">
        <f>COUNTIFS(TblUniv2017[B1],X$66,TblUniv2017[Prodi],$X$63)/$X$65*100%</f>
        <v>0.4</v>
      </c>
      <c r="Y67" s="66">
        <f>COUNTIFS(TblUniv2017[B1],Y$66,TblUniv2017[Prodi],$X$63)/$X$65*100%</f>
        <v>0.6</v>
      </c>
      <c r="Z67" s="66">
        <f>COUNTIFS(TblUniv2017[B1],Z$66,TblUniv2017[Prodi],$X$63)/$X$65*100%</f>
        <v>0</v>
      </c>
      <c r="AA67" s="66">
        <f>COUNTIFS(TblUniv2017[B1],AA$66,TblUniv2017[Prodi],$X$63)/$X$65*100%</f>
        <v>0</v>
      </c>
      <c r="AB67" s="62">
        <f t="shared" ref="AB67:AB104" si="3">SUM(X67:AA67)</f>
        <v>1</v>
      </c>
      <c r="AD67" s="57" t="s">
        <v>26</v>
      </c>
      <c r="AE67" s="66">
        <f>COUNTIFS(TblUniv2017[B1],AE$66,TblUniv2017[Prodi],$AE$63)/$AE$65*100%</f>
        <v>0</v>
      </c>
      <c r="AF67" s="66">
        <f>COUNTIFS(TblUniv2017[B1],AF$66,TblUniv2017[Prodi],$AE$63)/$AE$65*100%</f>
        <v>1</v>
      </c>
      <c r="AG67" s="66">
        <f>COUNTIFS(TblUniv2017[B1],AG$66,TblUniv2017[Prodi],$AE$63)/$AE$65*100%</f>
        <v>0</v>
      </c>
      <c r="AH67" s="66">
        <f>COUNTIFS(TblUniv2017[B1],AH$66,TblUniv2017[Prodi],$AE$63)/$AE$65*100%</f>
        <v>0</v>
      </c>
      <c r="AI67" s="62">
        <f t="shared" ref="AI67:AI104" si="4">SUM(AE67:AH67)</f>
        <v>1</v>
      </c>
      <c r="AK67" s="57" t="s">
        <v>26</v>
      </c>
      <c r="AL67" s="66">
        <f>COUNTIFS(TblUniv2017[B1],AL$66,TblUniv2017[Prodi],$AL$63)/$AL$65*100%</f>
        <v>1</v>
      </c>
      <c r="AM67" s="66">
        <f>COUNTIFS(TblUniv2017[B1],AM$66,TblUniv2017[Prodi],$AL$63)/$AL$65*100%</f>
        <v>0</v>
      </c>
      <c r="AN67" s="66">
        <f>COUNTIFS(TblUniv2017[B1],AN$66,TblUniv2017[Prodi],$AL$63)/$AL$65*100%</f>
        <v>0</v>
      </c>
      <c r="AO67" s="66">
        <f>COUNTIFS(TblUniv2017[B1],AO$66,TblUniv2017[Prodi],$AL$63)/$AL$65*100%</f>
        <v>0</v>
      </c>
      <c r="AP67" s="62">
        <f t="shared" ref="AP67:AP104" si="5">SUM(AL67:AO67)</f>
        <v>1</v>
      </c>
      <c r="AR67" s="57" t="s">
        <v>26</v>
      </c>
      <c r="AS67" s="66">
        <f>COUNTIFS(TblUniv2017[B1],AS$66,TblUniv2017[Prodi],$AS$63)/$AS$65*100%</f>
        <v>0.5</v>
      </c>
      <c r="AT67" s="66">
        <f>COUNTIFS(TblUniv2017[B1],AT$66,TblUniv2017[Prodi],$AS$63)/$AS$65*100%</f>
        <v>0.5</v>
      </c>
      <c r="AU67" s="66">
        <f>COUNTIFS(TblUniv2017[B1],AU$66,TblUniv2017[Prodi],$AS$63)/$AS$65*100%</f>
        <v>0</v>
      </c>
      <c r="AV67" s="66">
        <f>COUNTIFS(TblUniv2017[B1],AV$66,TblUniv2017[Prodi],$AS$63)/$AS$65*100%</f>
        <v>0</v>
      </c>
      <c r="AW67" s="62">
        <f t="shared" ref="AW67:AW104" si="6">SUM(AS67:AV67)</f>
        <v>1</v>
      </c>
    </row>
    <row r="68" spans="2:49" ht="16.5" x14ac:dyDescent="0.3">
      <c r="B68" s="57" t="s">
        <v>27</v>
      </c>
      <c r="C68" s="66">
        <f>COUNTIFS(TblUniv2017[B2],$C$66)/C65*100%</f>
        <v>0.5178571428571429</v>
      </c>
      <c r="D68" s="66">
        <f>COUNTIFS(TblUniv2017[B2],$D$66)/C65*100%</f>
        <v>0.48214285714285715</v>
      </c>
      <c r="E68" s="66">
        <f>COUNTIFS(TblUniv2017[B2],$E$66)/C65*100%</f>
        <v>0</v>
      </c>
      <c r="F68" s="66">
        <f>COUNTIFS(TblUniv2017[B2],$F$66)/C65*100%</f>
        <v>0</v>
      </c>
      <c r="G68" s="62">
        <f t="shared" si="0"/>
        <v>1</v>
      </c>
      <c r="I68" s="57" t="s">
        <v>27</v>
      </c>
      <c r="J68" s="66">
        <f>COUNTIFS(TblUniv2017[B2],J$66,TblUniv2017[Prodi],$J$63)/$J$65*100%</f>
        <v>0.375</v>
      </c>
      <c r="K68" s="66">
        <f>COUNTIFS(TblUniv2017[B2],K$66,TblUniv2017[Prodi],$J$63)/$J$65*100%</f>
        <v>0.625</v>
      </c>
      <c r="L68" s="66">
        <f>COUNTIFS(TblUniv2017[B2],L$66,TblUniv2017[Prodi],$J$63)/$J$65*100%</f>
        <v>0</v>
      </c>
      <c r="M68" s="66">
        <f>COUNTIFS(TblUniv2017[B2],M$66,TblUniv2017[Prodi],$J$63)/$J$65*100%</f>
        <v>0</v>
      </c>
      <c r="N68" s="62">
        <f t="shared" si="1"/>
        <v>1</v>
      </c>
      <c r="P68" s="57" t="s">
        <v>27</v>
      </c>
      <c r="Q68" s="66">
        <f>COUNTIFS(TblUniv2017[B2],Q$66,TblUniv2017[Prodi],$Q$63)/$Q$65*100%</f>
        <v>0.5</v>
      </c>
      <c r="R68" s="66">
        <f>COUNTIFS(TblUniv2017[B2],R$66,TblUniv2017[Prodi],$Q$63)/$Q$65*100%</f>
        <v>0.5</v>
      </c>
      <c r="S68" s="66">
        <f>COUNTIFS(TblUniv2017[B2],S$66,TblUniv2017[Prodi],$Q$63)/$Q$65*100%</f>
        <v>0</v>
      </c>
      <c r="T68" s="66">
        <f>COUNTIFS(TblUniv2017[B2],T$66,TblUniv2017[Prodi],$Q$63)/$Q$65*100%</f>
        <v>0</v>
      </c>
      <c r="U68" s="62">
        <f t="shared" si="2"/>
        <v>1</v>
      </c>
      <c r="W68" s="57" t="s">
        <v>27</v>
      </c>
      <c r="X68" s="66">
        <f>COUNTIFS(TblUniv2017[B2],X$66,TblUniv2017[Prodi],$X$63)/$X$65*100%</f>
        <v>0.6</v>
      </c>
      <c r="Y68" s="66">
        <f>COUNTIFS(TblUniv2017[B2],Y$66,TblUniv2017[Prodi],$X$63)/$X$65*100%</f>
        <v>0.4</v>
      </c>
      <c r="Z68" s="66">
        <f>COUNTIFS(TblUniv2017[B2],Z$66,TblUniv2017[Prodi],$X$63)/$X$65*100%</f>
        <v>0</v>
      </c>
      <c r="AA68" s="66">
        <f>COUNTIFS(TblUniv2017[B2],AA$66,TblUniv2017[Prodi],$X$63)/$X$65*100%</f>
        <v>0</v>
      </c>
      <c r="AB68" s="62">
        <f t="shared" si="3"/>
        <v>1</v>
      </c>
      <c r="AD68" s="57" t="s">
        <v>27</v>
      </c>
      <c r="AE68" s="66">
        <f>COUNTIFS(TblUniv2017[B2],AE$66,TblUniv2017[Prodi],$AE$63)/$AE$65*100%</f>
        <v>1</v>
      </c>
      <c r="AF68" s="66">
        <f>COUNTIFS(TblUniv2017[B2],AF$66,TblUniv2017[Prodi],$AE$63)/$AE$65*100%</f>
        <v>0</v>
      </c>
      <c r="AG68" s="66">
        <f>COUNTIFS(TblUniv2017[B2],AG$66,TblUniv2017[Prodi],$AE$63)/$AE$65*100%</f>
        <v>0</v>
      </c>
      <c r="AH68" s="66">
        <f>COUNTIFS(TblUniv2017[B2],AH$66,TblUniv2017[Prodi],$AE$63)/$AE$65*100%</f>
        <v>0</v>
      </c>
      <c r="AI68" s="62">
        <f t="shared" si="4"/>
        <v>1</v>
      </c>
      <c r="AK68" s="57" t="s">
        <v>27</v>
      </c>
      <c r="AL68" s="66">
        <f>COUNTIFS(TblUniv2017[B2],AL$66,TblUniv2017[Prodi],$AL$63)/$AL$65*100%</f>
        <v>1</v>
      </c>
      <c r="AM68" s="66">
        <f>COUNTIFS(TblUniv2017[B2],AM$66,TblUniv2017[Prodi],$AL$63)/$AL$65*100%</f>
        <v>0</v>
      </c>
      <c r="AN68" s="66">
        <f>COUNTIFS(TblUniv2017[B2],AN$66,TblUniv2017[Prodi],$AL$63)/$AL$65*100%</f>
        <v>0</v>
      </c>
      <c r="AO68" s="66">
        <f>COUNTIFS(TblUniv2017[B2],AO$66,TblUniv2017[Prodi],$AL$63)/$AL$65*100%</f>
        <v>0</v>
      </c>
      <c r="AP68" s="62">
        <f t="shared" si="5"/>
        <v>1</v>
      </c>
      <c r="AR68" s="57" t="s">
        <v>27</v>
      </c>
      <c r="AS68" s="66">
        <f>COUNTIFS(TblUniv2017[B2],AS$66,TblUniv2017[Prodi],$AS$63)/$AS$65*100%</f>
        <v>0.5</v>
      </c>
      <c r="AT68" s="66">
        <f>COUNTIFS(TblUniv2017[B2],AT$66,TblUniv2017[Prodi],$AS$63)/$AS$65*100%</f>
        <v>0.5</v>
      </c>
      <c r="AU68" s="66">
        <f>COUNTIFS(TblUniv2017[B2],AU$66,TblUniv2017[Prodi],$AS$63)/$AS$65*100%</f>
        <v>0</v>
      </c>
      <c r="AV68" s="66">
        <f>COUNTIFS(TblUniv2017[B2],AV$66,TblUniv2017[Prodi],$AS$63)/$AS$65*100%</f>
        <v>0</v>
      </c>
      <c r="AW68" s="62">
        <f t="shared" si="6"/>
        <v>1</v>
      </c>
    </row>
    <row r="69" spans="2:49" ht="16.5" x14ac:dyDescent="0.3">
      <c r="B69" s="57" t="s">
        <v>28</v>
      </c>
      <c r="C69" s="66">
        <f>COUNTIFS(TblUniv2017[B3],$C$66)/C65*100%</f>
        <v>0.30357142857142855</v>
      </c>
      <c r="D69" s="66">
        <f>COUNTIFS(TblUniv2017[B3],$D$66)/C65*100%</f>
        <v>0.5714285714285714</v>
      </c>
      <c r="E69" s="66">
        <f>COUNTIFS(TblUniv2017[B3],$E$66)/C65*100%</f>
        <v>0.125</v>
      </c>
      <c r="F69" s="66">
        <f>COUNTIFS(TblUniv2017[B3],$F$66)/C65*100%</f>
        <v>0</v>
      </c>
      <c r="G69" s="62">
        <f t="shared" si="0"/>
        <v>1</v>
      </c>
      <c r="I69" s="57" t="s">
        <v>28</v>
      </c>
      <c r="J69" s="66">
        <f>COUNTIFS(TblUniv2017[B3],J$66,TblUniv2017[Prodi],$J$63)/$J$65*100%</f>
        <v>0.25</v>
      </c>
      <c r="K69" s="66">
        <f>COUNTIFS(TblUniv2017[B3],K$66,TblUniv2017[Prodi],$J$63)/$J$65*100%</f>
        <v>0.75</v>
      </c>
      <c r="L69" s="66">
        <f>COUNTIFS(TblUniv2017[B3],L$66,TblUniv2017[Prodi],$J$63)/$J$65*100%</f>
        <v>0</v>
      </c>
      <c r="M69" s="66">
        <f>COUNTIFS(TblUniv2017[B3],M$66,TblUniv2017[Prodi],$J$63)/$J$65*100%</f>
        <v>0</v>
      </c>
      <c r="N69" s="62">
        <f t="shared" si="1"/>
        <v>1</v>
      </c>
      <c r="P69" s="57" t="s">
        <v>28</v>
      </c>
      <c r="Q69" s="66">
        <f>COUNTIFS(TblUniv2017[B3],Q$66,TblUniv2017[Prodi],$Q$63)/$Q$65*100%</f>
        <v>0.29411764705882354</v>
      </c>
      <c r="R69" s="66">
        <f>COUNTIFS(TblUniv2017[B3],R$66,TblUniv2017[Prodi],$Q$63)/$Q$65*100%</f>
        <v>0.5</v>
      </c>
      <c r="S69" s="66">
        <f>COUNTIFS(TblUniv2017[B3],S$66,TblUniv2017[Prodi],$Q$63)/$Q$65*100%</f>
        <v>0.20588235294117646</v>
      </c>
      <c r="T69" s="66">
        <f>COUNTIFS(TblUniv2017[B3],T$66,TblUniv2017[Prodi],$Q$63)/$Q$65*100%</f>
        <v>0</v>
      </c>
      <c r="U69" s="62">
        <f t="shared" si="2"/>
        <v>1</v>
      </c>
      <c r="W69" s="57" t="s">
        <v>28</v>
      </c>
      <c r="X69" s="66">
        <f>COUNTIFS(TblUniv2017[B3],X$66,TblUniv2017[Prodi],$X$63)/$X$65*100%</f>
        <v>0.4</v>
      </c>
      <c r="Y69" s="66">
        <f>COUNTIFS(TblUniv2017[B3],Y$66,TblUniv2017[Prodi],$X$63)/$X$65*100%</f>
        <v>0.6</v>
      </c>
      <c r="Z69" s="66">
        <f>COUNTIFS(TblUniv2017[B3],Z$66,TblUniv2017[Prodi],$X$63)/$X$65*100%</f>
        <v>0</v>
      </c>
      <c r="AA69" s="66">
        <f>COUNTIFS(TblUniv2017[B3],AA$66,TblUniv2017[Prodi],$X$63)/$X$65*100%</f>
        <v>0</v>
      </c>
      <c r="AB69" s="62">
        <f t="shared" si="3"/>
        <v>1</v>
      </c>
      <c r="AD69" s="57" t="s">
        <v>28</v>
      </c>
      <c r="AE69" s="66">
        <f>COUNTIFS(TblUniv2017[B3],AE$66,TblUniv2017[Prodi],$AE$63)/$AE$65*100%</f>
        <v>0</v>
      </c>
      <c r="AF69" s="66">
        <f>COUNTIFS(TblUniv2017[B3],AF$66,TblUniv2017[Prodi],$AE$63)/$AE$65*100%</f>
        <v>1</v>
      </c>
      <c r="AG69" s="66">
        <f>COUNTIFS(TblUniv2017[B3],AG$66,TblUniv2017[Prodi],$AE$63)/$AE$65*100%</f>
        <v>0</v>
      </c>
      <c r="AH69" s="66">
        <f>COUNTIFS(TblUniv2017[B3],AH$66,TblUniv2017[Prodi],$AE$63)/$AE$65*100%</f>
        <v>0</v>
      </c>
      <c r="AI69" s="62">
        <f t="shared" si="4"/>
        <v>1</v>
      </c>
      <c r="AK69" s="57" t="s">
        <v>28</v>
      </c>
      <c r="AL69" s="66">
        <f>COUNTIFS(TblUniv2017[B3],AL$66,TblUniv2017[Prodi],$AL$63)/$AL$65*100%</f>
        <v>0</v>
      </c>
      <c r="AM69" s="66">
        <f>COUNTIFS(TblUniv2017[B3],AM$66,TblUniv2017[Prodi],$AL$63)/$AL$65*100%</f>
        <v>1</v>
      </c>
      <c r="AN69" s="66">
        <f>COUNTIFS(TblUniv2017[B3],AN$66,TblUniv2017[Prodi],$AL$63)/$AL$65*100%</f>
        <v>0</v>
      </c>
      <c r="AO69" s="66">
        <f>COUNTIFS(TblUniv2017[B3],AO$66,TblUniv2017[Prodi],$AL$63)/$AL$65*100%</f>
        <v>0</v>
      </c>
      <c r="AP69" s="62">
        <f t="shared" si="5"/>
        <v>1</v>
      </c>
      <c r="AR69" s="57" t="s">
        <v>28</v>
      </c>
      <c r="AS69" s="66">
        <f>COUNTIFS(TblUniv2017[B3],AS$66,TblUniv2017[Prodi],$AS$63)/$AS$65*100%</f>
        <v>0.5</v>
      </c>
      <c r="AT69" s="66">
        <f>COUNTIFS(TblUniv2017[B3],AT$66,TblUniv2017[Prodi],$AS$63)/$AS$65*100%</f>
        <v>0.5</v>
      </c>
      <c r="AU69" s="66">
        <f>COUNTIFS(TblUniv2017[B3],AU$66,TblUniv2017[Prodi],$AS$63)/$AS$65*100%</f>
        <v>0</v>
      </c>
      <c r="AV69" s="66">
        <f>COUNTIFS(TblUniv2017[B3],AV$66,TblUniv2017[Prodi],$AS$63)/$AS$65*100%</f>
        <v>0</v>
      </c>
      <c r="AW69" s="62">
        <f t="shared" si="6"/>
        <v>1</v>
      </c>
    </row>
    <row r="70" spans="2:49" ht="16.5" x14ac:dyDescent="0.3">
      <c r="B70" s="57" t="s">
        <v>29</v>
      </c>
      <c r="C70" s="66">
        <f>COUNTIFS(TblUniv2017[B4],$C$66)/C65*100%</f>
        <v>0.44642857142857145</v>
      </c>
      <c r="D70" s="66">
        <f>COUNTIFS(TblUniv2017[B4],$D$66)/C65*100%</f>
        <v>0.5535714285714286</v>
      </c>
      <c r="E70" s="66">
        <f>COUNTIFS(TblUniv2017[B4],$E$66)/C65*100%</f>
        <v>0</v>
      </c>
      <c r="F70" s="66">
        <f>COUNTIFS(TblUniv2017[B4],$F$66)/C65*100%</f>
        <v>0</v>
      </c>
      <c r="G70" s="62">
        <f t="shared" si="0"/>
        <v>1</v>
      </c>
      <c r="I70" s="57" t="s">
        <v>29</v>
      </c>
      <c r="J70" s="66">
        <f>COUNTIFS(TblUniv2017[B4],J$66,TblUniv2017[Prodi],$J$63)/$J$65*100%</f>
        <v>0.375</v>
      </c>
      <c r="K70" s="66">
        <f>COUNTIFS(TblUniv2017[B4],K$66,TblUniv2017[Prodi],$J$63)/$J$65*100%</f>
        <v>0.625</v>
      </c>
      <c r="L70" s="66">
        <f>COUNTIFS(TblUniv2017[B4],L$66,TblUniv2017[Prodi],$J$63)/$J$65*100%</f>
        <v>0</v>
      </c>
      <c r="M70" s="66">
        <f>COUNTIFS(TblUniv2017[B4],M$66,TblUniv2017[Prodi],$J$63)/$J$65*100%</f>
        <v>0</v>
      </c>
      <c r="N70" s="62">
        <f t="shared" si="1"/>
        <v>1</v>
      </c>
      <c r="P70" s="57" t="s">
        <v>29</v>
      </c>
      <c r="Q70" s="66">
        <f>COUNTIFS(TblUniv2017[B4],Q$66,TblUniv2017[Prodi],$Q$63)/$Q$65*100%</f>
        <v>0.47058823529411764</v>
      </c>
      <c r="R70" s="66">
        <f>COUNTIFS(TblUniv2017[B4],R$66,TblUniv2017[Prodi],$Q$63)/$Q$65*100%</f>
        <v>0.52941176470588236</v>
      </c>
      <c r="S70" s="66">
        <f>COUNTIFS(TblUniv2017[B4],S$66,TblUniv2017[Prodi],$Q$63)/$Q$65*100%</f>
        <v>0</v>
      </c>
      <c r="T70" s="66">
        <f>COUNTIFS(TblUniv2017[B4],T$66,TblUniv2017[Prodi],$Q$63)/$Q$65*100%</f>
        <v>0</v>
      </c>
      <c r="U70" s="62">
        <f t="shared" si="2"/>
        <v>1</v>
      </c>
      <c r="W70" s="57" t="s">
        <v>29</v>
      </c>
      <c r="X70" s="66">
        <f>COUNTIFS(TblUniv2017[B4],X$66,TblUniv2017[Prodi],$X$63)/$X$65*100%</f>
        <v>0.2</v>
      </c>
      <c r="Y70" s="66">
        <f>COUNTIFS(TblUniv2017[B4],Y$66,TblUniv2017[Prodi],$X$63)/$X$65*100%</f>
        <v>0.8</v>
      </c>
      <c r="Z70" s="66">
        <f>COUNTIFS(TblUniv2017[B4],Z$66,TblUniv2017[Prodi],$X$63)/$X$65*100%</f>
        <v>0</v>
      </c>
      <c r="AA70" s="66">
        <f>COUNTIFS(TblUniv2017[B4],AA$66,TblUniv2017[Prodi],$X$63)/$X$65*100%</f>
        <v>0</v>
      </c>
      <c r="AB70" s="62">
        <f t="shared" si="3"/>
        <v>1</v>
      </c>
      <c r="AD70" s="57" t="s">
        <v>29</v>
      </c>
      <c r="AE70" s="66">
        <f>COUNTIFS(TblUniv2017[B4],AE$66,TblUniv2017[Prodi],$AE$63)/$AE$65*100%</f>
        <v>0</v>
      </c>
      <c r="AF70" s="66">
        <f>COUNTIFS(TblUniv2017[B4],AF$66,TblUniv2017[Prodi],$AE$63)/$AE$65*100%</f>
        <v>1</v>
      </c>
      <c r="AG70" s="66">
        <f>COUNTIFS(TblUniv2017[B4],AG$66,TblUniv2017[Prodi],$AE$63)/$AE$65*100%</f>
        <v>0</v>
      </c>
      <c r="AH70" s="66">
        <f>COUNTIFS(TblUniv2017[B4],AH$66,TblUniv2017[Prodi],$AE$63)/$AE$65*100%</f>
        <v>0</v>
      </c>
      <c r="AI70" s="62">
        <f t="shared" si="4"/>
        <v>1</v>
      </c>
      <c r="AK70" s="57" t="s">
        <v>29</v>
      </c>
      <c r="AL70" s="66">
        <f>COUNTIFS(TblUniv2017[B4],AL$66,TblUniv2017[Prodi],$AL$63)/$AL$65*100%</f>
        <v>1</v>
      </c>
      <c r="AM70" s="66">
        <f>COUNTIFS(TblUniv2017[B4],AM$66,TblUniv2017[Prodi],$AL$63)/$AL$65*100%</f>
        <v>0</v>
      </c>
      <c r="AN70" s="66">
        <f>COUNTIFS(TblUniv2017[B4],AN$66,TblUniv2017[Prodi],$AL$63)/$AL$65*100%</f>
        <v>0</v>
      </c>
      <c r="AO70" s="66">
        <f>COUNTIFS(TblUniv2017[B4],AO$66,TblUniv2017[Prodi],$AL$63)/$AL$65*100%</f>
        <v>0</v>
      </c>
      <c r="AP70" s="62">
        <f t="shared" si="5"/>
        <v>1</v>
      </c>
      <c r="AR70" s="57" t="s">
        <v>29</v>
      </c>
      <c r="AS70" s="66">
        <f>COUNTIFS(TblUniv2017[B4],AS$66,TblUniv2017[Prodi],$AS$63)/$AS$65*100%</f>
        <v>0.5</v>
      </c>
      <c r="AT70" s="66">
        <f>COUNTIFS(TblUniv2017[B4],AT$66,TblUniv2017[Prodi],$AS$63)/$AS$65*100%</f>
        <v>0.5</v>
      </c>
      <c r="AU70" s="66">
        <f>COUNTIFS(TblUniv2017[B4],AU$66,TblUniv2017[Prodi],$AS$63)/$AS$65*100%</f>
        <v>0</v>
      </c>
      <c r="AV70" s="66">
        <f>COUNTIFS(TblUniv2017[B4],AV$66,TblUniv2017[Prodi],$AS$63)/$AS$65*100%</f>
        <v>0</v>
      </c>
      <c r="AW70" s="62">
        <f t="shared" si="6"/>
        <v>1</v>
      </c>
    </row>
    <row r="71" spans="2:49" ht="16.5" x14ac:dyDescent="0.3">
      <c r="B71" s="57" t="s">
        <v>30</v>
      </c>
      <c r="C71" s="66">
        <f>COUNTIFS(TblUniv2017[B5],$C$66)/C65*100%</f>
        <v>0.48214285714285715</v>
      </c>
      <c r="D71" s="66">
        <f>COUNTIFS(TblUniv2017[B5],$D$66)/C65*100%</f>
        <v>0.5178571428571429</v>
      </c>
      <c r="E71" s="66">
        <f>COUNTIFS(TblUniv2017[B5],$E$66)/C65*100%</f>
        <v>0</v>
      </c>
      <c r="F71" s="66">
        <f>COUNTIFS(TblUniv2017[B5],$F$66)/C65*100%</f>
        <v>0</v>
      </c>
      <c r="G71" s="62">
        <f t="shared" si="0"/>
        <v>1</v>
      </c>
      <c r="I71" s="57" t="s">
        <v>30</v>
      </c>
      <c r="J71" s="66">
        <f>COUNTIFS(TblUniv2017[B5],J$66,TblUniv2017[Prodi],$J$63)/$J$65*100%</f>
        <v>0.375</v>
      </c>
      <c r="K71" s="66">
        <f>COUNTIFS(TblUniv2017[B5],K$66,TblUniv2017[Prodi],$J$63)/$J$65*100%</f>
        <v>0.625</v>
      </c>
      <c r="L71" s="66">
        <f>COUNTIFS(TblUniv2017[B5],L$66,TblUniv2017[Prodi],$J$63)/$J$65*100%</f>
        <v>0</v>
      </c>
      <c r="M71" s="66">
        <f>COUNTIFS(TblUniv2017[B5],M$66,TblUniv2017[Prodi],$J$63)/$J$65*100%</f>
        <v>0</v>
      </c>
      <c r="N71" s="62">
        <f t="shared" si="1"/>
        <v>1</v>
      </c>
      <c r="P71" s="57" t="s">
        <v>30</v>
      </c>
      <c r="Q71" s="66">
        <f>COUNTIFS(TblUniv2017[B5],Q$66,TblUniv2017[Prodi],$Q$63)/$Q$65*100%</f>
        <v>0.47058823529411764</v>
      </c>
      <c r="R71" s="66">
        <f>COUNTIFS(TblUniv2017[B5],R$66,TblUniv2017[Prodi],$Q$63)/$Q$65*100%</f>
        <v>0.52941176470588236</v>
      </c>
      <c r="S71" s="66">
        <f>COUNTIFS(TblUniv2017[B5],S$66,TblUniv2017[Prodi],$Q$63)/$Q$65*100%</f>
        <v>0</v>
      </c>
      <c r="T71" s="66">
        <f>COUNTIFS(TblUniv2017[B5],T$66,TblUniv2017[Prodi],$Q$63)/$Q$65*100%</f>
        <v>0</v>
      </c>
      <c r="U71" s="62">
        <f t="shared" si="2"/>
        <v>1</v>
      </c>
      <c r="W71" s="57" t="s">
        <v>30</v>
      </c>
      <c r="X71" s="66">
        <f>COUNTIFS(TblUniv2017[B5],X$66,TblUniv2017[Prodi],$X$63)/$X$65*100%</f>
        <v>0.6</v>
      </c>
      <c r="Y71" s="66">
        <f>COUNTIFS(TblUniv2017[B5],Y$66,TblUniv2017[Prodi],$X$63)/$X$65*100%</f>
        <v>0.4</v>
      </c>
      <c r="Z71" s="66">
        <f>COUNTIFS(TblUniv2017[B5],Z$66,TblUniv2017[Prodi],$X$63)/$X$65*100%</f>
        <v>0</v>
      </c>
      <c r="AA71" s="66">
        <f>COUNTIFS(TblUniv2017[B5],AA$66,TblUniv2017[Prodi],$X$63)/$X$65*100%</f>
        <v>0</v>
      </c>
      <c r="AB71" s="62">
        <f t="shared" si="3"/>
        <v>1</v>
      </c>
      <c r="AD71" s="57" t="s">
        <v>30</v>
      </c>
      <c r="AE71" s="66">
        <f>COUNTIFS(TblUniv2017[B5],AE$66,TblUniv2017[Prodi],$AE$63)/$AE$65*100%</f>
        <v>0</v>
      </c>
      <c r="AF71" s="66">
        <f>COUNTIFS(TblUniv2017[B5],AF$66,TblUniv2017[Prodi],$AE$63)/$AE$65*100%</f>
        <v>1</v>
      </c>
      <c r="AG71" s="66">
        <f>COUNTIFS(TblUniv2017[B5],AG$66,TblUniv2017[Prodi],$AE$63)/$AE$65*100%</f>
        <v>0</v>
      </c>
      <c r="AH71" s="66">
        <f>COUNTIFS(TblUniv2017[B5],AH$66,TblUniv2017[Prodi],$AE$63)/$AE$65*100%</f>
        <v>0</v>
      </c>
      <c r="AI71" s="62">
        <f t="shared" si="4"/>
        <v>1</v>
      </c>
      <c r="AK71" s="57" t="s">
        <v>30</v>
      </c>
      <c r="AL71" s="66">
        <f>COUNTIFS(TblUniv2017[B5],AL$66,TblUniv2017[Prodi],$AL$63)/$AL$65*100%</f>
        <v>1</v>
      </c>
      <c r="AM71" s="66">
        <f>COUNTIFS(TblUniv2017[B5],AM$66,TblUniv2017[Prodi],$AL$63)/$AL$65*100%</f>
        <v>0</v>
      </c>
      <c r="AN71" s="66">
        <f>COUNTIFS(TblUniv2017[B5],AN$66,TblUniv2017[Prodi],$AL$63)/$AL$65*100%</f>
        <v>0</v>
      </c>
      <c r="AO71" s="66">
        <f>COUNTIFS(TblUniv2017[B5],AO$66,TblUniv2017[Prodi],$AL$63)/$AL$65*100%</f>
        <v>0</v>
      </c>
      <c r="AP71" s="62">
        <f t="shared" si="5"/>
        <v>1</v>
      </c>
      <c r="AR71" s="57" t="s">
        <v>30</v>
      </c>
      <c r="AS71" s="66">
        <f>COUNTIFS(TblUniv2017[B5],AS$66,TblUniv2017[Prodi],$AS$63)/$AS$65*100%</f>
        <v>0.5</v>
      </c>
      <c r="AT71" s="66">
        <f>COUNTIFS(TblUniv2017[B5],AT$66,TblUniv2017[Prodi],$AS$63)/$AS$65*100%</f>
        <v>0.5</v>
      </c>
      <c r="AU71" s="66">
        <f>COUNTIFS(TblUniv2017[B5],AU$66,TblUniv2017[Prodi],$AS$63)/$AS$65*100%</f>
        <v>0</v>
      </c>
      <c r="AV71" s="66">
        <f>COUNTIFS(TblUniv2017[B5],AV$66,TblUniv2017[Prodi],$AS$63)/$AS$65*100%</f>
        <v>0</v>
      </c>
      <c r="AW71" s="62">
        <f t="shared" si="6"/>
        <v>1</v>
      </c>
    </row>
    <row r="72" spans="2:49" ht="16.5" x14ac:dyDescent="0.3">
      <c r="B72" s="60"/>
      <c r="C72" s="61">
        <f>AVERAGE(C67:C71)</f>
        <v>0.43928571428571433</v>
      </c>
      <c r="D72" s="61">
        <f>AVERAGE(D67:D71)</f>
        <v>0.5357142857142857</v>
      </c>
      <c r="E72" s="61">
        <f>AVERAGE(E67:E71)</f>
        <v>2.5000000000000001E-2</v>
      </c>
      <c r="F72" s="61">
        <f>AVERAGE(F67:F71)</f>
        <v>0</v>
      </c>
      <c r="G72" s="62">
        <f t="shared" si="0"/>
        <v>1</v>
      </c>
      <c r="I72" s="60"/>
      <c r="J72" s="61">
        <f>AVERAGE(J67:J71)</f>
        <v>0.35</v>
      </c>
      <c r="K72" s="61">
        <f>AVERAGE(K67:K71)</f>
        <v>0.65</v>
      </c>
      <c r="L72" s="61">
        <f>AVERAGE(L67:L71)</f>
        <v>0</v>
      </c>
      <c r="M72" s="61">
        <f>AVERAGE(M67:M71)</f>
        <v>0</v>
      </c>
      <c r="N72" s="62">
        <f t="shared" si="1"/>
        <v>1</v>
      </c>
      <c r="P72" s="60"/>
      <c r="Q72" s="61">
        <f>AVERAGE(Q67:Q71)</f>
        <v>0.43529411764705889</v>
      </c>
      <c r="R72" s="61">
        <f>AVERAGE(R67:R71)</f>
        <v>0.52352941176470591</v>
      </c>
      <c r="S72" s="61">
        <f>AVERAGE(S67:S71)</f>
        <v>4.1176470588235294E-2</v>
      </c>
      <c r="T72" s="61">
        <f>AVERAGE(T67:T71)</f>
        <v>0</v>
      </c>
      <c r="U72" s="62">
        <f t="shared" si="2"/>
        <v>1.0000000000000002</v>
      </c>
      <c r="W72" s="60"/>
      <c r="X72" s="61">
        <f>AVERAGE(X67:X71)</f>
        <v>0.43999999999999995</v>
      </c>
      <c r="Y72" s="61">
        <f>AVERAGE(Y67:Y71)</f>
        <v>0.56000000000000005</v>
      </c>
      <c r="Z72" s="61">
        <f>AVERAGE(Z67:Z71)</f>
        <v>0</v>
      </c>
      <c r="AA72" s="61">
        <f>AVERAGE(AA67:AA71)</f>
        <v>0</v>
      </c>
      <c r="AB72" s="62">
        <f t="shared" si="3"/>
        <v>1</v>
      </c>
      <c r="AD72" s="60"/>
      <c r="AE72" s="61">
        <f>AVERAGE(AE67:AE71)</f>
        <v>0.2</v>
      </c>
      <c r="AF72" s="61">
        <f>AVERAGE(AF67:AF71)</f>
        <v>0.8</v>
      </c>
      <c r="AG72" s="61">
        <f>AVERAGE(AG67:AG71)</f>
        <v>0</v>
      </c>
      <c r="AH72" s="61">
        <f>AVERAGE(AH67:AH71)</f>
        <v>0</v>
      </c>
      <c r="AI72" s="62">
        <f t="shared" si="4"/>
        <v>1</v>
      </c>
      <c r="AK72" s="60"/>
      <c r="AL72" s="61">
        <f>AVERAGE(AL67:AL71)</f>
        <v>0.8</v>
      </c>
      <c r="AM72" s="61">
        <f>AVERAGE(AM67:AM71)</f>
        <v>0.2</v>
      </c>
      <c r="AN72" s="61">
        <f>AVERAGE(AN67:AN71)</f>
        <v>0</v>
      </c>
      <c r="AO72" s="61">
        <f>AVERAGE(AO67:AO71)</f>
        <v>0</v>
      </c>
      <c r="AP72" s="62">
        <f t="shared" si="5"/>
        <v>1</v>
      </c>
      <c r="AR72" s="60"/>
      <c r="AS72" s="61">
        <f>AVERAGE(AS67:AS71)</f>
        <v>0.5</v>
      </c>
      <c r="AT72" s="61">
        <f>AVERAGE(AT67:AT71)</f>
        <v>0.5</v>
      </c>
      <c r="AU72" s="61">
        <f>AVERAGE(AU67:AU71)</f>
        <v>0</v>
      </c>
      <c r="AV72" s="61">
        <f>AVERAGE(AV67:AV71)</f>
        <v>0</v>
      </c>
      <c r="AW72" s="62">
        <f t="shared" si="6"/>
        <v>1</v>
      </c>
    </row>
    <row r="73" spans="2:49" ht="16.5" x14ac:dyDescent="0.3">
      <c r="B73" s="57" t="s">
        <v>31</v>
      </c>
      <c r="C73" s="66">
        <f>COUNTIFS(TblUniv2017[C1],$C$66)/$C$65*100%</f>
        <v>0.5</v>
      </c>
      <c r="D73" s="66">
        <f>COUNTIFS(TblUniv2017[C1],$D$66)/$C$65*100%</f>
        <v>0.44642857142857145</v>
      </c>
      <c r="E73" s="66">
        <f>COUNTIFS(TblUniv2017[C1],$E$66)/$C$65*100%</f>
        <v>5.3571428571428568E-2</v>
      </c>
      <c r="F73" s="66">
        <f>COUNTIFS(TblUniv2017[C1],$F$66)/$C$65*100%</f>
        <v>0</v>
      </c>
      <c r="G73" s="62">
        <f t="shared" si="0"/>
        <v>1</v>
      </c>
      <c r="I73" s="57" t="s">
        <v>31</v>
      </c>
      <c r="J73" s="66">
        <f>COUNTIFS(TblUniv2017[C1],J$66,TblUniv2017[Prodi],$J$63)/$J$65*100%</f>
        <v>0.75</v>
      </c>
      <c r="K73" s="66">
        <f>COUNTIFS(TblUniv2017[C1],K$66,TblUniv2017[Prodi],$J$63)/$J$65*100%</f>
        <v>0.25</v>
      </c>
      <c r="L73" s="66">
        <f>COUNTIFS(TblUniv2017[C1],L$66,TblUniv2017[Prodi],$J$63)/$J$65*100%</f>
        <v>0</v>
      </c>
      <c r="M73" s="66">
        <f>COUNTIFS(TblUniv2017[C1],M$66,TblUniv2017[Prodi],$J$63)/$J$65*100%</f>
        <v>0</v>
      </c>
      <c r="N73" s="62">
        <f t="shared" si="1"/>
        <v>1</v>
      </c>
      <c r="P73" s="57" t="s">
        <v>31</v>
      </c>
      <c r="Q73" s="66">
        <f>COUNTIFS(TblUniv2017[C1],Q$66,TblUniv2017[Prodi],$Q$63)/$Q$65*100%</f>
        <v>0.55882352941176472</v>
      </c>
      <c r="R73" s="66">
        <f>COUNTIFS(TblUniv2017[C1],R$66,TblUniv2017[Prodi],$Q$63)/$Q$65*100%</f>
        <v>0.41176470588235292</v>
      </c>
      <c r="S73" s="66">
        <f>COUNTIFS(TblUniv2017[C1],S$66,TblUniv2017[Prodi],$Q$63)/$Q$65*100%</f>
        <v>2.9411764705882353E-2</v>
      </c>
      <c r="T73" s="66">
        <f>COUNTIFS(TblUniv2017[C1],T$66,TblUniv2017[Prodi],$Q$63)/$Q$65*100%</f>
        <v>0</v>
      </c>
      <c r="U73" s="62">
        <f t="shared" si="2"/>
        <v>1</v>
      </c>
      <c r="W73" s="57" t="s">
        <v>31</v>
      </c>
      <c r="X73" s="66">
        <f>COUNTIFS(TblUniv2017[C1],X$66,TblUniv2017[Prodi],$X$63)/$X$65*100%</f>
        <v>0</v>
      </c>
      <c r="Y73" s="66">
        <f>COUNTIFS(TblUniv2017[C1],Y$66,TblUniv2017[Prodi],$X$63)/$X$65*100%</f>
        <v>1</v>
      </c>
      <c r="Z73" s="66">
        <f>COUNTIFS(TblUniv2017[C1],Z$66,TblUniv2017[Prodi],$X$63)/$X$65*100%</f>
        <v>0</v>
      </c>
      <c r="AA73" s="66">
        <f>COUNTIFS(TblUniv2017[C1],AA$66,TblUniv2017[Prodi],$X$63)/$X$65*100%</f>
        <v>0</v>
      </c>
      <c r="AB73" s="62">
        <f t="shared" si="3"/>
        <v>1</v>
      </c>
      <c r="AD73" s="57" t="s">
        <v>31</v>
      </c>
      <c r="AE73" s="66">
        <f>COUNTIFS(TblUniv2017[C1],AE$66,TblUniv2017[Prodi],$AE$63)/$AE$65*100%</f>
        <v>0</v>
      </c>
      <c r="AF73" s="66">
        <f>COUNTIFS(TblUniv2017[C1],AF$66,TblUniv2017[Prodi],$AE$63)/$AE$65*100%</f>
        <v>1</v>
      </c>
      <c r="AG73" s="66">
        <f>COUNTIFS(TblUniv2017[C1],AG$66,TblUniv2017[Prodi],$AE$63)/$AE$65*100%</f>
        <v>0</v>
      </c>
      <c r="AH73" s="66">
        <f>COUNTIFS(TblUniv2017[C1],AH$66,TblUniv2017[Prodi],$AE$63)/$AE$65*100%</f>
        <v>0</v>
      </c>
      <c r="AI73" s="62">
        <f t="shared" si="4"/>
        <v>1</v>
      </c>
      <c r="AK73" s="57" t="s">
        <v>31</v>
      </c>
      <c r="AL73" s="66">
        <f>COUNTIFS(TblUniv2017[C1],AL$66,TblUniv2017[Prodi],$AL$63)/$AL$65*100%</f>
        <v>0</v>
      </c>
      <c r="AM73" s="66">
        <f>COUNTIFS(TblUniv2017[C1],AM$66,TblUniv2017[Prodi],$AL$63)/$AL$65*100%</f>
        <v>0</v>
      </c>
      <c r="AN73" s="66">
        <f>COUNTIFS(TblUniv2017[C1],AN$66,TblUniv2017[Prodi],$AL$63)/$AL$65*100%</f>
        <v>1</v>
      </c>
      <c r="AO73" s="66">
        <f>COUNTIFS(TblUniv2017[C1],AO$66,TblUniv2017[Prodi],$AL$63)/$AL$65*100%</f>
        <v>0</v>
      </c>
      <c r="AP73" s="62">
        <f t="shared" si="5"/>
        <v>1</v>
      </c>
      <c r="AR73" s="57" t="s">
        <v>31</v>
      </c>
      <c r="AS73" s="66">
        <f>COUNTIFS(TblUniv2017[C1],AS$66,TblUniv2017[Prodi],$AS$63)/$AS$65*100%</f>
        <v>0.5</v>
      </c>
      <c r="AT73" s="66">
        <f>COUNTIFS(TblUniv2017[C1],AT$66,TblUniv2017[Prodi],$AS$63)/$AS$65*100%</f>
        <v>0.5</v>
      </c>
      <c r="AU73" s="66">
        <f>COUNTIFS(TblUniv2017[C1],AU$66,TblUniv2017[Prodi],$AS$63)/$AS$65*100%</f>
        <v>0</v>
      </c>
      <c r="AV73" s="66">
        <f>COUNTIFS(TblUniv2017[C1],AV$66,TblUniv2017[Prodi],$AS$63)/$AS$65*100%</f>
        <v>0</v>
      </c>
      <c r="AW73" s="62">
        <f t="shared" si="6"/>
        <v>1</v>
      </c>
    </row>
    <row r="74" spans="2:49" ht="16.5" x14ac:dyDescent="0.3">
      <c r="B74" s="57" t="s">
        <v>32</v>
      </c>
      <c r="C74" s="66">
        <f>COUNTIFS(TblUniv2017[C2],C$66)/$C$65*100%</f>
        <v>0.5535714285714286</v>
      </c>
      <c r="D74" s="66">
        <f>COUNTIFS(TblUniv2017[C2],D$66)/$C$65*100%</f>
        <v>0.35714285714285715</v>
      </c>
      <c r="E74" s="66">
        <f>COUNTIFS(TblUniv2017[C2],E$66)/$C$65*100%</f>
        <v>8.9285714285714288E-2</v>
      </c>
      <c r="F74" s="66">
        <f>COUNTIFS(TblUniv2017[C2],F$66)/$C$65*100%</f>
        <v>0</v>
      </c>
      <c r="G74" s="62">
        <f t="shared" si="0"/>
        <v>1</v>
      </c>
      <c r="I74" s="57" t="s">
        <v>32</v>
      </c>
      <c r="J74" s="66">
        <f>COUNTIFS(TblUniv2017[C2],J$66,TblUniv2017[Prodi],$J$63)/$J$65*100%</f>
        <v>0.875</v>
      </c>
      <c r="K74" s="66">
        <f>COUNTIFS(TblUniv2017[C2],K$66,TblUniv2017[Prodi],$J$63)/$J$65*100%</f>
        <v>0.125</v>
      </c>
      <c r="L74" s="66">
        <f>COUNTIFS(TblUniv2017[C2],L$66,TblUniv2017[Prodi],$J$63)/$J$65*100%</f>
        <v>0</v>
      </c>
      <c r="M74" s="66">
        <f>COUNTIFS(TblUniv2017[C2],M$66,TblUniv2017[Prodi],$J$63)/$J$65*100%</f>
        <v>0</v>
      </c>
      <c r="N74" s="62">
        <f t="shared" si="1"/>
        <v>1</v>
      </c>
      <c r="P74" s="57" t="s">
        <v>32</v>
      </c>
      <c r="Q74" s="66">
        <f>COUNTIFS(TblUniv2017[C2],Q$66,TblUniv2017[Prodi],$Q$63)/$Q$65*100%</f>
        <v>0.44117647058823528</v>
      </c>
      <c r="R74" s="66">
        <f>COUNTIFS(TblUniv2017[C2],R$66,TblUniv2017[Prodi],$Q$63)/$Q$65*100%</f>
        <v>0.41176470588235292</v>
      </c>
      <c r="S74" s="66">
        <f>COUNTIFS(TblUniv2017[C2],S$66,TblUniv2017[Prodi],$Q$63)/$Q$65*100%</f>
        <v>0.14705882352941177</v>
      </c>
      <c r="T74" s="66">
        <f>COUNTIFS(TblUniv2017[C2],T$66,TblUniv2017[Prodi],$Q$63)/$Q$65*100%</f>
        <v>0</v>
      </c>
      <c r="U74" s="62">
        <f t="shared" si="2"/>
        <v>1</v>
      </c>
      <c r="W74" s="57" t="s">
        <v>32</v>
      </c>
      <c r="X74" s="66">
        <f>COUNTIFS(TblUniv2017[C2],X$66,TblUniv2017[Prodi],$X$63)/$X$65*100%</f>
        <v>0.8</v>
      </c>
      <c r="Y74" s="66">
        <f>COUNTIFS(TblUniv2017[C2],Y$66,TblUniv2017[Prodi],$X$63)/$X$65*100%</f>
        <v>0.2</v>
      </c>
      <c r="Z74" s="66">
        <f>COUNTIFS(TblUniv2017[C2],Z$66,TblUniv2017[Prodi],$X$63)/$X$65*100%</f>
        <v>0</v>
      </c>
      <c r="AA74" s="66">
        <f>COUNTIFS(TblUniv2017[C2],AA$66,TblUniv2017[Prodi],$X$63)/$X$65*100%</f>
        <v>0</v>
      </c>
      <c r="AB74" s="62">
        <f t="shared" si="3"/>
        <v>1</v>
      </c>
      <c r="AD74" s="57" t="s">
        <v>32</v>
      </c>
      <c r="AE74" s="66">
        <f>COUNTIFS(TblUniv2017[C2],AE$66,TblUniv2017[Prodi],$AE$63)/$AE$65*100%</f>
        <v>0</v>
      </c>
      <c r="AF74" s="66">
        <f>COUNTIFS(TblUniv2017[C2],AF$66,TblUniv2017[Prodi],$AE$63)/$AE$65*100%</f>
        <v>1</v>
      </c>
      <c r="AG74" s="66">
        <f>COUNTIFS(TblUniv2017[C2],AG$66,TblUniv2017[Prodi],$AE$63)/$AE$65*100%</f>
        <v>0</v>
      </c>
      <c r="AH74" s="66">
        <f>COUNTIFS(TblUniv2017[C2],AH$66,TblUniv2017[Prodi],$AE$63)/$AE$65*100%</f>
        <v>0</v>
      </c>
      <c r="AI74" s="62">
        <f t="shared" si="4"/>
        <v>1</v>
      </c>
      <c r="AK74" s="57" t="s">
        <v>32</v>
      </c>
      <c r="AL74" s="66">
        <f>COUNTIFS(TblUniv2017[C2],AL$66,TblUniv2017[Prodi],$AL$63)/$AL$65*100%</f>
        <v>1</v>
      </c>
      <c r="AM74" s="66">
        <f>COUNTIFS(TblUniv2017[C2],AM$66,TblUniv2017[Prodi],$AL$63)/$AL$65*100%</f>
        <v>0</v>
      </c>
      <c r="AN74" s="66">
        <f>COUNTIFS(TblUniv2017[C2],AN$66,TblUniv2017[Prodi],$AL$63)/$AL$65*100%</f>
        <v>0</v>
      </c>
      <c r="AO74" s="66">
        <f>COUNTIFS(TblUniv2017[C2],AO$66,TblUniv2017[Prodi],$AL$63)/$AL$65*100%</f>
        <v>0</v>
      </c>
      <c r="AP74" s="62">
        <f t="shared" si="5"/>
        <v>1</v>
      </c>
      <c r="AR74" s="57" t="s">
        <v>32</v>
      </c>
      <c r="AS74" s="66">
        <f>COUNTIFS(TblUniv2017[C2],AS$66,TblUniv2017[Prodi],$AS$63)/$AS$65*100%</f>
        <v>0.5</v>
      </c>
      <c r="AT74" s="66">
        <f>COUNTIFS(TblUniv2017[C2],AT$66,TblUniv2017[Prodi],$AS$63)/$AS$65*100%</f>
        <v>0.5</v>
      </c>
      <c r="AU74" s="66">
        <f>COUNTIFS(TblUniv2017[C2],AU$66,TblUniv2017[Prodi],$AS$63)/$AS$65*100%</f>
        <v>0</v>
      </c>
      <c r="AV74" s="66">
        <f>COUNTIFS(TblUniv2017[C2],AV$66,TblUniv2017[Prodi],$AS$63)/$AS$65*100%</f>
        <v>0</v>
      </c>
      <c r="AW74" s="62">
        <f t="shared" si="6"/>
        <v>1</v>
      </c>
    </row>
    <row r="75" spans="2:49" ht="16.5" x14ac:dyDescent="0.3">
      <c r="B75" s="60"/>
      <c r="C75" s="61">
        <f>AVERAGE(C73:C74)</f>
        <v>0.5267857142857143</v>
      </c>
      <c r="D75" s="61">
        <f>AVERAGE(D73:D74)</f>
        <v>0.4017857142857143</v>
      </c>
      <c r="E75" s="61">
        <f>AVERAGE(E73:E74)</f>
        <v>7.1428571428571425E-2</v>
      </c>
      <c r="F75" s="61">
        <f>AVERAGE(F73:F74)</f>
        <v>0</v>
      </c>
      <c r="G75" s="62">
        <f t="shared" si="0"/>
        <v>1</v>
      </c>
      <c r="I75" s="60"/>
      <c r="J75" s="61">
        <f>AVERAGE(J73:J74)</f>
        <v>0.8125</v>
      </c>
      <c r="K75" s="61">
        <f>AVERAGE(K73:K74)</f>
        <v>0.1875</v>
      </c>
      <c r="L75" s="61">
        <f>AVERAGE(L73:L74)</f>
        <v>0</v>
      </c>
      <c r="M75" s="61">
        <f>AVERAGE(M73:M74)</f>
        <v>0</v>
      </c>
      <c r="N75" s="62">
        <f t="shared" si="1"/>
        <v>1</v>
      </c>
      <c r="P75" s="60"/>
      <c r="Q75" s="61">
        <f>AVERAGE(Q73:Q74)</f>
        <v>0.5</v>
      </c>
      <c r="R75" s="61">
        <f>AVERAGE(R73:R74)</f>
        <v>0.41176470588235292</v>
      </c>
      <c r="S75" s="61">
        <f>AVERAGE(S73:S74)</f>
        <v>8.8235294117647065E-2</v>
      </c>
      <c r="T75" s="61">
        <f>AVERAGE(T73:T74)</f>
        <v>0</v>
      </c>
      <c r="U75" s="62">
        <f t="shared" si="2"/>
        <v>1</v>
      </c>
      <c r="W75" s="60"/>
      <c r="X75" s="61">
        <f>AVERAGE(X73:X74)</f>
        <v>0.4</v>
      </c>
      <c r="Y75" s="61">
        <f>AVERAGE(Y73:Y74)</f>
        <v>0.6</v>
      </c>
      <c r="Z75" s="61">
        <f>AVERAGE(Z73:Z74)</f>
        <v>0</v>
      </c>
      <c r="AA75" s="61">
        <f>AVERAGE(AA73:AA74)</f>
        <v>0</v>
      </c>
      <c r="AB75" s="62">
        <f t="shared" si="3"/>
        <v>1</v>
      </c>
      <c r="AD75" s="60"/>
      <c r="AE75" s="61">
        <f>AVERAGE(AE73:AE74)</f>
        <v>0</v>
      </c>
      <c r="AF75" s="61">
        <f>AVERAGE(AF73:AF74)</f>
        <v>1</v>
      </c>
      <c r="AG75" s="61">
        <f>AVERAGE(AG73:AG74)</f>
        <v>0</v>
      </c>
      <c r="AH75" s="61">
        <f>AVERAGE(AH73:AH74)</f>
        <v>0</v>
      </c>
      <c r="AI75" s="62">
        <f t="shared" si="4"/>
        <v>1</v>
      </c>
      <c r="AK75" s="60"/>
      <c r="AL75" s="61">
        <f>AVERAGE(AL73:AL74)</f>
        <v>0.5</v>
      </c>
      <c r="AM75" s="61">
        <f>AVERAGE(AM73:AM74)</f>
        <v>0</v>
      </c>
      <c r="AN75" s="61">
        <f>AVERAGE(AN73:AN74)</f>
        <v>0.5</v>
      </c>
      <c r="AO75" s="61">
        <f>AVERAGE(AO73:AO74)</f>
        <v>0</v>
      </c>
      <c r="AP75" s="62">
        <f t="shared" si="5"/>
        <v>1</v>
      </c>
      <c r="AR75" s="60"/>
      <c r="AS75" s="61">
        <f>AVERAGE(AS73:AS74)</f>
        <v>0.5</v>
      </c>
      <c r="AT75" s="61">
        <f>AVERAGE(AT73:AT74)</f>
        <v>0.5</v>
      </c>
      <c r="AU75" s="61">
        <f>AVERAGE(AU73:AU74)</f>
        <v>0</v>
      </c>
      <c r="AV75" s="61">
        <f>AVERAGE(AV73:AV74)</f>
        <v>0</v>
      </c>
      <c r="AW75" s="62">
        <f t="shared" si="6"/>
        <v>1</v>
      </c>
    </row>
    <row r="76" spans="2:49" ht="16.5" x14ac:dyDescent="0.3">
      <c r="B76" s="57" t="s">
        <v>33</v>
      </c>
      <c r="C76" s="66">
        <f>COUNTIFS(TblUniv2017[D1],C$66)/$C$65*100%</f>
        <v>8.9285714285714288E-2</v>
      </c>
      <c r="D76" s="66">
        <f>COUNTIFS(TblUniv2017[D1],D$66)/$C$65*100%</f>
        <v>0.6785714285714286</v>
      </c>
      <c r="E76" s="66">
        <f>COUNTIFS(TblUniv2017[D1],E$66)/$C$65*100%</f>
        <v>0.21428571428571427</v>
      </c>
      <c r="F76" s="66">
        <f>COUNTIFS(TblUniv2017[D1],F$66)/$C$65*100%</f>
        <v>1.7857142857142856E-2</v>
      </c>
      <c r="G76" s="62">
        <f t="shared" si="0"/>
        <v>1</v>
      </c>
      <c r="I76" s="57" t="s">
        <v>33</v>
      </c>
      <c r="J76" s="66">
        <f>COUNTIFS(TblUniv2017[D1],J$66,TblUniv2017[Prodi],$J$63)/$J$65*100%</f>
        <v>0</v>
      </c>
      <c r="K76" s="66">
        <f>COUNTIFS(TblUniv2017[D1],K$66,TblUniv2017[Prodi],$J$63)/$J$65*100%</f>
        <v>1</v>
      </c>
      <c r="L76" s="66">
        <f>COUNTIFS(TblUniv2017[D1],L$66,TblUniv2017[Prodi],$J$63)/$J$65*100%</f>
        <v>0</v>
      </c>
      <c r="M76" s="66">
        <f>COUNTIFS(TblUniv2017[D1],M$66,TblUniv2017[Prodi],$J$63)/$J$65*100%</f>
        <v>0</v>
      </c>
      <c r="N76" s="62">
        <f t="shared" si="1"/>
        <v>1</v>
      </c>
      <c r="P76" s="57" t="s">
        <v>33</v>
      </c>
      <c r="Q76" s="66">
        <f>COUNTIFS(TblUniv2017[D1],Q$66,TblUniv2017[Prodi],$Q$63)/$Q$65*100%</f>
        <v>5.8823529411764705E-2</v>
      </c>
      <c r="R76" s="66">
        <f>COUNTIFS(TblUniv2017[D1],R$66,TblUniv2017[Prodi],$Q$63)/$Q$65*100%</f>
        <v>0.61764705882352944</v>
      </c>
      <c r="S76" s="66">
        <f>COUNTIFS(TblUniv2017[D1],S$66,TblUniv2017[Prodi],$Q$63)/$Q$65*100%</f>
        <v>0.29411764705882354</v>
      </c>
      <c r="T76" s="66">
        <f>COUNTIFS(TblUniv2017[D1],T$66,TblUniv2017[Prodi],$Q$63)/$Q$65*100%</f>
        <v>2.9411764705882353E-2</v>
      </c>
      <c r="U76" s="62">
        <f t="shared" si="2"/>
        <v>1</v>
      </c>
      <c r="W76" s="57" t="s">
        <v>33</v>
      </c>
      <c r="X76" s="66">
        <f>COUNTIFS(TblUniv2017[D1],X$66,TblUniv2017[Prodi],$X$63)/$X$65*100%</f>
        <v>0.2</v>
      </c>
      <c r="Y76" s="66">
        <f>COUNTIFS(TblUniv2017[D1],Y$66,TblUniv2017[Prodi],$X$63)/$X$65*100%</f>
        <v>0.8</v>
      </c>
      <c r="Z76" s="66">
        <f>COUNTIFS(TblUniv2017[D1],Z$66,TblUniv2017[Prodi],$X$63)/$X$65*100%</f>
        <v>0</v>
      </c>
      <c r="AA76" s="66">
        <f>COUNTIFS(TblUniv2017[D1],AA$66,TblUniv2017[Prodi],$X$63)/$X$65*100%</f>
        <v>0</v>
      </c>
      <c r="AB76" s="62">
        <f t="shared" si="3"/>
        <v>1</v>
      </c>
      <c r="AD76" s="57" t="s">
        <v>33</v>
      </c>
      <c r="AE76" s="66">
        <f>COUNTIFS(TblUniv2017[D1],AE$66,TblUniv2017[Prodi],$AE$63)/$AE$65*100%</f>
        <v>0</v>
      </c>
      <c r="AF76" s="66">
        <f>COUNTIFS(TblUniv2017[D1],AF$66,TblUniv2017[Prodi],$AE$63)/$AE$65*100%</f>
        <v>0</v>
      </c>
      <c r="AG76" s="66">
        <f>COUNTIFS(TblUniv2017[D1],AG$66,TblUniv2017[Prodi],$AE$63)/$AE$65*100%</f>
        <v>1</v>
      </c>
      <c r="AH76" s="66">
        <f>COUNTIFS(TblUniv2017[D1],AH$66,TblUniv2017[Prodi],$AE$63)/$AE$65*100%</f>
        <v>0</v>
      </c>
      <c r="AI76" s="62">
        <f t="shared" si="4"/>
        <v>1</v>
      </c>
      <c r="AK76" s="57" t="s">
        <v>33</v>
      </c>
      <c r="AL76" s="66">
        <f>COUNTIFS(TblUniv2017[D1],AL$66,TblUniv2017[Prodi],$AL$63)/$AL$65*100%</f>
        <v>1</v>
      </c>
      <c r="AM76" s="66">
        <f>COUNTIFS(TblUniv2017[D1],AM$66,TblUniv2017[Prodi],$AL$63)/$AL$65*100%</f>
        <v>0</v>
      </c>
      <c r="AN76" s="66">
        <f>COUNTIFS(TblUniv2017[D1],AN$66,TblUniv2017[Prodi],$AL$63)/$AL$65*100%</f>
        <v>0</v>
      </c>
      <c r="AO76" s="66">
        <f>COUNTIFS(TblUniv2017[D1],AO$66,TblUniv2017[Prodi],$AL$63)/$AL$65*100%</f>
        <v>0</v>
      </c>
      <c r="AP76" s="62">
        <f t="shared" si="5"/>
        <v>1</v>
      </c>
      <c r="AR76" s="57" t="s">
        <v>33</v>
      </c>
      <c r="AS76" s="66">
        <f>COUNTIFS(TblUniv2017[D1],AS$66,TblUniv2017[Prodi],$AS$63)/$AS$65*100%</f>
        <v>0</v>
      </c>
      <c r="AT76" s="66">
        <f>COUNTIFS(TblUniv2017[D1],AT$66,TblUniv2017[Prodi],$AS$63)/$AS$65*100%</f>
        <v>0.83333333333333337</v>
      </c>
      <c r="AU76" s="66">
        <f>COUNTIFS(TblUniv2017[D1],AU$66,TblUniv2017[Prodi],$AS$63)/$AS$65*100%</f>
        <v>0.16666666666666666</v>
      </c>
      <c r="AV76" s="66">
        <f>COUNTIFS(TblUniv2017[D1],AV$66,TblUniv2017[Prodi],$AS$63)/$AS$65*100%</f>
        <v>0</v>
      </c>
      <c r="AW76" s="62">
        <f t="shared" si="6"/>
        <v>1</v>
      </c>
    </row>
    <row r="77" spans="2:49" ht="16.5" x14ac:dyDescent="0.3">
      <c r="B77" s="57" t="s">
        <v>34</v>
      </c>
      <c r="C77" s="66">
        <f>COUNTIFS(TblUniv2017[D2],C$66)/$C$65*100%</f>
        <v>8.9285714285714288E-2</v>
      </c>
      <c r="D77" s="66">
        <f>COUNTIFS(TblUniv2017[D2],D$66)/$C$65*100%</f>
        <v>0.75</v>
      </c>
      <c r="E77" s="66">
        <f>COUNTIFS(TblUniv2017[D2],E$66)/$C$65*100%</f>
        <v>0.14285714285714285</v>
      </c>
      <c r="F77" s="66">
        <f>COUNTIFS(TblUniv2017[D2],F$66)/$C$65*100%</f>
        <v>1.7857142857142856E-2</v>
      </c>
      <c r="G77" s="62">
        <f t="shared" si="0"/>
        <v>1</v>
      </c>
      <c r="I77" s="57" t="s">
        <v>34</v>
      </c>
      <c r="J77" s="66">
        <f>COUNTIFS(TblUniv2017[D2],J$66,TblUniv2017[Prodi],$J$63)/$J$65*100%</f>
        <v>0</v>
      </c>
      <c r="K77" s="66">
        <f>COUNTIFS(TblUniv2017[D2],K$66,TblUniv2017[Prodi],$J$63)/$J$65*100%</f>
        <v>1</v>
      </c>
      <c r="L77" s="66">
        <f>COUNTIFS(TblUniv2017[D2],L$66,TblUniv2017[Prodi],$J$63)/$J$65*100%</f>
        <v>0</v>
      </c>
      <c r="M77" s="66">
        <f>COUNTIFS(TblUniv2017[D2],M$66,TblUniv2017[Prodi],$J$63)/$J$65*100%</f>
        <v>0</v>
      </c>
      <c r="N77" s="62">
        <f t="shared" si="1"/>
        <v>1</v>
      </c>
      <c r="P77" s="57" t="s">
        <v>34</v>
      </c>
      <c r="Q77" s="66">
        <f>COUNTIFS(TblUniv2017[D2],Q$66,TblUniv2017[Prodi],$Q$63)/$Q$65*100%</f>
        <v>5.8823529411764705E-2</v>
      </c>
      <c r="R77" s="66">
        <f>COUNTIFS(TblUniv2017[D2],R$66,TblUniv2017[Prodi],$Q$63)/$Q$65*100%</f>
        <v>0.70588235294117652</v>
      </c>
      <c r="S77" s="66">
        <f>COUNTIFS(TblUniv2017[D2],S$66,TblUniv2017[Prodi],$Q$63)/$Q$65*100%</f>
        <v>0.20588235294117646</v>
      </c>
      <c r="T77" s="66">
        <f>COUNTIFS(TblUniv2017[D2],T$66,TblUniv2017[Prodi],$Q$63)/$Q$65*100%</f>
        <v>2.9411764705882353E-2</v>
      </c>
      <c r="U77" s="62">
        <f t="shared" si="2"/>
        <v>1</v>
      </c>
      <c r="W77" s="57" t="s">
        <v>34</v>
      </c>
      <c r="X77" s="66">
        <f>COUNTIFS(TblUniv2017[D2],X$66,TblUniv2017[Prodi],$X$63)/$X$65*100%</f>
        <v>0.2</v>
      </c>
      <c r="Y77" s="66">
        <f>COUNTIFS(TblUniv2017[D2],Y$66,TblUniv2017[Prodi],$X$63)/$X$65*100%</f>
        <v>0.8</v>
      </c>
      <c r="Z77" s="66">
        <f>COUNTIFS(TblUniv2017[D2],Z$66,TblUniv2017[Prodi],$X$63)/$X$65*100%</f>
        <v>0</v>
      </c>
      <c r="AA77" s="66">
        <f>COUNTIFS(TblUniv2017[D2],AA$66,TblUniv2017[Prodi],$X$63)/$X$65*100%</f>
        <v>0</v>
      </c>
      <c r="AB77" s="62">
        <f t="shared" si="3"/>
        <v>1</v>
      </c>
      <c r="AD77" s="57" t="s">
        <v>34</v>
      </c>
      <c r="AE77" s="66">
        <f>COUNTIFS(TblUniv2017[D2],AE$66,TblUniv2017[Prodi],$AE$63)/$AE$65*100%</f>
        <v>0</v>
      </c>
      <c r="AF77" s="66">
        <f>COUNTIFS(TblUniv2017[D2],AF$66,TblUniv2017[Prodi],$AE$63)/$AE$65*100%</f>
        <v>1</v>
      </c>
      <c r="AG77" s="66">
        <f>COUNTIFS(TblUniv2017[D2],AG$66,TblUniv2017[Prodi],$AE$63)/$AE$65*100%</f>
        <v>0</v>
      </c>
      <c r="AH77" s="66">
        <f>COUNTIFS(TblUniv2017[D2],AH$66,TblUniv2017[Prodi],$AE$63)/$AE$65*100%</f>
        <v>0</v>
      </c>
      <c r="AI77" s="62">
        <f t="shared" si="4"/>
        <v>1</v>
      </c>
      <c r="AK77" s="57" t="s">
        <v>34</v>
      </c>
      <c r="AL77" s="66">
        <f>COUNTIFS(TblUniv2017[D2],AL$66,TblUniv2017[Prodi],$AL$63)/$AL$65*100%</f>
        <v>1</v>
      </c>
      <c r="AM77" s="66">
        <f>COUNTIFS(TblUniv2017[D2],AM$66,TblUniv2017[Prodi],$AL$63)/$AL$65*100%</f>
        <v>0</v>
      </c>
      <c r="AN77" s="66">
        <f>COUNTIFS(TblUniv2017[D2],AN$66,TblUniv2017[Prodi],$AL$63)/$AL$65*100%</f>
        <v>0</v>
      </c>
      <c r="AO77" s="66">
        <f>COUNTIFS(TblUniv2017[D2],AO$66,TblUniv2017[Prodi],$AL$63)/$AL$65*100%</f>
        <v>0</v>
      </c>
      <c r="AP77" s="62">
        <f t="shared" si="5"/>
        <v>1</v>
      </c>
      <c r="AR77" s="57" t="s">
        <v>34</v>
      </c>
      <c r="AS77" s="66">
        <f>COUNTIFS(TblUniv2017[D2],AS$66,TblUniv2017[Prodi],$AS$63)/$AS$65*100%</f>
        <v>0</v>
      </c>
      <c r="AT77" s="66">
        <f>COUNTIFS(TblUniv2017[D2],AT$66,TblUniv2017[Prodi],$AS$63)/$AS$65*100%</f>
        <v>0.83333333333333337</v>
      </c>
      <c r="AU77" s="66">
        <f>COUNTIFS(TblUniv2017[D2],AU$66,TblUniv2017[Prodi],$AS$63)/$AS$65*100%</f>
        <v>0.16666666666666666</v>
      </c>
      <c r="AV77" s="66">
        <f>COUNTIFS(TblUniv2017[D2],AV$66,TblUniv2017[Prodi],$AS$63)/$AS$65*100%</f>
        <v>0</v>
      </c>
      <c r="AW77" s="62">
        <f t="shared" si="6"/>
        <v>1</v>
      </c>
    </row>
    <row r="78" spans="2:49" ht="16.5" x14ac:dyDescent="0.3">
      <c r="B78" s="60"/>
      <c r="C78" s="61">
        <f>AVERAGE(C76:C77)</f>
        <v>8.9285714285714288E-2</v>
      </c>
      <c r="D78" s="61">
        <f>AVERAGE(D76:D77)</f>
        <v>0.7142857142857143</v>
      </c>
      <c r="E78" s="61">
        <f>AVERAGE(E76:E77)</f>
        <v>0.17857142857142855</v>
      </c>
      <c r="F78" s="61">
        <f>AVERAGE(F76:F77)</f>
        <v>1.7857142857142856E-2</v>
      </c>
      <c r="G78" s="62">
        <f t="shared" si="0"/>
        <v>1</v>
      </c>
      <c r="I78" s="60"/>
      <c r="J78" s="61">
        <f>AVERAGE(J76:J77)</f>
        <v>0</v>
      </c>
      <c r="K78" s="61">
        <f>AVERAGE(K76:K77)</f>
        <v>1</v>
      </c>
      <c r="L78" s="61">
        <f>AVERAGE(L76:L77)</f>
        <v>0</v>
      </c>
      <c r="M78" s="61">
        <f>AVERAGE(M76:M77)</f>
        <v>0</v>
      </c>
      <c r="N78" s="62">
        <f t="shared" si="1"/>
        <v>1</v>
      </c>
      <c r="P78" s="60"/>
      <c r="Q78" s="61">
        <f>AVERAGE(Q76:Q77)</f>
        <v>5.8823529411764705E-2</v>
      </c>
      <c r="R78" s="61">
        <f>AVERAGE(R76:R77)</f>
        <v>0.66176470588235303</v>
      </c>
      <c r="S78" s="61">
        <f>AVERAGE(S76:S77)</f>
        <v>0.25</v>
      </c>
      <c r="T78" s="61">
        <f>AVERAGE(T76:T77)</f>
        <v>2.9411764705882353E-2</v>
      </c>
      <c r="U78" s="62">
        <f t="shared" si="2"/>
        <v>1</v>
      </c>
      <c r="W78" s="60"/>
      <c r="X78" s="61">
        <f>AVERAGE(X76:X77)</f>
        <v>0.2</v>
      </c>
      <c r="Y78" s="61">
        <f>AVERAGE(Y76:Y77)</f>
        <v>0.8</v>
      </c>
      <c r="Z78" s="61">
        <f>AVERAGE(Z76:Z77)</f>
        <v>0</v>
      </c>
      <c r="AA78" s="61">
        <f>AVERAGE(AA76:AA77)</f>
        <v>0</v>
      </c>
      <c r="AB78" s="62">
        <f t="shared" si="3"/>
        <v>1</v>
      </c>
      <c r="AD78" s="60"/>
      <c r="AE78" s="61">
        <f>AVERAGE(AE76:AE77)</f>
        <v>0</v>
      </c>
      <c r="AF78" s="61">
        <f>AVERAGE(AF76:AF77)</f>
        <v>0.5</v>
      </c>
      <c r="AG78" s="61">
        <f>AVERAGE(AG76:AG77)</f>
        <v>0.5</v>
      </c>
      <c r="AH78" s="61">
        <f>AVERAGE(AH76:AH77)</f>
        <v>0</v>
      </c>
      <c r="AI78" s="62">
        <f t="shared" si="4"/>
        <v>1</v>
      </c>
      <c r="AK78" s="60"/>
      <c r="AL78" s="61">
        <f>AVERAGE(AL76:AL77)</f>
        <v>1</v>
      </c>
      <c r="AM78" s="61">
        <f>AVERAGE(AM76:AM77)</f>
        <v>0</v>
      </c>
      <c r="AN78" s="61">
        <f>AVERAGE(AN76:AN77)</f>
        <v>0</v>
      </c>
      <c r="AO78" s="61">
        <f>AVERAGE(AO76:AO77)</f>
        <v>0</v>
      </c>
      <c r="AP78" s="62">
        <f t="shared" si="5"/>
        <v>1</v>
      </c>
      <c r="AR78" s="60"/>
      <c r="AS78" s="61">
        <f>AVERAGE(AS76:AS77)</f>
        <v>0</v>
      </c>
      <c r="AT78" s="61">
        <f>AVERAGE(AT76:AT77)</f>
        <v>0.83333333333333337</v>
      </c>
      <c r="AU78" s="61">
        <f>AVERAGE(AU76:AU77)</f>
        <v>0.16666666666666666</v>
      </c>
      <c r="AV78" s="61">
        <f>AVERAGE(AV76:AV77)</f>
        <v>0</v>
      </c>
      <c r="AW78" s="62">
        <f t="shared" si="6"/>
        <v>1</v>
      </c>
    </row>
    <row r="79" spans="2:49" ht="16.5" x14ac:dyDescent="0.3">
      <c r="B79" s="57" t="s">
        <v>35</v>
      </c>
      <c r="C79" s="66">
        <f>COUNTIFS(TblUniv2017[E1],C$66)/$C$65*100%</f>
        <v>0.5714285714285714</v>
      </c>
      <c r="D79" s="66">
        <f>COUNTIFS(TblUniv2017[E1],D$66)/$C$65*100%</f>
        <v>0.42857142857142855</v>
      </c>
      <c r="E79" s="66">
        <f>COUNTIFS(TblUniv2017[E1],E$66)/$C$65*100%</f>
        <v>0</v>
      </c>
      <c r="F79" s="66">
        <f>COUNTIFS(TblUniv2017[E1],F$66)/$C$65*100%</f>
        <v>0</v>
      </c>
      <c r="G79" s="62">
        <f t="shared" si="0"/>
        <v>1</v>
      </c>
      <c r="I79" s="57" t="s">
        <v>35</v>
      </c>
      <c r="J79" s="66">
        <f>COUNTIFS(TblUniv2017[E1],J$66,TblUniv2017[Prodi],$J$63)/$J$65*100%</f>
        <v>0.75</v>
      </c>
      <c r="K79" s="66">
        <f>COUNTIFS(TblUniv2017[E1],K$66,TblUniv2017[Prodi],$J$63)/$J$65*100%</f>
        <v>0.25</v>
      </c>
      <c r="L79" s="66">
        <f>COUNTIFS(TblUniv2017[E1],L$66,TblUniv2017[Prodi],$J$63)/$J$65*100%</f>
        <v>0</v>
      </c>
      <c r="M79" s="66">
        <f>COUNTIFS(TblUniv2017[E1],M$66,TblUniv2017[Prodi],$J$63)/$J$65*100%</f>
        <v>0</v>
      </c>
      <c r="N79" s="62">
        <f t="shared" si="1"/>
        <v>1</v>
      </c>
      <c r="P79" s="57" t="s">
        <v>35</v>
      </c>
      <c r="Q79" s="66">
        <f>COUNTIFS(TblUniv2017[E1],Q$66,TblUniv2017[Prodi],$Q$63)/$Q$65*100%</f>
        <v>0.58823529411764708</v>
      </c>
      <c r="R79" s="66">
        <f>COUNTIFS(TblUniv2017[E1],R$66,TblUniv2017[Prodi],$Q$63)/$Q$65*100%</f>
        <v>0.41176470588235292</v>
      </c>
      <c r="S79" s="66">
        <f>COUNTIFS(TblUniv2017[E1],S$66,TblUniv2017[Prodi],$Q$63)/$Q$65*100%</f>
        <v>0</v>
      </c>
      <c r="T79" s="66">
        <f>COUNTIFS(TblUniv2017[E1],T$66,TblUniv2017[Prodi],$Q$63)/$Q$65*100%</f>
        <v>0</v>
      </c>
      <c r="U79" s="62">
        <f t="shared" si="2"/>
        <v>1</v>
      </c>
      <c r="W79" s="57" t="s">
        <v>35</v>
      </c>
      <c r="X79" s="66">
        <f>COUNTIFS(TblUniv2017[E1],X$66,TblUniv2017[Prodi],$X$63)/$X$65*100%</f>
        <v>0.6</v>
      </c>
      <c r="Y79" s="66">
        <f>COUNTIFS(TblUniv2017[E1],Y$66,TblUniv2017[Prodi],$X$63)/$X$65*100%</f>
        <v>0.4</v>
      </c>
      <c r="Z79" s="66">
        <f>COUNTIFS(TblUniv2017[E1],Z$66,TblUniv2017[Prodi],$X$63)/$X$65*100%</f>
        <v>0</v>
      </c>
      <c r="AA79" s="66">
        <f>COUNTIFS(TblUniv2017[E1],AA$66,TblUniv2017[Prodi],$X$63)/$X$65*100%</f>
        <v>0</v>
      </c>
      <c r="AB79" s="62">
        <f t="shared" si="3"/>
        <v>1</v>
      </c>
      <c r="AD79" s="57" t="s">
        <v>35</v>
      </c>
      <c r="AE79" s="66">
        <f>COUNTIFS(TblUniv2017[E1],AE$66,TblUniv2017[Prodi],$AE$63)/$AE$65*100%</f>
        <v>0</v>
      </c>
      <c r="AF79" s="66">
        <f>COUNTIFS(TblUniv2017[E1],AF$66,TblUniv2017[Prodi],$AE$63)/$AE$65*100%</f>
        <v>1</v>
      </c>
      <c r="AG79" s="66">
        <f>COUNTIFS(TblUniv2017[E1],AG$66,TblUniv2017[Prodi],$AE$63)/$AE$65*100%</f>
        <v>0</v>
      </c>
      <c r="AH79" s="66">
        <f>COUNTIFS(TblUniv2017[E1],AH$66,TblUniv2017[Prodi],$AE$63)/$AE$65*100%</f>
        <v>0</v>
      </c>
      <c r="AI79" s="62">
        <f t="shared" si="4"/>
        <v>1</v>
      </c>
      <c r="AK79" s="57" t="s">
        <v>35</v>
      </c>
      <c r="AL79" s="66">
        <f>COUNTIFS(TblUniv2017[E1],AL$66,TblUniv2017[Prodi],$AL$63)/$AL$65*100%</f>
        <v>1</v>
      </c>
      <c r="AM79" s="66">
        <f>COUNTIFS(TblUniv2017[E1],AM$66,TblUniv2017[Prodi],$AL$63)/$AL$65*100%</f>
        <v>0</v>
      </c>
      <c r="AN79" s="66">
        <f>COUNTIFS(TblUniv2017[E1],AN$66,TblUniv2017[Prodi],$AL$63)/$AL$65*100%</f>
        <v>0</v>
      </c>
      <c r="AO79" s="66">
        <f>COUNTIFS(TblUniv2017[E1],AO$66,TblUniv2017[Prodi],$AL$63)/$AL$65*100%</f>
        <v>0</v>
      </c>
      <c r="AP79" s="62">
        <f t="shared" si="5"/>
        <v>1</v>
      </c>
      <c r="AR79" s="57" t="s">
        <v>35</v>
      </c>
      <c r="AS79" s="66">
        <f>COUNTIFS(TblUniv2017[E1],AS$66,TblUniv2017[Prodi],$AS$63)/$AS$65*100%</f>
        <v>0.16666666666666666</v>
      </c>
      <c r="AT79" s="66">
        <f>COUNTIFS(TblUniv2017[E1],AT$66,TblUniv2017[Prodi],$AS$63)/$AS$65*100%</f>
        <v>0.83333333333333337</v>
      </c>
      <c r="AU79" s="66">
        <f>COUNTIFS(TblUniv2017[E1],AU$66,TblUniv2017[Prodi],$AS$63)/$AS$65*100%</f>
        <v>0</v>
      </c>
      <c r="AV79" s="66">
        <f>COUNTIFS(TblUniv2017[E1],AV$66,TblUniv2017[Prodi],$AS$63)/$AS$65*100%</f>
        <v>0</v>
      </c>
      <c r="AW79" s="62">
        <f t="shared" si="6"/>
        <v>1</v>
      </c>
    </row>
    <row r="80" spans="2:49" ht="16.5" x14ac:dyDescent="0.3">
      <c r="B80" s="57" t="s">
        <v>36</v>
      </c>
      <c r="C80" s="66">
        <f>COUNTIFS(TblUniv2017[E2],C$66)/$C$65*100%</f>
        <v>0.5535714285714286</v>
      </c>
      <c r="D80" s="66">
        <f>COUNTIFS(TblUniv2017[E2],D$66)/$C$65*100%</f>
        <v>0.35714285714285715</v>
      </c>
      <c r="E80" s="66">
        <f>COUNTIFS(TblUniv2017[E2],E$66)/$C$65*100%</f>
        <v>8.9285714285714288E-2</v>
      </c>
      <c r="F80" s="66">
        <f>COUNTIFS(TblUniv2017[E2],F$66)/$C$65*100%</f>
        <v>0</v>
      </c>
      <c r="G80" s="62">
        <f t="shared" si="0"/>
        <v>1</v>
      </c>
      <c r="I80" s="57" t="s">
        <v>36</v>
      </c>
      <c r="J80" s="66">
        <f>COUNTIFS(TblUniv2017[E2],J$66,TblUniv2017[Prodi],$J$63)/$J$65*100%</f>
        <v>0.75</v>
      </c>
      <c r="K80" s="66">
        <f>COUNTIFS(TblUniv2017[E2],K$66,TblUniv2017[Prodi],$J$63)/$J$65*100%</f>
        <v>0.25</v>
      </c>
      <c r="L80" s="66">
        <f>COUNTIFS(TblUniv2017[E2],L$66,TblUniv2017[Prodi],$J$63)/$J$65*100%</f>
        <v>0</v>
      </c>
      <c r="M80" s="66">
        <f>COUNTIFS(TblUniv2017[E2],M$66,TblUniv2017[Prodi],$J$63)/$J$65*100%</f>
        <v>0</v>
      </c>
      <c r="N80" s="62">
        <f t="shared" si="1"/>
        <v>1</v>
      </c>
      <c r="P80" s="57" t="s">
        <v>36</v>
      </c>
      <c r="Q80" s="66">
        <f>COUNTIFS(TblUniv2017[E2],Q$66,TblUniv2017[Prodi],$Q$63)/$Q$65*100%</f>
        <v>0.55882352941176472</v>
      </c>
      <c r="R80" s="66">
        <f>COUNTIFS(TblUniv2017[E2],R$66,TblUniv2017[Prodi],$Q$63)/$Q$65*100%</f>
        <v>0.29411764705882354</v>
      </c>
      <c r="S80" s="66">
        <f>COUNTIFS(TblUniv2017[E2],S$66,TblUniv2017[Prodi],$Q$63)/$Q$65*100%</f>
        <v>0.14705882352941177</v>
      </c>
      <c r="T80" s="66">
        <f>COUNTIFS(TblUniv2017[E2],T$66,TblUniv2017[Prodi],$Q$63)/$Q$65*100%</f>
        <v>0</v>
      </c>
      <c r="U80" s="62">
        <f t="shared" si="2"/>
        <v>1</v>
      </c>
      <c r="W80" s="57" t="s">
        <v>36</v>
      </c>
      <c r="X80" s="66">
        <f>COUNTIFS(TblUniv2017[E2],X$66,TblUniv2017[Prodi],$X$63)/$X$65*100%</f>
        <v>0.4</v>
      </c>
      <c r="Y80" s="66">
        <f>COUNTIFS(TblUniv2017[E2],Y$66,TblUniv2017[Prodi],$X$63)/$X$65*100%</f>
        <v>0.6</v>
      </c>
      <c r="Z80" s="66">
        <f>COUNTIFS(TblUniv2017[E2],Z$66,TblUniv2017[Prodi],$X$63)/$X$65*100%</f>
        <v>0</v>
      </c>
      <c r="AA80" s="66">
        <f>COUNTIFS(TblUniv2017[E2],AA$66,TblUniv2017[Prodi],$X$63)/$X$65*100%</f>
        <v>0</v>
      </c>
      <c r="AB80" s="62">
        <f t="shared" si="3"/>
        <v>1</v>
      </c>
      <c r="AD80" s="57" t="s">
        <v>36</v>
      </c>
      <c r="AE80" s="66">
        <f>COUNTIFS(TblUniv2017[E2],AE$66,TblUniv2017[Prodi],$AE$63)/$AE$65*100%</f>
        <v>0</v>
      </c>
      <c r="AF80" s="66">
        <f>COUNTIFS(TblUniv2017[E2],AF$66,TblUniv2017[Prodi],$AE$63)/$AE$65*100%</f>
        <v>1</v>
      </c>
      <c r="AG80" s="66">
        <f>COUNTIFS(TblUniv2017[E2],AG$66,TblUniv2017[Prodi],$AE$63)/$AE$65*100%</f>
        <v>0</v>
      </c>
      <c r="AH80" s="66">
        <f>COUNTIFS(TblUniv2017[E2],AH$66,TblUniv2017[Prodi],$AE$63)/$AE$65*100%</f>
        <v>0</v>
      </c>
      <c r="AI80" s="62">
        <f t="shared" si="4"/>
        <v>1</v>
      </c>
      <c r="AK80" s="57" t="s">
        <v>36</v>
      </c>
      <c r="AL80" s="66">
        <f>COUNTIFS(TblUniv2017[E2],AL$66,TblUniv2017[Prodi],$AL$63)/$AL$65*100%</f>
        <v>0.5</v>
      </c>
      <c r="AM80" s="66">
        <f>COUNTIFS(TblUniv2017[E2],AM$66,TblUniv2017[Prodi],$AL$63)/$AL$65*100%</f>
        <v>0.5</v>
      </c>
      <c r="AN80" s="66">
        <f>COUNTIFS(TblUniv2017[E2],AN$66,TblUniv2017[Prodi],$AL$63)/$AL$65*100%</f>
        <v>0</v>
      </c>
      <c r="AO80" s="66">
        <f>COUNTIFS(TblUniv2017[E2],AO$66,TblUniv2017[Prodi],$AL$63)/$AL$65*100%</f>
        <v>0</v>
      </c>
      <c r="AP80" s="62">
        <f t="shared" si="5"/>
        <v>1</v>
      </c>
      <c r="AR80" s="57" t="s">
        <v>36</v>
      </c>
      <c r="AS80" s="66">
        <f>COUNTIFS(TblUniv2017[E2],AS$66,TblUniv2017[Prodi],$AS$63)/$AS$65*100%</f>
        <v>0.5</v>
      </c>
      <c r="AT80" s="66">
        <f>COUNTIFS(TblUniv2017[E2],AT$66,TblUniv2017[Prodi],$AS$63)/$AS$65*100%</f>
        <v>0.5</v>
      </c>
      <c r="AU80" s="66">
        <f>COUNTIFS(TblUniv2017[E2],AU$66,TblUniv2017[Prodi],$AS$63)/$AS$65*100%</f>
        <v>0</v>
      </c>
      <c r="AV80" s="66">
        <f>COUNTIFS(TblUniv2017[E2],AV$66,TblUniv2017[Prodi],$AS$63)/$AS$65*100%</f>
        <v>0</v>
      </c>
      <c r="AW80" s="62">
        <f t="shared" si="6"/>
        <v>1</v>
      </c>
    </row>
    <row r="81" spans="2:49" ht="16.5" x14ac:dyDescent="0.3">
      <c r="B81" s="60"/>
      <c r="C81" s="61">
        <f>AVERAGE(C79:C80)</f>
        <v>0.5625</v>
      </c>
      <c r="D81" s="61">
        <f>AVERAGE(D79:D80)</f>
        <v>0.39285714285714285</v>
      </c>
      <c r="E81" s="61">
        <f>AVERAGE(E79:E80)</f>
        <v>4.4642857142857144E-2</v>
      </c>
      <c r="F81" s="61">
        <f>AVERAGE(F79:F80)</f>
        <v>0</v>
      </c>
      <c r="G81" s="62">
        <f t="shared" si="0"/>
        <v>0.99999999999999989</v>
      </c>
      <c r="I81" s="60"/>
      <c r="J81" s="61">
        <f>AVERAGE(J79:J80)</f>
        <v>0.75</v>
      </c>
      <c r="K81" s="61">
        <f>AVERAGE(K79:K80)</f>
        <v>0.25</v>
      </c>
      <c r="L81" s="61">
        <f>AVERAGE(L79:L80)</f>
        <v>0</v>
      </c>
      <c r="M81" s="61">
        <f>AVERAGE(M79:M80)</f>
        <v>0</v>
      </c>
      <c r="N81" s="62">
        <f t="shared" si="1"/>
        <v>1</v>
      </c>
      <c r="P81" s="60"/>
      <c r="Q81" s="61">
        <f>AVERAGE(Q79:Q80)</f>
        <v>0.57352941176470584</v>
      </c>
      <c r="R81" s="61">
        <f>AVERAGE(R79:R80)</f>
        <v>0.3529411764705882</v>
      </c>
      <c r="S81" s="61">
        <f>AVERAGE(S79:S80)</f>
        <v>7.3529411764705885E-2</v>
      </c>
      <c r="T81" s="61">
        <f>AVERAGE(T79:T80)</f>
        <v>0</v>
      </c>
      <c r="U81" s="62">
        <f t="shared" si="2"/>
        <v>0.99999999999999989</v>
      </c>
      <c r="W81" s="60"/>
      <c r="X81" s="61">
        <f>AVERAGE(X79:X80)</f>
        <v>0.5</v>
      </c>
      <c r="Y81" s="61">
        <f>AVERAGE(Y79:Y80)</f>
        <v>0.5</v>
      </c>
      <c r="Z81" s="61">
        <f>AVERAGE(Z79:Z80)</f>
        <v>0</v>
      </c>
      <c r="AA81" s="61">
        <f>AVERAGE(AA79:AA80)</f>
        <v>0</v>
      </c>
      <c r="AB81" s="62">
        <f t="shared" si="3"/>
        <v>1</v>
      </c>
      <c r="AD81" s="60"/>
      <c r="AE81" s="61">
        <f>AVERAGE(AE79:AE80)</f>
        <v>0</v>
      </c>
      <c r="AF81" s="61">
        <f>AVERAGE(AF79:AF80)</f>
        <v>1</v>
      </c>
      <c r="AG81" s="61">
        <f>AVERAGE(AG79:AG80)</f>
        <v>0</v>
      </c>
      <c r="AH81" s="61">
        <f>AVERAGE(AH79:AH80)</f>
        <v>0</v>
      </c>
      <c r="AI81" s="62">
        <f t="shared" si="4"/>
        <v>1</v>
      </c>
      <c r="AK81" s="60"/>
      <c r="AL81" s="61">
        <f>AVERAGE(AL79:AL80)</f>
        <v>0.75</v>
      </c>
      <c r="AM81" s="61">
        <f>AVERAGE(AM79:AM80)</f>
        <v>0.25</v>
      </c>
      <c r="AN81" s="61">
        <f>AVERAGE(AN79:AN80)</f>
        <v>0</v>
      </c>
      <c r="AO81" s="61">
        <f>AVERAGE(AO79:AO80)</f>
        <v>0</v>
      </c>
      <c r="AP81" s="62">
        <f t="shared" si="5"/>
        <v>1</v>
      </c>
      <c r="AR81" s="60"/>
      <c r="AS81" s="61">
        <f>AVERAGE(AS79:AS80)</f>
        <v>0.33333333333333331</v>
      </c>
      <c r="AT81" s="61">
        <f>AVERAGE(AT79:AT80)</f>
        <v>0.66666666666666674</v>
      </c>
      <c r="AU81" s="61">
        <f>AVERAGE(AU79:AU80)</f>
        <v>0</v>
      </c>
      <c r="AV81" s="61">
        <f>AVERAGE(AV79:AV80)</f>
        <v>0</v>
      </c>
      <c r="AW81" s="62">
        <f t="shared" si="6"/>
        <v>1</v>
      </c>
    </row>
    <row r="82" spans="2:49" ht="16.5" x14ac:dyDescent="0.3">
      <c r="B82" s="57" t="s">
        <v>37</v>
      </c>
      <c r="C82" s="66">
        <f>COUNTIFS(TblUniv2017[F1],C$66)/$C$65*100%</f>
        <v>0.39285714285714285</v>
      </c>
      <c r="D82" s="66">
        <f>COUNTIFS(TblUniv2017[F1],D$66)/$C$65*100%</f>
        <v>0.6071428571428571</v>
      </c>
      <c r="E82" s="66">
        <f>COUNTIFS(TblUniv2017[F1],E$66)/$C$65*100%</f>
        <v>0</v>
      </c>
      <c r="F82" s="66">
        <f>COUNTIFS(TblUniv2017[F1],F$66)/$C$65*100%</f>
        <v>0</v>
      </c>
      <c r="G82" s="62">
        <f t="shared" si="0"/>
        <v>1</v>
      </c>
      <c r="I82" s="57" t="s">
        <v>37</v>
      </c>
      <c r="J82" s="66">
        <f>COUNTIFS(TblUniv2017[F1],J$66,TblUniv2017[Prodi],$J$63)/$J$65*100%</f>
        <v>0.125</v>
      </c>
      <c r="K82" s="66">
        <f>COUNTIFS(TblUniv2017[F1],K$66,TblUniv2017[Prodi],$J$63)/$J$65*100%</f>
        <v>0.875</v>
      </c>
      <c r="L82" s="66">
        <f>COUNTIFS(TblUniv2017[F1],L$66,TblUniv2017[Prodi],$J$63)/$J$65*100%</f>
        <v>0</v>
      </c>
      <c r="M82" s="66">
        <f>COUNTIFS(TblUniv2017[F1],M$66,TblUniv2017[Prodi],$J$63)/$J$65*100%</f>
        <v>0</v>
      </c>
      <c r="N82" s="62">
        <f t="shared" si="1"/>
        <v>1</v>
      </c>
      <c r="P82" s="57" t="s">
        <v>37</v>
      </c>
      <c r="Q82" s="66">
        <f>COUNTIFS(TblUniv2017[F1],Q$66,TblUniv2017[Prodi],$Q$63)/$Q$65*100%</f>
        <v>0.52941176470588236</v>
      </c>
      <c r="R82" s="66">
        <f>COUNTIFS(TblUniv2017[F1],R$66,TblUniv2017[Prodi],$Q$63)/$Q$65*100%</f>
        <v>0.47058823529411764</v>
      </c>
      <c r="S82" s="66">
        <f>COUNTIFS(TblUniv2017[F1],S$66,TblUniv2017[Prodi],$Q$63)/$Q$65*100%</f>
        <v>0</v>
      </c>
      <c r="T82" s="66">
        <f>COUNTIFS(TblUniv2017[F1],T$66,TblUniv2017[Prodi],$Q$63)/$Q$65*100%</f>
        <v>0</v>
      </c>
      <c r="U82" s="62">
        <f t="shared" si="2"/>
        <v>1</v>
      </c>
      <c r="W82" s="57" t="s">
        <v>37</v>
      </c>
      <c r="X82" s="66">
        <f>COUNTIFS(TblUniv2017[F1],X$66,TblUniv2017[Prodi],$X$63)/$X$65*100%</f>
        <v>0.2</v>
      </c>
      <c r="Y82" s="66">
        <f>COUNTIFS(TblUniv2017[F1],Y$66,TblUniv2017[Prodi],$X$63)/$X$65*100%</f>
        <v>0.8</v>
      </c>
      <c r="Z82" s="66">
        <f>COUNTIFS(TblUniv2017[F1],Z$66,TblUniv2017[Prodi],$X$63)/$X$65*100%</f>
        <v>0</v>
      </c>
      <c r="AA82" s="66">
        <f>COUNTIFS(TblUniv2017[F1],AA$66,TblUniv2017[Prodi],$X$63)/$X$65*100%</f>
        <v>0</v>
      </c>
      <c r="AB82" s="62">
        <f t="shared" si="3"/>
        <v>1</v>
      </c>
      <c r="AD82" s="57" t="s">
        <v>37</v>
      </c>
      <c r="AE82" s="66">
        <f>COUNTIFS(TblUniv2017[F1],AE$66,TblUniv2017[Prodi],$AE$63)/$AE$65*100%</f>
        <v>1</v>
      </c>
      <c r="AF82" s="66">
        <f>COUNTIFS(TblUniv2017[F1],AF$66,TblUniv2017[Prodi],$AE$63)/$AE$65*100%</f>
        <v>0</v>
      </c>
      <c r="AG82" s="66">
        <f>COUNTIFS(TblUniv2017[F1],AG$66,TblUniv2017[Prodi],$AE$63)/$AE$65*100%</f>
        <v>0</v>
      </c>
      <c r="AH82" s="66">
        <f>COUNTIFS(TblUniv2017[F1],AH$66,TblUniv2017[Prodi],$AE$63)/$AE$65*100%</f>
        <v>0</v>
      </c>
      <c r="AI82" s="62">
        <f t="shared" si="4"/>
        <v>1</v>
      </c>
      <c r="AK82" s="57" t="s">
        <v>37</v>
      </c>
      <c r="AL82" s="66">
        <f>COUNTIFS(TblUniv2017[F1],AL$66,TblUniv2017[Prodi],$AL$63)/$AL$65*100%</f>
        <v>0.5</v>
      </c>
      <c r="AM82" s="66">
        <f>COUNTIFS(TblUniv2017[F1],AM$66,TblUniv2017[Prodi],$AL$63)/$AL$65*100%</f>
        <v>0.5</v>
      </c>
      <c r="AN82" s="66">
        <f>COUNTIFS(TblUniv2017[F1],AN$66,TblUniv2017[Prodi],$AL$63)/$AL$65*100%</f>
        <v>0</v>
      </c>
      <c r="AO82" s="66">
        <f>COUNTIFS(TblUniv2017[F1],AO$66,TblUniv2017[Prodi],$AL$63)/$AL$65*100%</f>
        <v>0</v>
      </c>
      <c r="AP82" s="62">
        <f t="shared" si="5"/>
        <v>1</v>
      </c>
      <c r="AR82" s="57" t="s">
        <v>37</v>
      </c>
      <c r="AS82" s="66">
        <f>COUNTIFS(TblUniv2017[F1],AS$66,TblUniv2017[Prodi],$AS$63)/$AS$65*100%</f>
        <v>0</v>
      </c>
      <c r="AT82" s="66">
        <f>COUNTIFS(TblUniv2017[F1],AT$66,TblUniv2017[Prodi],$AS$63)/$AS$65*100%</f>
        <v>1</v>
      </c>
      <c r="AU82" s="66">
        <f>COUNTIFS(TblUniv2017[F1],AU$66,TblUniv2017[Prodi],$AS$63)/$AS$65*100%</f>
        <v>0</v>
      </c>
      <c r="AV82" s="66">
        <f>COUNTIFS(TblUniv2017[F1],AV$66,TblUniv2017[Prodi],$AS$63)/$AS$65*100%</f>
        <v>0</v>
      </c>
      <c r="AW82" s="62">
        <f t="shared" si="6"/>
        <v>1</v>
      </c>
    </row>
    <row r="83" spans="2:49" ht="16.5" x14ac:dyDescent="0.3">
      <c r="B83" s="57" t="s">
        <v>38</v>
      </c>
      <c r="C83" s="66">
        <f>COUNTIFS(TblUniv2017[F2],C$66)/$C$65*100%</f>
        <v>0.375</v>
      </c>
      <c r="D83" s="66">
        <f>COUNTIFS(TblUniv2017[F2],D$66)/$C$65*100%</f>
        <v>0.625</v>
      </c>
      <c r="E83" s="66">
        <f>COUNTIFS(TblUniv2017[F2],E$66)/$C$65*100%</f>
        <v>0</v>
      </c>
      <c r="F83" s="66">
        <f>COUNTIFS(TblUniv2017[F2],F$66)/$C$65*100%</f>
        <v>0</v>
      </c>
      <c r="G83" s="62">
        <f t="shared" si="0"/>
        <v>1</v>
      </c>
      <c r="I83" s="57" t="s">
        <v>38</v>
      </c>
      <c r="J83" s="66">
        <f>COUNTIFS(TblUniv2017[F2],J$66,TblUniv2017[Prodi],$J$63)/$J$65*100%</f>
        <v>0.25</v>
      </c>
      <c r="K83" s="66">
        <f>COUNTIFS(TblUniv2017[F2],K$66,TblUniv2017[Prodi],$J$63)/$J$65*100%</f>
        <v>0.75</v>
      </c>
      <c r="L83" s="66">
        <f>COUNTIFS(TblUniv2017[F2],L$66,TblUniv2017[Prodi],$J$63)/$J$65*100%</f>
        <v>0</v>
      </c>
      <c r="M83" s="66">
        <f>COUNTIFS(TblUniv2017[F2],M$66,TblUniv2017[Prodi],$J$63)/$J$65*100%</f>
        <v>0</v>
      </c>
      <c r="N83" s="62">
        <f t="shared" si="1"/>
        <v>1</v>
      </c>
      <c r="P83" s="57" t="s">
        <v>38</v>
      </c>
      <c r="Q83" s="66">
        <f>COUNTIFS(TblUniv2017[F2],Q$66,TblUniv2017[Prodi],$Q$63)/$Q$65*100%</f>
        <v>0.47058823529411764</v>
      </c>
      <c r="R83" s="66">
        <f>COUNTIFS(TblUniv2017[F2],R$66,TblUniv2017[Prodi],$Q$63)/$Q$65*100%</f>
        <v>0.52941176470588236</v>
      </c>
      <c r="S83" s="66">
        <f>COUNTIFS(TblUniv2017[F2],S$66,TblUniv2017[Prodi],$Q$63)/$Q$65*100%</f>
        <v>0</v>
      </c>
      <c r="T83" s="66">
        <f>COUNTIFS(TblUniv2017[F2],T$66,TblUniv2017[Prodi],$Q$63)/$Q$65*100%</f>
        <v>0</v>
      </c>
      <c r="U83" s="62">
        <f t="shared" si="2"/>
        <v>1</v>
      </c>
      <c r="W83" s="57" t="s">
        <v>38</v>
      </c>
      <c r="X83" s="66">
        <f>COUNTIFS(TblUniv2017[F2],X$66,TblUniv2017[Prodi],$X$63)/$X$65*100%</f>
        <v>0.2</v>
      </c>
      <c r="Y83" s="66">
        <f>COUNTIFS(TblUniv2017[F2],Y$66,TblUniv2017[Prodi],$X$63)/$X$65*100%</f>
        <v>0.8</v>
      </c>
      <c r="Z83" s="66">
        <f>COUNTIFS(TblUniv2017[F2],Z$66,TblUniv2017[Prodi],$X$63)/$X$65*100%</f>
        <v>0</v>
      </c>
      <c r="AA83" s="66">
        <f>COUNTIFS(TblUniv2017[F2],AA$66,TblUniv2017[Prodi],$X$63)/$X$65*100%</f>
        <v>0</v>
      </c>
      <c r="AB83" s="62">
        <f t="shared" si="3"/>
        <v>1</v>
      </c>
      <c r="AD83" s="57" t="s">
        <v>38</v>
      </c>
      <c r="AE83" s="66">
        <f>COUNTIFS(TblUniv2017[F2],AE$66,TblUniv2017[Prodi],$AE$63)/$AE$65*100%</f>
        <v>0</v>
      </c>
      <c r="AF83" s="66">
        <f>COUNTIFS(TblUniv2017[F2],AF$66,TblUniv2017[Prodi],$AE$63)/$AE$65*100%</f>
        <v>1</v>
      </c>
      <c r="AG83" s="66">
        <f>COUNTIFS(TblUniv2017[F2],AG$66,TblUniv2017[Prodi],$AE$63)/$AE$65*100%</f>
        <v>0</v>
      </c>
      <c r="AH83" s="66">
        <f>COUNTIFS(TblUniv2017[F2],AH$66,TblUniv2017[Prodi],$AE$63)/$AE$65*100%</f>
        <v>0</v>
      </c>
      <c r="AI83" s="62">
        <f t="shared" si="4"/>
        <v>1</v>
      </c>
      <c r="AK83" s="57" t="s">
        <v>38</v>
      </c>
      <c r="AL83" s="66">
        <f>COUNTIFS(TblUniv2017[F2],AL$66,TblUniv2017[Prodi],$AL$63)/$AL$65*100%</f>
        <v>0</v>
      </c>
      <c r="AM83" s="66">
        <f>COUNTIFS(TblUniv2017[F2],AM$66,TblUniv2017[Prodi],$AL$63)/$AL$65*100%</f>
        <v>1</v>
      </c>
      <c r="AN83" s="66">
        <f>COUNTIFS(TblUniv2017[F2],AN$66,TblUniv2017[Prodi],$AL$63)/$AL$65*100%</f>
        <v>0</v>
      </c>
      <c r="AO83" s="66">
        <f>COUNTIFS(TblUniv2017[F2],AO$66,TblUniv2017[Prodi],$AL$63)/$AL$65*100%</f>
        <v>0</v>
      </c>
      <c r="AP83" s="62">
        <f t="shared" si="5"/>
        <v>1</v>
      </c>
      <c r="AR83" s="57" t="s">
        <v>38</v>
      </c>
      <c r="AS83" s="66">
        <f>COUNTIFS(TblUniv2017[F2],AS$66,TblUniv2017[Prodi],$AS$63)/$AS$65*100%</f>
        <v>0.33333333333333331</v>
      </c>
      <c r="AT83" s="66">
        <f>COUNTIFS(TblUniv2017[F2],AT$66,TblUniv2017[Prodi],$AS$63)/$AS$65*100%</f>
        <v>0.66666666666666663</v>
      </c>
      <c r="AU83" s="66">
        <f>COUNTIFS(TblUniv2017[F2],AU$66,TblUniv2017[Prodi],$AS$63)/$AS$65*100%</f>
        <v>0</v>
      </c>
      <c r="AV83" s="66">
        <f>COUNTIFS(TblUniv2017[F2],AV$66,TblUniv2017[Prodi],$AS$63)/$AS$65*100%</f>
        <v>0</v>
      </c>
      <c r="AW83" s="62">
        <f t="shared" si="6"/>
        <v>1</v>
      </c>
    </row>
    <row r="84" spans="2:49" ht="16.5" x14ac:dyDescent="0.3">
      <c r="B84" s="57" t="s">
        <v>39</v>
      </c>
      <c r="C84" s="66">
        <f>COUNTIFS(TblUniv2017[F3],C$66)/$C$65*100%</f>
        <v>0.4107142857142857</v>
      </c>
      <c r="D84" s="66">
        <f>COUNTIFS(TblUniv2017[F3],D$66)/$C$65*100%</f>
        <v>0.5714285714285714</v>
      </c>
      <c r="E84" s="66">
        <f>COUNTIFS(TblUniv2017[F3],E$66)/$C$65*100%</f>
        <v>1.7857142857142856E-2</v>
      </c>
      <c r="F84" s="66">
        <f>COUNTIFS(TblUniv2017[F3],F$66)/$C$65*100%</f>
        <v>0</v>
      </c>
      <c r="G84" s="62">
        <f t="shared" si="0"/>
        <v>1</v>
      </c>
      <c r="I84" s="57" t="s">
        <v>39</v>
      </c>
      <c r="J84" s="66">
        <f>COUNTIFS(TblUniv2017[F3],J$66,TblUniv2017[Prodi],$J$63)/$J$65*100%</f>
        <v>0.25</v>
      </c>
      <c r="K84" s="66">
        <f>COUNTIFS(TblUniv2017[F3],K$66,TblUniv2017[Prodi],$J$63)/$J$65*100%</f>
        <v>0.75</v>
      </c>
      <c r="L84" s="66">
        <f>COUNTIFS(TblUniv2017[F3],L$66,TblUniv2017[Prodi],$J$63)/$J$65*100%</f>
        <v>0</v>
      </c>
      <c r="M84" s="66">
        <f>COUNTIFS(TblUniv2017[F3],M$66,TblUniv2017[Prodi],$J$63)/$J$65*100%</f>
        <v>0</v>
      </c>
      <c r="N84" s="62">
        <f t="shared" si="1"/>
        <v>1</v>
      </c>
      <c r="P84" s="57" t="s">
        <v>39</v>
      </c>
      <c r="Q84" s="66">
        <f>COUNTIFS(TblUniv2017[F3],Q$66,TblUniv2017[Prodi],$Q$63)/$Q$65*100%</f>
        <v>0.5</v>
      </c>
      <c r="R84" s="66">
        <f>COUNTIFS(TblUniv2017[F3],R$66,TblUniv2017[Prodi],$Q$63)/$Q$65*100%</f>
        <v>0.47058823529411764</v>
      </c>
      <c r="S84" s="66">
        <f>COUNTIFS(TblUniv2017[F3],S$66,TblUniv2017[Prodi],$Q$63)/$Q$65*100%</f>
        <v>2.9411764705882353E-2</v>
      </c>
      <c r="T84" s="66">
        <f>COUNTIFS(TblUniv2017[F3],T$66,TblUniv2017[Prodi],$Q$63)/$Q$65*100%</f>
        <v>0</v>
      </c>
      <c r="U84" s="62">
        <f t="shared" si="2"/>
        <v>1</v>
      </c>
      <c r="W84" s="57" t="s">
        <v>39</v>
      </c>
      <c r="X84" s="66">
        <f>COUNTIFS(TblUniv2017[F3],X$66,TblUniv2017[Prodi],$X$63)/$X$65*100%</f>
        <v>0.2</v>
      </c>
      <c r="Y84" s="66">
        <f>COUNTIFS(TblUniv2017[F3],Y$66,TblUniv2017[Prodi],$X$63)/$X$65*100%</f>
        <v>0.8</v>
      </c>
      <c r="Z84" s="66">
        <f>COUNTIFS(TblUniv2017[F3],Z$66,TblUniv2017[Prodi],$X$63)/$X$65*100%</f>
        <v>0</v>
      </c>
      <c r="AA84" s="66">
        <f>COUNTIFS(TblUniv2017[F3],AA$66,TblUniv2017[Prodi],$X$63)/$X$65*100%</f>
        <v>0</v>
      </c>
      <c r="AB84" s="62">
        <f t="shared" si="3"/>
        <v>1</v>
      </c>
      <c r="AD84" s="57" t="s">
        <v>39</v>
      </c>
      <c r="AE84" s="66">
        <f>COUNTIFS(TblUniv2017[F3],AE$66,TblUniv2017[Prodi],$AE$63)/$AE$65*100%</f>
        <v>0</v>
      </c>
      <c r="AF84" s="66">
        <f>COUNTIFS(TblUniv2017[F3],AF$66,TblUniv2017[Prodi],$AE$63)/$AE$65*100%</f>
        <v>1</v>
      </c>
      <c r="AG84" s="66">
        <f>COUNTIFS(TblUniv2017[F3],AG$66,TblUniv2017[Prodi],$AE$63)/$AE$65*100%</f>
        <v>0</v>
      </c>
      <c r="AH84" s="66">
        <f>COUNTIFS(TblUniv2017[F3],AH$66,TblUniv2017[Prodi],$AE$63)/$AE$65*100%</f>
        <v>0</v>
      </c>
      <c r="AI84" s="62">
        <f t="shared" si="4"/>
        <v>1</v>
      </c>
      <c r="AK84" s="57" t="s">
        <v>39</v>
      </c>
      <c r="AL84" s="66">
        <f>COUNTIFS(TblUniv2017[F3],AL$66,TblUniv2017[Prodi],$AL$63)/$AL$65*100%</f>
        <v>0.5</v>
      </c>
      <c r="AM84" s="66">
        <f>COUNTIFS(TblUniv2017[F3],AM$66,TblUniv2017[Prodi],$AL$63)/$AL$65*100%</f>
        <v>0.5</v>
      </c>
      <c r="AN84" s="66">
        <f>COUNTIFS(TblUniv2017[F3],AN$66,TblUniv2017[Prodi],$AL$63)/$AL$65*100%</f>
        <v>0</v>
      </c>
      <c r="AO84" s="66">
        <f>COUNTIFS(TblUniv2017[F3],AO$66,TblUniv2017[Prodi],$AL$63)/$AL$65*100%</f>
        <v>0</v>
      </c>
      <c r="AP84" s="62">
        <f t="shared" si="5"/>
        <v>1</v>
      </c>
      <c r="AR84" s="57" t="s">
        <v>39</v>
      </c>
      <c r="AS84" s="66">
        <f>COUNTIFS(TblUniv2017[F3],AS$66,TblUniv2017[Prodi],$AS$63)/$AS$65*100%</f>
        <v>0.33333333333333331</v>
      </c>
      <c r="AT84" s="66">
        <f>COUNTIFS(TblUniv2017[F3],AT$66,TblUniv2017[Prodi],$AS$63)/$AS$65*100%</f>
        <v>0.66666666666666663</v>
      </c>
      <c r="AU84" s="66">
        <f>COUNTIFS(TblUniv2017[F3],AU$66,TblUniv2017[Prodi],$AS$63)/$AS$65*100%</f>
        <v>0</v>
      </c>
      <c r="AV84" s="66">
        <f>COUNTIFS(TblUniv2017[F3],AV$66,TblUniv2017[Prodi],$AS$63)/$AS$65*100%</f>
        <v>0</v>
      </c>
      <c r="AW84" s="62">
        <f t="shared" si="6"/>
        <v>1</v>
      </c>
    </row>
    <row r="85" spans="2:49" ht="16.5" x14ac:dyDescent="0.3">
      <c r="B85" s="60"/>
      <c r="C85" s="61">
        <f>AVERAGE(C82:C84)</f>
        <v>0.39285714285714279</v>
      </c>
      <c r="D85" s="61">
        <f>AVERAGE(D82:D84)</f>
        <v>0.60119047619047616</v>
      </c>
      <c r="E85" s="61">
        <f>AVERAGE(E82:E84)</f>
        <v>5.9523809523809521E-3</v>
      </c>
      <c r="F85" s="61">
        <f>AVERAGE(F82:F84)</f>
        <v>0</v>
      </c>
      <c r="G85" s="62">
        <f t="shared" si="0"/>
        <v>0.99999999999999989</v>
      </c>
      <c r="I85" s="60"/>
      <c r="J85" s="61">
        <f>AVERAGE(J82:J84)</f>
        <v>0.20833333333333334</v>
      </c>
      <c r="K85" s="61">
        <f>AVERAGE(K82:K84)</f>
        <v>0.79166666666666663</v>
      </c>
      <c r="L85" s="61">
        <f>AVERAGE(L82:L84)</f>
        <v>0</v>
      </c>
      <c r="M85" s="61">
        <f>AVERAGE(M82:M84)</f>
        <v>0</v>
      </c>
      <c r="N85" s="62">
        <f t="shared" si="1"/>
        <v>1</v>
      </c>
      <c r="P85" s="60"/>
      <c r="Q85" s="61">
        <f>AVERAGE(Q82:Q84)</f>
        <v>0.5</v>
      </c>
      <c r="R85" s="61">
        <f>AVERAGE(R82:R84)</f>
        <v>0.49019607843137258</v>
      </c>
      <c r="S85" s="61">
        <f>AVERAGE(S82:S84)</f>
        <v>9.8039215686274508E-3</v>
      </c>
      <c r="T85" s="61">
        <f>AVERAGE(T82:T84)</f>
        <v>0</v>
      </c>
      <c r="U85" s="62">
        <f t="shared" si="2"/>
        <v>1</v>
      </c>
      <c r="W85" s="60"/>
      <c r="X85" s="61">
        <f>AVERAGE(X82:X84)</f>
        <v>0.20000000000000004</v>
      </c>
      <c r="Y85" s="61">
        <f>AVERAGE(Y82:Y84)</f>
        <v>0.80000000000000016</v>
      </c>
      <c r="Z85" s="61">
        <f>AVERAGE(Z82:Z84)</f>
        <v>0</v>
      </c>
      <c r="AA85" s="61">
        <f>AVERAGE(AA82:AA84)</f>
        <v>0</v>
      </c>
      <c r="AB85" s="62">
        <f t="shared" si="3"/>
        <v>1.0000000000000002</v>
      </c>
      <c r="AD85" s="60"/>
      <c r="AE85" s="61">
        <f>AVERAGE(AE82:AE84)</f>
        <v>0.33333333333333331</v>
      </c>
      <c r="AF85" s="61">
        <f>AVERAGE(AF82:AF84)</f>
        <v>0.66666666666666663</v>
      </c>
      <c r="AG85" s="61">
        <f>AVERAGE(AG82:AG84)</f>
        <v>0</v>
      </c>
      <c r="AH85" s="61">
        <f>AVERAGE(AH82:AH84)</f>
        <v>0</v>
      </c>
      <c r="AI85" s="62">
        <f t="shared" si="4"/>
        <v>1</v>
      </c>
      <c r="AK85" s="60"/>
      <c r="AL85" s="61">
        <f>AVERAGE(AL82:AL84)</f>
        <v>0.33333333333333331</v>
      </c>
      <c r="AM85" s="61">
        <f>AVERAGE(AM82:AM84)</f>
        <v>0.66666666666666663</v>
      </c>
      <c r="AN85" s="61">
        <f>AVERAGE(AN82:AN84)</f>
        <v>0</v>
      </c>
      <c r="AO85" s="61">
        <f>AVERAGE(AO82:AO84)</f>
        <v>0</v>
      </c>
      <c r="AP85" s="62">
        <f t="shared" si="5"/>
        <v>1</v>
      </c>
      <c r="AR85" s="60"/>
      <c r="AS85" s="61">
        <f>AVERAGE(AS82:AS84)</f>
        <v>0.22222222222222221</v>
      </c>
      <c r="AT85" s="61">
        <f>AVERAGE(AT82:AT84)</f>
        <v>0.77777777777777768</v>
      </c>
      <c r="AU85" s="61">
        <f>AVERAGE(AU82:AU84)</f>
        <v>0</v>
      </c>
      <c r="AV85" s="61">
        <f>AVERAGE(AV82:AV84)</f>
        <v>0</v>
      </c>
      <c r="AW85" s="62">
        <f t="shared" si="6"/>
        <v>0.99999999999999989</v>
      </c>
    </row>
    <row r="86" spans="2:49" ht="16.5" x14ac:dyDescent="0.3">
      <c r="B86" s="57" t="s">
        <v>40</v>
      </c>
      <c r="C86" s="66">
        <f>COUNTIFS(TblUniv2017[G1],C$66)/$C$65*100%</f>
        <v>0.5357142857142857</v>
      </c>
      <c r="D86" s="66">
        <f>COUNTIFS(TblUniv2017[G1],D$66)/$C$65*100%</f>
        <v>0.4642857142857143</v>
      </c>
      <c r="E86" s="66">
        <f>COUNTIFS(TblUniv2017[G1],E$66)/$C$65*100%</f>
        <v>0</v>
      </c>
      <c r="F86" s="66">
        <f>COUNTIFS(TblUniv2017[G1],F$66)/$C$65*100%</f>
        <v>0</v>
      </c>
      <c r="G86" s="62">
        <f t="shared" si="0"/>
        <v>1</v>
      </c>
      <c r="I86" s="57" t="s">
        <v>40</v>
      </c>
      <c r="J86" s="66">
        <f>COUNTIFS(TblUniv2017[G1],J$66,TblUniv2017[Prodi],$J$63)/$J$65*100%</f>
        <v>0.125</v>
      </c>
      <c r="K86" s="66">
        <f>COUNTIFS(TblUniv2017[G1],K$66,TblUniv2017[Prodi],$J$63)/$J$65*100%</f>
        <v>0.875</v>
      </c>
      <c r="L86" s="66">
        <f>COUNTIFS(TblUniv2017[G1],L$66,TblUniv2017[Prodi],$J$63)/$J$65*100%</f>
        <v>0</v>
      </c>
      <c r="M86" s="66">
        <f>COUNTIFS(TblUniv2017[G1],M$66,TblUniv2017[Prodi],$J$63)/$J$65*100%</f>
        <v>0</v>
      </c>
      <c r="N86" s="62">
        <f t="shared" si="1"/>
        <v>1</v>
      </c>
      <c r="P86" s="57" t="s">
        <v>40</v>
      </c>
      <c r="Q86" s="66">
        <f>COUNTIFS(TblUniv2017[G1],Q$66,TblUniv2017[Prodi],$Q$63)/$Q$65*100%</f>
        <v>0.6470588235294118</v>
      </c>
      <c r="R86" s="66">
        <f>COUNTIFS(TblUniv2017[G1],R$66,TblUniv2017[Prodi],$Q$63)/$Q$65*100%</f>
        <v>0.35294117647058826</v>
      </c>
      <c r="S86" s="66">
        <f>COUNTIFS(TblUniv2017[G1],S$66,TblUniv2017[Prodi],$Q$63)/$Q$65*100%</f>
        <v>0</v>
      </c>
      <c r="T86" s="66">
        <f>COUNTIFS(TblUniv2017[G1],T$66,TblUniv2017[Prodi],$Q$63)/$Q$65*100%</f>
        <v>0</v>
      </c>
      <c r="U86" s="62">
        <f t="shared" si="2"/>
        <v>1</v>
      </c>
      <c r="W86" s="57" t="s">
        <v>40</v>
      </c>
      <c r="X86" s="66">
        <f>COUNTIFS(TblUniv2017[G1],X$66,TblUniv2017[Prodi],$X$63)/$X$65*100%</f>
        <v>0.8</v>
      </c>
      <c r="Y86" s="66">
        <f>COUNTIFS(TblUniv2017[G1],Y$66,TblUniv2017[Prodi],$X$63)/$X$65*100%</f>
        <v>0.2</v>
      </c>
      <c r="Z86" s="66">
        <f>COUNTIFS(TblUniv2017[G1],Z$66,TblUniv2017[Prodi],$X$63)/$X$65*100%</f>
        <v>0</v>
      </c>
      <c r="AA86" s="66">
        <f>COUNTIFS(TblUniv2017[G1],AA$66,TblUniv2017[Prodi],$X$63)/$X$65*100%</f>
        <v>0</v>
      </c>
      <c r="AB86" s="62">
        <f t="shared" si="3"/>
        <v>1</v>
      </c>
      <c r="AD86" s="57" t="s">
        <v>40</v>
      </c>
      <c r="AE86" s="66">
        <f>COUNTIFS(TblUniv2017[G1],AE$66,TblUniv2017[Prodi],$AE$63)/$AE$65*100%</f>
        <v>0</v>
      </c>
      <c r="AF86" s="66">
        <f>COUNTIFS(TblUniv2017[G1],AF$66,TblUniv2017[Prodi],$AE$63)/$AE$65*100%</f>
        <v>1</v>
      </c>
      <c r="AG86" s="66">
        <f>COUNTIFS(TblUniv2017[G1],AG$66,TblUniv2017[Prodi],$AE$63)/$AE$65*100%</f>
        <v>0</v>
      </c>
      <c r="AH86" s="66">
        <f>COUNTIFS(TblUniv2017[G1],AH$66,TblUniv2017[Prodi],$AE$63)/$AE$65*100%</f>
        <v>0</v>
      </c>
      <c r="AI86" s="62">
        <f t="shared" si="4"/>
        <v>1</v>
      </c>
      <c r="AK86" s="57" t="s">
        <v>40</v>
      </c>
      <c r="AL86" s="66">
        <f>COUNTIFS(TblUniv2017[G1],AL$66,TblUniv2017[Prodi],$AL$63)/$AL$65*100%</f>
        <v>1</v>
      </c>
      <c r="AM86" s="66">
        <f>COUNTIFS(TblUniv2017[G1],AM$66,TblUniv2017[Prodi],$AL$63)/$AL$65*100%</f>
        <v>0</v>
      </c>
      <c r="AN86" s="66">
        <f>COUNTIFS(TblUniv2017[G1],AN$66,TblUniv2017[Prodi],$AL$63)/$AL$65*100%</f>
        <v>0</v>
      </c>
      <c r="AO86" s="66">
        <f>COUNTIFS(TblUniv2017[G1],AO$66,TblUniv2017[Prodi],$AL$63)/$AL$65*100%</f>
        <v>0</v>
      </c>
      <c r="AP86" s="62">
        <f t="shared" si="5"/>
        <v>1</v>
      </c>
      <c r="AR86" s="57" t="s">
        <v>40</v>
      </c>
      <c r="AS86" s="66">
        <f>COUNTIFS(TblUniv2017[G1],AS$66,TblUniv2017[Prodi],$AS$63)/$AS$65*100%</f>
        <v>0.16666666666666666</v>
      </c>
      <c r="AT86" s="66">
        <f>COUNTIFS(TblUniv2017[G1],AT$66,TblUniv2017[Prodi],$AS$63)/$AS$65*100%</f>
        <v>0.83333333333333337</v>
      </c>
      <c r="AU86" s="66">
        <f>COUNTIFS(TblUniv2017[G1],AU$66,TblUniv2017[Prodi],$AS$63)/$AS$65*100%</f>
        <v>0</v>
      </c>
      <c r="AV86" s="66">
        <f>COUNTIFS(TblUniv2017[G1],AV$66,TblUniv2017[Prodi],$AS$63)/$AS$65*100%</f>
        <v>0</v>
      </c>
      <c r="AW86" s="62">
        <f t="shared" si="6"/>
        <v>1</v>
      </c>
    </row>
    <row r="87" spans="2:49" ht="16.5" x14ac:dyDescent="0.3">
      <c r="B87" s="57" t="s">
        <v>41</v>
      </c>
      <c r="C87" s="66">
        <f>COUNTIFS(TblUniv2017[G2],C$66)/$C$65*100%</f>
        <v>0.25</v>
      </c>
      <c r="D87" s="66">
        <f>COUNTIFS(TblUniv2017[G2],D$66)/$C$65*100%</f>
        <v>0.6071428571428571</v>
      </c>
      <c r="E87" s="66">
        <f>COUNTIFS(TblUniv2017[G2],E$66)/$C$65*100%</f>
        <v>0.125</v>
      </c>
      <c r="F87" s="66">
        <f>COUNTIFS(TblUniv2017[G2],F$66)/$C$65*100%</f>
        <v>1.7857142857142856E-2</v>
      </c>
      <c r="G87" s="62">
        <f t="shared" si="0"/>
        <v>1</v>
      </c>
      <c r="I87" s="57" t="s">
        <v>41</v>
      </c>
      <c r="J87" s="66">
        <f>COUNTIFS(TblUniv2017[G2],J$66,TblUniv2017[Prodi],$J$63)/$J$65*100%</f>
        <v>0</v>
      </c>
      <c r="K87" s="66">
        <f>COUNTIFS(TblUniv2017[G2],K$66,TblUniv2017[Prodi],$J$63)/$J$65*100%</f>
        <v>1</v>
      </c>
      <c r="L87" s="66">
        <f>COUNTIFS(TblUniv2017[G2],L$66,TblUniv2017[Prodi],$J$63)/$J$65*100%</f>
        <v>0</v>
      </c>
      <c r="M87" s="66">
        <f>COUNTIFS(TblUniv2017[G2],M$66,TblUniv2017[Prodi],$J$63)/$J$65*100%</f>
        <v>0</v>
      </c>
      <c r="N87" s="62">
        <f t="shared" si="1"/>
        <v>1</v>
      </c>
      <c r="P87" s="57" t="s">
        <v>41</v>
      </c>
      <c r="Q87" s="66">
        <f>COUNTIFS(TblUniv2017[G2],Q$66,TblUniv2017[Prodi],$Q$63)/$Q$65*100%</f>
        <v>0.3235294117647059</v>
      </c>
      <c r="R87" s="66">
        <f>COUNTIFS(TblUniv2017[G2],R$66,TblUniv2017[Prodi],$Q$63)/$Q$65*100%</f>
        <v>0.47058823529411764</v>
      </c>
      <c r="S87" s="66">
        <f>COUNTIFS(TblUniv2017[G2],S$66,TblUniv2017[Prodi],$Q$63)/$Q$65*100%</f>
        <v>0.17647058823529413</v>
      </c>
      <c r="T87" s="66">
        <f>COUNTIFS(TblUniv2017[G2],T$66,TblUniv2017[Prodi],$Q$63)/$Q$65*100%</f>
        <v>2.9411764705882353E-2</v>
      </c>
      <c r="U87" s="62">
        <f t="shared" si="2"/>
        <v>1</v>
      </c>
      <c r="W87" s="57" t="s">
        <v>41</v>
      </c>
      <c r="X87" s="66">
        <f>COUNTIFS(TblUniv2017[G2],X$66,TblUniv2017[Prodi],$X$63)/$X$65*100%</f>
        <v>0.4</v>
      </c>
      <c r="Y87" s="66">
        <f>COUNTIFS(TblUniv2017[G2],Y$66,TblUniv2017[Prodi],$X$63)/$X$65*100%</f>
        <v>0.6</v>
      </c>
      <c r="Z87" s="66">
        <f>COUNTIFS(TblUniv2017[G2],Z$66,TblUniv2017[Prodi],$X$63)/$X$65*100%</f>
        <v>0</v>
      </c>
      <c r="AA87" s="66">
        <f>COUNTIFS(TblUniv2017[G2],AA$66,TblUniv2017[Prodi],$X$63)/$X$65*100%</f>
        <v>0</v>
      </c>
      <c r="AB87" s="62">
        <f t="shared" si="3"/>
        <v>1</v>
      </c>
      <c r="AD87" s="57" t="s">
        <v>41</v>
      </c>
      <c r="AE87" s="66">
        <f>COUNTIFS(TblUniv2017[G2],AE$66,TblUniv2017[Prodi],$AE$63)/$AE$65*100%</f>
        <v>0</v>
      </c>
      <c r="AF87" s="66">
        <f>COUNTIFS(TblUniv2017[G2],AF$66,TblUniv2017[Prodi],$AE$63)/$AE$65*100%</f>
        <v>0</v>
      </c>
      <c r="AG87" s="66">
        <f>COUNTIFS(TblUniv2017[G2],AG$66,TblUniv2017[Prodi],$AE$63)/$AE$65*100%</f>
        <v>1</v>
      </c>
      <c r="AH87" s="66">
        <f>COUNTIFS(TblUniv2017[G2],AH$66,TblUniv2017[Prodi],$AE$63)/$AE$65*100%</f>
        <v>0</v>
      </c>
      <c r="AI87" s="62">
        <f t="shared" si="4"/>
        <v>1</v>
      </c>
      <c r="AK87" s="57" t="s">
        <v>41</v>
      </c>
      <c r="AL87" s="66">
        <f>COUNTIFS(TblUniv2017[G2],AL$66,TblUniv2017[Prodi],$AL$63)/$AL$65*100%</f>
        <v>0.5</v>
      </c>
      <c r="AM87" s="66">
        <f>COUNTIFS(TblUniv2017[G2],AM$66,TblUniv2017[Prodi],$AL$63)/$AL$65*100%</f>
        <v>0.5</v>
      </c>
      <c r="AN87" s="66">
        <f>COUNTIFS(TblUniv2017[G2],AN$66,TblUniv2017[Prodi],$AL$63)/$AL$65*100%</f>
        <v>0</v>
      </c>
      <c r="AO87" s="66">
        <f>COUNTIFS(TblUniv2017[G2],AO$66,TblUniv2017[Prodi],$AL$63)/$AL$65*100%</f>
        <v>0</v>
      </c>
      <c r="AP87" s="62">
        <f t="shared" si="5"/>
        <v>1</v>
      </c>
      <c r="AR87" s="57" t="s">
        <v>41</v>
      </c>
      <c r="AS87" s="66">
        <f>COUNTIFS(TblUniv2017[G2],AS$66,TblUniv2017[Prodi],$AS$63)/$AS$65*100%</f>
        <v>0</v>
      </c>
      <c r="AT87" s="66">
        <f>COUNTIFS(TblUniv2017[G2],AT$66,TblUniv2017[Prodi],$AS$63)/$AS$65*100%</f>
        <v>1</v>
      </c>
      <c r="AU87" s="66">
        <f>COUNTIFS(TblUniv2017[G2],AU$66,TblUniv2017[Prodi],$AS$63)/$AS$65*100%</f>
        <v>0</v>
      </c>
      <c r="AV87" s="66">
        <f>COUNTIFS(TblUniv2017[G2],AV$66,TblUniv2017[Prodi],$AS$63)/$AS$65*100%</f>
        <v>0</v>
      </c>
      <c r="AW87" s="62">
        <f t="shared" si="6"/>
        <v>1</v>
      </c>
    </row>
    <row r="88" spans="2:49" ht="16.5" x14ac:dyDescent="0.3">
      <c r="B88" s="60"/>
      <c r="C88" s="61">
        <f>AVERAGE(C86:C87)</f>
        <v>0.39285714285714285</v>
      </c>
      <c r="D88" s="61">
        <f>AVERAGE(D86:D87)</f>
        <v>0.5357142857142857</v>
      </c>
      <c r="E88" s="61">
        <f>AVERAGE(E86:E87)</f>
        <v>6.25E-2</v>
      </c>
      <c r="F88" s="61">
        <f>AVERAGE(F86:F87)</f>
        <v>8.9285714285714281E-3</v>
      </c>
      <c r="G88" s="62">
        <f t="shared" si="0"/>
        <v>1</v>
      </c>
      <c r="I88" s="60"/>
      <c r="J88" s="61">
        <f>AVERAGE(J86:J87)</f>
        <v>6.25E-2</v>
      </c>
      <c r="K88" s="61">
        <f>AVERAGE(K86:K87)</f>
        <v>0.9375</v>
      </c>
      <c r="L88" s="61">
        <f>AVERAGE(L86:L87)</f>
        <v>0</v>
      </c>
      <c r="M88" s="61">
        <f>AVERAGE(M86:M87)</f>
        <v>0</v>
      </c>
      <c r="N88" s="62">
        <f t="shared" si="1"/>
        <v>1</v>
      </c>
      <c r="P88" s="60"/>
      <c r="Q88" s="61">
        <f>AVERAGE(Q86:Q87)</f>
        <v>0.48529411764705888</v>
      </c>
      <c r="R88" s="61">
        <f>AVERAGE(R86:R87)</f>
        <v>0.41176470588235292</v>
      </c>
      <c r="S88" s="61">
        <f>AVERAGE(S86:S87)</f>
        <v>8.8235294117647065E-2</v>
      </c>
      <c r="T88" s="61">
        <f>AVERAGE(T86:T87)</f>
        <v>1.4705882352941176E-2</v>
      </c>
      <c r="U88" s="62">
        <f t="shared" si="2"/>
        <v>1</v>
      </c>
      <c r="W88" s="60"/>
      <c r="X88" s="61">
        <f>AVERAGE(X86:X87)</f>
        <v>0.60000000000000009</v>
      </c>
      <c r="Y88" s="61">
        <f>AVERAGE(Y86:Y87)</f>
        <v>0.4</v>
      </c>
      <c r="Z88" s="61">
        <f>AVERAGE(Z86:Z87)</f>
        <v>0</v>
      </c>
      <c r="AA88" s="61">
        <f>AVERAGE(AA86:AA87)</f>
        <v>0</v>
      </c>
      <c r="AB88" s="62">
        <f t="shared" si="3"/>
        <v>1</v>
      </c>
      <c r="AD88" s="60"/>
      <c r="AE88" s="61">
        <f>AVERAGE(AE86:AE87)</f>
        <v>0</v>
      </c>
      <c r="AF88" s="61">
        <f>AVERAGE(AF86:AF87)</f>
        <v>0.5</v>
      </c>
      <c r="AG88" s="61">
        <f>AVERAGE(AG86:AG87)</f>
        <v>0.5</v>
      </c>
      <c r="AH88" s="61">
        <f>AVERAGE(AH86:AH87)</f>
        <v>0</v>
      </c>
      <c r="AI88" s="62">
        <f t="shared" si="4"/>
        <v>1</v>
      </c>
      <c r="AK88" s="60"/>
      <c r="AL88" s="61">
        <f>AVERAGE(AL86:AL87)</f>
        <v>0.75</v>
      </c>
      <c r="AM88" s="61">
        <f>AVERAGE(AM86:AM87)</f>
        <v>0.25</v>
      </c>
      <c r="AN88" s="61">
        <f>AVERAGE(AN86:AN87)</f>
        <v>0</v>
      </c>
      <c r="AO88" s="61">
        <f>AVERAGE(AO86:AO87)</f>
        <v>0</v>
      </c>
      <c r="AP88" s="62">
        <f t="shared" si="5"/>
        <v>1</v>
      </c>
      <c r="AR88" s="60"/>
      <c r="AS88" s="61">
        <f>AVERAGE(AS86:AS87)</f>
        <v>8.3333333333333329E-2</v>
      </c>
      <c r="AT88" s="61">
        <f>AVERAGE(AT86:AT87)</f>
        <v>0.91666666666666674</v>
      </c>
      <c r="AU88" s="61">
        <f>AVERAGE(AU86:AU87)</f>
        <v>0</v>
      </c>
      <c r="AV88" s="61">
        <f>AVERAGE(AV86:AV87)</f>
        <v>0</v>
      </c>
      <c r="AW88" s="62">
        <f t="shared" si="6"/>
        <v>1</v>
      </c>
    </row>
    <row r="89" spans="2:49" ht="16.5" x14ac:dyDescent="0.3">
      <c r="B89" s="57" t="s">
        <v>42</v>
      </c>
      <c r="C89" s="66">
        <f>COUNTIFS(TblUniv2017[H1],C$66)/$C$65*100%</f>
        <v>0.39285714285714285</v>
      </c>
      <c r="D89" s="66">
        <f>COUNTIFS(TblUniv2017[H1],D$66)/$C$65*100%</f>
        <v>0.5892857142857143</v>
      </c>
      <c r="E89" s="66">
        <f>COUNTIFS(TblUniv2017[H1],E$66)/$C$65*100%</f>
        <v>1.7857142857142856E-2</v>
      </c>
      <c r="F89" s="66">
        <f>COUNTIFS(TblUniv2017[H1],F$66)/$C$65*100%</f>
        <v>0</v>
      </c>
      <c r="G89" s="62">
        <f t="shared" si="0"/>
        <v>1</v>
      </c>
      <c r="I89" s="57" t="s">
        <v>42</v>
      </c>
      <c r="J89" s="66">
        <f>COUNTIFS(TblUniv2017[H1],J$66,TblUniv2017[Prodi],$J$63)/$J$65*100%</f>
        <v>0.375</v>
      </c>
      <c r="K89" s="66">
        <f>COUNTIFS(TblUniv2017[H1],K$66,TblUniv2017[Prodi],$J$63)/$J$65*100%</f>
        <v>0.625</v>
      </c>
      <c r="L89" s="66">
        <f>COUNTIFS(TblUniv2017[H1],L$66,TblUniv2017[Prodi],$J$63)/$J$65*100%</f>
        <v>0</v>
      </c>
      <c r="M89" s="66">
        <f>COUNTIFS(TblUniv2017[H1],M$66,TblUniv2017[Prodi],$J$63)/$J$65*100%</f>
        <v>0</v>
      </c>
      <c r="N89" s="62">
        <f t="shared" si="1"/>
        <v>1</v>
      </c>
      <c r="P89" s="57" t="s">
        <v>42</v>
      </c>
      <c r="Q89" s="66">
        <f>COUNTIFS(TblUniv2017[H1],Q$66,TblUniv2017[Prodi],$Q$63)/$Q$65*100%</f>
        <v>0.41176470588235292</v>
      </c>
      <c r="R89" s="66">
        <f>COUNTIFS(TblUniv2017[H1],R$66,TblUniv2017[Prodi],$Q$63)/$Q$65*100%</f>
        <v>0.55882352941176472</v>
      </c>
      <c r="S89" s="66">
        <f>COUNTIFS(TblUniv2017[H1],S$66,TblUniv2017[Prodi],$Q$63)/$Q$65*100%</f>
        <v>2.9411764705882353E-2</v>
      </c>
      <c r="T89" s="66">
        <f>COUNTIFS(TblUniv2017[H1],T$66,TblUniv2017[Prodi],$Q$63)/$Q$65*100%</f>
        <v>0</v>
      </c>
      <c r="U89" s="62">
        <f t="shared" si="2"/>
        <v>1</v>
      </c>
      <c r="W89" s="57" t="s">
        <v>42</v>
      </c>
      <c r="X89" s="66">
        <f>COUNTIFS(TblUniv2017[H1],X$66,TblUniv2017[Prodi],$X$63)/$X$65*100%</f>
        <v>0.2</v>
      </c>
      <c r="Y89" s="66">
        <f>COUNTIFS(TblUniv2017[H1],Y$66,TblUniv2017[Prodi],$X$63)/$X$65*100%</f>
        <v>0.8</v>
      </c>
      <c r="Z89" s="66">
        <f>COUNTIFS(TblUniv2017[H1],Z$66,TblUniv2017[Prodi],$X$63)/$X$65*100%</f>
        <v>0</v>
      </c>
      <c r="AA89" s="66">
        <f>COUNTIFS(TblUniv2017[H1],AA$66,TblUniv2017[Prodi],$X$63)/$X$65*100%</f>
        <v>0</v>
      </c>
      <c r="AB89" s="62">
        <f t="shared" si="3"/>
        <v>1</v>
      </c>
      <c r="AD89" s="57" t="s">
        <v>42</v>
      </c>
      <c r="AE89" s="66">
        <f>COUNTIFS(TblUniv2017[H1],AE$66,TblUniv2017[Prodi],$AE$63)/$AE$65*100%</f>
        <v>0</v>
      </c>
      <c r="AF89" s="66">
        <f>COUNTIFS(TblUniv2017[H1],AF$66,TblUniv2017[Prodi],$AE$63)/$AE$65*100%</f>
        <v>1</v>
      </c>
      <c r="AG89" s="66">
        <f>COUNTIFS(TblUniv2017[H1],AG$66,TblUniv2017[Prodi],$AE$63)/$AE$65*100%</f>
        <v>0</v>
      </c>
      <c r="AH89" s="66">
        <f>COUNTIFS(TblUniv2017[H1],AH$66,TblUniv2017[Prodi],$AE$63)/$AE$65*100%</f>
        <v>0</v>
      </c>
      <c r="AI89" s="62">
        <f t="shared" si="4"/>
        <v>1</v>
      </c>
      <c r="AK89" s="57" t="s">
        <v>42</v>
      </c>
      <c r="AL89" s="66">
        <f>COUNTIFS(TblUniv2017[H1],AL$66,TblUniv2017[Prodi],$AL$63)/$AL$65*100%</f>
        <v>0.5</v>
      </c>
      <c r="AM89" s="66">
        <f>COUNTIFS(TblUniv2017[H1],AM$66,TblUniv2017[Prodi],$AL$63)/$AL$65*100%</f>
        <v>0.5</v>
      </c>
      <c r="AN89" s="66">
        <f>COUNTIFS(TblUniv2017[H1],AN$66,TblUniv2017[Prodi],$AL$63)/$AL$65*100%</f>
        <v>0</v>
      </c>
      <c r="AO89" s="66">
        <f>COUNTIFS(TblUniv2017[H1],AO$66,TblUniv2017[Prodi],$AL$63)/$AL$65*100%</f>
        <v>0</v>
      </c>
      <c r="AP89" s="62">
        <f t="shared" si="5"/>
        <v>1</v>
      </c>
      <c r="AR89" s="57" t="s">
        <v>42</v>
      </c>
      <c r="AS89" s="66">
        <f>COUNTIFS(TblUniv2017[H1],AS$66,TblUniv2017[Prodi],$AS$63)/$AS$65*100%</f>
        <v>0.5</v>
      </c>
      <c r="AT89" s="66">
        <f>COUNTIFS(TblUniv2017[H1],AT$66,TblUniv2017[Prodi],$AS$63)/$AS$65*100%</f>
        <v>0.5</v>
      </c>
      <c r="AU89" s="66">
        <f>COUNTIFS(TblUniv2017[H1],AU$66,TblUniv2017[Prodi],$AS$63)/$AS$65*100%</f>
        <v>0</v>
      </c>
      <c r="AV89" s="66">
        <f>COUNTIFS(TblUniv2017[H1],AV$66,TblUniv2017[Prodi],$AS$63)/$AS$65*100%</f>
        <v>0</v>
      </c>
      <c r="AW89" s="62">
        <f t="shared" si="6"/>
        <v>1</v>
      </c>
    </row>
    <row r="90" spans="2:49" ht="16.5" x14ac:dyDescent="0.3">
      <c r="B90" s="57" t="s">
        <v>43</v>
      </c>
      <c r="C90" s="66">
        <f>COUNTIFS(TblUniv2017[H2],C$66)/$C$65*100%</f>
        <v>0.23214285714285715</v>
      </c>
      <c r="D90" s="66">
        <f>COUNTIFS(TblUniv2017[H2],D$66)/$C$65*100%</f>
        <v>0.6071428571428571</v>
      </c>
      <c r="E90" s="66">
        <f>COUNTIFS(TblUniv2017[H2],E$66)/$C$65*100%</f>
        <v>0.16071428571428573</v>
      </c>
      <c r="F90" s="66">
        <f>COUNTIFS(TblUniv2017[H2],F$66)/$C$65*100%</f>
        <v>0</v>
      </c>
      <c r="G90" s="62">
        <f t="shared" si="0"/>
        <v>0.99999999999999989</v>
      </c>
      <c r="I90" s="57" t="s">
        <v>43</v>
      </c>
      <c r="J90" s="66">
        <f>COUNTIFS(TblUniv2017[H1],J$66,TblUniv2017[Prodi],$J$63)/$J$65*100%</f>
        <v>0.375</v>
      </c>
      <c r="K90" s="66">
        <f>COUNTIFS(TblUniv2017[H1],K$66,TblUniv2017[Prodi],$J$63)/$J$65*100%</f>
        <v>0.625</v>
      </c>
      <c r="L90" s="66">
        <f>COUNTIFS(TblUniv2017[H1],L$66,TblUniv2017[Prodi],$J$63)/$J$65*100%</f>
        <v>0</v>
      </c>
      <c r="M90" s="66">
        <f>COUNTIFS(TblUniv2017[H1],M$66,TblUniv2017[Prodi],$J$63)/$J$65*100%</f>
        <v>0</v>
      </c>
      <c r="N90" s="62">
        <f t="shared" si="1"/>
        <v>1</v>
      </c>
      <c r="P90" s="57" t="s">
        <v>43</v>
      </c>
      <c r="Q90" s="66">
        <f>COUNTIFS(TblUniv2017[H1],Q$66,TblUniv2017[Prodi],$Q$63)/$Q$65*100%</f>
        <v>0.41176470588235292</v>
      </c>
      <c r="R90" s="66">
        <f>COUNTIFS(TblUniv2017[H1],R$66,TblUniv2017[Prodi],$Q$63)/$Q$65*100%</f>
        <v>0.55882352941176472</v>
      </c>
      <c r="S90" s="66">
        <f>COUNTIFS(TblUniv2017[H1],S$66,TblUniv2017[Prodi],$Q$63)/$Q$65*100%</f>
        <v>2.9411764705882353E-2</v>
      </c>
      <c r="T90" s="66">
        <f>COUNTIFS(TblUniv2017[H1],T$66,TblUniv2017[Prodi],$Q$63)/$Q$65*100%</f>
        <v>0</v>
      </c>
      <c r="U90" s="62">
        <f t="shared" si="2"/>
        <v>1</v>
      </c>
      <c r="W90" s="57" t="s">
        <v>43</v>
      </c>
      <c r="X90" s="66">
        <f>COUNTIFS(TblUniv2017[H1],X$66,TblUniv2017[Prodi],$X$63)/$X$65*100%</f>
        <v>0.2</v>
      </c>
      <c r="Y90" s="66">
        <f>COUNTIFS(TblUniv2017[H1],Y$66,TblUniv2017[Prodi],$X$63)/$X$65*100%</f>
        <v>0.8</v>
      </c>
      <c r="Z90" s="66">
        <f>COUNTIFS(TblUniv2017[H1],Z$66,TblUniv2017[Prodi],$X$63)/$X$65*100%</f>
        <v>0</v>
      </c>
      <c r="AA90" s="66">
        <f>COUNTIFS(TblUniv2017[H1],AA$66,TblUniv2017[Prodi],$X$63)/$X$65*100%</f>
        <v>0</v>
      </c>
      <c r="AB90" s="62">
        <f t="shared" si="3"/>
        <v>1</v>
      </c>
      <c r="AD90" s="57" t="s">
        <v>43</v>
      </c>
      <c r="AE90" s="66">
        <f>COUNTIFS(TblUniv2017[H1],AE$66,TblUniv2017[Prodi],$AE$63)/$AE$65*100%</f>
        <v>0</v>
      </c>
      <c r="AF90" s="66">
        <f>COUNTIFS(TblUniv2017[H1],AF$66,TblUniv2017[Prodi],$AE$63)/$AE$65*100%</f>
        <v>1</v>
      </c>
      <c r="AG90" s="66">
        <f>COUNTIFS(TblUniv2017[H1],AG$66,TblUniv2017[Prodi],$AE$63)/$AE$65*100%</f>
        <v>0</v>
      </c>
      <c r="AH90" s="66">
        <f>COUNTIFS(TblUniv2017[H1],AH$66,TblUniv2017[Prodi],$AE$63)/$AE$65*100%</f>
        <v>0</v>
      </c>
      <c r="AI90" s="62">
        <f t="shared" si="4"/>
        <v>1</v>
      </c>
      <c r="AK90" s="57" t="s">
        <v>43</v>
      </c>
      <c r="AL90" s="66">
        <f>COUNTIFS(TblUniv2017[H1],AL$66,TblUniv2017[Prodi],$AL$63)/$AL$65*100%</f>
        <v>0.5</v>
      </c>
      <c r="AM90" s="66">
        <f>COUNTIFS(TblUniv2017[H1],AM$66,TblUniv2017[Prodi],$AL$63)/$AL$65*100%</f>
        <v>0.5</v>
      </c>
      <c r="AN90" s="66">
        <f>COUNTIFS(TblUniv2017[H1],AN$66,TblUniv2017[Prodi],$AL$63)/$AL$65*100%</f>
        <v>0</v>
      </c>
      <c r="AO90" s="66">
        <f>COUNTIFS(TblUniv2017[H1],AO$66,TblUniv2017[Prodi],$AL$63)/$AL$65*100%</f>
        <v>0</v>
      </c>
      <c r="AP90" s="62">
        <f t="shared" si="5"/>
        <v>1</v>
      </c>
      <c r="AR90" s="57" t="s">
        <v>43</v>
      </c>
      <c r="AS90" s="66">
        <f>COUNTIFS(TblUniv2017[H1],AS$66,TblUniv2017[Prodi],$AS$63)/$AS$65*100%</f>
        <v>0.5</v>
      </c>
      <c r="AT90" s="66">
        <f>COUNTIFS(TblUniv2017[H1],AT$66,TblUniv2017[Prodi],$AS$63)/$AS$65*100%</f>
        <v>0.5</v>
      </c>
      <c r="AU90" s="66">
        <f>COUNTIFS(TblUniv2017[H1],AU$66,TblUniv2017[Prodi],$AS$63)/$AS$65*100%</f>
        <v>0</v>
      </c>
      <c r="AV90" s="66">
        <f>COUNTIFS(TblUniv2017[H1],AV$66,TblUniv2017[Prodi],$AS$63)/$AS$65*100%</f>
        <v>0</v>
      </c>
      <c r="AW90" s="62">
        <f t="shared" si="6"/>
        <v>1</v>
      </c>
    </row>
    <row r="91" spans="2:49" ht="16.5" x14ac:dyDescent="0.3">
      <c r="B91" s="57" t="s">
        <v>44</v>
      </c>
      <c r="C91" s="66">
        <f>COUNTIFS(TblUniv2017[H3],C$66)/$C$65*100%</f>
        <v>0.35714285714285715</v>
      </c>
      <c r="D91" s="66">
        <f>COUNTIFS(TblUniv2017[H3],D$66)/$C$65*100%</f>
        <v>0.625</v>
      </c>
      <c r="E91" s="66">
        <f>COUNTIFS(TblUniv2017[H3],E$66)/$C$65*100%</f>
        <v>0</v>
      </c>
      <c r="F91" s="66">
        <f>COUNTIFS(TblUniv2017[H3],F$66)/$C$65*100%</f>
        <v>1.7857142857142856E-2</v>
      </c>
      <c r="G91" s="62">
        <f t="shared" si="0"/>
        <v>1</v>
      </c>
      <c r="I91" s="57" t="s">
        <v>44</v>
      </c>
      <c r="J91" s="66">
        <f>COUNTIFS(TblUniv2017[H3],J$66,TblUniv2017[Prodi],$J$63)/$J$65*100%</f>
        <v>0.25</v>
      </c>
      <c r="K91" s="66">
        <f>COUNTIFS(TblUniv2017[H3],K$66,TblUniv2017[Prodi],$J$63)/$J$65*100%</f>
        <v>0.75</v>
      </c>
      <c r="L91" s="66">
        <f>COUNTIFS(TblUniv2017[H3],L$66,TblUniv2017[Prodi],$J$63)/$J$65*100%</f>
        <v>0</v>
      </c>
      <c r="M91" s="66">
        <f>COUNTIFS(TblUniv2017[H3],M$66,TblUniv2017[Prodi],$J$63)/$J$65*100%</f>
        <v>0</v>
      </c>
      <c r="N91" s="62">
        <f t="shared" si="1"/>
        <v>1</v>
      </c>
      <c r="P91" s="57" t="s">
        <v>44</v>
      </c>
      <c r="Q91" s="66">
        <f>COUNTIFS(TblUniv2017[H3],Q$66,TblUniv2017[Prodi],$Q$63)/$Q$65*100%</f>
        <v>0.41176470588235292</v>
      </c>
      <c r="R91" s="66">
        <f>COUNTIFS(TblUniv2017[H3],R$66,TblUniv2017[Prodi],$Q$63)/$Q$65*100%</f>
        <v>0.55882352941176472</v>
      </c>
      <c r="S91" s="66">
        <f>COUNTIFS(TblUniv2017[H3],S$66,TblUniv2017[Prodi],$Q$63)/$Q$65*100%</f>
        <v>0</v>
      </c>
      <c r="T91" s="66">
        <f>COUNTIFS(TblUniv2017[H3],T$66,TblUniv2017[Prodi],$Q$63)/$Q$65*100%</f>
        <v>2.9411764705882353E-2</v>
      </c>
      <c r="U91" s="62">
        <f t="shared" si="2"/>
        <v>1</v>
      </c>
      <c r="W91" s="57" t="s">
        <v>44</v>
      </c>
      <c r="X91" s="66">
        <f>COUNTIFS(TblUniv2017[H3],X$66,TblUniv2017[Prodi],$X$63)/$X$65*100%</f>
        <v>0</v>
      </c>
      <c r="Y91" s="66">
        <f>COUNTIFS(TblUniv2017[H3],Y$66,TblUniv2017[Prodi],$X$63)/$X$65*100%</f>
        <v>1</v>
      </c>
      <c r="Z91" s="66">
        <f>COUNTIFS(TblUniv2017[H3],Z$66,TblUniv2017[Prodi],$X$63)/$X$65*100%</f>
        <v>0</v>
      </c>
      <c r="AA91" s="66">
        <f>COUNTIFS(TblUniv2017[H3],AA$66,TblUniv2017[Prodi],$X$63)/$X$65*100%</f>
        <v>0</v>
      </c>
      <c r="AB91" s="62">
        <f t="shared" si="3"/>
        <v>1</v>
      </c>
      <c r="AD91" s="57" t="s">
        <v>44</v>
      </c>
      <c r="AE91" s="66">
        <f>COUNTIFS(TblUniv2017[H3],AE$66,TblUniv2017[Prodi],$AE$63)/$AE$65*100%</f>
        <v>0</v>
      </c>
      <c r="AF91" s="66">
        <f>COUNTIFS(TblUniv2017[H3],AF$66,TblUniv2017[Prodi],$AE$63)/$AE$65*100%</f>
        <v>1</v>
      </c>
      <c r="AG91" s="66">
        <f>COUNTIFS(TblUniv2017[H3],AG$66,TblUniv2017[Prodi],$AE$63)/$AE$65*100%</f>
        <v>0</v>
      </c>
      <c r="AH91" s="66">
        <f>COUNTIFS(TblUniv2017[H3],AH$66,TblUniv2017[Prodi],$AE$63)/$AE$65*100%</f>
        <v>0</v>
      </c>
      <c r="AI91" s="62">
        <f t="shared" si="4"/>
        <v>1</v>
      </c>
      <c r="AK91" s="57" t="s">
        <v>44</v>
      </c>
      <c r="AL91" s="66">
        <f>COUNTIFS(TblUniv2017[H3],AL$66,TblUniv2017[Prodi],$AL$63)/$AL$65*100%</f>
        <v>0.5</v>
      </c>
      <c r="AM91" s="66">
        <f>COUNTIFS(TblUniv2017[H3],AM$66,TblUniv2017[Prodi],$AL$63)/$AL$65*100%</f>
        <v>0.5</v>
      </c>
      <c r="AN91" s="66">
        <f>COUNTIFS(TblUniv2017[H3],AN$66,TblUniv2017[Prodi],$AL$63)/$AL$65*100%</f>
        <v>0</v>
      </c>
      <c r="AO91" s="66">
        <f>COUNTIFS(TblUniv2017[H3],AO$66,TblUniv2017[Prodi],$AL$63)/$AL$65*100%</f>
        <v>0</v>
      </c>
      <c r="AP91" s="62">
        <f t="shared" si="5"/>
        <v>1</v>
      </c>
      <c r="AR91" s="57" t="s">
        <v>44</v>
      </c>
      <c r="AS91" s="66">
        <f>COUNTIFS(TblUniv2017[H3],AS$66,TblUniv2017[Prodi],$AS$63)/$AS$65*100%</f>
        <v>0.5</v>
      </c>
      <c r="AT91" s="66">
        <f>COUNTIFS(TblUniv2017[H3],AT$66,TblUniv2017[Prodi],$AS$63)/$AS$65*100%</f>
        <v>0.5</v>
      </c>
      <c r="AU91" s="66">
        <f>COUNTIFS(TblUniv2017[H3],AU$66,TblUniv2017[Prodi],$AS$63)/$AS$65*100%</f>
        <v>0</v>
      </c>
      <c r="AV91" s="66">
        <f>COUNTIFS(TblUniv2017[H3],AV$66,TblUniv2017[Prodi],$AS$63)/$AS$65*100%</f>
        <v>0</v>
      </c>
      <c r="AW91" s="62">
        <f t="shared" si="6"/>
        <v>1</v>
      </c>
    </row>
    <row r="92" spans="2:49" ht="16.5" x14ac:dyDescent="0.3">
      <c r="B92" s="57" t="s">
        <v>45</v>
      </c>
      <c r="C92" s="66">
        <f>COUNTIFS(TblUniv2017[H4],C$66)/$C$65*100%</f>
        <v>0.3392857142857143</v>
      </c>
      <c r="D92" s="66">
        <f>COUNTIFS(TblUniv2017[H4],D$66)/$C$65*100%</f>
        <v>0.48214285714285715</v>
      </c>
      <c r="E92" s="66">
        <f>COUNTIFS(TblUniv2017[H4],E$66)/$C$65*100%</f>
        <v>0.16071428571428573</v>
      </c>
      <c r="F92" s="66">
        <f>COUNTIFS(TblUniv2017[H4],F$66)/$C$65*100%</f>
        <v>1.7857142857142856E-2</v>
      </c>
      <c r="G92" s="62">
        <f t="shared" si="0"/>
        <v>1</v>
      </c>
      <c r="I92" s="57" t="s">
        <v>45</v>
      </c>
      <c r="J92" s="66">
        <f>COUNTIFS(TblUniv2017[H4],J$66,TblUniv2017[Prodi],$J$63)/$J$65*100%</f>
        <v>0.375</v>
      </c>
      <c r="K92" s="66">
        <f>COUNTIFS(TblUniv2017[H4],K$66,TblUniv2017[Prodi],$J$63)/$J$65*100%</f>
        <v>0.625</v>
      </c>
      <c r="L92" s="66">
        <f>COUNTIFS(TblUniv2017[H4],L$66,TblUniv2017[Prodi],$J$63)/$J$65*100%</f>
        <v>0</v>
      </c>
      <c r="M92" s="66">
        <f>COUNTIFS(TblUniv2017[H4],M$66,TblUniv2017[Prodi],$J$63)/$J$65*100%</f>
        <v>0</v>
      </c>
      <c r="N92" s="62">
        <f t="shared" si="1"/>
        <v>1</v>
      </c>
      <c r="P92" s="57" t="s">
        <v>45</v>
      </c>
      <c r="Q92" s="66">
        <f>COUNTIFS(TblUniv2017[H4],Q$66,TblUniv2017[Prodi],$Q$63)/$Q$65*100%</f>
        <v>0.29411764705882354</v>
      </c>
      <c r="R92" s="66">
        <f>COUNTIFS(TblUniv2017[H4],R$66,TblUniv2017[Prodi],$Q$63)/$Q$65*100%</f>
        <v>0.44117647058823528</v>
      </c>
      <c r="S92" s="66">
        <f>COUNTIFS(TblUniv2017[H4],S$66,TblUniv2017[Prodi],$Q$63)/$Q$65*100%</f>
        <v>0.23529411764705882</v>
      </c>
      <c r="T92" s="66">
        <f>COUNTIFS(TblUniv2017[H4],T$66,TblUniv2017[Prodi],$Q$63)/$Q$65*100%</f>
        <v>2.9411764705882353E-2</v>
      </c>
      <c r="U92" s="62">
        <f t="shared" si="2"/>
        <v>1</v>
      </c>
      <c r="W92" s="57" t="s">
        <v>45</v>
      </c>
      <c r="X92" s="66">
        <f>COUNTIFS(TblUniv2017[H4],X$66,TblUniv2017[Prodi],$X$63)/$X$65*100%</f>
        <v>0.4</v>
      </c>
      <c r="Y92" s="66">
        <f>COUNTIFS(TblUniv2017[H4],Y$66,TblUniv2017[Prodi],$X$63)/$X$65*100%</f>
        <v>0.6</v>
      </c>
      <c r="Z92" s="66">
        <f>COUNTIFS(TblUniv2017[H4],Z$66,TblUniv2017[Prodi],$X$63)/$X$65*100%</f>
        <v>0</v>
      </c>
      <c r="AA92" s="66">
        <f>COUNTIFS(TblUniv2017[H4],AA$66,TblUniv2017[Prodi],$X$63)/$X$65*100%</f>
        <v>0</v>
      </c>
      <c r="AB92" s="62">
        <f t="shared" si="3"/>
        <v>1</v>
      </c>
      <c r="AD92" s="57" t="s">
        <v>45</v>
      </c>
      <c r="AE92" s="66">
        <f>COUNTIFS(TblUniv2017[H4],AE$66,TblUniv2017[Prodi],$AE$63)/$AE$65*100%</f>
        <v>0</v>
      </c>
      <c r="AF92" s="66">
        <f>COUNTIFS(TblUniv2017[H4],AF$66,TblUniv2017[Prodi],$AE$63)/$AE$65*100%</f>
        <v>1</v>
      </c>
      <c r="AG92" s="66">
        <f>COUNTIFS(TblUniv2017[H4],AG$66,TblUniv2017[Prodi],$AE$63)/$AE$65*100%</f>
        <v>0</v>
      </c>
      <c r="AH92" s="66">
        <f>COUNTIFS(TblUniv2017[H4],AH$66,TblUniv2017[Prodi],$AE$63)/$AE$65*100%</f>
        <v>0</v>
      </c>
      <c r="AI92" s="62">
        <f t="shared" si="4"/>
        <v>1</v>
      </c>
      <c r="AK92" s="57" t="s">
        <v>45</v>
      </c>
      <c r="AL92" s="66">
        <f>COUNTIFS(TblUniv2017[H4],AL$66,TblUniv2017[Prodi],$AL$63)/$AL$65*100%</f>
        <v>0.5</v>
      </c>
      <c r="AM92" s="66">
        <f>COUNTIFS(TblUniv2017[H4],AM$66,TblUniv2017[Prodi],$AL$63)/$AL$65*100%</f>
        <v>0.5</v>
      </c>
      <c r="AN92" s="66">
        <f>COUNTIFS(TblUniv2017[H4],AN$66,TblUniv2017[Prodi],$AL$63)/$AL$65*100%</f>
        <v>0</v>
      </c>
      <c r="AO92" s="66">
        <f>COUNTIFS(TblUniv2017[H4],AO$66,TblUniv2017[Prodi],$AL$63)/$AL$65*100%</f>
        <v>0</v>
      </c>
      <c r="AP92" s="62">
        <f t="shared" si="5"/>
        <v>1</v>
      </c>
      <c r="AR92" s="57" t="s">
        <v>45</v>
      </c>
      <c r="AS92" s="66">
        <f>COUNTIFS(TblUniv2017[H4],AS$66,TblUniv2017[Prodi],$AS$63)/$AS$65*100%</f>
        <v>0.5</v>
      </c>
      <c r="AT92" s="66">
        <f>COUNTIFS(TblUniv2017[H4],AT$66,TblUniv2017[Prodi],$AS$63)/$AS$65*100%</f>
        <v>0.33333333333333331</v>
      </c>
      <c r="AU92" s="66">
        <f>COUNTIFS(TblUniv2017[H4],AU$66,TblUniv2017[Prodi],$AS$63)/$AS$65*100%</f>
        <v>0.16666666666666666</v>
      </c>
      <c r="AV92" s="66">
        <f>COUNTIFS(TblUniv2017[H4],AV$66,TblUniv2017[Prodi],$AS$63)/$AS$65*100%</f>
        <v>0</v>
      </c>
      <c r="AW92" s="62">
        <f t="shared" si="6"/>
        <v>0.99999999999999989</v>
      </c>
    </row>
    <row r="93" spans="2:49" ht="16.5" x14ac:dyDescent="0.3">
      <c r="B93" s="60"/>
      <c r="C93" s="61">
        <f>AVERAGE(C89:C92)</f>
        <v>0.3303571428571429</v>
      </c>
      <c r="D93" s="61">
        <f>AVERAGE(D89:D92)</f>
        <v>0.5758928571428571</v>
      </c>
      <c r="E93" s="61">
        <f>AVERAGE(E89:E92)</f>
        <v>8.4821428571428575E-2</v>
      </c>
      <c r="F93" s="61">
        <f>AVERAGE(F89:F92)</f>
        <v>8.9285714285714281E-3</v>
      </c>
      <c r="G93" s="62">
        <f t="shared" si="0"/>
        <v>1</v>
      </c>
      <c r="I93" s="60"/>
      <c r="J93" s="61">
        <f>AVERAGE(J89:J92)</f>
        <v>0.34375</v>
      </c>
      <c r="K93" s="61">
        <f>AVERAGE(K89:K92)</f>
        <v>0.65625</v>
      </c>
      <c r="L93" s="61">
        <f>AVERAGE(L89:L92)</f>
        <v>0</v>
      </c>
      <c r="M93" s="61">
        <f>AVERAGE(M89:M92)</f>
        <v>0</v>
      </c>
      <c r="N93" s="62">
        <f t="shared" si="1"/>
        <v>1</v>
      </c>
      <c r="P93" s="60"/>
      <c r="Q93" s="61">
        <f>AVERAGE(Q89:Q92)</f>
        <v>0.38235294117647062</v>
      </c>
      <c r="R93" s="61">
        <f>AVERAGE(R89:R92)</f>
        <v>0.52941176470588236</v>
      </c>
      <c r="S93" s="61">
        <f>AVERAGE(S89:S92)</f>
        <v>7.3529411764705885E-2</v>
      </c>
      <c r="T93" s="61">
        <f>AVERAGE(T89:T92)</f>
        <v>1.4705882352941176E-2</v>
      </c>
      <c r="U93" s="62">
        <f t="shared" si="2"/>
        <v>1</v>
      </c>
      <c r="W93" s="60"/>
      <c r="X93" s="61">
        <f>AVERAGE(X89:X92)</f>
        <v>0.2</v>
      </c>
      <c r="Y93" s="61">
        <f>AVERAGE(Y89:Y92)</f>
        <v>0.8</v>
      </c>
      <c r="Z93" s="61">
        <f>AVERAGE(Z89:Z92)</f>
        <v>0</v>
      </c>
      <c r="AA93" s="61">
        <f>AVERAGE(AA89:AA92)</f>
        <v>0</v>
      </c>
      <c r="AB93" s="62">
        <f t="shared" si="3"/>
        <v>1</v>
      </c>
      <c r="AD93" s="60"/>
      <c r="AE93" s="61">
        <f>AVERAGE(AE89:AE92)</f>
        <v>0</v>
      </c>
      <c r="AF93" s="61">
        <f>AVERAGE(AF89:AF92)</f>
        <v>1</v>
      </c>
      <c r="AG93" s="61">
        <f>AVERAGE(AG89:AG92)</f>
        <v>0</v>
      </c>
      <c r="AH93" s="61">
        <f>AVERAGE(AH89:AH92)</f>
        <v>0</v>
      </c>
      <c r="AI93" s="62">
        <f t="shared" si="4"/>
        <v>1</v>
      </c>
      <c r="AK93" s="60"/>
      <c r="AL93" s="61">
        <f>AVERAGE(AL89:AL92)</f>
        <v>0.5</v>
      </c>
      <c r="AM93" s="61">
        <f>AVERAGE(AM89:AM92)</f>
        <v>0.5</v>
      </c>
      <c r="AN93" s="61">
        <f>AVERAGE(AN89:AN92)</f>
        <v>0</v>
      </c>
      <c r="AO93" s="61">
        <f>AVERAGE(AO89:AO92)</f>
        <v>0</v>
      </c>
      <c r="AP93" s="62">
        <f t="shared" si="5"/>
        <v>1</v>
      </c>
      <c r="AR93" s="60"/>
      <c r="AS93" s="61">
        <f>AVERAGE(AS89:AS92)</f>
        <v>0.5</v>
      </c>
      <c r="AT93" s="61">
        <f>AVERAGE(AT89:AT92)</f>
        <v>0.45833333333333331</v>
      </c>
      <c r="AU93" s="61">
        <f>AVERAGE(AU89:AU92)</f>
        <v>4.1666666666666664E-2</v>
      </c>
      <c r="AV93" s="61">
        <f>AVERAGE(AV89:AV92)</f>
        <v>0</v>
      </c>
      <c r="AW93" s="62">
        <f t="shared" si="6"/>
        <v>0.99999999999999989</v>
      </c>
    </row>
    <row r="94" spans="2:49" ht="16.5" x14ac:dyDescent="0.3">
      <c r="B94" s="57" t="s">
        <v>648</v>
      </c>
      <c r="C94" s="66">
        <f>COUNTIFS(TblUniv2017[I. a1],C$66)/$C$65*100%</f>
        <v>0.35714285714285715</v>
      </c>
      <c r="D94" s="66">
        <f>COUNTIFS(TblUniv2017[I. a1],D$66)/$C$65*100%</f>
        <v>0.6071428571428571</v>
      </c>
      <c r="E94" s="66">
        <f>COUNTIFS(TblUniv2017[I. a1],E$66)/$C$65*100%</f>
        <v>3.5714285714285712E-2</v>
      </c>
      <c r="F94" s="66">
        <f>COUNTIFS(TblUniv2017[I. a1],F$66)/$C$65*100%</f>
        <v>0</v>
      </c>
      <c r="G94" s="62">
        <f t="shared" si="0"/>
        <v>0.99999999999999989</v>
      </c>
      <c r="I94" s="57" t="s">
        <v>648</v>
      </c>
      <c r="J94" s="66">
        <f>COUNTIFS(TblUniv2017[I. a1],J$66,TblUniv2017[Prodi],$J$63)/$J$65*100%</f>
        <v>0.125</v>
      </c>
      <c r="K94" s="66">
        <f>COUNTIFS(TblUniv2017[I. a1],K$66,TblUniv2017[Prodi],$J$63)/$J$65*100%</f>
        <v>0.875</v>
      </c>
      <c r="L94" s="66">
        <f>COUNTIFS(TblUniv2017[I. a1],L$66,TblUniv2017[Prodi],$J$63)/$J$65*100%</f>
        <v>0</v>
      </c>
      <c r="M94" s="66">
        <f>COUNTIFS(TblUniv2017[I. a1],M$66,TblUniv2017[Prodi],$J$63)/$J$65*100%</f>
        <v>0</v>
      </c>
      <c r="N94" s="62">
        <f t="shared" si="1"/>
        <v>1</v>
      </c>
      <c r="P94" s="57" t="s">
        <v>648</v>
      </c>
      <c r="Q94" s="66">
        <f>COUNTIFS(TblUniv2017[I. a1],Q$66,TblUniv2017[Prodi],$Q$63)/$Q$65*100%</f>
        <v>0.38235294117647056</v>
      </c>
      <c r="R94" s="66">
        <f>COUNTIFS(TblUniv2017[I. a1],R$66,TblUniv2017[Prodi],$Q$63)/$Q$65*100%</f>
        <v>0.58823529411764708</v>
      </c>
      <c r="S94" s="66">
        <f>COUNTIFS(TblUniv2017[I. a1],S$66,TblUniv2017[Prodi],$Q$63)/$Q$65*100%</f>
        <v>2.9411764705882353E-2</v>
      </c>
      <c r="T94" s="66">
        <f>COUNTIFS(TblUniv2017[I. a1],T$66,TblUniv2017[Prodi],$Q$63)/$Q$65*100%</f>
        <v>0</v>
      </c>
      <c r="U94" s="62">
        <f t="shared" si="2"/>
        <v>1</v>
      </c>
      <c r="W94" s="57" t="s">
        <v>648</v>
      </c>
      <c r="X94" s="66">
        <f>COUNTIFS(TblUniv2017[I. a1],X$66,TblUniv2017[Prodi],$X$63)/$X$65*100%</f>
        <v>0.2</v>
      </c>
      <c r="Y94" s="66">
        <f>COUNTIFS(TblUniv2017[I. a1],Y$66,TblUniv2017[Prodi],$X$63)/$X$65*100%</f>
        <v>0.8</v>
      </c>
      <c r="Z94" s="66">
        <f>COUNTIFS(TblUniv2017[I. a1],Z$66,TblUniv2017[Prodi],$X$63)/$X$65*100%</f>
        <v>0</v>
      </c>
      <c r="AA94" s="66">
        <f>COUNTIFS(TblUniv2017[I. a1],AA$66,TblUniv2017[Prodi],$X$63)/$X$65*100%</f>
        <v>0</v>
      </c>
      <c r="AB94" s="62">
        <f t="shared" si="3"/>
        <v>1</v>
      </c>
      <c r="AD94" s="57" t="s">
        <v>648</v>
      </c>
      <c r="AE94" s="66">
        <f>COUNTIFS(TblUniv2017[I. a1],AE$66,TblUniv2017[Prodi],$AE$63)/$AE$65*100%</f>
        <v>0</v>
      </c>
      <c r="AF94" s="66">
        <f>COUNTIFS(TblUniv2017[I. a1],AF$66,TblUniv2017[Prodi],$AE$63)/$AE$65*100%</f>
        <v>1</v>
      </c>
      <c r="AG94" s="66">
        <f>COUNTIFS(TblUniv2017[I. a1],AG$66,TblUniv2017[Prodi],$AE$63)/$AE$65*100%</f>
        <v>0</v>
      </c>
      <c r="AH94" s="66">
        <f>COUNTIFS(TblUniv2017[I. a1],AH$66,TblUniv2017[Prodi],$AE$63)/$AE$65*100%</f>
        <v>0</v>
      </c>
      <c r="AI94" s="62">
        <f t="shared" si="4"/>
        <v>1</v>
      </c>
      <c r="AK94" s="57" t="s">
        <v>648</v>
      </c>
      <c r="AL94" s="66">
        <f>COUNTIFS(TblUniv2017[I. a1],AL$66,TblUniv2017[Prodi],$AL$63)/$AL$65*100%</f>
        <v>0.5</v>
      </c>
      <c r="AM94" s="66">
        <f>COUNTIFS(TblUniv2017[I. a1],AM$66,TblUniv2017[Prodi],$AL$63)/$AL$65*100%</f>
        <v>0.5</v>
      </c>
      <c r="AN94" s="66">
        <f>COUNTIFS(TblUniv2017[I. a1],AN$66,TblUniv2017[Prodi],$AL$63)/$AL$65*100%</f>
        <v>0</v>
      </c>
      <c r="AO94" s="66">
        <f>COUNTIFS(TblUniv2017[I. a1],AO$66,TblUniv2017[Prodi],$AL$63)/$AL$65*100%</f>
        <v>0</v>
      </c>
      <c r="AP94" s="62">
        <f t="shared" si="5"/>
        <v>1</v>
      </c>
      <c r="AR94" s="57" t="s">
        <v>648</v>
      </c>
      <c r="AS94" s="66">
        <f>COUNTIFS(TblUniv2017[I. a1],AS$66,TblUniv2017[Prodi],$AS$63)/$AS$65*100%</f>
        <v>0.66666666666666663</v>
      </c>
      <c r="AT94" s="66">
        <f>COUNTIFS(TblUniv2017[I. a1],AT$66,TblUniv2017[Prodi],$AS$63)/$AS$65*100%</f>
        <v>0.16666666666666666</v>
      </c>
      <c r="AU94" s="66">
        <f>COUNTIFS(TblUniv2017[I. a1],AU$66,TblUniv2017[Prodi],$AS$63)/$AS$65*100%</f>
        <v>0.16666666666666666</v>
      </c>
      <c r="AV94" s="66">
        <f>COUNTIFS(TblUniv2017[I. a1],AV$66,TblUniv2017[Prodi],$AS$63)/$AS$65*100%</f>
        <v>0</v>
      </c>
      <c r="AW94" s="62">
        <f t="shared" si="6"/>
        <v>0.99999999999999989</v>
      </c>
    </row>
    <row r="95" spans="2:49" ht="16.5" x14ac:dyDescent="0.3">
      <c r="B95" s="57" t="s">
        <v>649</v>
      </c>
      <c r="C95" s="66">
        <f>COUNTIFS(TblUniv2017[I. a2],C$66)/$C$65*100%</f>
        <v>0.30357142857142855</v>
      </c>
      <c r="D95" s="66">
        <f>COUNTIFS(TblUniv2017[I. a2],D$66)/$C$65*100%</f>
        <v>0.6785714285714286</v>
      </c>
      <c r="E95" s="66">
        <f>COUNTIFS(TblUniv2017[I. a2],E$66)/$C$65*100%</f>
        <v>1.7857142857142856E-2</v>
      </c>
      <c r="F95" s="66">
        <f>COUNTIFS(TblUniv2017[I. a2],F$66)/$C$65*100%</f>
        <v>0</v>
      </c>
      <c r="G95" s="62">
        <f t="shared" si="0"/>
        <v>1</v>
      </c>
      <c r="I95" s="57" t="s">
        <v>649</v>
      </c>
      <c r="J95" s="66">
        <f>COUNTIFS(TblUniv2017[I. a2],J$66,TblUniv2017[Prodi],$J$63)/$J$65*100%</f>
        <v>0.125</v>
      </c>
      <c r="K95" s="66">
        <f>COUNTIFS(TblUniv2017[I. a2],K$66,TblUniv2017[Prodi],$J$63)/$J$65*100%</f>
        <v>0.875</v>
      </c>
      <c r="L95" s="66">
        <f>COUNTIFS(TblUniv2017[I. a2],L$66,TblUniv2017[Prodi],$J$63)/$J$65*100%</f>
        <v>0</v>
      </c>
      <c r="M95" s="66">
        <f>COUNTIFS(TblUniv2017[I. a2],M$66,TblUniv2017[Prodi],$J$63)/$J$65*100%</f>
        <v>0</v>
      </c>
      <c r="N95" s="62">
        <f t="shared" si="1"/>
        <v>1</v>
      </c>
      <c r="P95" s="57" t="s">
        <v>649</v>
      </c>
      <c r="Q95" s="66">
        <f>COUNTIFS(TblUniv2017[I. a2],Q$66,TblUniv2017[Prodi],$Q$63)/$Q$65*100%</f>
        <v>0.29411764705882354</v>
      </c>
      <c r="R95" s="66">
        <f>COUNTIFS(TblUniv2017[I. a2],R$66,TblUniv2017[Prodi],$Q$63)/$Q$65*100%</f>
        <v>0.67647058823529416</v>
      </c>
      <c r="S95" s="66">
        <f>COUNTIFS(TblUniv2017[I. a2],S$66,TblUniv2017[Prodi],$Q$63)/$Q$65*100%</f>
        <v>2.9411764705882353E-2</v>
      </c>
      <c r="T95" s="66">
        <f>COUNTIFS(TblUniv2017[I. a2],T$66,TblUniv2017[Prodi],$Q$63)/$Q$65*100%</f>
        <v>0</v>
      </c>
      <c r="U95" s="62">
        <f t="shared" si="2"/>
        <v>1</v>
      </c>
      <c r="W95" s="57" t="s">
        <v>649</v>
      </c>
      <c r="X95" s="66">
        <f>COUNTIFS(TblUniv2017[I. a2],X$66,TblUniv2017[Prodi],$X$63)/$X$65*100%</f>
        <v>0.2</v>
      </c>
      <c r="Y95" s="66">
        <f>COUNTIFS(TblUniv2017[I. a2],Y$66,TblUniv2017[Prodi],$X$63)/$X$65*100%</f>
        <v>0.8</v>
      </c>
      <c r="Z95" s="66">
        <f>COUNTIFS(TblUniv2017[I. a2],Z$66,TblUniv2017[Prodi],$X$63)/$X$65*100%</f>
        <v>0</v>
      </c>
      <c r="AA95" s="66">
        <f>COUNTIFS(TblUniv2017[I. a2],AA$66,TblUniv2017[Prodi],$X$63)/$X$65*100%</f>
        <v>0</v>
      </c>
      <c r="AB95" s="62">
        <f t="shared" si="3"/>
        <v>1</v>
      </c>
      <c r="AD95" s="57" t="s">
        <v>649</v>
      </c>
      <c r="AE95" s="66">
        <f>COUNTIFS(TblUniv2017[I. a2],AE$66,TblUniv2017[Prodi],$AE$63)/$AE$65*100%</f>
        <v>0</v>
      </c>
      <c r="AF95" s="66">
        <f>COUNTIFS(TblUniv2017[I. a2],AF$66,TblUniv2017[Prodi],$AE$63)/$AE$65*100%</f>
        <v>1</v>
      </c>
      <c r="AG95" s="66">
        <f>COUNTIFS(TblUniv2017[I. a2],AG$66,TblUniv2017[Prodi],$AE$63)/$AE$65*100%</f>
        <v>0</v>
      </c>
      <c r="AH95" s="66">
        <f>COUNTIFS(TblUniv2017[I. a2],AH$66,TblUniv2017[Prodi],$AE$63)/$AE$65*100%</f>
        <v>0</v>
      </c>
      <c r="AI95" s="62">
        <f t="shared" si="4"/>
        <v>1</v>
      </c>
      <c r="AK95" s="57" t="s">
        <v>649</v>
      </c>
      <c r="AL95" s="66">
        <f>COUNTIFS(TblUniv2017[I. a2],AL$66,TblUniv2017[Prodi],$AL$63)/$AL$65*100%</f>
        <v>0.5</v>
      </c>
      <c r="AM95" s="66">
        <f>COUNTIFS(TblUniv2017[I. a2],AM$66,TblUniv2017[Prodi],$AL$63)/$AL$65*100%</f>
        <v>0.5</v>
      </c>
      <c r="AN95" s="66">
        <f>COUNTIFS(TblUniv2017[I. a2],AN$66,TblUniv2017[Prodi],$AL$63)/$AL$65*100%</f>
        <v>0</v>
      </c>
      <c r="AO95" s="66">
        <f>COUNTIFS(TblUniv2017[I. a2],AO$66,TblUniv2017[Prodi],$AL$63)/$AL$65*100%</f>
        <v>0</v>
      </c>
      <c r="AP95" s="62">
        <f t="shared" si="5"/>
        <v>1</v>
      </c>
      <c r="AR95" s="57" t="s">
        <v>649</v>
      </c>
      <c r="AS95" s="66">
        <f>COUNTIFS(TblUniv2017[I. a2],AS$66,TblUniv2017[Prodi],$AS$63)/$AS$65*100%</f>
        <v>0.66666666666666663</v>
      </c>
      <c r="AT95" s="66">
        <f>COUNTIFS(TblUniv2017[I. a2],AT$66,TblUniv2017[Prodi],$AS$63)/$AS$65*100%</f>
        <v>0.33333333333333331</v>
      </c>
      <c r="AU95" s="66">
        <f>COUNTIFS(TblUniv2017[I. a2],AU$66,TblUniv2017[Prodi],$AS$63)/$AS$65*100%</f>
        <v>0</v>
      </c>
      <c r="AV95" s="66">
        <f>COUNTIFS(TblUniv2017[I. a2],AV$66,TblUniv2017[Prodi],$AS$63)/$AS$65*100%</f>
        <v>0</v>
      </c>
      <c r="AW95" s="62">
        <f t="shared" si="6"/>
        <v>1</v>
      </c>
    </row>
    <row r="96" spans="2:49" ht="16.5" x14ac:dyDescent="0.3">
      <c r="B96" s="57" t="s">
        <v>650</v>
      </c>
      <c r="C96" s="66">
        <f>COUNTIFS(TblUniv2017[I. a3],C$66)/$C$65*100%</f>
        <v>0.5892857142857143</v>
      </c>
      <c r="D96" s="66">
        <f>COUNTIFS(TblUniv2017[I. a3],D$66)/$C$65*100%</f>
        <v>0.4107142857142857</v>
      </c>
      <c r="E96" s="66">
        <f>COUNTIFS(TblUniv2017[I. a3],E$66)/$C$65*100%</f>
        <v>0</v>
      </c>
      <c r="F96" s="66">
        <f>COUNTIFS(TblUniv2017[I. a3],F$66)/$C$65*100%</f>
        <v>0</v>
      </c>
      <c r="G96" s="62">
        <f t="shared" si="0"/>
        <v>1</v>
      </c>
      <c r="I96" s="57" t="s">
        <v>650</v>
      </c>
      <c r="J96" s="66">
        <f>COUNTIFS(TblUniv2017[I. a3],J$66,TblUniv2017[Prodi],$J$63)/$J$65*100%</f>
        <v>0.625</v>
      </c>
      <c r="K96" s="66">
        <f>COUNTIFS(TblUniv2017[I. a3],K$66,TblUniv2017[Prodi],$J$63)/$J$65*100%</f>
        <v>0.375</v>
      </c>
      <c r="L96" s="66">
        <f>COUNTIFS(TblUniv2017[I. a3],L$66,TblUniv2017[Prodi],$J$63)/$J$65*100%</f>
        <v>0</v>
      </c>
      <c r="M96" s="66">
        <f>COUNTIFS(TblUniv2017[I. a3],M$66,TblUniv2017[Prodi],$J$63)/$J$65*100%</f>
        <v>0</v>
      </c>
      <c r="N96" s="62">
        <f t="shared" si="1"/>
        <v>1</v>
      </c>
      <c r="P96" s="57" t="s">
        <v>650</v>
      </c>
      <c r="Q96" s="66">
        <f>COUNTIFS(TblUniv2017[I. a3],Q$66,TblUniv2017[Prodi],$Q$63)/$Q$65*100%</f>
        <v>0.52941176470588236</v>
      </c>
      <c r="R96" s="66">
        <f>COUNTIFS(TblUniv2017[I. a3],R$66,TblUniv2017[Prodi],$Q$63)/$Q$65*100%</f>
        <v>0.47058823529411764</v>
      </c>
      <c r="S96" s="66">
        <f>COUNTIFS(TblUniv2017[I. a3],S$66,TblUniv2017[Prodi],$Q$63)/$Q$65*100%</f>
        <v>0</v>
      </c>
      <c r="T96" s="66">
        <f>COUNTIFS(TblUniv2017[I. a3],T$66,TblUniv2017[Prodi],$Q$63)/$Q$65*100%</f>
        <v>0</v>
      </c>
      <c r="U96" s="62">
        <f t="shared" si="2"/>
        <v>1</v>
      </c>
      <c r="W96" s="57" t="s">
        <v>650</v>
      </c>
      <c r="X96" s="66">
        <f>COUNTIFS(TblUniv2017[I. a3],X$66,TblUniv2017[Prodi],$X$63)/$X$65*100%</f>
        <v>0.8</v>
      </c>
      <c r="Y96" s="66">
        <f>COUNTIFS(TblUniv2017[I. a3],Y$66,TblUniv2017[Prodi],$X$63)/$X$65*100%</f>
        <v>0.2</v>
      </c>
      <c r="Z96" s="66">
        <f>COUNTIFS(TblUniv2017[I. a3],Z$66,TblUniv2017[Prodi],$X$63)/$X$65*100%</f>
        <v>0</v>
      </c>
      <c r="AA96" s="66">
        <f>COUNTIFS(TblUniv2017[I. a3],AA$66,TblUniv2017[Prodi],$X$63)/$X$65*100%</f>
        <v>0</v>
      </c>
      <c r="AB96" s="62">
        <f t="shared" si="3"/>
        <v>1</v>
      </c>
      <c r="AD96" s="57" t="s">
        <v>650</v>
      </c>
      <c r="AE96" s="66">
        <f>COUNTIFS(TblUniv2017[I. a3],AE$66,TblUniv2017[Prodi],$AE$63)/$AE$65*100%</f>
        <v>0</v>
      </c>
      <c r="AF96" s="66">
        <f>COUNTIFS(TblUniv2017[I. a3],AF$66,TblUniv2017[Prodi],$AE$63)/$AE$65*100%</f>
        <v>1</v>
      </c>
      <c r="AG96" s="66">
        <f>COUNTIFS(TblUniv2017[I. a3],AG$66,TblUniv2017[Prodi],$AE$63)/$AE$65*100%</f>
        <v>0</v>
      </c>
      <c r="AH96" s="66">
        <f>COUNTIFS(TblUniv2017[I. a3],AH$66,TblUniv2017[Prodi],$AE$63)/$AE$65*100%</f>
        <v>0</v>
      </c>
      <c r="AI96" s="62">
        <f t="shared" si="4"/>
        <v>1</v>
      </c>
      <c r="AK96" s="57" t="s">
        <v>650</v>
      </c>
      <c r="AL96" s="66">
        <f>COUNTIFS(TblUniv2017[I. a3],AL$66,TblUniv2017[Prodi],$AL$63)/$AL$65*100%</f>
        <v>1</v>
      </c>
      <c r="AM96" s="66">
        <f>COUNTIFS(TblUniv2017[I. a3],AM$66,TblUniv2017[Prodi],$AL$63)/$AL$65*100%</f>
        <v>0</v>
      </c>
      <c r="AN96" s="66">
        <f>COUNTIFS(TblUniv2017[I. a3],AN$66,TblUniv2017[Prodi],$AL$63)/$AL$65*100%</f>
        <v>0</v>
      </c>
      <c r="AO96" s="66">
        <f>COUNTIFS(TblUniv2017[I. a3],AO$66,TblUniv2017[Prodi],$AL$63)/$AL$65*100%</f>
        <v>0</v>
      </c>
      <c r="AP96" s="62">
        <f t="shared" si="5"/>
        <v>1</v>
      </c>
      <c r="AR96" s="57" t="s">
        <v>650</v>
      </c>
      <c r="AS96" s="66">
        <f>COUNTIFS(TblUniv2017[I. a3],AS$66,TblUniv2017[Prodi],$AS$63)/$AS$65*100%</f>
        <v>0.66666666666666663</v>
      </c>
      <c r="AT96" s="66">
        <f>COUNTIFS(TblUniv2017[I. a3],AT$66,TblUniv2017[Prodi],$AS$63)/$AS$65*100%</f>
        <v>0.33333333333333331</v>
      </c>
      <c r="AU96" s="66">
        <f>COUNTIFS(TblUniv2017[I. a3],AU$66,TblUniv2017[Prodi],$AS$63)/$AS$65*100%</f>
        <v>0</v>
      </c>
      <c r="AV96" s="66">
        <f>COUNTIFS(TblUniv2017[I. a3],AV$66,TblUniv2017[Prodi],$AS$63)/$AS$65*100%</f>
        <v>0</v>
      </c>
      <c r="AW96" s="62">
        <f t="shared" si="6"/>
        <v>1</v>
      </c>
    </row>
    <row r="97" spans="2:49" ht="16.5" x14ac:dyDescent="0.3">
      <c r="B97" s="57" t="s">
        <v>651</v>
      </c>
      <c r="C97" s="66">
        <f>COUNTIFS(TblUniv2017[I. a4],C$66)/$C$65*100%</f>
        <v>0.48214285714285715</v>
      </c>
      <c r="D97" s="66">
        <f>COUNTIFS(TblUniv2017[I. a4],D$66)/$C$65*100%</f>
        <v>0.5</v>
      </c>
      <c r="E97" s="66">
        <f>COUNTIFS(TblUniv2017[I. a4],E$66)/$C$65*100%</f>
        <v>1.7857142857142856E-2</v>
      </c>
      <c r="F97" s="66">
        <f>COUNTIFS(TblUniv2017[I. a4],F$66)/$C$65*100%</f>
        <v>0</v>
      </c>
      <c r="G97" s="62">
        <f t="shared" si="0"/>
        <v>1</v>
      </c>
      <c r="I97" s="57" t="s">
        <v>651</v>
      </c>
      <c r="J97" s="66">
        <f>COUNTIFS(TblUniv2017[I. a4],J$66,TblUniv2017[Prodi],$J$63)/$J$65*100%</f>
        <v>0.625</v>
      </c>
      <c r="K97" s="66">
        <f>COUNTIFS(TblUniv2017[I. a4],K$66,TblUniv2017[Prodi],$J$63)/$J$65*100%</f>
        <v>0.375</v>
      </c>
      <c r="L97" s="66">
        <f>COUNTIFS(TblUniv2017[I. a4],L$66,TblUniv2017[Prodi],$J$63)/$J$65*100%</f>
        <v>0</v>
      </c>
      <c r="M97" s="66">
        <f>COUNTIFS(TblUniv2017[I. a4],M$66,TblUniv2017[Prodi],$J$63)/$J$65*100%</f>
        <v>0</v>
      </c>
      <c r="N97" s="62">
        <f t="shared" si="1"/>
        <v>1</v>
      </c>
      <c r="P97" s="57" t="s">
        <v>651</v>
      </c>
      <c r="Q97" s="66">
        <f>COUNTIFS(TblUniv2017[I. a4],Q$66,TblUniv2017[Prodi],$Q$63)/$Q$65*100%</f>
        <v>0.47058823529411764</v>
      </c>
      <c r="R97" s="66">
        <f>COUNTIFS(TblUniv2017[I. a4],R$66,TblUniv2017[Prodi],$Q$63)/$Q$65*100%</f>
        <v>0.5</v>
      </c>
      <c r="S97" s="66">
        <f>COUNTIFS(TblUniv2017[I. a4],S$66,TblUniv2017[Prodi],$Q$63)/$Q$65*100%</f>
        <v>2.9411764705882353E-2</v>
      </c>
      <c r="T97" s="66">
        <f>COUNTIFS(TblUniv2017[I. a4],T$66,TblUniv2017[Prodi],$Q$63)/$Q$65*100%</f>
        <v>0</v>
      </c>
      <c r="U97" s="62">
        <f t="shared" si="2"/>
        <v>1</v>
      </c>
      <c r="W97" s="57" t="s">
        <v>651</v>
      </c>
      <c r="X97" s="66">
        <f>COUNTIFS(TblUniv2017[I. a4],X$66,TblUniv2017[Prodi],$X$63)/$X$65*100%</f>
        <v>0.2</v>
      </c>
      <c r="Y97" s="66">
        <f>COUNTIFS(TblUniv2017[I. a4],Y$66,TblUniv2017[Prodi],$X$63)/$X$65*100%</f>
        <v>0.8</v>
      </c>
      <c r="Z97" s="66">
        <f>COUNTIFS(TblUniv2017[I. a4],Z$66,TblUniv2017[Prodi],$X$63)/$X$65*100%</f>
        <v>0</v>
      </c>
      <c r="AA97" s="66">
        <f>COUNTIFS(TblUniv2017[I. a4],AA$66,TblUniv2017[Prodi],$X$63)/$X$65*100%</f>
        <v>0</v>
      </c>
      <c r="AB97" s="62">
        <f t="shared" si="3"/>
        <v>1</v>
      </c>
      <c r="AD97" s="57" t="s">
        <v>651</v>
      </c>
      <c r="AE97" s="66">
        <f>COUNTIFS(TblUniv2017[I. a4],AE$66,TblUniv2017[Prodi],$AE$63)/$AE$65*100%</f>
        <v>0</v>
      </c>
      <c r="AF97" s="66">
        <f>COUNTIFS(TblUniv2017[I. a4],AF$66,TblUniv2017[Prodi],$AE$63)/$AE$65*100%</f>
        <v>1</v>
      </c>
      <c r="AG97" s="66">
        <f>COUNTIFS(TblUniv2017[I. a4],AG$66,TblUniv2017[Prodi],$AE$63)/$AE$65*100%</f>
        <v>0</v>
      </c>
      <c r="AH97" s="66">
        <f>COUNTIFS(TblUniv2017[I. a4],AH$66,TblUniv2017[Prodi],$AE$63)/$AE$65*100%</f>
        <v>0</v>
      </c>
      <c r="AI97" s="62">
        <f t="shared" si="4"/>
        <v>1</v>
      </c>
      <c r="AK97" s="57" t="s">
        <v>651</v>
      </c>
      <c r="AL97" s="66">
        <f>COUNTIFS(TblUniv2017[I. a4],AL$66,TblUniv2017[Prodi],$AL$63)/$AL$65*100%</f>
        <v>0.5</v>
      </c>
      <c r="AM97" s="66">
        <f>COUNTIFS(TblUniv2017[I. a4],AM$66,TblUniv2017[Prodi],$AL$63)/$AL$65*100%</f>
        <v>0.5</v>
      </c>
      <c r="AN97" s="66">
        <f>COUNTIFS(TblUniv2017[I. a4],AN$66,TblUniv2017[Prodi],$AL$63)/$AL$65*100%</f>
        <v>0</v>
      </c>
      <c r="AO97" s="66">
        <f>COUNTIFS(TblUniv2017[I. a4],AO$66,TblUniv2017[Prodi],$AL$63)/$AL$65*100%</f>
        <v>0</v>
      </c>
      <c r="AP97" s="62">
        <f t="shared" si="5"/>
        <v>1</v>
      </c>
      <c r="AR97" s="57" t="s">
        <v>651</v>
      </c>
      <c r="AS97" s="66">
        <f>COUNTIFS(TblUniv2017[I. a4],AS$66,TblUniv2017[Prodi],$AS$63)/$AS$65*100%</f>
        <v>0.66666666666666663</v>
      </c>
      <c r="AT97" s="66">
        <f>COUNTIFS(TblUniv2017[I. a4],AT$66,TblUniv2017[Prodi],$AS$63)/$AS$65*100%</f>
        <v>0.33333333333333331</v>
      </c>
      <c r="AU97" s="66">
        <f>COUNTIFS(TblUniv2017[I. a4],AU$66,TblUniv2017[Prodi],$AS$63)/$AS$65*100%</f>
        <v>0</v>
      </c>
      <c r="AV97" s="66">
        <f>COUNTIFS(TblUniv2017[I. a4],AV$66,TblUniv2017[Prodi],$AS$63)/$AS$65*100%</f>
        <v>0</v>
      </c>
      <c r="AW97" s="62">
        <f t="shared" si="6"/>
        <v>1</v>
      </c>
    </row>
    <row r="98" spans="2:49" ht="16.5" x14ac:dyDescent="0.3">
      <c r="B98" s="57" t="s">
        <v>652</v>
      </c>
      <c r="C98" s="66">
        <f>COUNTIFS(TblUniv2017[I. a5],C$66)/$C$65*100%</f>
        <v>0.5178571428571429</v>
      </c>
      <c r="D98" s="66">
        <f>COUNTIFS(TblUniv2017[I. a5],D$66)/$C$65*100%</f>
        <v>0.48214285714285715</v>
      </c>
      <c r="E98" s="66">
        <f>COUNTIFS(TblUniv2017[I. a5],E$66)/$C$65*100%</f>
        <v>0</v>
      </c>
      <c r="F98" s="66">
        <f>COUNTIFS(TblUniv2017[I. a5],F$66)/$C$65*100%</f>
        <v>0</v>
      </c>
      <c r="G98" s="62">
        <f t="shared" si="0"/>
        <v>1</v>
      </c>
      <c r="I98" s="57" t="s">
        <v>652</v>
      </c>
      <c r="J98" s="66">
        <f>COUNTIFS(TblUniv2017[I. a5],J$66,TblUniv2017[Prodi],$J$63)/$J$65*100%</f>
        <v>0.75</v>
      </c>
      <c r="K98" s="66">
        <f>COUNTIFS(TblUniv2017[I. a5],K$66,TblUniv2017[Prodi],$J$63)/$J$65*100%</f>
        <v>0.25</v>
      </c>
      <c r="L98" s="66">
        <f>COUNTIFS(TblUniv2017[I. a5],L$66,TblUniv2017[Prodi],$J$63)/$J$65*100%</f>
        <v>0</v>
      </c>
      <c r="M98" s="66">
        <f>COUNTIFS(TblUniv2017[I. a5],M$66,TblUniv2017[Prodi],$J$63)/$J$65*100%</f>
        <v>0</v>
      </c>
      <c r="N98" s="62">
        <f t="shared" si="1"/>
        <v>1</v>
      </c>
      <c r="P98" s="57" t="s">
        <v>652</v>
      </c>
      <c r="Q98" s="66">
        <f>COUNTIFS(TblUniv2017[I. a5],Q$66,TblUniv2017[Prodi],$Q$63)/$Q$65*100%</f>
        <v>0.47058823529411764</v>
      </c>
      <c r="R98" s="66">
        <f>COUNTIFS(TblUniv2017[I. a5],R$66,TblUniv2017[Prodi],$Q$63)/$Q$65*100%</f>
        <v>0.52941176470588236</v>
      </c>
      <c r="S98" s="66">
        <f>COUNTIFS(TblUniv2017[I. a5],S$66,TblUniv2017[Prodi],$Q$63)/$Q$65*100%</f>
        <v>0</v>
      </c>
      <c r="T98" s="66">
        <f>COUNTIFS(TblUniv2017[I. a5],T$66,TblUniv2017[Prodi],$Q$63)/$Q$65*100%</f>
        <v>0</v>
      </c>
      <c r="U98" s="62">
        <f t="shared" si="2"/>
        <v>1</v>
      </c>
      <c r="W98" s="57" t="s">
        <v>652</v>
      </c>
      <c r="X98" s="66">
        <f>COUNTIFS(TblUniv2017[I. a5],X$66,TblUniv2017[Prodi],$X$63)/$X$65*100%</f>
        <v>0.2</v>
      </c>
      <c r="Y98" s="66">
        <f>COUNTIFS(TblUniv2017[I. a5],Y$66,TblUniv2017[Prodi],$X$63)/$X$65*100%</f>
        <v>0.8</v>
      </c>
      <c r="Z98" s="66">
        <f>COUNTIFS(TblUniv2017[I. a5],Z$66,TblUniv2017[Prodi],$X$63)/$X$65*100%</f>
        <v>0</v>
      </c>
      <c r="AA98" s="66">
        <f>COUNTIFS(TblUniv2017[I. a5],AA$66,TblUniv2017[Prodi],$X$63)/$X$65*100%</f>
        <v>0</v>
      </c>
      <c r="AB98" s="62">
        <f t="shared" si="3"/>
        <v>1</v>
      </c>
      <c r="AD98" s="57" t="s">
        <v>652</v>
      </c>
      <c r="AE98" s="66">
        <f>COUNTIFS(TblUniv2017[I. a5],AE$66,TblUniv2017[Prodi],$AE$63)/$AE$65*100%</f>
        <v>1</v>
      </c>
      <c r="AF98" s="66">
        <f>COUNTIFS(TblUniv2017[I. a5],AF$66,TblUniv2017[Prodi],$AE$63)/$AE$65*100%</f>
        <v>0</v>
      </c>
      <c r="AG98" s="66">
        <f>COUNTIFS(TblUniv2017[I. a5],AG$66,TblUniv2017[Prodi],$AE$63)/$AE$65*100%</f>
        <v>0</v>
      </c>
      <c r="AH98" s="66">
        <f>COUNTIFS(TblUniv2017[I. a5],AH$66,TblUniv2017[Prodi],$AE$63)/$AE$65*100%</f>
        <v>0</v>
      </c>
      <c r="AI98" s="62">
        <f t="shared" si="4"/>
        <v>1</v>
      </c>
      <c r="AK98" s="57" t="s">
        <v>652</v>
      </c>
      <c r="AL98" s="66">
        <f>COUNTIFS(TblUniv2017[I. a5],AL$66,TblUniv2017[Prodi],$AL$63)/$AL$65*100%</f>
        <v>0.5</v>
      </c>
      <c r="AM98" s="66">
        <f>COUNTIFS(TblUniv2017[I. a5],AM$66,TblUniv2017[Prodi],$AL$63)/$AL$65*100%</f>
        <v>0.5</v>
      </c>
      <c r="AN98" s="66">
        <f>COUNTIFS(TblUniv2017[I. a5],AN$66,TblUniv2017[Prodi],$AL$63)/$AL$65*100%</f>
        <v>0</v>
      </c>
      <c r="AO98" s="66">
        <f>COUNTIFS(TblUniv2017[I. a5],AO$66,TblUniv2017[Prodi],$AL$63)/$AL$65*100%</f>
        <v>0</v>
      </c>
      <c r="AP98" s="62">
        <f t="shared" si="5"/>
        <v>1</v>
      </c>
      <c r="AR98" s="57" t="s">
        <v>652</v>
      </c>
      <c r="AS98" s="66">
        <f>COUNTIFS(TblUniv2017[I. a5],AS$66,TblUniv2017[Prodi],$AS$63)/$AS$65*100%</f>
        <v>0.66666666666666663</v>
      </c>
      <c r="AT98" s="66">
        <f>COUNTIFS(TblUniv2017[I. a5],AT$66,TblUniv2017[Prodi],$AS$63)/$AS$65*100%</f>
        <v>0.33333333333333331</v>
      </c>
      <c r="AU98" s="66">
        <f>COUNTIFS(TblUniv2017[I. a5],AU$66,TblUniv2017[Prodi],$AS$63)/$AS$65*100%</f>
        <v>0</v>
      </c>
      <c r="AV98" s="66">
        <f>COUNTIFS(TblUniv2017[I. a5],AV$66,TblUniv2017[Prodi],$AS$63)/$AS$65*100%</f>
        <v>0</v>
      </c>
      <c r="AW98" s="62">
        <f t="shared" si="6"/>
        <v>1</v>
      </c>
    </row>
    <row r="99" spans="2:49" ht="16.5" x14ac:dyDescent="0.3">
      <c r="B99" s="60"/>
      <c r="C99" s="61">
        <f>AVERAGE(C94:C98)</f>
        <v>0.45</v>
      </c>
      <c r="D99" s="61">
        <f>AVERAGE(D94:D98)</f>
        <v>0.5357142857142857</v>
      </c>
      <c r="E99" s="61">
        <f>AVERAGE(E94:E98)</f>
        <v>1.4285714285714285E-2</v>
      </c>
      <c r="F99" s="61">
        <f>AVERAGE(F94:F98)</f>
        <v>0</v>
      </c>
      <c r="G99" s="62">
        <f t="shared" si="0"/>
        <v>1</v>
      </c>
      <c r="I99" s="60"/>
      <c r="J99" s="61">
        <f>AVERAGE(J94:J98)</f>
        <v>0.45</v>
      </c>
      <c r="K99" s="61">
        <f>AVERAGE(K94:K98)</f>
        <v>0.55000000000000004</v>
      </c>
      <c r="L99" s="61">
        <f>AVERAGE(L94:L98)</f>
        <v>0</v>
      </c>
      <c r="M99" s="61">
        <f>AVERAGE(M94:M98)</f>
        <v>0</v>
      </c>
      <c r="N99" s="62">
        <f t="shared" si="1"/>
        <v>1</v>
      </c>
      <c r="P99" s="60"/>
      <c r="Q99" s="61">
        <f>AVERAGE(Q94:Q98)</f>
        <v>0.42941176470588244</v>
      </c>
      <c r="R99" s="61">
        <f>AVERAGE(R94:R98)</f>
        <v>0.55294117647058827</v>
      </c>
      <c r="S99" s="61">
        <f>AVERAGE(S94:S98)</f>
        <v>1.7647058823529412E-2</v>
      </c>
      <c r="T99" s="61">
        <f>AVERAGE(T94:T98)</f>
        <v>0</v>
      </c>
      <c r="U99" s="62">
        <f t="shared" si="2"/>
        <v>1</v>
      </c>
      <c r="W99" s="60"/>
      <c r="X99" s="61">
        <f>AVERAGE(X94:X98)</f>
        <v>0.32</v>
      </c>
      <c r="Y99" s="61">
        <f>AVERAGE(Y94:Y98)</f>
        <v>0.68</v>
      </c>
      <c r="Z99" s="61">
        <f>AVERAGE(Z94:Z98)</f>
        <v>0</v>
      </c>
      <c r="AA99" s="61">
        <f>AVERAGE(AA94:AA98)</f>
        <v>0</v>
      </c>
      <c r="AB99" s="62">
        <f t="shared" si="3"/>
        <v>1</v>
      </c>
      <c r="AD99" s="60"/>
      <c r="AE99" s="61">
        <f>AVERAGE(AE94:AE98)</f>
        <v>0.2</v>
      </c>
      <c r="AF99" s="61">
        <f>AVERAGE(AF94:AF98)</f>
        <v>0.8</v>
      </c>
      <c r="AG99" s="61">
        <f>AVERAGE(AG94:AG98)</f>
        <v>0</v>
      </c>
      <c r="AH99" s="61">
        <f>AVERAGE(AH94:AH98)</f>
        <v>0</v>
      </c>
      <c r="AI99" s="62">
        <f t="shared" si="4"/>
        <v>1</v>
      </c>
      <c r="AK99" s="60"/>
      <c r="AL99" s="61">
        <f>AVERAGE(AL94:AL98)</f>
        <v>0.6</v>
      </c>
      <c r="AM99" s="61">
        <f>AVERAGE(AM94:AM98)</f>
        <v>0.4</v>
      </c>
      <c r="AN99" s="61">
        <f>AVERAGE(AN94:AN98)</f>
        <v>0</v>
      </c>
      <c r="AO99" s="61">
        <f>AVERAGE(AO94:AO98)</f>
        <v>0</v>
      </c>
      <c r="AP99" s="62">
        <f t="shared" si="5"/>
        <v>1</v>
      </c>
      <c r="AR99" s="60"/>
      <c r="AS99" s="61">
        <f>AVERAGE(AS94:AS98)</f>
        <v>0.66666666666666663</v>
      </c>
      <c r="AT99" s="61">
        <f>AVERAGE(AT94:AT98)</f>
        <v>0.29999999999999993</v>
      </c>
      <c r="AU99" s="61">
        <f>AVERAGE(AU94:AU98)</f>
        <v>3.3333333333333333E-2</v>
      </c>
      <c r="AV99" s="61">
        <f>AVERAGE(AV94:AV98)</f>
        <v>0</v>
      </c>
      <c r="AW99" s="62">
        <f t="shared" si="6"/>
        <v>0.99999999999999989</v>
      </c>
    </row>
    <row r="100" spans="2:49" ht="16.5" x14ac:dyDescent="0.3">
      <c r="B100" s="57" t="s">
        <v>653</v>
      </c>
      <c r="C100" s="66">
        <f>COUNTIFS(TblUniv2017[I. b1],C$66)/$C$65*100%</f>
        <v>0.30357142857142855</v>
      </c>
      <c r="D100" s="66">
        <f>COUNTIFS(TblUniv2017[I. b1],D$66)/$C$65*100%</f>
        <v>0.5178571428571429</v>
      </c>
      <c r="E100" s="66">
        <f>COUNTIFS(TblUniv2017[I. b1],E$66)/$C$65*100%</f>
        <v>0.17857142857142858</v>
      </c>
      <c r="F100" s="66">
        <f>COUNTIFS(TblUniv2017[I. b1],F$66)/$C$65*100%</f>
        <v>0</v>
      </c>
      <c r="G100" s="62">
        <f t="shared" si="0"/>
        <v>1</v>
      </c>
      <c r="I100" s="57" t="s">
        <v>653</v>
      </c>
      <c r="J100" s="66">
        <f>COUNTIFS(TblUniv2017[I. b1],J$66,TblUniv2017[Prodi],$J$63)/$J$65*100%</f>
        <v>0.125</v>
      </c>
      <c r="K100" s="66">
        <f>COUNTIFS(TblUniv2017[I. b1],K$66,TblUniv2017[Prodi],$J$63)/$J$65*100%</f>
        <v>0.875</v>
      </c>
      <c r="L100" s="66">
        <f>COUNTIFS(TblUniv2017[I. b1],L$66,TblUniv2017[Prodi],$J$63)/$J$65*100%</f>
        <v>0</v>
      </c>
      <c r="M100" s="66">
        <f>COUNTIFS(TblUniv2017[I. b1],M$66,TblUniv2017[Prodi],$J$63)/$J$65*100%</f>
        <v>0</v>
      </c>
      <c r="N100" s="62">
        <f t="shared" si="1"/>
        <v>1</v>
      </c>
      <c r="P100" s="57" t="s">
        <v>653</v>
      </c>
      <c r="Q100" s="66">
        <f>COUNTIFS(TblUniv2017[I. b1],Q$66,TblUniv2017[Prodi],$Q$63)/$Q$65*100%</f>
        <v>0.29411764705882354</v>
      </c>
      <c r="R100" s="66">
        <f>COUNTIFS(TblUniv2017[I. b1],R$66,TblUniv2017[Prodi],$Q$63)/$Q$65*100%</f>
        <v>0.44117647058823528</v>
      </c>
      <c r="S100" s="66">
        <f>COUNTIFS(TblUniv2017[I. b1],S$66,TblUniv2017[Prodi],$Q$63)/$Q$65*100%</f>
        <v>0.26470588235294118</v>
      </c>
      <c r="T100" s="66">
        <f>COUNTIFS(TblUniv2017[I. b1],T$66,TblUniv2017[Prodi],$Q$63)/$Q$65*100%</f>
        <v>0</v>
      </c>
      <c r="U100" s="62">
        <f t="shared" si="2"/>
        <v>1</v>
      </c>
      <c r="W100" s="57" t="s">
        <v>653</v>
      </c>
      <c r="X100" s="66">
        <f>COUNTIFS(TblUniv2017[I. b1],X$66,TblUniv2017[Prodi],$X$63)/$X$65*100%</f>
        <v>0.4</v>
      </c>
      <c r="Y100" s="66">
        <f>COUNTIFS(TblUniv2017[I. b1],Y$66,TblUniv2017[Prodi],$X$63)/$X$65*100%</f>
        <v>0.6</v>
      </c>
      <c r="Z100" s="66">
        <f>COUNTIFS(TblUniv2017[I. b1],Z$66,TblUniv2017[Prodi],$X$63)/$X$65*100%</f>
        <v>0</v>
      </c>
      <c r="AA100" s="66">
        <f>COUNTIFS(TblUniv2017[I. b1],AA$66,TblUniv2017[Prodi],$X$63)/$X$65*100%</f>
        <v>0</v>
      </c>
      <c r="AB100" s="62">
        <f t="shared" si="3"/>
        <v>1</v>
      </c>
      <c r="AD100" s="57" t="s">
        <v>653</v>
      </c>
      <c r="AE100" s="66">
        <f>COUNTIFS(TblUniv2017[I. b1],AE$66,TblUniv2017[Prodi],$AE$63)/$AE$65*100%</f>
        <v>0</v>
      </c>
      <c r="AF100" s="66">
        <f>COUNTIFS(TblUniv2017[I. b1],AF$66,TblUniv2017[Prodi],$AE$63)/$AE$65*100%</f>
        <v>1</v>
      </c>
      <c r="AG100" s="66">
        <f>COUNTIFS(TblUniv2017[I. b1],AG$66,TblUniv2017[Prodi],$AE$63)/$AE$65*100%</f>
        <v>0</v>
      </c>
      <c r="AH100" s="66">
        <f>COUNTIFS(TblUniv2017[I. b1],AH$66,TblUniv2017[Prodi],$AE$63)/$AE$65*100%</f>
        <v>0</v>
      </c>
      <c r="AI100" s="62">
        <f t="shared" si="4"/>
        <v>1</v>
      </c>
      <c r="AK100" s="57" t="s">
        <v>653</v>
      </c>
      <c r="AL100" s="66">
        <f>COUNTIFS(TblUniv2017[I. b1],AL$66,TblUniv2017[Prodi],$AL$63)/$AL$65*100%</f>
        <v>0</v>
      </c>
      <c r="AM100" s="66">
        <f>COUNTIFS(TblUniv2017[I. b1],AM$66,TblUniv2017[Prodi],$AL$63)/$AL$65*100%</f>
        <v>1</v>
      </c>
      <c r="AN100" s="66">
        <f>COUNTIFS(TblUniv2017[I. b1],AN$66,TblUniv2017[Prodi],$AL$63)/$AL$65*100%</f>
        <v>0</v>
      </c>
      <c r="AO100" s="66">
        <f>COUNTIFS(TblUniv2017[I. b1],AO$66,TblUniv2017[Prodi],$AL$63)/$AL$65*100%</f>
        <v>0</v>
      </c>
      <c r="AP100" s="62">
        <f t="shared" si="5"/>
        <v>1</v>
      </c>
      <c r="AR100" s="57" t="s">
        <v>653</v>
      </c>
      <c r="AS100" s="66">
        <f>COUNTIFS(TblUniv2017[I. b1],AS$66,TblUniv2017[Prodi],$AS$63)/$AS$65*100%</f>
        <v>0.66666666666666663</v>
      </c>
      <c r="AT100" s="66">
        <f>COUNTIFS(TblUniv2017[I. b1],AT$66,TblUniv2017[Prodi],$AS$63)/$AS$65*100%</f>
        <v>0.16666666666666666</v>
      </c>
      <c r="AU100" s="66">
        <f>COUNTIFS(TblUniv2017[I. b1],AU$66,TblUniv2017[Prodi],$AS$63)/$AS$65*100%</f>
        <v>0.16666666666666666</v>
      </c>
      <c r="AV100" s="66">
        <f>COUNTIFS(TblUniv2017[I. b1],AV$66,TblUniv2017[Prodi],$AS$63)/$AS$65*100%</f>
        <v>0</v>
      </c>
      <c r="AW100" s="62">
        <f t="shared" si="6"/>
        <v>0.99999999999999989</v>
      </c>
    </row>
    <row r="101" spans="2:49" ht="16.5" x14ac:dyDescent="0.3">
      <c r="B101" s="57" t="s">
        <v>654</v>
      </c>
      <c r="C101" s="66">
        <f>COUNTIFS(TblUniv2017[I. b2],C$66)/$C$65*100%</f>
        <v>0.375</v>
      </c>
      <c r="D101" s="66">
        <f>COUNTIFS(TblUniv2017[I. b2],D$66)/$C$65*100%</f>
        <v>0.48214285714285715</v>
      </c>
      <c r="E101" s="66">
        <f>COUNTIFS(TblUniv2017[I. b2],E$66)/$C$65*100%</f>
        <v>0.14285714285714285</v>
      </c>
      <c r="F101" s="66">
        <f>COUNTIFS(TblUniv2017[I. b2],F$66)/$C$65*100%</f>
        <v>0</v>
      </c>
      <c r="G101" s="62">
        <f t="shared" si="0"/>
        <v>1</v>
      </c>
      <c r="I101" s="57" t="s">
        <v>654</v>
      </c>
      <c r="J101" s="66">
        <f>COUNTIFS(TblUniv2017[I. b2],J$66,TblUniv2017[Prodi],$J$63)/$J$65*100%</f>
        <v>0.25</v>
      </c>
      <c r="K101" s="66">
        <f>COUNTIFS(TblUniv2017[I. b2],K$66,TblUniv2017[Prodi],$J$63)/$J$65*100%</f>
        <v>0.75</v>
      </c>
      <c r="L101" s="66">
        <f>COUNTIFS(TblUniv2017[I. b2],L$66,TblUniv2017[Prodi],$J$63)/$J$65*100%</f>
        <v>0</v>
      </c>
      <c r="M101" s="66">
        <f>COUNTIFS(TblUniv2017[I. b2],M$66,TblUniv2017[Prodi],$J$63)/$J$65*100%</f>
        <v>0</v>
      </c>
      <c r="N101" s="62">
        <f t="shared" si="1"/>
        <v>1</v>
      </c>
      <c r="P101" s="57" t="s">
        <v>654</v>
      </c>
      <c r="Q101" s="66">
        <f>COUNTIFS(TblUniv2017[I. b2],Q$66,TblUniv2017[Prodi],$Q$63)/$Q$65*100%</f>
        <v>0.38235294117647056</v>
      </c>
      <c r="R101" s="66">
        <f>COUNTIFS(TblUniv2017[I. b2],R$66,TblUniv2017[Prodi],$Q$63)/$Q$65*100%</f>
        <v>0.38235294117647056</v>
      </c>
      <c r="S101" s="66">
        <f>COUNTIFS(TblUniv2017[I. b2],S$66,TblUniv2017[Prodi],$Q$63)/$Q$65*100%</f>
        <v>0.23529411764705882</v>
      </c>
      <c r="T101" s="66">
        <f>COUNTIFS(TblUniv2017[I. b2],T$66,TblUniv2017[Prodi],$Q$63)/$Q$65*100%</f>
        <v>0</v>
      </c>
      <c r="U101" s="62">
        <f t="shared" si="2"/>
        <v>1</v>
      </c>
      <c r="W101" s="57" t="s">
        <v>654</v>
      </c>
      <c r="X101" s="66">
        <f>COUNTIFS(TblUniv2017[I. b2],X$66,TblUniv2017[Prodi],$X$63)/$X$65*100%</f>
        <v>0.2</v>
      </c>
      <c r="Y101" s="66">
        <f>COUNTIFS(TblUniv2017[I. b2],Y$66,TblUniv2017[Prodi],$X$63)/$X$65*100%</f>
        <v>0.8</v>
      </c>
      <c r="Z101" s="66">
        <f>COUNTIFS(TblUniv2017[I. b2],Z$66,TblUniv2017[Prodi],$X$63)/$X$65*100%</f>
        <v>0</v>
      </c>
      <c r="AA101" s="66">
        <f>COUNTIFS(TblUniv2017[I. b2],AA$66,TblUniv2017[Prodi],$X$63)/$X$65*100%</f>
        <v>0</v>
      </c>
      <c r="AB101" s="62">
        <f t="shared" si="3"/>
        <v>1</v>
      </c>
      <c r="AD101" s="57" t="s">
        <v>654</v>
      </c>
      <c r="AE101" s="66">
        <f>COUNTIFS(TblUniv2017[I. b2],AE$66,TblUniv2017[Prodi],$AE$63)/$AE$65*100%</f>
        <v>0</v>
      </c>
      <c r="AF101" s="66">
        <f>COUNTIFS(TblUniv2017[I. b2],AF$66,TblUniv2017[Prodi],$AE$63)/$AE$65*100%</f>
        <v>1</v>
      </c>
      <c r="AG101" s="66">
        <f>COUNTIFS(TblUniv2017[I. b2],AG$66,TblUniv2017[Prodi],$AE$63)/$AE$65*100%</f>
        <v>0</v>
      </c>
      <c r="AH101" s="66">
        <f>COUNTIFS(TblUniv2017[I. b2],AH$66,TblUniv2017[Prodi],$AE$63)/$AE$65*100%</f>
        <v>0</v>
      </c>
      <c r="AI101" s="62">
        <f t="shared" si="4"/>
        <v>1</v>
      </c>
      <c r="AK101" s="57" t="s">
        <v>654</v>
      </c>
      <c r="AL101" s="66">
        <f>COUNTIFS(TblUniv2017[I. b2],AL$66,TblUniv2017[Prodi],$AL$63)/$AL$65*100%</f>
        <v>0.5</v>
      </c>
      <c r="AM101" s="66">
        <f>COUNTIFS(TblUniv2017[I. b2],AM$66,TblUniv2017[Prodi],$AL$63)/$AL$65*100%</f>
        <v>0.5</v>
      </c>
      <c r="AN101" s="66">
        <f>COUNTIFS(TblUniv2017[I. b2],AN$66,TblUniv2017[Prodi],$AL$63)/$AL$65*100%</f>
        <v>0</v>
      </c>
      <c r="AO101" s="66">
        <f>COUNTIFS(TblUniv2017[I. b2],AO$66,TblUniv2017[Prodi],$AL$63)/$AL$65*100%</f>
        <v>0</v>
      </c>
      <c r="AP101" s="62">
        <f t="shared" si="5"/>
        <v>1</v>
      </c>
      <c r="AR101" s="57" t="s">
        <v>654</v>
      </c>
      <c r="AS101" s="66">
        <f>COUNTIFS(TblUniv2017[I. b2],AS$66,TblUniv2017[Prodi],$AS$63)/$AS$65*100%</f>
        <v>0.66666666666666663</v>
      </c>
      <c r="AT101" s="66">
        <f>COUNTIFS(TblUniv2017[I. b2],AT$66,TblUniv2017[Prodi],$AS$63)/$AS$65*100%</f>
        <v>0.33333333333333331</v>
      </c>
      <c r="AU101" s="66">
        <f>COUNTIFS(TblUniv2017[I. b2],AU$66,TblUniv2017[Prodi],$AS$63)/$AS$65*100%</f>
        <v>0</v>
      </c>
      <c r="AV101" s="66">
        <f>COUNTIFS(TblUniv2017[I. b2],AV$66,TblUniv2017[Prodi],$AS$63)/$AS$65*100%</f>
        <v>0</v>
      </c>
      <c r="AW101" s="62">
        <f t="shared" si="6"/>
        <v>1</v>
      </c>
    </row>
    <row r="102" spans="2:49" ht="16.5" x14ac:dyDescent="0.3">
      <c r="B102" s="57" t="s">
        <v>655</v>
      </c>
      <c r="C102" s="66">
        <f>COUNTIFS(TblUniv2017[I. b3],C$66)/$C$65*100%</f>
        <v>0.26785714285714285</v>
      </c>
      <c r="D102" s="66">
        <f>COUNTIFS(TblUniv2017[I. b3],D$66)/$C$65*100%</f>
        <v>0.5357142857142857</v>
      </c>
      <c r="E102" s="66">
        <f>COUNTIFS(TblUniv2017[I. b3],E$66)/$C$65*100%</f>
        <v>0.19642857142857142</v>
      </c>
      <c r="F102" s="66">
        <f>COUNTIFS(TblUniv2017[I. b3],F$66)/$C$65*100%</f>
        <v>0</v>
      </c>
      <c r="G102" s="62">
        <f t="shared" si="0"/>
        <v>1</v>
      </c>
      <c r="I102" s="57" t="s">
        <v>655</v>
      </c>
      <c r="J102" s="66">
        <f>COUNTIFS(TblUniv2017[I. b3],J$66,TblUniv2017[Prodi],$J$63)/$J$65*100%</f>
        <v>0.125</v>
      </c>
      <c r="K102" s="66">
        <f>COUNTIFS(TblUniv2017[I. b3],K$66,TblUniv2017[Prodi],$J$63)/$J$65*100%</f>
        <v>0.875</v>
      </c>
      <c r="L102" s="66">
        <f>COUNTIFS(TblUniv2017[I. b3],L$66,TblUniv2017[Prodi],$J$63)/$J$65*100%</f>
        <v>0</v>
      </c>
      <c r="M102" s="66">
        <f>COUNTIFS(TblUniv2017[I. b3],M$66,TblUniv2017[Prodi],$J$63)/$J$65*100%</f>
        <v>0</v>
      </c>
      <c r="N102" s="62">
        <f t="shared" si="1"/>
        <v>1</v>
      </c>
      <c r="P102" s="57" t="s">
        <v>655</v>
      </c>
      <c r="Q102" s="66">
        <f>COUNTIFS(TblUniv2017[I. b3],Q$66,TblUniv2017[Prodi],$Q$63)/$Q$65*100%</f>
        <v>0.20588235294117646</v>
      </c>
      <c r="R102" s="66">
        <f>COUNTIFS(TblUniv2017[I. b3],R$66,TblUniv2017[Prodi],$Q$63)/$Q$65*100%</f>
        <v>0.5</v>
      </c>
      <c r="S102" s="66">
        <f>COUNTIFS(TblUniv2017[I. b3],S$66,TblUniv2017[Prodi],$Q$63)/$Q$65*100%</f>
        <v>0.29411764705882354</v>
      </c>
      <c r="T102" s="66">
        <f>COUNTIFS(TblUniv2017[I. b3],T$66,TblUniv2017[Prodi],$Q$63)/$Q$65*100%</f>
        <v>0</v>
      </c>
      <c r="U102" s="62">
        <f t="shared" si="2"/>
        <v>1</v>
      </c>
      <c r="W102" s="57" t="s">
        <v>655</v>
      </c>
      <c r="X102" s="66">
        <f>COUNTIFS(TblUniv2017[I. b3],X$66,TblUniv2017[Prodi],$X$63)/$X$65*100%</f>
        <v>0.4</v>
      </c>
      <c r="Y102" s="66">
        <f>COUNTIFS(TblUniv2017[I. b3],Y$66,TblUniv2017[Prodi],$X$63)/$X$65*100%</f>
        <v>0.6</v>
      </c>
      <c r="Z102" s="66">
        <f>COUNTIFS(TblUniv2017[I. b3],Z$66,TblUniv2017[Prodi],$X$63)/$X$65*100%</f>
        <v>0</v>
      </c>
      <c r="AA102" s="66">
        <f>COUNTIFS(TblUniv2017[I. b3],AA$66,TblUniv2017[Prodi],$X$63)/$X$65*100%</f>
        <v>0</v>
      </c>
      <c r="AB102" s="62">
        <f t="shared" si="3"/>
        <v>1</v>
      </c>
      <c r="AD102" s="57" t="s">
        <v>655</v>
      </c>
      <c r="AE102" s="66">
        <f>COUNTIFS(TblUniv2017[I. b3],AE$66,TblUniv2017[Prodi],$AE$63)/$AE$65*100%</f>
        <v>0</v>
      </c>
      <c r="AF102" s="66">
        <f>COUNTIFS(TblUniv2017[I. b3],AF$66,TblUniv2017[Prodi],$AE$63)/$AE$65*100%</f>
        <v>1</v>
      </c>
      <c r="AG102" s="66">
        <f>COUNTIFS(TblUniv2017[I. b3],AG$66,TblUniv2017[Prodi],$AE$63)/$AE$65*100%</f>
        <v>0</v>
      </c>
      <c r="AH102" s="66">
        <f>COUNTIFS(TblUniv2017[I. b3],AH$66,TblUniv2017[Prodi],$AE$63)/$AE$65*100%</f>
        <v>0</v>
      </c>
      <c r="AI102" s="62">
        <f t="shared" si="4"/>
        <v>1</v>
      </c>
      <c r="AK102" s="57" t="s">
        <v>655</v>
      </c>
      <c r="AL102" s="66">
        <f>COUNTIFS(TblUniv2017[I. b3],AL$66,TblUniv2017[Prodi],$AL$63)/$AL$65*100%</f>
        <v>0.5</v>
      </c>
      <c r="AM102" s="66">
        <f>COUNTIFS(TblUniv2017[I. b3],AM$66,TblUniv2017[Prodi],$AL$63)/$AL$65*100%</f>
        <v>0.5</v>
      </c>
      <c r="AN102" s="66">
        <f>COUNTIFS(TblUniv2017[I. b3],AN$66,TblUniv2017[Prodi],$AL$63)/$AL$65*100%</f>
        <v>0</v>
      </c>
      <c r="AO102" s="66">
        <f>COUNTIFS(TblUniv2017[I. b3],AO$66,TblUniv2017[Prodi],$AL$63)/$AL$65*100%</f>
        <v>0</v>
      </c>
      <c r="AP102" s="62">
        <f t="shared" si="5"/>
        <v>1</v>
      </c>
      <c r="AR102" s="57" t="s">
        <v>655</v>
      </c>
      <c r="AS102" s="66">
        <f>COUNTIFS(TblUniv2017[I. b3],AS$66,TblUniv2017[Prodi],$AS$63)/$AS$65*100%</f>
        <v>0.66666666666666663</v>
      </c>
      <c r="AT102" s="66">
        <f>COUNTIFS(TblUniv2017[I. b3],AT$66,TblUniv2017[Prodi],$AS$63)/$AS$65*100%</f>
        <v>0.16666666666666666</v>
      </c>
      <c r="AU102" s="66">
        <f>COUNTIFS(TblUniv2017[I. b3],AU$66,TblUniv2017[Prodi],$AS$63)/$AS$65*100%</f>
        <v>0.16666666666666666</v>
      </c>
      <c r="AV102" s="66">
        <f>COUNTIFS(TblUniv2017[I. b3],AV$66,TblUniv2017[Prodi],$AS$63)/$AS$65*100%</f>
        <v>0</v>
      </c>
      <c r="AW102" s="62">
        <f t="shared" si="6"/>
        <v>0.99999999999999989</v>
      </c>
    </row>
    <row r="103" spans="2:49" ht="16.5" x14ac:dyDescent="0.3">
      <c r="B103" s="57" t="s">
        <v>656</v>
      </c>
      <c r="C103" s="66">
        <f>COUNTIFS(TblUniv2017[I. b4],C$66)/$C$65*100%</f>
        <v>0.4107142857142857</v>
      </c>
      <c r="D103" s="66">
        <f>COUNTIFS(TblUniv2017[I. b4],D$66)/$C$65*100%</f>
        <v>0.5535714285714286</v>
      </c>
      <c r="E103" s="66">
        <f>COUNTIFS(TblUniv2017[I. b4],E$66)/$C$65*100%</f>
        <v>3.5714285714285712E-2</v>
      </c>
      <c r="F103" s="66">
        <f>COUNTIFS(TblUniv2017[I. b4],F$66)/$C$65*100%</f>
        <v>0</v>
      </c>
      <c r="G103" s="62">
        <f t="shared" si="0"/>
        <v>1</v>
      </c>
      <c r="I103" s="57" t="s">
        <v>656</v>
      </c>
      <c r="J103" s="66">
        <f>COUNTIFS(TblUniv2017[I. b4],J$66,TblUniv2017[Prodi],$J$63)/$J$65*100%</f>
        <v>0.625</v>
      </c>
      <c r="K103" s="66">
        <f>COUNTIFS(TblUniv2017[I. b4],K$66,TblUniv2017[Prodi],$J$63)/$J$65*100%</f>
        <v>0.375</v>
      </c>
      <c r="L103" s="66">
        <f>COUNTIFS(TblUniv2017[I. b4],L$66,TblUniv2017[Prodi],$J$63)/$J$65*100%</f>
        <v>0</v>
      </c>
      <c r="M103" s="66">
        <f>COUNTIFS(TblUniv2017[I. b4],M$66,TblUniv2017[Prodi],$J$63)/$J$65*100%</f>
        <v>0</v>
      </c>
      <c r="N103" s="62">
        <f t="shared" si="1"/>
        <v>1</v>
      </c>
      <c r="P103" s="57" t="s">
        <v>656</v>
      </c>
      <c r="Q103" s="66">
        <f>COUNTIFS(TblUniv2017[I. b4],Q$66,TblUniv2017[Prodi],$Q$63)/$Q$65*100%</f>
        <v>0.38235294117647056</v>
      </c>
      <c r="R103" s="66">
        <f>COUNTIFS(TblUniv2017[I. b4],R$66,TblUniv2017[Prodi],$Q$63)/$Q$65*100%</f>
        <v>0.55882352941176472</v>
      </c>
      <c r="S103" s="66">
        <f>COUNTIFS(TblUniv2017[I. b4],S$66,TblUniv2017[Prodi],$Q$63)/$Q$65*100%</f>
        <v>5.8823529411764705E-2</v>
      </c>
      <c r="T103" s="66">
        <f>COUNTIFS(TblUniv2017[I. b4],T$66,TblUniv2017[Prodi],$Q$63)/$Q$65*100%</f>
        <v>0</v>
      </c>
      <c r="U103" s="62">
        <f t="shared" si="2"/>
        <v>1</v>
      </c>
      <c r="W103" s="57" t="s">
        <v>656</v>
      </c>
      <c r="X103" s="66">
        <f>COUNTIFS(TblUniv2017[I. b4],X$66,TblUniv2017[Prodi],$X$63)/$X$65*100%</f>
        <v>0.4</v>
      </c>
      <c r="Y103" s="66">
        <f>COUNTIFS(TblUniv2017[I. b4],Y$66,TblUniv2017[Prodi],$X$63)/$X$65*100%</f>
        <v>0.6</v>
      </c>
      <c r="Z103" s="66">
        <f>COUNTIFS(TblUniv2017[I. b4],Z$66,TblUniv2017[Prodi],$X$63)/$X$65*100%</f>
        <v>0</v>
      </c>
      <c r="AA103" s="66">
        <f>COUNTIFS(TblUniv2017[I. b4],AA$66,TblUniv2017[Prodi],$X$63)/$X$65*100%</f>
        <v>0</v>
      </c>
      <c r="AB103" s="62">
        <f t="shared" si="3"/>
        <v>1</v>
      </c>
      <c r="AD103" s="57" t="s">
        <v>656</v>
      </c>
      <c r="AE103" s="66">
        <f>COUNTIFS(TblUniv2017[I. b4],AE$66,TblUniv2017[Prodi],$AE$63)/$AE$65*100%</f>
        <v>0</v>
      </c>
      <c r="AF103" s="66">
        <f>COUNTIFS(TblUniv2017[I. b4],AF$66,TblUniv2017[Prodi],$AE$63)/$AE$65*100%</f>
        <v>1</v>
      </c>
      <c r="AG103" s="66">
        <f>COUNTIFS(TblUniv2017[I. b4],AG$66,TblUniv2017[Prodi],$AE$63)/$AE$65*100%</f>
        <v>0</v>
      </c>
      <c r="AH103" s="66">
        <f>COUNTIFS(TblUniv2017[I. b4],AH$66,TblUniv2017[Prodi],$AE$63)/$AE$65*100%</f>
        <v>0</v>
      </c>
      <c r="AI103" s="62">
        <f t="shared" si="4"/>
        <v>1</v>
      </c>
      <c r="AK103" s="57" t="s">
        <v>656</v>
      </c>
      <c r="AL103" s="66">
        <f>COUNTIFS(TblUniv2017[I. b4],AL$66,TblUniv2017[Prodi],$AL$63)/$AL$65*100%</f>
        <v>0</v>
      </c>
      <c r="AM103" s="66">
        <f>COUNTIFS(TblUniv2017[I. b4],AM$66,TblUniv2017[Prodi],$AL$63)/$AL$65*100%</f>
        <v>1</v>
      </c>
      <c r="AN103" s="66">
        <f>COUNTIFS(TblUniv2017[I. b4],AN$66,TblUniv2017[Prodi],$AL$63)/$AL$65*100%</f>
        <v>0</v>
      </c>
      <c r="AO103" s="66">
        <f>COUNTIFS(TblUniv2017[I. b4],AO$66,TblUniv2017[Prodi],$AL$63)/$AL$65*100%</f>
        <v>0</v>
      </c>
      <c r="AP103" s="62">
        <f t="shared" si="5"/>
        <v>1</v>
      </c>
      <c r="AR103" s="57" t="s">
        <v>656</v>
      </c>
      <c r="AS103" s="66">
        <f>COUNTIFS(TblUniv2017[I. b4],AS$66,TblUniv2017[Prodi],$AS$63)/$AS$65*100%</f>
        <v>0.5</v>
      </c>
      <c r="AT103" s="66">
        <f>COUNTIFS(TblUniv2017[I. b4],AT$66,TblUniv2017[Prodi],$AS$63)/$AS$65*100%</f>
        <v>0.5</v>
      </c>
      <c r="AU103" s="66">
        <f>COUNTIFS(TblUniv2017[I. b4],AU$66,TblUniv2017[Prodi],$AS$63)/$AS$65*100%</f>
        <v>0</v>
      </c>
      <c r="AV103" s="66">
        <f>COUNTIFS(TblUniv2017[I. b4],AV$66,TblUniv2017[Prodi],$AS$63)/$AS$65*100%</f>
        <v>0</v>
      </c>
      <c r="AW103" s="62">
        <f t="shared" si="6"/>
        <v>1</v>
      </c>
    </row>
    <row r="104" spans="2:49" ht="17.25" thickBot="1" x14ac:dyDescent="0.35">
      <c r="B104" s="67"/>
      <c r="C104" s="68">
        <f>AVERAGE(C100:C103)</f>
        <v>0.3392857142857143</v>
      </c>
      <c r="D104" s="68">
        <f>AVERAGE(D100:D103)</f>
        <v>0.5223214285714286</v>
      </c>
      <c r="E104" s="68">
        <f>AVERAGE(E100:E103)</f>
        <v>0.13839285714285712</v>
      </c>
      <c r="F104" s="68">
        <f>AVERAGE(F100:F103)</f>
        <v>0</v>
      </c>
      <c r="G104" s="62">
        <f t="shared" si="0"/>
        <v>1</v>
      </c>
      <c r="I104" s="67"/>
      <c r="J104" s="68">
        <f>AVERAGE(J100:J103)</f>
        <v>0.28125</v>
      </c>
      <c r="K104" s="68">
        <f>AVERAGE(K100:K103)</f>
        <v>0.71875</v>
      </c>
      <c r="L104" s="68">
        <f>AVERAGE(L100:L103)</f>
        <v>0</v>
      </c>
      <c r="M104" s="68">
        <f>AVERAGE(M100:M103)</f>
        <v>0</v>
      </c>
      <c r="N104" s="62">
        <f t="shared" si="1"/>
        <v>1</v>
      </c>
      <c r="P104" s="67"/>
      <c r="Q104" s="68">
        <f>AVERAGE(Q100:Q103)</f>
        <v>0.31617647058823528</v>
      </c>
      <c r="R104" s="68">
        <f>AVERAGE(R100:R103)</f>
        <v>0.47058823529411764</v>
      </c>
      <c r="S104" s="68">
        <f>AVERAGE(S100:S103)</f>
        <v>0.21323529411764708</v>
      </c>
      <c r="T104" s="68">
        <f>AVERAGE(T100:T103)</f>
        <v>0</v>
      </c>
      <c r="U104" s="62">
        <f t="shared" si="2"/>
        <v>1</v>
      </c>
      <c r="W104" s="67"/>
      <c r="X104" s="68">
        <f>AVERAGE(X100:X103)</f>
        <v>0.35</v>
      </c>
      <c r="Y104" s="68">
        <f>AVERAGE(Y100:Y103)</f>
        <v>0.65</v>
      </c>
      <c r="Z104" s="68">
        <f>AVERAGE(Z100:Z103)</f>
        <v>0</v>
      </c>
      <c r="AA104" s="68">
        <f>AVERAGE(AA100:AA103)</f>
        <v>0</v>
      </c>
      <c r="AB104" s="62">
        <f t="shared" si="3"/>
        <v>1</v>
      </c>
      <c r="AD104" s="67"/>
      <c r="AE104" s="68">
        <f>AVERAGE(AE100:AE103)</f>
        <v>0</v>
      </c>
      <c r="AF104" s="68">
        <f>AVERAGE(AF100:AF103)</f>
        <v>1</v>
      </c>
      <c r="AG104" s="68">
        <f>AVERAGE(AG100:AG103)</f>
        <v>0</v>
      </c>
      <c r="AH104" s="68">
        <f>AVERAGE(AH100:AH103)</f>
        <v>0</v>
      </c>
      <c r="AI104" s="62">
        <f t="shared" si="4"/>
        <v>1</v>
      </c>
      <c r="AK104" s="67"/>
      <c r="AL104" s="68">
        <f>AVERAGE(AL100:AL103)</f>
        <v>0.25</v>
      </c>
      <c r="AM104" s="68">
        <f>AVERAGE(AM100:AM103)</f>
        <v>0.75</v>
      </c>
      <c r="AN104" s="68">
        <f>AVERAGE(AN100:AN103)</f>
        <v>0</v>
      </c>
      <c r="AO104" s="68">
        <f>AVERAGE(AO100:AO103)</f>
        <v>0</v>
      </c>
      <c r="AP104" s="62">
        <f t="shared" si="5"/>
        <v>1</v>
      </c>
      <c r="AR104" s="67"/>
      <c r="AS104" s="68">
        <f>AVERAGE(AS100:AS103)</f>
        <v>0.625</v>
      </c>
      <c r="AT104" s="68">
        <f>AVERAGE(AT100:AT103)</f>
        <v>0.29166666666666663</v>
      </c>
      <c r="AU104" s="68">
        <f>AVERAGE(AU100:AU103)</f>
        <v>8.3333333333333329E-2</v>
      </c>
      <c r="AV104" s="68">
        <f>AVERAGE(AV100:AV103)</f>
        <v>0</v>
      </c>
      <c r="AW104" s="62">
        <f t="shared" si="6"/>
        <v>1</v>
      </c>
    </row>
    <row r="105" spans="2:49" ht="15.75" thickBot="1" x14ac:dyDescent="0.3"/>
    <row r="106" spans="2:49" ht="17.25" thickBot="1" x14ac:dyDescent="0.3">
      <c r="I106" s="64" t="s">
        <v>14</v>
      </c>
      <c r="J106" s="65" t="str">
        <f>J63</f>
        <v>S1 Teknik Komputer</v>
      </c>
      <c r="P106" s="64" t="s">
        <v>14</v>
      </c>
      <c r="Q106" s="65" t="str">
        <f>Q63</f>
        <v>S1 Sistem Informasi</v>
      </c>
      <c r="W106" s="64" t="s">
        <v>14</v>
      </c>
      <c r="X106" s="65" t="str">
        <f>X63</f>
        <v>D3 Sistem Informasi</v>
      </c>
      <c r="AD106" s="64" t="s">
        <v>14</v>
      </c>
      <c r="AE106" s="65" t="str">
        <f>AE63</f>
        <v>S1 Desain Komunikasi Visual</v>
      </c>
      <c r="AK106" s="64" t="s">
        <v>14</v>
      </c>
      <c r="AL106" s="65" t="str">
        <f>AL63</f>
        <v>D4 Produksi Film dan Televisi</v>
      </c>
      <c r="AR106" s="64" t="s">
        <v>14</v>
      </c>
      <c r="AS106" s="65" t="str">
        <f>AS63</f>
        <v>D3 Administrasi Perkantoran</v>
      </c>
    </row>
    <row r="107" spans="2:49" ht="17.25" thickBot="1" x14ac:dyDescent="0.3">
      <c r="B107" s="64" t="s">
        <v>647</v>
      </c>
      <c r="C107" s="65">
        <v>2017</v>
      </c>
      <c r="I107" s="64" t="s">
        <v>647</v>
      </c>
      <c r="J107" s="65">
        <f>J64</f>
        <v>2017</v>
      </c>
      <c r="P107" s="64" t="s">
        <v>647</v>
      </c>
      <c r="Q107" s="65">
        <f>Q64</f>
        <v>2017</v>
      </c>
      <c r="W107" s="64" t="s">
        <v>647</v>
      </c>
      <c r="X107" s="65">
        <f>X64</f>
        <v>2017</v>
      </c>
      <c r="AD107" s="64" t="s">
        <v>647</v>
      </c>
      <c r="AE107" s="65">
        <f>AE64</f>
        <v>2017</v>
      </c>
      <c r="AK107" s="64" t="s">
        <v>647</v>
      </c>
      <c r="AL107" s="65">
        <f>AL64</f>
        <v>2017</v>
      </c>
      <c r="AR107" s="64" t="s">
        <v>647</v>
      </c>
      <c r="AS107" s="65">
        <f>AS64</f>
        <v>2017</v>
      </c>
    </row>
    <row r="108" spans="2:49" ht="17.25" thickBot="1" x14ac:dyDescent="0.3">
      <c r="B108" s="69" t="s">
        <v>646</v>
      </c>
      <c r="C108" s="70">
        <f>COUNTIF(TblUniv2017[th lulus],C107)</f>
        <v>56</v>
      </c>
      <c r="I108" s="64" t="s">
        <v>646</v>
      </c>
      <c r="J108" s="65">
        <f>J65</f>
        <v>8</v>
      </c>
      <c r="P108" s="64" t="s">
        <v>646</v>
      </c>
      <c r="Q108" s="65">
        <f>Q65</f>
        <v>34</v>
      </c>
      <c r="W108" s="64" t="s">
        <v>646</v>
      </c>
      <c r="X108" s="65">
        <f>X65</f>
        <v>5</v>
      </c>
      <c r="AD108" s="64" t="s">
        <v>646</v>
      </c>
      <c r="AE108" s="65">
        <f>AE65</f>
        <v>1</v>
      </c>
      <c r="AK108" s="64" t="s">
        <v>646</v>
      </c>
      <c r="AL108" s="65">
        <f>AL65</f>
        <v>2</v>
      </c>
      <c r="AR108" s="64" t="s">
        <v>646</v>
      </c>
      <c r="AS108" s="65">
        <f>AS65</f>
        <v>6</v>
      </c>
    </row>
    <row r="109" spans="2:49" ht="15.75" thickBot="1" x14ac:dyDescent="0.3">
      <c r="B109" s="222" t="s">
        <v>658</v>
      </c>
      <c r="C109" s="223" t="s">
        <v>664</v>
      </c>
      <c r="D109" s="223"/>
      <c r="E109" s="223"/>
      <c r="F109" s="223"/>
      <c r="I109" s="222" t="s">
        <v>658</v>
      </c>
      <c r="J109" s="223" t="s">
        <v>664</v>
      </c>
      <c r="K109" s="223"/>
      <c r="L109" s="223"/>
      <c r="M109" s="223"/>
      <c r="P109" s="222" t="s">
        <v>658</v>
      </c>
      <c r="Q109" s="223" t="s">
        <v>664</v>
      </c>
      <c r="R109" s="223"/>
      <c r="S109" s="223"/>
      <c r="T109" s="223"/>
      <c r="W109" s="222" t="s">
        <v>658</v>
      </c>
      <c r="X109" s="223" t="s">
        <v>664</v>
      </c>
      <c r="Y109" s="223"/>
      <c r="Z109" s="223"/>
      <c r="AA109" s="223"/>
      <c r="AD109" s="222" t="s">
        <v>658</v>
      </c>
      <c r="AE109" s="223" t="s">
        <v>664</v>
      </c>
      <c r="AF109" s="223"/>
      <c r="AG109" s="223"/>
      <c r="AH109" s="223"/>
      <c r="AK109" s="222" t="s">
        <v>658</v>
      </c>
      <c r="AL109" s="223" t="s">
        <v>664</v>
      </c>
      <c r="AM109" s="223"/>
      <c r="AN109" s="223"/>
      <c r="AO109" s="223"/>
      <c r="AR109" s="222" t="s">
        <v>658</v>
      </c>
      <c r="AS109" s="223" t="s">
        <v>664</v>
      </c>
      <c r="AT109" s="223"/>
      <c r="AU109" s="223"/>
      <c r="AV109" s="223"/>
    </row>
    <row r="110" spans="2:49" ht="28.5" customHeight="1" thickBot="1" x14ac:dyDescent="0.3">
      <c r="B110" s="222"/>
      <c r="C110" s="72" t="s">
        <v>645</v>
      </c>
      <c r="D110" s="72" t="s">
        <v>665</v>
      </c>
      <c r="E110" s="72" t="s">
        <v>666</v>
      </c>
      <c r="F110" s="72" t="s">
        <v>667</v>
      </c>
      <c r="I110" s="222"/>
      <c r="J110" s="72" t="s">
        <v>645</v>
      </c>
      <c r="K110" s="72" t="s">
        <v>665</v>
      </c>
      <c r="L110" s="72" t="s">
        <v>666</v>
      </c>
      <c r="M110" s="72" t="s">
        <v>667</v>
      </c>
      <c r="P110" s="222"/>
      <c r="Q110" s="72" t="s">
        <v>645</v>
      </c>
      <c r="R110" s="72" t="s">
        <v>665</v>
      </c>
      <c r="S110" s="72" t="s">
        <v>666</v>
      </c>
      <c r="T110" s="72" t="s">
        <v>667</v>
      </c>
      <c r="W110" s="222"/>
      <c r="X110" s="72" t="s">
        <v>645</v>
      </c>
      <c r="Y110" s="72" t="s">
        <v>665</v>
      </c>
      <c r="Z110" s="72" t="s">
        <v>666</v>
      </c>
      <c r="AA110" s="72" t="s">
        <v>667</v>
      </c>
      <c r="AD110" s="222"/>
      <c r="AE110" s="72" t="s">
        <v>645</v>
      </c>
      <c r="AF110" s="72" t="s">
        <v>665</v>
      </c>
      <c r="AG110" s="72" t="s">
        <v>666</v>
      </c>
      <c r="AH110" s="72" t="s">
        <v>667</v>
      </c>
      <c r="AK110" s="222"/>
      <c r="AL110" s="72" t="s">
        <v>645</v>
      </c>
      <c r="AM110" s="72" t="s">
        <v>665</v>
      </c>
      <c r="AN110" s="72" t="s">
        <v>666</v>
      </c>
      <c r="AO110" s="72" t="s">
        <v>667</v>
      </c>
      <c r="AR110" s="222"/>
      <c r="AS110" s="72" t="s">
        <v>645</v>
      </c>
      <c r="AT110" s="72" t="s">
        <v>665</v>
      </c>
      <c r="AU110" s="72" t="s">
        <v>666</v>
      </c>
      <c r="AV110" s="72" t="s">
        <v>667</v>
      </c>
    </row>
    <row r="111" spans="2:49" x14ac:dyDescent="0.25">
      <c r="B111" s="73">
        <v>2</v>
      </c>
      <c r="C111" s="71">
        <v>3</v>
      </c>
      <c r="D111" s="71">
        <v>4</v>
      </c>
      <c r="E111" s="71">
        <v>5</v>
      </c>
      <c r="F111" s="74">
        <v>6</v>
      </c>
      <c r="I111" s="73">
        <v>2</v>
      </c>
      <c r="J111" s="71">
        <v>3</v>
      </c>
      <c r="K111" s="71">
        <v>4</v>
      </c>
      <c r="L111" s="71">
        <v>5</v>
      </c>
      <c r="M111" s="74">
        <v>6</v>
      </c>
      <c r="P111" s="73">
        <v>2</v>
      </c>
      <c r="Q111" s="71">
        <v>3</v>
      </c>
      <c r="R111" s="71">
        <v>4</v>
      </c>
      <c r="S111" s="71">
        <v>5</v>
      </c>
      <c r="T111" s="74">
        <v>6</v>
      </c>
      <c r="W111" s="73">
        <v>2</v>
      </c>
      <c r="X111" s="71">
        <v>3</v>
      </c>
      <c r="Y111" s="71">
        <v>4</v>
      </c>
      <c r="Z111" s="71">
        <v>5</v>
      </c>
      <c r="AA111" s="74">
        <v>6</v>
      </c>
      <c r="AD111" s="73">
        <v>2</v>
      </c>
      <c r="AE111" s="71">
        <v>3</v>
      </c>
      <c r="AF111" s="71">
        <v>4</v>
      </c>
      <c r="AG111" s="71">
        <v>5</v>
      </c>
      <c r="AH111" s="74">
        <v>6</v>
      </c>
      <c r="AK111" s="73">
        <v>2</v>
      </c>
      <c r="AL111" s="71">
        <v>3</v>
      </c>
      <c r="AM111" s="71">
        <v>4</v>
      </c>
      <c r="AN111" s="71">
        <v>5</v>
      </c>
      <c r="AO111" s="74">
        <v>6</v>
      </c>
      <c r="AR111" s="73">
        <v>2</v>
      </c>
      <c r="AS111" s="71">
        <v>3</v>
      </c>
      <c r="AT111" s="71">
        <v>4</v>
      </c>
      <c r="AU111" s="71">
        <v>5</v>
      </c>
      <c r="AV111" s="74">
        <v>6</v>
      </c>
    </row>
    <row r="112" spans="2:49" x14ac:dyDescent="0.25">
      <c r="B112" s="75" t="s">
        <v>659</v>
      </c>
      <c r="C112" s="58">
        <f>C72</f>
        <v>0.43928571428571433</v>
      </c>
      <c r="D112" s="58">
        <f>D72</f>
        <v>0.5357142857142857</v>
      </c>
      <c r="E112" s="58">
        <f>E72</f>
        <v>2.5000000000000001E-2</v>
      </c>
      <c r="F112" s="59">
        <f>F72</f>
        <v>0</v>
      </c>
      <c r="I112" s="75" t="s">
        <v>659</v>
      </c>
      <c r="J112" s="58">
        <f>J72</f>
        <v>0.35</v>
      </c>
      <c r="K112" s="58">
        <f>K72</f>
        <v>0.65</v>
      </c>
      <c r="L112" s="58">
        <f>L72</f>
        <v>0</v>
      </c>
      <c r="M112" s="59">
        <f>M72</f>
        <v>0</v>
      </c>
      <c r="P112" s="75" t="s">
        <v>659</v>
      </c>
      <c r="Q112" s="58">
        <f>Q72</f>
        <v>0.43529411764705889</v>
      </c>
      <c r="R112" s="58">
        <f>R72</f>
        <v>0.52352941176470591</v>
      </c>
      <c r="S112" s="58">
        <f>S72</f>
        <v>4.1176470588235294E-2</v>
      </c>
      <c r="T112" s="59">
        <f>T72</f>
        <v>0</v>
      </c>
      <c r="W112" s="75" t="s">
        <v>659</v>
      </c>
      <c r="X112" s="58">
        <f>X72</f>
        <v>0.43999999999999995</v>
      </c>
      <c r="Y112" s="58">
        <f>Y72</f>
        <v>0.56000000000000005</v>
      </c>
      <c r="Z112" s="58">
        <f>Z72</f>
        <v>0</v>
      </c>
      <c r="AA112" s="59">
        <f>AA72</f>
        <v>0</v>
      </c>
      <c r="AD112" s="75" t="s">
        <v>659</v>
      </c>
      <c r="AE112" s="58">
        <f>AE72</f>
        <v>0.2</v>
      </c>
      <c r="AF112" s="58">
        <f>AF72</f>
        <v>0.8</v>
      </c>
      <c r="AG112" s="58">
        <f>AG72</f>
        <v>0</v>
      </c>
      <c r="AH112" s="59">
        <f>AH72</f>
        <v>0</v>
      </c>
      <c r="AK112" s="75" t="s">
        <v>659</v>
      </c>
      <c r="AL112" s="58">
        <f>AL72</f>
        <v>0.8</v>
      </c>
      <c r="AM112" s="58">
        <f>AM72</f>
        <v>0.2</v>
      </c>
      <c r="AN112" s="58">
        <f>AN72</f>
        <v>0</v>
      </c>
      <c r="AO112" s="58">
        <f>AO72</f>
        <v>0</v>
      </c>
      <c r="AR112" s="75" t="s">
        <v>659</v>
      </c>
      <c r="AS112" s="58">
        <f>AS72</f>
        <v>0.5</v>
      </c>
      <c r="AT112" s="58">
        <f>AT72</f>
        <v>0.5</v>
      </c>
      <c r="AU112" s="58">
        <f>AU72</f>
        <v>0</v>
      </c>
      <c r="AV112" s="59">
        <f>AV72</f>
        <v>0</v>
      </c>
    </row>
    <row r="113" spans="2:48" x14ac:dyDescent="0.25">
      <c r="B113" s="75" t="s">
        <v>660</v>
      </c>
      <c r="C113" s="58">
        <f>C75</f>
        <v>0.5267857142857143</v>
      </c>
      <c r="D113" s="58">
        <f>D75</f>
        <v>0.4017857142857143</v>
      </c>
      <c r="E113" s="58">
        <f>E75</f>
        <v>7.1428571428571425E-2</v>
      </c>
      <c r="F113" s="59">
        <f>F75</f>
        <v>0</v>
      </c>
      <c r="I113" s="75" t="s">
        <v>660</v>
      </c>
      <c r="J113" s="58">
        <f>J75</f>
        <v>0.8125</v>
      </c>
      <c r="K113" s="58">
        <f>K75</f>
        <v>0.1875</v>
      </c>
      <c r="L113" s="58">
        <f>L75</f>
        <v>0</v>
      </c>
      <c r="M113" s="59">
        <f>M75</f>
        <v>0</v>
      </c>
      <c r="P113" s="75" t="s">
        <v>660</v>
      </c>
      <c r="Q113" s="58">
        <f>Q75</f>
        <v>0.5</v>
      </c>
      <c r="R113" s="58">
        <f>R75</f>
        <v>0.41176470588235292</v>
      </c>
      <c r="S113" s="58">
        <f>S75</f>
        <v>8.8235294117647065E-2</v>
      </c>
      <c r="T113" s="59">
        <f>T75</f>
        <v>0</v>
      </c>
      <c r="W113" s="75" t="s">
        <v>660</v>
      </c>
      <c r="X113" s="58">
        <f>X75</f>
        <v>0.4</v>
      </c>
      <c r="Y113" s="58">
        <f>Y75</f>
        <v>0.6</v>
      </c>
      <c r="Z113" s="58">
        <f>Z75</f>
        <v>0</v>
      </c>
      <c r="AA113" s="59">
        <f>AA75</f>
        <v>0</v>
      </c>
      <c r="AD113" s="75" t="s">
        <v>660</v>
      </c>
      <c r="AE113" s="58">
        <f>AE75</f>
        <v>0</v>
      </c>
      <c r="AF113" s="58">
        <f>AF75</f>
        <v>1</v>
      </c>
      <c r="AG113" s="58">
        <f>AG75</f>
        <v>0</v>
      </c>
      <c r="AH113" s="59">
        <f>AH75</f>
        <v>0</v>
      </c>
      <c r="AK113" s="75" t="s">
        <v>660</v>
      </c>
      <c r="AL113" s="58">
        <f>AL75</f>
        <v>0.5</v>
      </c>
      <c r="AM113" s="58">
        <f>AM75</f>
        <v>0</v>
      </c>
      <c r="AN113" s="58">
        <f>AN75</f>
        <v>0.5</v>
      </c>
      <c r="AO113" s="58">
        <f>AO75</f>
        <v>0</v>
      </c>
      <c r="AR113" s="75" t="s">
        <v>660</v>
      </c>
      <c r="AS113" s="58">
        <f>AS75</f>
        <v>0.5</v>
      </c>
      <c r="AT113" s="58">
        <f>AT75</f>
        <v>0.5</v>
      </c>
      <c r="AU113" s="58">
        <f>AU75</f>
        <v>0</v>
      </c>
      <c r="AV113" s="59">
        <f>AV75</f>
        <v>0</v>
      </c>
    </row>
    <row r="114" spans="2:48" x14ac:dyDescent="0.25">
      <c r="B114" s="75" t="s">
        <v>661</v>
      </c>
      <c r="C114" s="58">
        <f>C78</f>
        <v>8.9285714285714288E-2</v>
      </c>
      <c r="D114" s="58">
        <f>D78</f>
        <v>0.7142857142857143</v>
      </c>
      <c r="E114" s="58">
        <f>E78</f>
        <v>0.17857142857142855</v>
      </c>
      <c r="F114" s="59">
        <f>F78</f>
        <v>1.7857142857142856E-2</v>
      </c>
      <c r="I114" s="75" t="s">
        <v>661</v>
      </c>
      <c r="J114" s="58">
        <f>J78</f>
        <v>0</v>
      </c>
      <c r="K114" s="58">
        <f>K78</f>
        <v>1</v>
      </c>
      <c r="L114" s="58">
        <f>L78</f>
        <v>0</v>
      </c>
      <c r="M114" s="59">
        <f>M78</f>
        <v>0</v>
      </c>
      <c r="P114" s="75" t="s">
        <v>661</v>
      </c>
      <c r="Q114" s="58">
        <f>Q78</f>
        <v>5.8823529411764705E-2</v>
      </c>
      <c r="R114" s="58">
        <f>R78</f>
        <v>0.66176470588235303</v>
      </c>
      <c r="S114" s="58">
        <f>S78</f>
        <v>0.25</v>
      </c>
      <c r="T114" s="59">
        <f>T78</f>
        <v>2.9411764705882353E-2</v>
      </c>
      <c r="W114" s="75" t="s">
        <v>661</v>
      </c>
      <c r="X114" s="58">
        <f>X78</f>
        <v>0.2</v>
      </c>
      <c r="Y114" s="58">
        <f>Y78</f>
        <v>0.8</v>
      </c>
      <c r="Z114" s="58">
        <f>Z78</f>
        <v>0</v>
      </c>
      <c r="AA114" s="59">
        <f>AA78</f>
        <v>0</v>
      </c>
      <c r="AD114" s="75" t="s">
        <v>661</v>
      </c>
      <c r="AE114" s="58">
        <f>AE78</f>
        <v>0</v>
      </c>
      <c r="AF114" s="58">
        <f>AF78</f>
        <v>0.5</v>
      </c>
      <c r="AG114" s="58">
        <f>AG78</f>
        <v>0.5</v>
      </c>
      <c r="AH114" s="59">
        <f>AH78</f>
        <v>0</v>
      </c>
      <c r="AK114" s="75" t="s">
        <v>661</v>
      </c>
      <c r="AL114" s="58">
        <f>AL78</f>
        <v>1</v>
      </c>
      <c r="AM114" s="58">
        <f>AM78</f>
        <v>0</v>
      </c>
      <c r="AN114" s="58">
        <f>AN78</f>
        <v>0</v>
      </c>
      <c r="AO114" s="58">
        <f>AO78</f>
        <v>0</v>
      </c>
      <c r="AR114" s="75" t="s">
        <v>661</v>
      </c>
      <c r="AS114" s="58">
        <f>AS78</f>
        <v>0</v>
      </c>
      <c r="AT114" s="58">
        <f>AT78</f>
        <v>0.83333333333333337</v>
      </c>
      <c r="AU114" s="58">
        <f>AU78</f>
        <v>0.16666666666666666</v>
      </c>
      <c r="AV114" s="59">
        <f>AV78</f>
        <v>0</v>
      </c>
    </row>
    <row r="115" spans="2:48" x14ac:dyDescent="0.25">
      <c r="B115" s="75" t="s">
        <v>662</v>
      </c>
      <c r="C115" s="58">
        <f>C81</f>
        <v>0.5625</v>
      </c>
      <c r="D115" s="58">
        <f>D81</f>
        <v>0.39285714285714285</v>
      </c>
      <c r="E115" s="58">
        <f>E81</f>
        <v>4.4642857142857144E-2</v>
      </c>
      <c r="F115" s="59">
        <f>F81</f>
        <v>0</v>
      </c>
      <c r="I115" s="75" t="s">
        <v>662</v>
      </c>
      <c r="J115" s="58">
        <f>J81</f>
        <v>0.75</v>
      </c>
      <c r="K115" s="58">
        <f>K81</f>
        <v>0.25</v>
      </c>
      <c r="L115" s="58">
        <f>L81</f>
        <v>0</v>
      </c>
      <c r="M115" s="59">
        <f>M81</f>
        <v>0</v>
      </c>
      <c r="P115" s="75" t="s">
        <v>662</v>
      </c>
      <c r="Q115" s="58">
        <f>Q81</f>
        <v>0.57352941176470584</v>
      </c>
      <c r="R115" s="58">
        <f>R81</f>
        <v>0.3529411764705882</v>
      </c>
      <c r="S115" s="58">
        <f>S81</f>
        <v>7.3529411764705885E-2</v>
      </c>
      <c r="T115" s="59">
        <f>T81</f>
        <v>0</v>
      </c>
      <c r="W115" s="75" t="s">
        <v>662</v>
      </c>
      <c r="X115" s="58">
        <f>X81</f>
        <v>0.5</v>
      </c>
      <c r="Y115" s="58">
        <f>Y81</f>
        <v>0.5</v>
      </c>
      <c r="Z115" s="58">
        <f>Z81</f>
        <v>0</v>
      </c>
      <c r="AA115" s="59">
        <f>AA81</f>
        <v>0</v>
      </c>
      <c r="AD115" s="75" t="s">
        <v>662</v>
      </c>
      <c r="AE115" s="58">
        <f>AE81</f>
        <v>0</v>
      </c>
      <c r="AF115" s="58">
        <f>AF81</f>
        <v>1</v>
      </c>
      <c r="AG115" s="58">
        <f>AG81</f>
        <v>0</v>
      </c>
      <c r="AH115" s="59">
        <f>AH81</f>
        <v>0</v>
      </c>
      <c r="AK115" s="75" t="s">
        <v>662</v>
      </c>
      <c r="AL115" s="58">
        <f>AL81</f>
        <v>0.75</v>
      </c>
      <c r="AM115" s="58">
        <f>AM81</f>
        <v>0.25</v>
      </c>
      <c r="AN115" s="58">
        <f>AN81</f>
        <v>0</v>
      </c>
      <c r="AO115" s="58">
        <f>AO81</f>
        <v>0</v>
      </c>
      <c r="AR115" s="75" t="s">
        <v>662</v>
      </c>
      <c r="AS115" s="58">
        <f>AS81</f>
        <v>0.33333333333333331</v>
      </c>
      <c r="AT115" s="58">
        <f>AT81</f>
        <v>0.66666666666666674</v>
      </c>
      <c r="AU115" s="58">
        <f>AU81</f>
        <v>0</v>
      </c>
      <c r="AV115" s="59">
        <f>AV81</f>
        <v>0</v>
      </c>
    </row>
    <row r="116" spans="2:48" x14ac:dyDescent="0.25">
      <c r="B116" s="75" t="s">
        <v>663</v>
      </c>
      <c r="C116" s="58">
        <f>C85</f>
        <v>0.39285714285714279</v>
      </c>
      <c r="D116" s="58">
        <f>D85</f>
        <v>0.60119047619047616</v>
      </c>
      <c r="E116" s="58">
        <f>E85</f>
        <v>5.9523809523809521E-3</v>
      </c>
      <c r="F116" s="59">
        <f>F85</f>
        <v>0</v>
      </c>
      <c r="I116" s="75" t="s">
        <v>663</v>
      </c>
      <c r="J116" s="58">
        <f>J85</f>
        <v>0.20833333333333334</v>
      </c>
      <c r="K116" s="58">
        <f>K85</f>
        <v>0.79166666666666663</v>
      </c>
      <c r="L116" s="58">
        <f>L85</f>
        <v>0</v>
      </c>
      <c r="M116" s="59">
        <f>M85</f>
        <v>0</v>
      </c>
      <c r="P116" s="75" t="s">
        <v>663</v>
      </c>
      <c r="Q116" s="58">
        <f>Q85</f>
        <v>0.5</v>
      </c>
      <c r="R116" s="58">
        <f>R85</f>
        <v>0.49019607843137258</v>
      </c>
      <c r="S116" s="58">
        <f>S85</f>
        <v>9.8039215686274508E-3</v>
      </c>
      <c r="T116" s="59">
        <f>T85</f>
        <v>0</v>
      </c>
      <c r="W116" s="75" t="s">
        <v>663</v>
      </c>
      <c r="X116" s="58">
        <f>X85</f>
        <v>0.20000000000000004</v>
      </c>
      <c r="Y116" s="58">
        <f>Y85</f>
        <v>0.80000000000000016</v>
      </c>
      <c r="Z116" s="58">
        <f>Z85</f>
        <v>0</v>
      </c>
      <c r="AA116" s="59">
        <f>AA85</f>
        <v>0</v>
      </c>
      <c r="AD116" s="75" t="s">
        <v>663</v>
      </c>
      <c r="AE116" s="58">
        <f>AE85</f>
        <v>0.33333333333333331</v>
      </c>
      <c r="AF116" s="58">
        <f>AF85</f>
        <v>0.66666666666666663</v>
      </c>
      <c r="AG116" s="58">
        <f>AG85</f>
        <v>0</v>
      </c>
      <c r="AH116" s="59">
        <f>AH85</f>
        <v>0</v>
      </c>
      <c r="AK116" s="75" t="s">
        <v>663</v>
      </c>
      <c r="AL116" s="58">
        <f>AL85</f>
        <v>0.33333333333333331</v>
      </c>
      <c r="AM116" s="58">
        <f>AM85</f>
        <v>0.66666666666666663</v>
      </c>
      <c r="AN116" s="58">
        <f>AN85</f>
        <v>0</v>
      </c>
      <c r="AO116" s="58">
        <f>AO85</f>
        <v>0</v>
      </c>
      <c r="AR116" s="75" t="s">
        <v>663</v>
      </c>
      <c r="AS116" s="58">
        <f>AS85</f>
        <v>0.22222222222222221</v>
      </c>
      <c r="AT116" s="58">
        <f>AT85</f>
        <v>0.77777777777777768</v>
      </c>
      <c r="AU116" s="58">
        <f>AU85</f>
        <v>0</v>
      </c>
      <c r="AV116" s="59">
        <f>AV85</f>
        <v>0</v>
      </c>
    </row>
    <row r="117" spans="2:48" x14ac:dyDescent="0.25">
      <c r="B117" s="75" t="s">
        <v>617</v>
      </c>
      <c r="C117" s="58">
        <f>C88</f>
        <v>0.39285714285714285</v>
      </c>
      <c r="D117" s="58">
        <f>D88</f>
        <v>0.5357142857142857</v>
      </c>
      <c r="E117" s="58">
        <f>E88</f>
        <v>6.25E-2</v>
      </c>
      <c r="F117" s="59">
        <f>F88</f>
        <v>8.9285714285714281E-3</v>
      </c>
      <c r="I117" s="75" t="s">
        <v>617</v>
      </c>
      <c r="J117" s="58">
        <f>J88</f>
        <v>6.25E-2</v>
      </c>
      <c r="K117" s="58">
        <f>K88</f>
        <v>0.9375</v>
      </c>
      <c r="L117" s="58">
        <f>L88</f>
        <v>0</v>
      </c>
      <c r="M117" s="59">
        <f>M88</f>
        <v>0</v>
      </c>
      <c r="P117" s="75" t="s">
        <v>617</v>
      </c>
      <c r="Q117" s="58">
        <f>Q88</f>
        <v>0.48529411764705888</v>
      </c>
      <c r="R117" s="58">
        <f>R88</f>
        <v>0.41176470588235292</v>
      </c>
      <c r="S117" s="58">
        <f>S88</f>
        <v>8.8235294117647065E-2</v>
      </c>
      <c r="T117" s="59">
        <f>T88</f>
        <v>1.4705882352941176E-2</v>
      </c>
      <c r="W117" s="75" t="s">
        <v>617</v>
      </c>
      <c r="X117" s="58">
        <f>X88</f>
        <v>0.60000000000000009</v>
      </c>
      <c r="Y117" s="58">
        <f>Y88</f>
        <v>0.4</v>
      </c>
      <c r="Z117" s="58">
        <f>Z88</f>
        <v>0</v>
      </c>
      <c r="AA117" s="59">
        <f>AA88</f>
        <v>0</v>
      </c>
      <c r="AD117" s="75" t="s">
        <v>617</v>
      </c>
      <c r="AE117" s="58">
        <f>AE88</f>
        <v>0</v>
      </c>
      <c r="AF117" s="58">
        <f>AF88</f>
        <v>0.5</v>
      </c>
      <c r="AG117" s="58">
        <f>AG88</f>
        <v>0.5</v>
      </c>
      <c r="AH117" s="59">
        <f>AH88</f>
        <v>0</v>
      </c>
      <c r="AK117" s="75" t="s">
        <v>617</v>
      </c>
      <c r="AL117" s="58">
        <f>AL88</f>
        <v>0.75</v>
      </c>
      <c r="AM117" s="58">
        <f>AM88</f>
        <v>0.25</v>
      </c>
      <c r="AN117" s="58">
        <f>AN88</f>
        <v>0</v>
      </c>
      <c r="AO117" s="58">
        <f>AO88</f>
        <v>0</v>
      </c>
      <c r="AR117" s="75" t="s">
        <v>617</v>
      </c>
      <c r="AS117" s="58">
        <f>AS88</f>
        <v>8.3333333333333329E-2</v>
      </c>
      <c r="AT117" s="58">
        <f>AT88</f>
        <v>0.91666666666666674</v>
      </c>
      <c r="AU117" s="58">
        <f>AU88</f>
        <v>0</v>
      </c>
      <c r="AV117" s="59">
        <f>AV88</f>
        <v>0</v>
      </c>
    </row>
    <row r="118" spans="2:48" x14ac:dyDescent="0.25">
      <c r="B118" s="75" t="s">
        <v>330</v>
      </c>
      <c r="C118" s="58">
        <f>C93</f>
        <v>0.3303571428571429</v>
      </c>
      <c r="D118" s="58">
        <f>D93</f>
        <v>0.5758928571428571</v>
      </c>
      <c r="E118" s="58">
        <f>E93</f>
        <v>8.4821428571428575E-2</v>
      </c>
      <c r="F118" s="59">
        <f>F93</f>
        <v>8.9285714285714281E-3</v>
      </c>
      <c r="I118" s="75" t="s">
        <v>330</v>
      </c>
      <c r="J118" s="58">
        <f>J93</f>
        <v>0.34375</v>
      </c>
      <c r="K118" s="58">
        <f>K93</f>
        <v>0.65625</v>
      </c>
      <c r="L118" s="58">
        <f>L93</f>
        <v>0</v>
      </c>
      <c r="M118" s="59">
        <f>M93</f>
        <v>0</v>
      </c>
      <c r="P118" s="75" t="s">
        <v>330</v>
      </c>
      <c r="Q118" s="58">
        <f>Q93</f>
        <v>0.38235294117647062</v>
      </c>
      <c r="R118" s="58">
        <f>R93</f>
        <v>0.52941176470588236</v>
      </c>
      <c r="S118" s="58">
        <f>S93</f>
        <v>7.3529411764705885E-2</v>
      </c>
      <c r="T118" s="59">
        <f>T93</f>
        <v>1.4705882352941176E-2</v>
      </c>
      <c r="W118" s="75" t="s">
        <v>330</v>
      </c>
      <c r="X118" s="58">
        <f>X93</f>
        <v>0.2</v>
      </c>
      <c r="Y118" s="58">
        <f>Y93</f>
        <v>0.8</v>
      </c>
      <c r="Z118" s="58">
        <f>Z93</f>
        <v>0</v>
      </c>
      <c r="AA118" s="59">
        <f>AA93</f>
        <v>0</v>
      </c>
      <c r="AD118" s="75" t="s">
        <v>330</v>
      </c>
      <c r="AE118" s="58">
        <f>AE93</f>
        <v>0</v>
      </c>
      <c r="AF118" s="58">
        <f>AF93</f>
        <v>1</v>
      </c>
      <c r="AG118" s="58">
        <f>AG93</f>
        <v>0</v>
      </c>
      <c r="AH118" s="59">
        <f>AH93</f>
        <v>0</v>
      </c>
      <c r="AK118" s="75" t="s">
        <v>330</v>
      </c>
      <c r="AL118" s="58">
        <f>AL93</f>
        <v>0.5</v>
      </c>
      <c r="AM118" s="58">
        <f>AM93</f>
        <v>0.5</v>
      </c>
      <c r="AN118" s="58">
        <f>AN93</f>
        <v>0</v>
      </c>
      <c r="AO118" s="58">
        <f>AO93</f>
        <v>0</v>
      </c>
      <c r="AR118" s="75" t="s">
        <v>330</v>
      </c>
      <c r="AS118" s="58">
        <f>AS93</f>
        <v>0.5</v>
      </c>
      <c r="AT118" s="58">
        <f>AT93</f>
        <v>0.45833333333333331</v>
      </c>
      <c r="AU118" s="58">
        <f>AU93</f>
        <v>4.1666666666666664E-2</v>
      </c>
      <c r="AV118" s="59">
        <f>AV93</f>
        <v>0</v>
      </c>
    </row>
    <row r="119" spans="2:48" x14ac:dyDescent="0.25">
      <c r="B119" s="75" t="s">
        <v>68</v>
      </c>
      <c r="C119" s="58">
        <f>C99</f>
        <v>0.45</v>
      </c>
      <c r="D119" s="58">
        <f>D99</f>
        <v>0.5357142857142857</v>
      </c>
      <c r="E119" s="58">
        <f>E99</f>
        <v>1.4285714285714285E-2</v>
      </c>
      <c r="F119" s="59">
        <f>F99</f>
        <v>0</v>
      </c>
      <c r="I119" s="75" t="s">
        <v>68</v>
      </c>
      <c r="J119" s="58">
        <f>J99</f>
        <v>0.45</v>
      </c>
      <c r="K119" s="58">
        <f>K99</f>
        <v>0.55000000000000004</v>
      </c>
      <c r="L119" s="58">
        <f>L99</f>
        <v>0</v>
      </c>
      <c r="M119" s="59">
        <f>M99</f>
        <v>0</v>
      </c>
      <c r="P119" s="75" t="s">
        <v>68</v>
      </c>
      <c r="Q119" s="58">
        <f>Q99</f>
        <v>0.42941176470588244</v>
      </c>
      <c r="R119" s="58">
        <f>R99</f>
        <v>0.55294117647058827</v>
      </c>
      <c r="S119" s="58">
        <f>S99</f>
        <v>1.7647058823529412E-2</v>
      </c>
      <c r="T119" s="59">
        <f>T99</f>
        <v>0</v>
      </c>
      <c r="W119" s="75" t="s">
        <v>68</v>
      </c>
      <c r="X119" s="58">
        <f>X99</f>
        <v>0.32</v>
      </c>
      <c r="Y119" s="58">
        <f>Y99</f>
        <v>0.68</v>
      </c>
      <c r="Z119" s="58">
        <f>Z99</f>
        <v>0</v>
      </c>
      <c r="AA119" s="59">
        <f>AA99</f>
        <v>0</v>
      </c>
      <c r="AD119" s="75" t="s">
        <v>68</v>
      </c>
      <c r="AE119" s="58">
        <f>AE99</f>
        <v>0.2</v>
      </c>
      <c r="AF119" s="58">
        <f>AF99</f>
        <v>0.8</v>
      </c>
      <c r="AG119" s="58">
        <f>AG99</f>
        <v>0</v>
      </c>
      <c r="AH119" s="59">
        <f>AH99</f>
        <v>0</v>
      </c>
      <c r="AK119" s="75" t="s">
        <v>68</v>
      </c>
      <c r="AL119" s="58">
        <f>AL99</f>
        <v>0.6</v>
      </c>
      <c r="AM119" s="58">
        <f>AM99</f>
        <v>0.4</v>
      </c>
      <c r="AN119" s="58">
        <f>AN99</f>
        <v>0</v>
      </c>
      <c r="AO119" s="59">
        <f>AO99</f>
        <v>0</v>
      </c>
      <c r="AR119" s="75" t="s">
        <v>68</v>
      </c>
      <c r="AS119" s="58">
        <f>AS99</f>
        <v>0.66666666666666663</v>
      </c>
      <c r="AT119" s="58">
        <f>AT99</f>
        <v>0.29999999999999993</v>
      </c>
      <c r="AU119" s="58">
        <f>AU99</f>
        <v>3.3333333333333333E-2</v>
      </c>
      <c r="AV119" s="59">
        <f>AV99</f>
        <v>0</v>
      </c>
    </row>
    <row r="120" spans="2:48" ht="15.75" thickBot="1" x14ac:dyDescent="0.3">
      <c r="B120" s="76" t="s">
        <v>68</v>
      </c>
      <c r="C120" s="77">
        <f>C104</f>
        <v>0.3392857142857143</v>
      </c>
      <c r="D120" s="77">
        <f>D104</f>
        <v>0.5223214285714286</v>
      </c>
      <c r="E120" s="77">
        <f>E104</f>
        <v>0.13839285714285712</v>
      </c>
      <c r="F120" s="78">
        <f>F104</f>
        <v>0</v>
      </c>
      <c r="I120" s="76" t="s">
        <v>68</v>
      </c>
      <c r="J120" s="77">
        <f>J104</f>
        <v>0.28125</v>
      </c>
      <c r="K120" s="77">
        <f>K104</f>
        <v>0.71875</v>
      </c>
      <c r="L120" s="77">
        <f>L104</f>
        <v>0</v>
      </c>
      <c r="M120" s="78">
        <f>M104</f>
        <v>0</v>
      </c>
      <c r="P120" s="76" t="s">
        <v>68</v>
      </c>
      <c r="Q120" s="77">
        <f>Q104</f>
        <v>0.31617647058823528</v>
      </c>
      <c r="R120" s="77">
        <f>R104</f>
        <v>0.47058823529411764</v>
      </c>
      <c r="S120" s="77">
        <f>S104</f>
        <v>0.21323529411764708</v>
      </c>
      <c r="T120" s="78">
        <f>T104</f>
        <v>0</v>
      </c>
      <c r="W120" s="76" t="s">
        <v>68</v>
      </c>
      <c r="X120" s="77">
        <f>X104</f>
        <v>0.35</v>
      </c>
      <c r="Y120" s="77">
        <f>Y104</f>
        <v>0.65</v>
      </c>
      <c r="Z120" s="77">
        <f>Z104</f>
        <v>0</v>
      </c>
      <c r="AA120" s="78">
        <f>AA104</f>
        <v>0</v>
      </c>
      <c r="AD120" s="76" t="s">
        <v>68</v>
      </c>
      <c r="AE120" s="77">
        <f>AE104</f>
        <v>0</v>
      </c>
      <c r="AF120" s="77">
        <f>AF104</f>
        <v>1</v>
      </c>
      <c r="AG120" s="77">
        <f>AG104</f>
        <v>0</v>
      </c>
      <c r="AH120" s="78">
        <f>AH104</f>
        <v>0</v>
      </c>
      <c r="AK120" s="76" t="s">
        <v>68</v>
      </c>
      <c r="AL120" s="77">
        <f>AL104</f>
        <v>0.25</v>
      </c>
      <c r="AM120" s="77">
        <f>AM104</f>
        <v>0.75</v>
      </c>
      <c r="AN120" s="77">
        <f>AN104</f>
        <v>0</v>
      </c>
      <c r="AO120" s="78">
        <f>AO104</f>
        <v>0</v>
      </c>
      <c r="AR120" s="76" t="s">
        <v>68</v>
      </c>
      <c r="AS120" s="77">
        <f>AS104</f>
        <v>0.625</v>
      </c>
      <c r="AT120" s="77">
        <f>AT104</f>
        <v>0.29166666666666663</v>
      </c>
      <c r="AU120" s="77">
        <f>AU104</f>
        <v>8.3333333333333329E-2</v>
      </c>
      <c r="AV120" s="78">
        <f>AV104</f>
        <v>0</v>
      </c>
    </row>
    <row r="121" spans="2:48" x14ac:dyDescent="0.25">
      <c r="B121" s="79" t="s">
        <v>669</v>
      </c>
      <c r="C121" s="81">
        <f>SUM(C112:C120)</f>
        <v>3.5232142857142859</v>
      </c>
      <c r="D121" s="81">
        <f>SUM(D112:D120)</f>
        <v>4.8154761904761907</v>
      </c>
      <c r="E121" s="81">
        <f>SUM(E112:E120)</f>
        <v>0.62559523809523809</v>
      </c>
      <c r="F121" s="84">
        <f>SUM(F112:F120)</f>
        <v>3.5714285714285712E-2</v>
      </c>
      <c r="I121" s="79" t="s">
        <v>669</v>
      </c>
      <c r="J121" s="81">
        <f>SUM(J112:J120)</f>
        <v>3.2583333333333337</v>
      </c>
      <c r="K121" s="81">
        <f>SUM(K112:K120)</f>
        <v>5.7416666666666663</v>
      </c>
      <c r="L121" s="81">
        <f>SUM(L112:L120)</f>
        <v>0</v>
      </c>
      <c r="M121" s="84">
        <f>SUM(M112:M120)</f>
        <v>0</v>
      </c>
      <c r="P121" s="79" t="s">
        <v>669</v>
      </c>
      <c r="Q121" s="81">
        <f>SUM(Q112:Q120)</f>
        <v>3.6808823529411763</v>
      </c>
      <c r="R121" s="81">
        <f>SUM(R112:R120)</f>
        <v>4.4049019607843141</v>
      </c>
      <c r="S121" s="81">
        <f>SUM(S112:S120)</f>
        <v>0.85539215686274517</v>
      </c>
      <c r="T121" s="84">
        <f>SUM(T112:T120)</f>
        <v>5.8823529411764705E-2</v>
      </c>
      <c r="W121" s="79" t="s">
        <v>669</v>
      </c>
      <c r="X121" s="81">
        <f>SUM(X112:X120)</f>
        <v>3.21</v>
      </c>
      <c r="Y121" s="81">
        <f>SUM(Y112:Y120)</f>
        <v>5.79</v>
      </c>
      <c r="Z121" s="81">
        <f>SUM(Z112:Z120)</f>
        <v>0</v>
      </c>
      <c r="AA121" s="84">
        <f>SUM(AA112:AA120)</f>
        <v>0</v>
      </c>
      <c r="AD121" s="79" t="s">
        <v>669</v>
      </c>
      <c r="AE121" s="81">
        <f>SUM(AE112:AE120)</f>
        <v>0.73333333333333339</v>
      </c>
      <c r="AF121" s="81">
        <f>SUM(AF112:AF120)</f>
        <v>7.2666666666666666</v>
      </c>
      <c r="AG121" s="81">
        <f>SUM(AG112:AG120)</f>
        <v>1</v>
      </c>
      <c r="AH121" s="84">
        <f>SUM(AH112:AH120)</f>
        <v>0</v>
      </c>
      <c r="AK121" s="79" t="s">
        <v>669</v>
      </c>
      <c r="AL121" s="81">
        <f>SUM(AL112:AL120)</f>
        <v>5.4833333333333325</v>
      </c>
      <c r="AM121" s="81">
        <f>SUM(AM112:AM120)</f>
        <v>3.0166666666666666</v>
      </c>
      <c r="AN121" s="81">
        <f>SUM(AN112:AN120)</f>
        <v>0.5</v>
      </c>
      <c r="AO121" s="84">
        <f>SUM(AO112:AO120)</f>
        <v>0</v>
      </c>
      <c r="AR121" s="79" t="s">
        <v>669</v>
      </c>
      <c r="AS121" s="81">
        <f>SUM(AS112:AS120)</f>
        <v>3.4305555555555549</v>
      </c>
      <c r="AT121" s="81">
        <f>SUM(AT112:AT120)</f>
        <v>5.2444444444444445</v>
      </c>
      <c r="AU121" s="81">
        <f>SUM(AU112:AU120)</f>
        <v>0.32499999999999996</v>
      </c>
      <c r="AV121" s="84">
        <f>SUM(AV112:AV120)</f>
        <v>0</v>
      </c>
    </row>
    <row r="122" spans="2:48" ht="15.75" thickBot="1" x14ac:dyDescent="0.3">
      <c r="B122" s="80" t="s">
        <v>670</v>
      </c>
      <c r="C122" s="82">
        <f>AVERAGE(C112:C120)</f>
        <v>0.39146825396825397</v>
      </c>
      <c r="D122" s="82">
        <f>AVERAGE(D112:D120)</f>
        <v>0.53505291005291011</v>
      </c>
      <c r="E122" s="82">
        <f>AVERAGE(E112:E120)</f>
        <v>6.9510582010582009E-2</v>
      </c>
      <c r="F122" s="85">
        <f>AVERAGE(F112:F120)</f>
        <v>3.968253968253968E-3</v>
      </c>
      <c r="I122" s="80" t="s">
        <v>670</v>
      </c>
      <c r="J122" s="82">
        <f>AVERAGE(J112:J120)</f>
        <v>0.3620370370370371</v>
      </c>
      <c r="K122" s="82">
        <f>AVERAGE(K112:K120)</f>
        <v>0.63796296296296295</v>
      </c>
      <c r="L122" s="82">
        <f>AVERAGE(L112:L120)</f>
        <v>0</v>
      </c>
      <c r="M122" s="85">
        <f>AVERAGE(M112:M120)</f>
        <v>0</v>
      </c>
      <c r="P122" s="80" t="s">
        <v>670</v>
      </c>
      <c r="Q122" s="82">
        <f>AVERAGE(Q112:Q120)</f>
        <v>0.40898692810457515</v>
      </c>
      <c r="R122" s="82">
        <f>AVERAGE(R112:R120)</f>
        <v>0.4894335511982571</v>
      </c>
      <c r="S122" s="82">
        <f>AVERAGE(S112:S120)</f>
        <v>9.5043572984749469E-2</v>
      </c>
      <c r="T122" s="85">
        <f>AVERAGE(T112:T120)</f>
        <v>6.5359477124183009E-3</v>
      </c>
      <c r="W122" s="80" t="s">
        <v>670</v>
      </c>
      <c r="X122" s="82">
        <f>AVERAGE(X112:X120)</f>
        <v>0.35666666666666669</v>
      </c>
      <c r="Y122" s="82">
        <f>AVERAGE(Y112:Y120)</f>
        <v>0.64333333333333331</v>
      </c>
      <c r="Z122" s="82">
        <f>AVERAGE(Z112:Z120)</f>
        <v>0</v>
      </c>
      <c r="AA122" s="85">
        <f>AVERAGE(AA112:AA120)</f>
        <v>0</v>
      </c>
      <c r="AD122" s="80" t="s">
        <v>670</v>
      </c>
      <c r="AE122" s="82">
        <f>AVERAGE(AE112:AE120)</f>
        <v>8.1481481481481488E-2</v>
      </c>
      <c r="AF122" s="82">
        <f>AVERAGE(AF112:AF120)</f>
        <v>0.80740740740740735</v>
      </c>
      <c r="AG122" s="82">
        <f>AVERAGE(AG112:AG120)</f>
        <v>0.1111111111111111</v>
      </c>
      <c r="AH122" s="85">
        <f>AVERAGE(AH112:AH120)</f>
        <v>0</v>
      </c>
      <c r="AK122" s="80" t="s">
        <v>670</v>
      </c>
      <c r="AL122" s="82">
        <f>AVERAGE(AL112:AL120)</f>
        <v>0.60925925925925917</v>
      </c>
      <c r="AM122" s="82">
        <f>AVERAGE(AM112:AM120)</f>
        <v>0.3351851851851852</v>
      </c>
      <c r="AN122" s="82">
        <f>AVERAGE(AN112:AN120)</f>
        <v>5.5555555555555552E-2</v>
      </c>
      <c r="AO122" s="85">
        <f>AVERAGE(AO112:AO120)</f>
        <v>0</v>
      </c>
      <c r="AR122" s="80" t="s">
        <v>670</v>
      </c>
      <c r="AS122" s="82">
        <f>AVERAGE(AS112:AS120)</f>
        <v>0.38117283950617276</v>
      </c>
      <c r="AT122" s="82">
        <f>AVERAGE(AT112:AT120)</f>
        <v>0.58271604938271604</v>
      </c>
      <c r="AU122" s="82">
        <f>AVERAGE(AU112:AU120)</f>
        <v>3.6111111111111108E-2</v>
      </c>
      <c r="AV122" s="85">
        <f>AVERAGE(AV112:AV120)</f>
        <v>0</v>
      </c>
    </row>
    <row r="124" spans="2:48" ht="23.25" x14ac:dyDescent="0.35">
      <c r="B124" s="63" t="s">
        <v>674</v>
      </c>
    </row>
    <row r="125" spans="2:48" ht="15.75" thickBot="1" x14ac:dyDescent="0.3"/>
    <row r="126" spans="2:48" ht="17.25" thickBot="1" x14ac:dyDescent="0.3">
      <c r="B126" s="64" t="s">
        <v>66</v>
      </c>
      <c r="C126" s="86" t="s">
        <v>141</v>
      </c>
    </row>
    <row r="127" spans="2:48" ht="17.25" thickBot="1" x14ac:dyDescent="0.3">
      <c r="B127" s="64" t="s">
        <v>647</v>
      </c>
      <c r="C127" s="65">
        <v>2017</v>
      </c>
    </row>
    <row r="128" spans="2:48" ht="17.25" thickBot="1" x14ac:dyDescent="0.3">
      <c r="B128" s="64" t="s">
        <v>646</v>
      </c>
      <c r="C128" s="65">
        <f>COUNTIFS(TblUniv2017[th lulus],C127,TblUniv2017[Program Pendidikan],C126)</f>
        <v>43</v>
      </c>
    </row>
    <row r="129" spans="2:7" ht="16.5" x14ac:dyDescent="0.3">
      <c r="B129" s="55"/>
      <c r="C129" s="56" t="s">
        <v>69</v>
      </c>
      <c r="D129" s="56" t="s">
        <v>1</v>
      </c>
      <c r="E129" s="56" t="s">
        <v>75</v>
      </c>
      <c r="F129" s="56" t="s">
        <v>168</v>
      </c>
      <c r="G129" s="56"/>
    </row>
    <row r="130" spans="2:7" ht="16.5" x14ac:dyDescent="0.3">
      <c r="B130" s="57" t="s">
        <v>26</v>
      </c>
      <c r="C130" s="66">
        <f>COUNTIFS(TblUniv2017[B1],C$66,TblUniv2017[Program Pendidikan],$C$126)/$C$128*100%</f>
        <v>0.41860465116279072</v>
      </c>
      <c r="D130" s="66">
        <f>COUNTIFS(TblUniv2017[B1],D$66,TblUniv2017[Program Pendidikan],$C$126)/$C$128*100%</f>
        <v>0.58139534883720934</v>
      </c>
      <c r="E130" s="66">
        <f>COUNTIFS(TblUniv2017[B1],E$66,TblUniv2017[Program Pendidikan],$C$126)/$C$128*100%</f>
        <v>0</v>
      </c>
      <c r="F130" s="66">
        <f>COUNTIFS(TblUniv2017[B1],F$66,TblUniv2017[Program Pendidikan],$C$126)/$C$128*100%</f>
        <v>0</v>
      </c>
      <c r="G130" s="62">
        <f t="shared" ref="G130:G167" si="7">SUM(C130:F130)</f>
        <v>1</v>
      </c>
    </row>
    <row r="131" spans="2:7" ht="16.5" x14ac:dyDescent="0.3">
      <c r="B131" s="57" t="s">
        <v>27</v>
      </c>
      <c r="C131" s="66">
        <f>COUNTIFS(TblUniv2017[B2],C$66,TblUniv2017[Program Pendidikan],$C$126)/$C$128*100%</f>
        <v>0.48837209302325579</v>
      </c>
      <c r="D131" s="66">
        <f>COUNTIFS(TblUniv2017[B2],D$66,TblUniv2017[Program Pendidikan],$C$126)/$C$128*100%</f>
        <v>0.51162790697674421</v>
      </c>
      <c r="E131" s="66">
        <f>COUNTIFS(TblUniv2017[B2],E$66,TblUniv2017[Program Pendidikan],$C$126)/$C$128*100%</f>
        <v>0</v>
      </c>
      <c r="F131" s="66">
        <f>COUNTIFS(TblUniv2017[B2],F$66,TblUniv2017[Program Pendidikan],$C$126)/$C$128*100%</f>
        <v>0</v>
      </c>
      <c r="G131" s="62">
        <f t="shared" si="7"/>
        <v>1</v>
      </c>
    </row>
    <row r="132" spans="2:7" ht="16.5" x14ac:dyDescent="0.3">
      <c r="B132" s="57" t="s">
        <v>28</v>
      </c>
      <c r="C132" s="66">
        <f>COUNTIFS(TblUniv2017[B3],C$66,TblUniv2017[Program Pendidikan],$C$126)/$C$128*100%</f>
        <v>0.27906976744186046</v>
      </c>
      <c r="D132" s="66">
        <f>COUNTIFS(TblUniv2017[B3],D$66,TblUniv2017[Program Pendidikan],$C$126)/$C$128*100%</f>
        <v>0.55813953488372092</v>
      </c>
      <c r="E132" s="66">
        <f>COUNTIFS(TblUniv2017[B3],E$66,TblUniv2017[Program Pendidikan],$C$126)/$C$128*100%</f>
        <v>0.16279069767441862</v>
      </c>
      <c r="F132" s="66">
        <f>COUNTIFS(TblUniv2017[B3],F$66,TblUniv2017[Program Pendidikan],$C$126)/$C$128*100%</f>
        <v>0</v>
      </c>
      <c r="G132" s="62">
        <f t="shared" si="7"/>
        <v>1</v>
      </c>
    </row>
    <row r="133" spans="2:7" ht="16.5" x14ac:dyDescent="0.3">
      <c r="B133" s="57" t="s">
        <v>29</v>
      </c>
      <c r="C133" s="66">
        <f>COUNTIFS(TblUniv2017[B4],C$66,TblUniv2017[Program Pendidikan],$C$126)/$C$128*100%</f>
        <v>0.44186046511627908</v>
      </c>
      <c r="D133" s="66">
        <f>COUNTIFS(TblUniv2017[B4],D$66,TblUniv2017[Program Pendidikan],$C$126)/$C$128*100%</f>
        <v>0.55813953488372092</v>
      </c>
      <c r="E133" s="66">
        <f>COUNTIFS(TblUniv2017[B4],E$66,TblUniv2017[Program Pendidikan],$C$126)/$C$128*100%</f>
        <v>0</v>
      </c>
      <c r="F133" s="66">
        <f>COUNTIFS(TblUniv2017[B4],F$66,TblUniv2017[Program Pendidikan],$C$126)/$C$128*100%</f>
        <v>0</v>
      </c>
      <c r="G133" s="62">
        <f t="shared" si="7"/>
        <v>1</v>
      </c>
    </row>
    <row r="134" spans="2:7" ht="16.5" x14ac:dyDescent="0.3">
      <c r="B134" s="57" t="s">
        <v>30</v>
      </c>
      <c r="C134" s="66">
        <f>COUNTIFS(TblUniv2017[B5],C$66,TblUniv2017[Program Pendidikan],$C$126)/$C$128*100%</f>
        <v>0.44186046511627908</v>
      </c>
      <c r="D134" s="66">
        <f>COUNTIFS(TblUniv2017[B5],D$66,TblUniv2017[Program Pendidikan],$C$126)/$C$128*100%</f>
        <v>0.55813953488372092</v>
      </c>
      <c r="E134" s="66">
        <f>COUNTIFS(TblUniv2017[B5],E$66,TblUniv2017[Program Pendidikan],$C$126)/$C$128*100%</f>
        <v>0</v>
      </c>
      <c r="F134" s="66">
        <f>COUNTIFS(TblUniv2017[B5],F$66,TblUniv2017[Program Pendidikan],$C$126)/$C$128*100%</f>
        <v>0</v>
      </c>
      <c r="G134" s="62">
        <f t="shared" si="7"/>
        <v>1</v>
      </c>
    </row>
    <row r="135" spans="2:7" ht="16.5" x14ac:dyDescent="0.3">
      <c r="B135" s="60"/>
      <c r="C135" s="61">
        <f>AVERAGE(C130:C134)</f>
        <v>0.41395348837209306</v>
      </c>
      <c r="D135" s="61">
        <f>AVERAGE(D130:D134)</f>
        <v>0.55348837209302337</v>
      </c>
      <c r="E135" s="61">
        <f>AVERAGE(E130:E134)</f>
        <v>3.255813953488372E-2</v>
      </c>
      <c r="F135" s="61">
        <f>AVERAGE(F130:F134)</f>
        <v>0</v>
      </c>
      <c r="G135" s="62">
        <f t="shared" si="7"/>
        <v>1.0000000000000002</v>
      </c>
    </row>
    <row r="136" spans="2:7" ht="16.5" x14ac:dyDescent="0.3">
      <c r="B136" s="57" t="s">
        <v>31</v>
      </c>
      <c r="C136" s="66">
        <f>COUNTIFS(TblUniv2017[C1],C$66,TblUniv2017[Program Pendidikan],$C$126)/$C$128*100%</f>
        <v>0.58139534883720934</v>
      </c>
      <c r="D136" s="66">
        <f>COUNTIFS(TblUniv2017[C1],D$66,TblUniv2017[Program Pendidikan],$C$126)/$C$128*100%</f>
        <v>0.39534883720930231</v>
      </c>
      <c r="E136" s="66">
        <f>COUNTIFS(TblUniv2017[C1],E$66,TblUniv2017[Program Pendidikan],$C$126)/$C$128*100%</f>
        <v>2.3255813953488372E-2</v>
      </c>
      <c r="F136" s="66">
        <f>COUNTIFS(TblUniv2017[C1],F$66,TblUniv2017[Program Pendidikan],$C$126)/$C$128*100%</f>
        <v>0</v>
      </c>
      <c r="G136" s="62">
        <f t="shared" si="7"/>
        <v>1</v>
      </c>
    </row>
    <row r="137" spans="2:7" ht="16.5" x14ac:dyDescent="0.3">
      <c r="B137" s="57" t="s">
        <v>32</v>
      </c>
      <c r="C137" s="66">
        <f>COUNTIFS(TblUniv2017[C2],C$66,TblUniv2017[Program Pendidikan],$C$126)/$C$128*100%</f>
        <v>0.51162790697674421</v>
      </c>
      <c r="D137" s="66">
        <f>COUNTIFS(TblUniv2017[C2],D$66,TblUniv2017[Program Pendidikan],$C$126)/$C$128*100%</f>
        <v>0.37209302325581395</v>
      </c>
      <c r="E137" s="66">
        <f>COUNTIFS(TblUniv2017[C2],E$66,TblUniv2017[Program Pendidikan],$C$126)/$C$128*100%</f>
        <v>0.11627906976744186</v>
      </c>
      <c r="F137" s="66">
        <f>COUNTIFS(TblUniv2017[C2],F$66,TblUniv2017[Program Pendidikan],$C$126)/$C$128*100%</f>
        <v>0</v>
      </c>
      <c r="G137" s="62">
        <f t="shared" si="7"/>
        <v>1</v>
      </c>
    </row>
    <row r="138" spans="2:7" ht="16.5" x14ac:dyDescent="0.3">
      <c r="B138" s="60"/>
      <c r="C138" s="61">
        <f>AVERAGE(C136:C137)</f>
        <v>0.54651162790697683</v>
      </c>
      <c r="D138" s="61">
        <f>AVERAGE(D136:D137)</f>
        <v>0.38372093023255816</v>
      </c>
      <c r="E138" s="61">
        <f>AVERAGE(E136:E137)</f>
        <v>6.9767441860465115E-2</v>
      </c>
      <c r="F138" s="61">
        <f>AVERAGE(F136:F137)</f>
        <v>0</v>
      </c>
      <c r="G138" s="62">
        <f t="shared" si="7"/>
        <v>1</v>
      </c>
    </row>
    <row r="139" spans="2:7" ht="16.5" x14ac:dyDescent="0.3">
      <c r="B139" s="57" t="s">
        <v>33</v>
      </c>
      <c r="C139" s="66">
        <f>COUNTIFS(TblUniv2017[D1],C$66,TblUniv2017[Program Pendidikan],$C$126)/$C$128*100%</f>
        <v>4.6511627906976744E-2</v>
      </c>
      <c r="D139" s="66">
        <f>COUNTIFS(TblUniv2017[D1],D$66,TblUniv2017[Program Pendidikan],$C$126)/$C$128*100%</f>
        <v>0.67441860465116277</v>
      </c>
      <c r="E139" s="66">
        <f>COUNTIFS(TblUniv2017[D1],E$66,TblUniv2017[Program Pendidikan],$C$126)/$C$128*100%</f>
        <v>0.2558139534883721</v>
      </c>
      <c r="F139" s="66">
        <f>COUNTIFS(TblUniv2017[D1],F$66,TblUniv2017[Program Pendidikan],$C$126)/$C$128*100%</f>
        <v>2.3255813953488372E-2</v>
      </c>
      <c r="G139" s="62">
        <f t="shared" si="7"/>
        <v>1</v>
      </c>
    </row>
    <row r="140" spans="2:7" ht="16.5" x14ac:dyDescent="0.3">
      <c r="B140" s="57" t="s">
        <v>34</v>
      </c>
      <c r="C140" s="66">
        <f>COUNTIFS(TblUniv2017[D2],C$66,TblUniv2017[Program Pendidikan],$C$126)/$C$128*100%</f>
        <v>4.6511627906976744E-2</v>
      </c>
      <c r="D140" s="66">
        <f>COUNTIFS(TblUniv2017[D2],D$66,TblUniv2017[Program Pendidikan],$C$126)/$C$128*100%</f>
        <v>0.76744186046511631</v>
      </c>
      <c r="E140" s="66">
        <f>COUNTIFS(TblUniv2017[D2],E$66,TblUniv2017[Program Pendidikan],$C$126)/$C$128*100%</f>
        <v>0.16279069767441862</v>
      </c>
      <c r="F140" s="66">
        <f>COUNTIFS(TblUniv2017[D2],F$66,TblUniv2017[Program Pendidikan],$C$126)/$C$128*100%</f>
        <v>2.3255813953488372E-2</v>
      </c>
      <c r="G140" s="62">
        <f t="shared" si="7"/>
        <v>1</v>
      </c>
    </row>
    <row r="141" spans="2:7" ht="16.5" x14ac:dyDescent="0.3">
      <c r="B141" s="60"/>
      <c r="C141" s="61">
        <f>AVERAGE(C139:C140)</f>
        <v>4.6511627906976744E-2</v>
      </c>
      <c r="D141" s="61">
        <f>AVERAGE(D139:D140)</f>
        <v>0.72093023255813948</v>
      </c>
      <c r="E141" s="61">
        <f>AVERAGE(E139:E140)</f>
        <v>0.20930232558139536</v>
      </c>
      <c r="F141" s="61">
        <f>AVERAGE(F139:F140)</f>
        <v>2.3255813953488372E-2</v>
      </c>
      <c r="G141" s="62">
        <f t="shared" si="7"/>
        <v>1</v>
      </c>
    </row>
    <row r="142" spans="2:7" ht="16.5" x14ac:dyDescent="0.3">
      <c r="B142" s="57" t="s">
        <v>35</v>
      </c>
      <c r="C142" s="66">
        <f>COUNTIFS(TblUniv2017[E1],C$66,TblUniv2017[Program Pendidikan],$C$126)/$C$128*100%</f>
        <v>0.60465116279069764</v>
      </c>
      <c r="D142" s="66">
        <f>COUNTIFS(TblUniv2017[E1],D$66,TblUniv2017[Program Pendidikan],$C$126)/$C$128*100%</f>
        <v>0.39534883720930231</v>
      </c>
      <c r="E142" s="66">
        <f>COUNTIFS(TblUniv2017[E1],E$66,TblUniv2017[Program Pendidikan],$C$126)/$C$128*100%</f>
        <v>0</v>
      </c>
      <c r="F142" s="66">
        <f>COUNTIFS(TblUniv2017[E1],F$66,TblUniv2017[Program Pendidikan],$C$126)/$C$128*100%</f>
        <v>0</v>
      </c>
      <c r="G142" s="62">
        <f t="shared" si="7"/>
        <v>1</v>
      </c>
    </row>
    <row r="143" spans="2:7" ht="16.5" x14ac:dyDescent="0.3">
      <c r="B143" s="57" t="s">
        <v>36</v>
      </c>
      <c r="C143" s="66">
        <f>COUNTIFS(TblUniv2017[E2],C$66,TblUniv2017[Program Pendidikan],$C$126)/$C$128*100%</f>
        <v>0.58139534883720934</v>
      </c>
      <c r="D143" s="66">
        <f>COUNTIFS(TblUniv2017[E2],D$66,TblUniv2017[Program Pendidikan],$C$126)/$C$128*100%</f>
        <v>0.30232558139534882</v>
      </c>
      <c r="E143" s="66">
        <f>COUNTIFS(TblUniv2017[E2],E$66,TblUniv2017[Program Pendidikan],$C$126)/$C$128*100%</f>
        <v>0.11627906976744186</v>
      </c>
      <c r="F143" s="66">
        <f>COUNTIFS(TblUniv2017[E2],F$66,TblUniv2017[Program Pendidikan],$C$126)/$C$128*100%</f>
        <v>0</v>
      </c>
      <c r="G143" s="62">
        <f t="shared" si="7"/>
        <v>1</v>
      </c>
    </row>
    <row r="144" spans="2:7" ht="16.5" x14ac:dyDescent="0.3">
      <c r="B144" s="60"/>
      <c r="C144" s="61">
        <f>AVERAGE(C142:C143)</f>
        <v>0.59302325581395343</v>
      </c>
      <c r="D144" s="61">
        <f>AVERAGE(D142:D143)</f>
        <v>0.34883720930232553</v>
      </c>
      <c r="E144" s="61">
        <f>AVERAGE(E142:E143)</f>
        <v>5.8139534883720929E-2</v>
      </c>
      <c r="F144" s="61">
        <f>AVERAGE(F142:F143)</f>
        <v>0</v>
      </c>
      <c r="G144" s="62">
        <f t="shared" si="7"/>
        <v>0.99999999999999989</v>
      </c>
    </row>
    <row r="145" spans="2:7" ht="16.5" x14ac:dyDescent="0.3">
      <c r="B145" s="57" t="s">
        <v>37</v>
      </c>
      <c r="C145" s="66">
        <f>COUNTIFS(TblUniv2017[F1],C$66,TblUniv2017[Program Pendidikan],$C$126)/$C$128*100%</f>
        <v>0.46511627906976744</v>
      </c>
      <c r="D145" s="66">
        <f>COUNTIFS(TblUniv2017[F1],D$66,TblUniv2017[Program Pendidikan],$C$126)/$C$128*100%</f>
        <v>0.53488372093023251</v>
      </c>
      <c r="E145" s="66">
        <f>COUNTIFS(TblUniv2017[F1],E$66,TblUniv2017[Program Pendidikan],$C$126)/$C$128*100%</f>
        <v>0</v>
      </c>
      <c r="F145" s="66">
        <f>COUNTIFS(TblUniv2017[F1],F$66,TblUniv2017[Program Pendidikan],$C$126)/$C$128*100%</f>
        <v>0</v>
      </c>
      <c r="G145" s="62">
        <f t="shared" si="7"/>
        <v>1</v>
      </c>
    </row>
    <row r="146" spans="2:7" ht="16.5" x14ac:dyDescent="0.3">
      <c r="B146" s="57" t="s">
        <v>38</v>
      </c>
      <c r="C146" s="66">
        <f>COUNTIFS(TblUniv2017[F2],C$66,TblUniv2017[Program Pendidikan],$C$126)/$C$128*100%</f>
        <v>0.41860465116279072</v>
      </c>
      <c r="D146" s="66">
        <f>COUNTIFS(TblUniv2017[F2],D$66,TblUniv2017[Program Pendidikan],$C$126)/$C$128*100%</f>
        <v>0.58139534883720934</v>
      </c>
      <c r="E146" s="66">
        <f>COUNTIFS(TblUniv2017[F2],E$66,TblUniv2017[Program Pendidikan],$C$126)/$C$128*100%</f>
        <v>0</v>
      </c>
      <c r="F146" s="66">
        <f>COUNTIFS(TblUniv2017[F2],F$66,TblUniv2017[Program Pendidikan],$C$126)/$C$128*100%</f>
        <v>0</v>
      </c>
      <c r="G146" s="62">
        <f t="shared" si="7"/>
        <v>1</v>
      </c>
    </row>
    <row r="147" spans="2:7" ht="16.5" x14ac:dyDescent="0.3">
      <c r="B147" s="57" t="s">
        <v>39</v>
      </c>
      <c r="C147" s="66">
        <f>COUNTIFS(TblUniv2017[F3],C$66,TblUniv2017[Program Pendidikan],$C$126)/$C$128*100%</f>
        <v>0.44186046511627908</v>
      </c>
      <c r="D147" s="66">
        <f>COUNTIFS(TblUniv2017[F3],D$66,TblUniv2017[Program Pendidikan],$C$126)/$C$128*100%</f>
        <v>0.53488372093023251</v>
      </c>
      <c r="E147" s="66">
        <f>COUNTIFS(TblUniv2017[F3],E$66,TblUniv2017[Program Pendidikan],$C$126)/$C$128*100%</f>
        <v>2.3255813953488372E-2</v>
      </c>
      <c r="F147" s="66">
        <f>COUNTIFS(TblUniv2017[F3],F$66,TblUniv2017[Program Pendidikan],$C$126)/$C$128*100%</f>
        <v>0</v>
      </c>
      <c r="G147" s="62">
        <f t="shared" si="7"/>
        <v>1</v>
      </c>
    </row>
    <row r="148" spans="2:7" ht="16.5" x14ac:dyDescent="0.3">
      <c r="B148" s="60"/>
      <c r="C148" s="61">
        <f>AVERAGE(C145:C147)</f>
        <v>0.44186046511627913</v>
      </c>
      <c r="D148" s="61">
        <f>AVERAGE(D145:D147)</f>
        <v>0.55038759689922478</v>
      </c>
      <c r="E148" s="61">
        <f>AVERAGE(E145:E147)</f>
        <v>7.7519379844961239E-3</v>
      </c>
      <c r="F148" s="61">
        <f>AVERAGE(F145:F147)</f>
        <v>0</v>
      </c>
      <c r="G148" s="62">
        <f t="shared" si="7"/>
        <v>1</v>
      </c>
    </row>
    <row r="149" spans="2:7" ht="16.5" x14ac:dyDescent="0.3">
      <c r="B149" s="57" t="s">
        <v>40</v>
      </c>
      <c r="C149" s="66">
        <f>COUNTIFS(TblUniv2017[G1],C$66,TblUniv2017[Program Pendidikan],$C$126)/$C$128*100%</f>
        <v>0.53488372093023251</v>
      </c>
      <c r="D149" s="66">
        <f>COUNTIFS(TblUniv2017[G1],D$66,TblUniv2017[Program Pendidikan],$C$126)/$C$128*100%</f>
        <v>0.46511627906976744</v>
      </c>
      <c r="E149" s="66">
        <f>COUNTIFS(TblUniv2017[G1],E$66,TblUniv2017[Program Pendidikan],$C$126)/$C$128*100%</f>
        <v>0</v>
      </c>
      <c r="F149" s="66">
        <f>COUNTIFS(TblUniv2017[G1],F$66,TblUniv2017[Program Pendidikan],$C$126)/$C$128*100%</f>
        <v>0</v>
      </c>
      <c r="G149" s="62">
        <f t="shared" si="7"/>
        <v>1</v>
      </c>
    </row>
    <row r="150" spans="2:7" ht="16.5" x14ac:dyDescent="0.3">
      <c r="B150" s="57" t="s">
        <v>41</v>
      </c>
      <c r="C150" s="66">
        <f>COUNTIFS(TblUniv2017[G2],C$66,TblUniv2017[Program Pendidikan],$C$126)/$C$128*100%</f>
        <v>0.2558139534883721</v>
      </c>
      <c r="D150" s="66">
        <f>COUNTIFS(TblUniv2017[G2],D$66,TblUniv2017[Program Pendidikan],$C$126)/$C$128*100%</f>
        <v>0.55813953488372092</v>
      </c>
      <c r="E150" s="66">
        <f>COUNTIFS(TblUniv2017[G2],E$66,TblUniv2017[Program Pendidikan],$C$126)/$C$128*100%</f>
        <v>0.16279069767441862</v>
      </c>
      <c r="F150" s="66">
        <f>COUNTIFS(TblUniv2017[G2],F$66,TblUniv2017[Program Pendidikan],$C$126)/$C$128*100%</f>
        <v>2.3255813953488372E-2</v>
      </c>
      <c r="G150" s="62">
        <f t="shared" si="7"/>
        <v>1</v>
      </c>
    </row>
    <row r="151" spans="2:7" ht="16.5" x14ac:dyDescent="0.3">
      <c r="B151" s="60"/>
      <c r="C151" s="61">
        <f>AVERAGE(C149:C150)</f>
        <v>0.39534883720930231</v>
      </c>
      <c r="D151" s="61">
        <f>AVERAGE(D149:D150)</f>
        <v>0.51162790697674421</v>
      </c>
      <c r="E151" s="61">
        <f>AVERAGE(E149:E150)</f>
        <v>8.1395348837209308E-2</v>
      </c>
      <c r="F151" s="61">
        <f>AVERAGE(F149:F150)</f>
        <v>1.1627906976744186E-2</v>
      </c>
      <c r="G151" s="62">
        <f t="shared" si="7"/>
        <v>1</v>
      </c>
    </row>
    <row r="152" spans="2:7" ht="16.5" x14ac:dyDescent="0.3">
      <c r="B152" s="57" t="s">
        <v>42</v>
      </c>
      <c r="C152" s="66">
        <f>COUNTIFS(TblUniv2017[H1],C$66,TblUniv2017[Program Pendidikan],$C$126)/$C$128*100%</f>
        <v>0.39534883720930231</v>
      </c>
      <c r="D152" s="66">
        <f>COUNTIFS(TblUniv2017[H1],D$66,TblUniv2017[Program Pendidikan],$C$126)/$C$128*100%</f>
        <v>0.58139534883720934</v>
      </c>
      <c r="E152" s="66">
        <f>COUNTIFS(TblUniv2017[H1],E$66,TblUniv2017[Program Pendidikan],$C$126)/$C$128*100%</f>
        <v>2.3255813953488372E-2</v>
      </c>
      <c r="F152" s="66">
        <f>COUNTIFS(TblUniv2017[H1],F$66,TblUniv2017[Program Pendidikan],$C$126)/$C$128*100%</f>
        <v>0</v>
      </c>
      <c r="G152" s="62">
        <f t="shared" si="7"/>
        <v>1</v>
      </c>
    </row>
    <row r="153" spans="2:7" ht="16.5" x14ac:dyDescent="0.3">
      <c r="B153" s="57" t="s">
        <v>43</v>
      </c>
      <c r="C153" s="66">
        <f>COUNTIFS(TblUniv2017[H1],C$66,TblUniv2017[Program Pendidikan],$C$126)/$C$128*100%</f>
        <v>0.39534883720930231</v>
      </c>
      <c r="D153" s="66">
        <f>COUNTIFS(TblUniv2017[H1],D$66,TblUniv2017[Program Pendidikan],$C$126)/$C$128*100%</f>
        <v>0.58139534883720934</v>
      </c>
      <c r="E153" s="66">
        <f>COUNTIFS(TblUniv2017[H1],E$66,TblUniv2017[Program Pendidikan],$C$126)/$C$128*100%</f>
        <v>2.3255813953488372E-2</v>
      </c>
      <c r="F153" s="66">
        <f>COUNTIFS(TblUniv2017[H1],F$66,TblUniv2017[Program Pendidikan],$C$126)/$C$128*100%</f>
        <v>0</v>
      </c>
      <c r="G153" s="62">
        <f t="shared" si="7"/>
        <v>1</v>
      </c>
    </row>
    <row r="154" spans="2:7" ht="16.5" x14ac:dyDescent="0.3">
      <c r="B154" s="57" t="s">
        <v>44</v>
      </c>
      <c r="C154" s="66">
        <f>COUNTIFS(TblUniv2017[H3],C$66,TblUniv2017[Program Pendidikan],$C$126)/$C$128*100%</f>
        <v>0.37209302325581395</v>
      </c>
      <c r="D154" s="66">
        <f>COUNTIFS(TblUniv2017[H3],D$66,TblUniv2017[Program Pendidikan],$C$126)/$C$128*100%</f>
        <v>0.60465116279069764</v>
      </c>
      <c r="E154" s="66">
        <f>COUNTIFS(TblUniv2017[H3],E$66,TblUniv2017[Program Pendidikan],$C$126)/$C$128*100%</f>
        <v>0</v>
      </c>
      <c r="F154" s="66">
        <f>COUNTIFS(TblUniv2017[H3],F$66,TblUniv2017[Program Pendidikan],$C$126)/$C$128*100%</f>
        <v>2.3255813953488372E-2</v>
      </c>
      <c r="G154" s="62">
        <f t="shared" si="7"/>
        <v>1</v>
      </c>
    </row>
    <row r="155" spans="2:7" ht="16.5" x14ac:dyDescent="0.3">
      <c r="B155" s="57" t="s">
        <v>45</v>
      </c>
      <c r="C155" s="66">
        <f>COUNTIFS(TblUniv2017[H4],C$66,TblUniv2017[Program Pendidikan],$C$126)/$C$128*100%</f>
        <v>0.30232558139534882</v>
      </c>
      <c r="D155" s="66">
        <f>COUNTIFS(TblUniv2017[H4],D$66,TblUniv2017[Program Pendidikan],$C$126)/$C$128*100%</f>
        <v>0.48837209302325579</v>
      </c>
      <c r="E155" s="66">
        <f>COUNTIFS(TblUniv2017[H4],E$66,TblUniv2017[Program Pendidikan],$C$126)/$C$128*100%</f>
        <v>0.18604651162790697</v>
      </c>
      <c r="F155" s="66">
        <f>COUNTIFS(TblUniv2017[H4],F$66,TblUniv2017[Program Pendidikan],$C$126)/$C$128*100%</f>
        <v>2.3255813953488372E-2</v>
      </c>
      <c r="G155" s="62">
        <f t="shared" si="7"/>
        <v>1</v>
      </c>
    </row>
    <row r="156" spans="2:7" ht="16.5" x14ac:dyDescent="0.3">
      <c r="B156" s="60"/>
      <c r="C156" s="61">
        <f>AVERAGE(C152:C155)</f>
        <v>0.36627906976744184</v>
      </c>
      <c r="D156" s="61">
        <f>AVERAGE(D152:D155)</f>
        <v>0.56395348837209303</v>
      </c>
      <c r="E156" s="61">
        <f>AVERAGE(E152:E155)</f>
        <v>5.8139534883720929E-2</v>
      </c>
      <c r="F156" s="61">
        <f>AVERAGE(F152:F155)</f>
        <v>1.1627906976744186E-2</v>
      </c>
      <c r="G156" s="62">
        <f t="shared" si="7"/>
        <v>1</v>
      </c>
    </row>
    <row r="157" spans="2:7" ht="16.5" x14ac:dyDescent="0.3">
      <c r="B157" s="57" t="s">
        <v>648</v>
      </c>
      <c r="C157" s="66">
        <f>COUNTIFS(TblUniv2017[I. a1],C$66,TblUniv2017[Program Pendidikan],$C$126)/$C$128*100%</f>
        <v>0.32558139534883723</v>
      </c>
      <c r="D157" s="66">
        <f>COUNTIFS(TblUniv2017[I. a1],D$66,TblUniv2017[Program Pendidikan],$C$126)/$C$128*100%</f>
        <v>0.65116279069767447</v>
      </c>
      <c r="E157" s="66">
        <f>COUNTIFS(TblUniv2017[I. a1],E$66,TblUniv2017[Program Pendidikan],$C$126)/$C$128*100%</f>
        <v>2.3255813953488372E-2</v>
      </c>
      <c r="F157" s="66">
        <f>COUNTIFS(TblUniv2017[I. a1],F$66,TblUniv2017[Program Pendidikan],$C$126)/$C$128*100%</f>
        <v>0</v>
      </c>
      <c r="G157" s="62">
        <f t="shared" si="7"/>
        <v>1</v>
      </c>
    </row>
    <row r="158" spans="2:7" ht="16.5" x14ac:dyDescent="0.3">
      <c r="B158" s="57" t="s">
        <v>649</v>
      </c>
      <c r="C158" s="66">
        <f>COUNTIFS(TblUniv2017[I. a2],C$66,TblUniv2017[Program Pendidikan],$C$126)/$C$128*100%</f>
        <v>0.2558139534883721</v>
      </c>
      <c r="D158" s="66">
        <f>COUNTIFS(TblUniv2017[I. a2],D$66,TblUniv2017[Program Pendidikan],$C$126)/$C$128*100%</f>
        <v>0.72093023255813948</v>
      </c>
      <c r="E158" s="66">
        <f>COUNTIFS(TblUniv2017[I. a2],E$66,TblUniv2017[Program Pendidikan],$C$126)/$C$128*100%</f>
        <v>2.3255813953488372E-2</v>
      </c>
      <c r="F158" s="66">
        <f>COUNTIFS(TblUniv2017[I. a2],F$66,TblUniv2017[Program Pendidikan],$C$126)/$C$128*100%</f>
        <v>0</v>
      </c>
      <c r="G158" s="62">
        <f t="shared" si="7"/>
        <v>1</v>
      </c>
    </row>
    <row r="159" spans="2:7" ht="16.5" x14ac:dyDescent="0.3">
      <c r="B159" s="57" t="s">
        <v>650</v>
      </c>
      <c r="C159" s="66">
        <f>COUNTIFS(TblUniv2017[I. a3],C$66,TblUniv2017[Program Pendidikan],$C$126)/$C$128*100%</f>
        <v>0.53488372093023251</v>
      </c>
      <c r="D159" s="66">
        <f>COUNTIFS(TblUniv2017[I. a3],D$66,TblUniv2017[Program Pendidikan],$C$126)/$C$128*100%</f>
        <v>0.46511627906976744</v>
      </c>
      <c r="E159" s="66">
        <f>COUNTIFS(TblUniv2017[I. a3],E$66,TblUniv2017[Program Pendidikan],$C$126)/$C$128*100%</f>
        <v>0</v>
      </c>
      <c r="F159" s="66">
        <f>COUNTIFS(TblUniv2017[I. a3],F$66,TblUniv2017[Program Pendidikan],$C$126)/$C$128*100%</f>
        <v>0</v>
      </c>
      <c r="G159" s="62">
        <f t="shared" si="7"/>
        <v>1</v>
      </c>
    </row>
    <row r="160" spans="2:7" ht="16.5" x14ac:dyDescent="0.3">
      <c r="B160" s="57" t="s">
        <v>651</v>
      </c>
      <c r="C160" s="66">
        <f>COUNTIFS(TblUniv2017[I. a4],C$66,TblUniv2017[Program Pendidikan],$C$126)/$C$128*100%</f>
        <v>0.48837209302325579</v>
      </c>
      <c r="D160" s="66">
        <f>COUNTIFS(TblUniv2017[I. a4],D$66,TblUniv2017[Program Pendidikan],$C$126)/$C$128*100%</f>
        <v>0.48837209302325579</v>
      </c>
      <c r="E160" s="66">
        <f>COUNTIFS(TblUniv2017[I. a4],E$66,TblUniv2017[Program Pendidikan],$C$126)/$C$128*100%</f>
        <v>2.3255813953488372E-2</v>
      </c>
      <c r="F160" s="66">
        <f>COUNTIFS(TblUniv2017[I. a4],F$66,TblUniv2017[Program Pendidikan],$C$126)/$C$128*100%</f>
        <v>0</v>
      </c>
      <c r="G160" s="62">
        <f t="shared" si="7"/>
        <v>1</v>
      </c>
    </row>
    <row r="161" spans="2:7" ht="16.5" x14ac:dyDescent="0.3">
      <c r="B161" s="57" t="s">
        <v>652</v>
      </c>
      <c r="C161" s="66">
        <f>COUNTIFS(TblUniv2017[I. a5],C$66,TblUniv2017[Program Pendidikan],$C$126)/$C$128*100%</f>
        <v>0.53488372093023251</v>
      </c>
      <c r="D161" s="66">
        <f>COUNTIFS(TblUniv2017[I. a5],D$66,TblUniv2017[Program Pendidikan],$C$126)/$C$128*100%</f>
        <v>0.46511627906976744</v>
      </c>
      <c r="E161" s="66">
        <f>COUNTIFS(TblUniv2017[I. a5],E$66,TblUniv2017[Program Pendidikan],$C$126)/$C$128*100%</f>
        <v>0</v>
      </c>
      <c r="F161" s="66">
        <f>COUNTIFS(TblUniv2017[I. a5],F$66,TblUniv2017[Program Pendidikan],$C$126)/$C$128*100%</f>
        <v>0</v>
      </c>
      <c r="G161" s="62">
        <f t="shared" si="7"/>
        <v>1</v>
      </c>
    </row>
    <row r="162" spans="2:7" ht="16.5" x14ac:dyDescent="0.3">
      <c r="B162" s="60"/>
      <c r="C162" s="61">
        <f>AVERAGE(C157:C161)</f>
        <v>0.42790697674418599</v>
      </c>
      <c r="D162" s="61">
        <f>AVERAGE(D157:D161)</f>
        <v>0.55813953488372081</v>
      </c>
      <c r="E162" s="61">
        <f>AVERAGE(E157:E161)</f>
        <v>1.3953488372093023E-2</v>
      </c>
      <c r="F162" s="61">
        <f>AVERAGE(F157:F161)</f>
        <v>0</v>
      </c>
      <c r="G162" s="62">
        <f t="shared" si="7"/>
        <v>0.99999999999999978</v>
      </c>
    </row>
    <row r="163" spans="2:7" ht="16.5" x14ac:dyDescent="0.3">
      <c r="B163" s="57" t="s">
        <v>653</v>
      </c>
      <c r="C163" s="66">
        <f>COUNTIFS(TblUniv2017[I. b1],C$66,TblUniv2017[Program Pendidikan],$C$126)/$C$128*100%</f>
        <v>0.2558139534883721</v>
      </c>
      <c r="D163" s="66">
        <f>COUNTIFS(TblUniv2017[I. b1],D$66,TblUniv2017[Program Pendidikan],$C$126)/$C$128*100%</f>
        <v>0.53488372093023251</v>
      </c>
      <c r="E163" s="66">
        <f>COUNTIFS(TblUniv2017[I. b1],E$66,TblUniv2017[Program Pendidikan],$C$126)/$C$128*100%</f>
        <v>0.20930232558139536</v>
      </c>
      <c r="F163" s="66">
        <f>COUNTIFS(TblUniv2017[I. b1],F$66,TblUniv2017[Program Pendidikan],$C$126)/$C$128*100%</f>
        <v>0</v>
      </c>
      <c r="G163" s="62">
        <f t="shared" si="7"/>
        <v>1</v>
      </c>
    </row>
    <row r="164" spans="2:7" ht="16.5" x14ac:dyDescent="0.3">
      <c r="B164" s="57" t="s">
        <v>654</v>
      </c>
      <c r="C164" s="66">
        <f>COUNTIFS(TblUniv2017[I. b2],C$66,TblUniv2017[Program Pendidikan],$C$126)/$C$128*100%</f>
        <v>0.34883720930232559</v>
      </c>
      <c r="D164" s="66">
        <f>COUNTIFS(TblUniv2017[I. b2],D$66,TblUniv2017[Program Pendidikan],$C$126)/$C$128*100%</f>
        <v>0.46511627906976744</v>
      </c>
      <c r="E164" s="66">
        <f>COUNTIFS(TblUniv2017[I. b2],E$66,TblUniv2017[Program Pendidikan],$C$126)/$C$128*100%</f>
        <v>0.18604651162790697</v>
      </c>
      <c r="F164" s="66">
        <f>COUNTIFS(TblUniv2017[I. b2],F$66,TblUniv2017[Program Pendidikan],$C$126)/$C$128*100%</f>
        <v>0</v>
      </c>
      <c r="G164" s="62">
        <f t="shared" si="7"/>
        <v>1</v>
      </c>
    </row>
    <row r="165" spans="2:7" ht="16.5" x14ac:dyDescent="0.3">
      <c r="B165" s="57" t="s">
        <v>655</v>
      </c>
      <c r="C165" s="66">
        <f>COUNTIFS(TblUniv2017[I. b3],C$66,TblUniv2017[Program Pendidikan],$C$126)/$C$128*100%</f>
        <v>0.18604651162790697</v>
      </c>
      <c r="D165" s="66">
        <f>COUNTIFS(TblUniv2017[I. b3],D$66,TblUniv2017[Program Pendidikan],$C$126)/$C$128*100%</f>
        <v>0.58139534883720934</v>
      </c>
      <c r="E165" s="66">
        <f>COUNTIFS(TblUniv2017[I. b3],E$66,TblUniv2017[Program Pendidikan],$C$126)/$C$128*100%</f>
        <v>0.23255813953488372</v>
      </c>
      <c r="F165" s="66">
        <f>COUNTIFS(TblUniv2017[I. b3],F$66,TblUniv2017[Program Pendidikan],$C$126)/$C$128*100%</f>
        <v>0</v>
      </c>
      <c r="G165" s="62">
        <f t="shared" si="7"/>
        <v>1</v>
      </c>
    </row>
    <row r="166" spans="2:7" ht="16.5" x14ac:dyDescent="0.3">
      <c r="B166" s="57" t="s">
        <v>656</v>
      </c>
      <c r="C166" s="66">
        <f>COUNTIFS(TblUniv2017[I. b4],C$66,TblUniv2017[Program Pendidikan],$C$126)/$C$128*100%</f>
        <v>0.41860465116279072</v>
      </c>
      <c r="D166" s="66">
        <f>COUNTIFS(TblUniv2017[I. b4],D$66,TblUniv2017[Program Pendidikan],$C$126)/$C$128*100%</f>
        <v>0.53488372093023251</v>
      </c>
      <c r="E166" s="66">
        <f>COUNTIFS(TblUniv2017[I. b4],E$66,TblUniv2017[Program Pendidikan],$C$126)/$C$128*100%</f>
        <v>4.6511627906976744E-2</v>
      </c>
      <c r="F166" s="66">
        <f>COUNTIFS(TblUniv2017[I. b4],F$66,TblUniv2017[Program Pendidikan],$C$126)/$C$128*100%</f>
        <v>0</v>
      </c>
      <c r="G166" s="62">
        <f t="shared" si="7"/>
        <v>0.99999999999999989</v>
      </c>
    </row>
    <row r="167" spans="2:7" ht="17.25" thickBot="1" x14ac:dyDescent="0.35">
      <c r="B167" s="67"/>
      <c r="C167" s="68">
        <f>AVERAGE(C163:C166)</f>
        <v>0.30232558139534882</v>
      </c>
      <c r="D167" s="68">
        <f>AVERAGE(D163:D166)</f>
        <v>0.52906976744186052</v>
      </c>
      <c r="E167" s="68">
        <f>AVERAGE(E163:E166)</f>
        <v>0.16860465116279069</v>
      </c>
      <c r="F167" s="68">
        <f>AVERAGE(F163:F166)</f>
        <v>0</v>
      </c>
      <c r="G167" s="62">
        <f t="shared" si="7"/>
        <v>1</v>
      </c>
    </row>
    <row r="168" spans="2:7" ht="15.75" thickBot="1" x14ac:dyDescent="0.3"/>
    <row r="169" spans="2:7" ht="17.25" thickBot="1" x14ac:dyDescent="0.3">
      <c r="B169" s="64" t="s">
        <v>14</v>
      </c>
      <c r="C169" s="65" t="str">
        <f>C126</f>
        <v>Sarjana</v>
      </c>
    </row>
    <row r="170" spans="2:7" ht="17.25" thickBot="1" x14ac:dyDescent="0.3">
      <c r="B170" s="64" t="s">
        <v>647</v>
      </c>
      <c r="C170" s="65">
        <f>C127</f>
        <v>2017</v>
      </c>
    </row>
    <row r="171" spans="2:7" ht="17.25" thickBot="1" x14ac:dyDescent="0.3">
      <c r="B171" s="64" t="s">
        <v>646</v>
      </c>
      <c r="C171" s="65">
        <f>C128</f>
        <v>43</v>
      </c>
    </row>
    <row r="172" spans="2:7" ht="15.75" thickBot="1" x14ac:dyDescent="0.3">
      <c r="B172" s="222" t="s">
        <v>658</v>
      </c>
      <c r="C172" s="223" t="s">
        <v>664</v>
      </c>
      <c r="D172" s="223"/>
      <c r="E172" s="223"/>
      <c r="F172" s="223"/>
    </row>
    <row r="173" spans="2:7" ht="15.75" thickBot="1" x14ac:dyDescent="0.3">
      <c r="B173" s="222"/>
      <c r="C173" s="72" t="s">
        <v>645</v>
      </c>
      <c r="D173" s="72" t="s">
        <v>665</v>
      </c>
      <c r="E173" s="72" t="s">
        <v>666</v>
      </c>
      <c r="F173" s="72" t="s">
        <v>667</v>
      </c>
    </row>
    <row r="174" spans="2:7" x14ac:dyDescent="0.25">
      <c r="B174" s="73">
        <v>2</v>
      </c>
      <c r="C174" s="71">
        <v>3</v>
      </c>
      <c r="D174" s="71">
        <v>4</v>
      </c>
      <c r="E174" s="71">
        <v>5</v>
      </c>
      <c r="F174" s="74">
        <v>6</v>
      </c>
    </row>
    <row r="175" spans="2:7" x14ac:dyDescent="0.25">
      <c r="B175" s="75" t="s">
        <v>659</v>
      </c>
      <c r="C175" s="58">
        <f>C135</f>
        <v>0.41395348837209306</v>
      </c>
      <c r="D175" s="58">
        <f>D135</f>
        <v>0.55348837209302337</v>
      </c>
      <c r="E175" s="58">
        <f>E135</f>
        <v>3.255813953488372E-2</v>
      </c>
      <c r="F175" s="59">
        <f>F135</f>
        <v>0</v>
      </c>
    </row>
    <row r="176" spans="2:7" x14ac:dyDescent="0.25">
      <c r="B176" s="75" t="s">
        <v>660</v>
      </c>
      <c r="C176" s="58">
        <f>C138</f>
        <v>0.54651162790697683</v>
      </c>
      <c r="D176" s="58">
        <f>D138</f>
        <v>0.38372093023255816</v>
      </c>
      <c r="E176" s="58">
        <f>E138</f>
        <v>6.9767441860465115E-2</v>
      </c>
      <c r="F176" s="59">
        <f>F138</f>
        <v>0</v>
      </c>
    </row>
    <row r="177" spans="2:7" x14ac:dyDescent="0.25">
      <c r="B177" s="75" t="s">
        <v>661</v>
      </c>
      <c r="C177" s="58">
        <f>C141</f>
        <v>4.6511627906976744E-2</v>
      </c>
      <c r="D177" s="58">
        <f>D141</f>
        <v>0.72093023255813948</v>
      </c>
      <c r="E177" s="58">
        <f>E141</f>
        <v>0.20930232558139536</v>
      </c>
      <c r="F177" s="59">
        <f>F141</f>
        <v>2.3255813953488372E-2</v>
      </c>
    </row>
    <row r="178" spans="2:7" x14ac:dyDescent="0.25">
      <c r="B178" s="75" t="s">
        <v>662</v>
      </c>
      <c r="C178" s="58">
        <f>C144</f>
        <v>0.59302325581395343</v>
      </c>
      <c r="D178" s="58">
        <f>D144</f>
        <v>0.34883720930232553</v>
      </c>
      <c r="E178" s="58">
        <f>E144</f>
        <v>5.8139534883720929E-2</v>
      </c>
      <c r="F178" s="59">
        <f>F144</f>
        <v>0</v>
      </c>
    </row>
    <row r="179" spans="2:7" x14ac:dyDescent="0.25">
      <c r="B179" s="75" t="s">
        <v>663</v>
      </c>
      <c r="C179" s="58">
        <f>C148</f>
        <v>0.44186046511627913</v>
      </c>
      <c r="D179" s="58">
        <f>D148</f>
        <v>0.55038759689922478</v>
      </c>
      <c r="E179" s="58">
        <f>E148</f>
        <v>7.7519379844961239E-3</v>
      </c>
      <c r="F179" s="59">
        <f>F148</f>
        <v>0</v>
      </c>
    </row>
    <row r="180" spans="2:7" x14ac:dyDescent="0.25">
      <c r="B180" s="75" t="s">
        <v>617</v>
      </c>
      <c r="C180" s="58">
        <f>C151</f>
        <v>0.39534883720930231</v>
      </c>
      <c r="D180" s="58">
        <f>D151</f>
        <v>0.51162790697674421</v>
      </c>
      <c r="E180" s="58">
        <f>E151</f>
        <v>8.1395348837209308E-2</v>
      </c>
      <c r="F180" s="59">
        <f>F151</f>
        <v>1.1627906976744186E-2</v>
      </c>
    </row>
    <row r="181" spans="2:7" x14ac:dyDescent="0.25">
      <c r="B181" s="75" t="s">
        <v>330</v>
      </c>
      <c r="C181" s="58">
        <f>C156</f>
        <v>0.36627906976744184</v>
      </c>
      <c r="D181" s="58">
        <f>D156</f>
        <v>0.56395348837209303</v>
      </c>
      <c r="E181" s="58">
        <f>E156</f>
        <v>5.8139534883720929E-2</v>
      </c>
      <c r="F181" s="59">
        <f>F156</f>
        <v>1.1627906976744186E-2</v>
      </c>
    </row>
    <row r="182" spans="2:7" x14ac:dyDescent="0.25">
      <c r="B182" s="75" t="s">
        <v>68</v>
      </c>
      <c r="C182" s="58">
        <f>C162</f>
        <v>0.42790697674418599</v>
      </c>
      <c r="D182" s="58">
        <f>D162</f>
        <v>0.55813953488372081</v>
      </c>
      <c r="E182" s="58">
        <f>E162</f>
        <v>1.3953488372093023E-2</v>
      </c>
      <c r="F182" s="59">
        <f>F162</f>
        <v>0</v>
      </c>
    </row>
    <row r="183" spans="2:7" ht="15.75" thickBot="1" x14ac:dyDescent="0.3">
      <c r="B183" s="76" t="s">
        <v>68</v>
      </c>
      <c r="C183" s="77">
        <f>C167</f>
        <v>0.30232558139534882</v>
      </c>
      <c r="D183" s="77">
        <f>D167</f>
        <v>0.52906976744186052</v>
      </c>
      <c r="E183" s="77">
        <f>E167</f>
        <v>0.16860465116279069</v>
      </c>
      <c r="F183" s="78">
        <f>F167</f>
        <v>0</v>
      </c>
    </row>
    <row r="184" spans="2:7" x14ac:dyDescent="0.25">
      <c r="B184" s="79" t="s">
        <v>669</v>
      </c>
      <c r="C184" s="81">
        <f>SUM(C175:C183)</f>
        <v>3.5337209302325578</v>
      </c>
      <c r="D184" s="81">
        <f>SUM(D175:D183)</f>
        <v>4.7201550387596907</v>
      </c>
      <c r="E184" s="81">
        <f>SUM(E175:E183)</f>
        <v>0.6996124031007751</v>
      </c>
      <c r="F184" s="84">
        <f>SUM(F175:F183)</f>
        <v>4.6511627906976744E-2</v>
      </c>
    </row>
    <row r="185" spans="2:7" ht="15.75" thickBot="1" x14ac:dyDescent="0.3">
      <c r="B185" s="80" t="s">
        <v>670</v>
      </c>
      <c r="C185" s="82">
        <f>AVERAGE(C175:C183)</f>
        <v>0.39263565891472862</v>
      </c>
      <c r="D185" s="82">
        <f>AVERAGE(D175:D183)</f>
        <v>0.52446167097329899</v>
      </c>
      <c r="E185" s="82">
        <f>AVERAGE(E175:E183)</f>
        <v>7.7734711455641675E-2</v>
      </c>
      <c r="F185" s="85">
        <f>AVERAGE(F175:F183)</f>
        <v>5.1679586563307496E-3</v>
      </c>
    </row>
    <row r="187" spans="2:7" ht="15.75" thickBot="1" x14ac:dyDescent="0.3"/>
    <row r="188" spans="2:7" ht="33.75" thickBot="1" x14ac:dyDescent="0.3">
      <c r="B188" s="64" t="s">
        <v>66</v>
      </c>
      <c r="C188" s="86" t="s">
        <v>128</v>
      </c>
    </row>
    <row r="189" spans="2:7" ht="17.25" thickBot="1" x14ac:dyDescent="0.3">
      <c r="B189" s="64" t="s">
        <v>647</v>
      </c>
      <c r="C189" s="65">
        <v>2017</v>
      </c>
    </row>
    <row r="190" spans="2:7" ht="17.25" thickBot="1" x14ac:dyDescent="0.3">
      <c r="B190" s="64" t="s">
        <v>646</v>
      </c>
      <c r="C190" s="65">
        <f>COUNTIFS(TblUniv2017[th lulus],C189,TblUniv2017[Program Pendidikan],C188)</f>
        <v>2</v>
      </c>
    </row>
    <row r="191" spans="2:7" ht="16.5" x14ac:dyDescent="0.3">
      <c r="B191" s="55"/>
      <c r="C191" s="56" t="s">
        <v>69</v>
      </c>
      <c r="D191" s="56" t="s">
        <v>1</v>
      </c>
      <c r="E191" s="56" t="s">
        <v>75</v>
      </c>
      <c r="F191" s="56" t="s">
        <v>168</v>
      </c>
      <c r="G191" s="56"/>
    </row>
    <row r="192" spans="2:7" ht="16.5" x14ac:dyDescent="0.3">
      <c r="B192" s="57" t="s">
        <v>26</v>
      </c>
      <c r="C192" s="66">
        <f>COUNTIFS(TblUniv2017[B1],C$66,TblUniv2017[Program Pendidikan],$C$188)/$C$190*100%</f>
        <v>1</v>
      </c>
      <c r="D192" s="66">
        <f>COUNTIFS(TblUniv2017[B1],D$66,TblUniv2017[Program Pendidikan],$C$188)/$C$190*100%</f>
        <v>0</v>
      </c>
      <c r="E192" s="66">
        <f>COUNTIFS(TblUniv2017[B1],E$66,TblUniv2017[Program Pendidikan],$C$188)/$C$190*100%</f>
        <v>0</v>
      </c>
      <c r="F192" s="66">
        <f>COUNTIFS(TblUniv2017[B1],F$66,TblUniv2017[Program Pendidikan],$C$188)/$C$190*100%</f>
        <v>0</v>
      </c>
      <c r="G192" s="62">
        <f t="shared" ref="G192:G229" si="8">SUM(C192:F192)</f>
        <v>1</v>
      </c>
    </row>
    <row r="193" spans="2:7" ht="16.5" x14ac:dyDescent="0.3">
      <c r="B193" s="57" t="s">
        <v>27</v>
      </c>
      <c r="C193" s="66">
        <f>COUNTIFS(TblUniv2017[B2],C$66,TblUniv2017[Program Pendidikan],$C$188)/$C$190*100%</f>
        <v>1</v>
      </c>
      <c r="D193" s="66">
        <f>COUNTIFS(TblUniv2017[B2],D$66,TblUniv2017[Program Pendidikan],$C$188)/$C$190*100%</f>
        <v>0</v>
      </c>
      <c r="E193" s="66">
        <f>COUNTIFS(TblUniv2017[B2],E$66,TblUniv2017[Program Pendidikan],$C$188)/$C$190*100%</f>
        <v>0</v>
      </c>
      <c r="F193" s="66">
        <f>COUNTIFS(TblUniv2017[B2],F$66,TblUniv2017[Program Pendidikan],$C$188)/$C$190*100%</f>
        <v>0</v>
      </c>
      <c r="G193" s="62">
        <f t="shared" si="8"/>
        <v>1</v>
      </c>
    </row>
    <row r="194" spans="2:7" ht="16.5" x14ac:dyDescent="0.3">
      <c r="B194" s="57" t="s">
        <v>28</v>
      </c>
      <c r="C194" s="66">
        <f>COUNTIFS(TblUniv2017[B3],C$66,TblUniv2017[Program Pendidikan],$C$188)/$C$190*100%</f>
        <v>0</v>
      </c>
      <c r="D194" s="66">
        <f>COUNTIFS(TblUniv2017[B3],D$66,TblUniv2017[Program Pendidikan],$C$188)/$C$190*100%</f>
        <v>1</v>
      </c>
      <c r="E194" s="66">
        <f>COUNTIFS(TblUniv2017[B3],E$66,TblUniv2017[Program Pendidikan],$C$188)/$C$190*100%</f>
        <v>0</v>
      </c>
      <c r="F194" s="66">
        <f>COUNTIFS(TblUniv2017[B3],F$66,TblUniv2017[Program Pendidikan],$C$188)/$C$190*100%</f>
        <v>0</v>
      </c>
      <c r="G194" s="62">
        <f t="shared" si="8"/>
        <v>1</v>
      </c>
    </row>
    <row r="195" spans="2:7" ht="16.5" x14ac:dyDescent="0.3">
      <c r="B195" s="57" t="s">
        <v>29</v>
      </c>
      <c r="C195" s="66">
        <f>COUNTIFS(TblUniv2017[B4],C$66,TblUniv2017[Program Pendidikan],$C$188)/$C$190*100%</f>
        <v>1</v>
      </c>
      <c r="D195" s="66">
        <f>COUNTIFS(TblUniv2017[B4],D$66,TblUniv2017[Program Pendidikan],$C$188)/$C$190*100%</f>
        <v>0</v>
      </c>
      <c r="E195" s="66">
        <f>COUNTIFS(TblUniv2017[B4],E$66,TblUniv2017[Program Pendidikan],$C$188)/$C$190*100%</f>
        <v>0</v>
      </c>
      <c r="F195" s="66">
        <f>COUNTIFS(TblUniv2017[B4],F$66,TblUniv2017[Program Pendidikan],$C$188)/$C$190*100%</f>
        <v>0</v>
      </c>
      <c r="G195" s="62">
        <f t="shared" si="8"/>
        <v>1</v>
      </c>
    </row>
    <row r="196" spans="2:7" ht="16.5" x14ac:dyDescent="0.3">
      <c r="B196" s="57" t="s">
        <v>30</v>
      </c>
      <c r="C196" s="66">
        <f>COUNTIFS(TblUniv2017[B5],C$66,TblUniv2017[Program Pendidikan],$C$188)/$C$190*100%</f>
        <v>1</v>
      </c>
      <c r="D196" s="66">
        <f>COUNTIFS(TblUniv2017[B5],D$66,TblUniv2017[Program Pendidikan],$C$188)/$C$190*100%</f>
        <v>0</v>
      </c>
      <c r="E196" s="66">
        <f>COUNTIFS(TblUniv2017[B5],E$66,TblUniv2017[Program Pendidikan],$C$188)/$C$190*100%</f>
        <v>0</v>
      </c>
      <c r="F196" s="66">
        <f>COUNTIFS(TblUniv2017[B5],F$66,TblUniv2017[Program Pendidikan],$C$188)/$C$190*100%</f>
        <v>0</v>
      </c>
      <c r="G196" s="62">
        <f t="shared" si="8"/>
        <v>1</v>
      </c>
    </row>
    <row r="197" spans="2:7" ht="16.5" x14ac:dyDescent="0.3">
      <c r="B197" s="60"/>
      <c r="C197" s="61">
        <f>AVERAGE(C192:C196)</f>
        <v>0.8</v>
      </c>
      <c r="D197" s="61">
        <f>AVERAGE(D192:D196)</f>
        <v>0.2</v>
      </c>
      <c r="E197" s="61">
        <f>AVERAGE(E192:E196)</f>
        <v>0</v>
      </c>
      <c r="F197" s="61">
        <f>AVERAGE(F192:F196)</f>
        <v>0</v>
      </c>
      <c r="G197" s="62">
        <f t="shared" si="8"/>
        <v>1</v>
      </c>
    </row>
    <row r="198" spans="2:7" ht="16.5" x14ac:dyDescent="0.3">
      <c r="B198" s="57" t="s">
        <v>31</v>
      </c>
      <c r="C198" s="66">
        <f>COUNTIFS(TblUniv2017[C1],C$66,TblUniv2017[Program Pendidikan],$C$188)/$C$190*100%</f>
        <v>0</v>
      </c>
      <c r="D198" s="66">
        <f>COUNTIFS(TblUniv2017[C1],D$66,TblUniv2017[Program Pendidikan],$C$188)/$C$190*100%</f>
        <v>0</v>
      </c>
      <c r="E198" s="66">
        <f>COUNTIFS(TblUniv2017[C1],E$66,TblUniv2017[Program Pendidikan],$C$188)/$C$190*100%</f>
        <v>1</v>
      </c>
      <c r="F198" s="66">
        <f>COUNTIFS(TblUniv2017[C1],F$66,TblUniv2017[Program Pendidikan],$C$188)/$C$190*100%</f>
        <v>0</v>
      </c>
      <c r="G198" s="62">
        <f t="shared" si="8"/>
        <v>1</v>
      </c>
    </row>
    <row r="199" spans="2:7" ht="16.5" x14ac:dyDescent="0.3">
      <c r="B199" s="57" t="s">
        <v>32</v>
      </c>
      <c r="C199" s="66">
        <f>COUNTIFS(TblUniv2017[C2],C$66,TblUniv2017[Program Pendidikan],$C$188)/$C$190*100%</f>
        <v>1</v>
      </c>
      <c r="D199" s="66">
        <f>COUNTIFS(TblUniv2017[C2],D$66,TblUniv2017[Program Pendidikan],$C$188)/$C$190*100%</f>
        <v>0</v>
      </c>
      <c r="E199" s="66">
        <f>COUNTIFS(TblUniv2017[C2],E$66,TblUniv2017[Program Pendidikan],$C$188)/$C$190*100%</f>
        <v>0</v>
      </c>
      <c r="F199" s="66">
        <f>COUNTIFS(TblUniv2017[C2],F$66,TblUniv2017[Program Pendidikan],$C$188)/$C$190*100%</f>
        <v>0</v>
      </c>
      <c r="G199" s="62">
        <f t="shared" si="8"/>
        <v>1</v>
      </c>
    </row>
    <row r="200" spans="2:7" ht="16.5" x14ac:dyDescent="0.3">
      <c r="B200" s="60"/>
      <c r="C200" s="61">
        <f>AVERAGE(C198:C199)</f>
        <v>0.5</v>
      </c>
      <c r="D200" s="61">
        <f>AVERAGE(D198:D199)</f>
        <v>0</v>
      </c>
      <c r="E200" s="61">
        <f>AVERAGE(E198:E199)</f>
        <v>0.5</v>
      </c>
      <c r="F200" s="61">
        <f>AVERAGE(F198:F199)</f>
        <v>0</v>
      </c>
      <c r="G200" s="62">
        <f t="shared" si="8"/>
        <v>1</v>
      </c>
    </row>
    <row r="201" spans="2:7" ht="16.5" x14ac:dyDescent="0.3">
      <c r="B201" s="57" t="s">
        <v>33</v>
      </c>
      <c r="C201" s="66">
        <f>COUNTIFS(TblUniv2017[D1],C$66,TblUniv2017[Program Pendidikan],$C$188)/$C$190*100%</f>
        <v>1</v>
      </c>
      <c r="D201" s="66">
        <f>COUNTIFS(TblUniv2017[D1],D$66,TblUniv2017[Program Pendidikan],$C$188)/$C$190*100%</f>
        <v>0</v>
      </c>
      <c r="E201" s="66">
        <f>COUNTIFS(TblUniv2017[D1],E$66,TblUniv2017[Program Pendidikan],$C$188)/$C$190*100%</f>
        <v>0</v>
      </c>
      <c r="F201" s="66">
        <f>COUNTIFS(TblUniv2017[D1],F$66,TblUniv2017[Program Pendidikan],$C$188)/$C$190*100%</f>
        <v>0</v>
      </c>
      <c r="G201" s="62">
        <f t="shared" si="8"/>
        <v>1</v>
      </c>
    </row>
    <row r="202" spans="2:7" ht="16.5" x14ac:dyDescent="0.3">
      <c r="B202" s="57" t="s">
        <v>34</v>
      </c>
      <c r="C202" s="66">
        <f>COUNTIFS(TblUniv2017[D2],C$66,TblUniv2017[Program Pendidikan],$C$188)/$C$190*100%</f>
        <v>1</v>
      </c>
      <c r="D202" s="66">
        <f>COUNTIFS(TblUniv2017[D2],D$66,TblUniv2017[Program Pendidikan],$C$188)/$C$190*100%</f>
        <v>0</v>
      </c>
      <c r="E202" s="66">
        <f>COUNTIFS(TblUniv2017[D2],E$66,TblUniv2017[Program Pendidikan],$C$188)/$C$190*100%</f>
        <v>0</v>
      </c>
      <c r="F202" s="66">
        <f>COUNTIFS(TblUniv2017[D2],F$66,TblUniv2017[Program Pendidikan],$C$188)/$C$190*100%</f>
        <v>0</v>
      </c>
      <c r="G202" s="62">
        <f t="shared" si="8"/>
        <v>1</v>
      </c>
    </row>
    <row r="203" spans="2:7" ht="16.5" x14ac:dyDescent="0.3">
      <c r="B203" s="60"/>
      <c r="C203" s="61">
        <f>AVERAGE(C201:C202)</f>
        <v>1</v>
      </c>
      <c r="D203" s="61">
        <f>AVERAGE(D201:D202)</f>
        <v>0</v>
      </c>
      <c r="E203" s="61">
        <f>AVERAGE(E201:E202)</f>
        <v>0</v>
      </c>
      <c r="F203" s="61">
        <f>AVERAGE(F201:F202)</f>
        <v>0</v>
      </c>
      <c r="G203" s="62">
        <f t="shared" si="8"/>
        <v>1</v>
      </c>
    </row>
    <row r="204" spans="2:7" ht="16.5" x14ac:dyDescent="0.3">
      <c r="B204" s="57" t="s">
        <v>35</v>
      </c>
      <c r="C204" s="66">
        <f>COUNTIFS(TblUniv2017[E1],C$66,TblUniv2017[Program Pendidikan],$C$188)/$C$190*100%</f>
        <v>1</v>
      </c>
      <c r="D204" s="66">
        <f>COUNTIFS(TblUniv2017[E1],D$66,TblUniv2017[Program Pendidikan],$C$188)/$C$190*100%</f>
        <v>0</v>
      </c>
      <c r="E204" s="66">
        <f>COUNTIFS(TblUniv2017[E1],E$66,TblUniv2017[Program Pendidikan],$C$188)/$C$190*100%</f>
        <v>0</v>
      </c>
      <c r="F204" s="66">
        <f>COUNTIFS(TblUniv2017[E1],F$66,TblUniv2017[Program Pendidikan],$C$188)/$C$190*100%</f>
        <v>0</v>
      </c>
      <c r="G204" s="62">
        <f t="shared" si="8"/>
        <v>1</v>
      </c>
    </row>
    <row r="205" spans="2:7" ht="16.5" x14ac:dyDescent="0.3">
      <c r="B205" s="57" t="s">
        <v>36</v>
      </c>
      <c r="C205" s="66">
        <f>COUNTIFS(TblUniv2017[E2],C$66,TblUniv2017[Program Pendidikan],$C$188)/$C$190*100%</f>
        <v>0.5</v>
      </c>
      <c r="D205" s="66">
        <f>COUNTIFS(TblUniv2017[E2],D$66,TblUniv2017[Program Pendidikan],$C$188)/$C$190*100%</f>
        <v>0.5</v>
      </c>
      <c r="E205" s="66">
        <f>COUNTIFS(TblUniv2017[E2],E$66,TblUniv2017[Program Pendidikan],$C$188)/$C$190*100%</f>
        <v>0</v>
      </c>
      <c r="F205" s="66">
        <f>COUNTIFS(TblUniv2017[E2],F$66,TblUniv2017[Program Pendidikan],$C$188)/$C$190*100%</f>
        <v>0</v>
      </c>
      <c r="G205" s="62">
        <f t="shared" si="8"/>
        <v>1</v>
      </c>
    </row>
    <row r="206" spans="2:7" ht="16.5" x14ac:dyDescent="0.3">
      <c r="B206" s="60"/>
      <c r="C206" s="61">
        <f>AVERAGE(C204:C205)</f>
        <v>0.75</v>
      </c>
      <c r="D206" s="61">
        <f>AVERAGE(D204:D205)</f>
        <v>0.25</v>
      </c>
      <c r="E206" s="61">
        <f>AVERAGE(E204:E205)</f>
        <v>0</v>
      </c>
      <c r="F206" s="61">
        <f>AVERAGE(F204:F205)</f>
        <v>0</v>
      </c>
      <c r="G206" s="62">
        <f t="shared" si="8"/>
        <v>1</v>
      </c>
    </row>
    <row r="207" spans="2:7" ht="16.5" x14ac:dyDescent="0.3">
      <c r="B207" s="57" t="s">
        <v>37</v>
      </c>
      <c r="C207" s="66">
        <f>COUNTIFS(TblUniv2017[F1],C$66,TblUniv2017[Program Pendidikan],$C$188)/$C$190*100%</f>
        <v>0.5</v>
      </c>
      <c r="D207" s="66">
        <f>COUNTIFS(TblUniv2017[F1],D$66,TblUniv2017[Program Pendidikan],$C$188)/$C$190*100%</f>
        <v>0.5</v>
      </c>
      <c r="E207" s="66">
        <f>COUNTIFS(TblUniv2017[F1],E$66,TblUniv2017[Program Pendidikan],$C$188)/$C$190*100%</f>
        <v>0</v>
      </c>
      <c r="F207" s="66">
        <f>COUNTIFS(TblUniv2017[F1],F$66,TblUniv2017[Program Pendidikan],$C$188)/$C$190*100%</f>
        <v>0</v>
      </c>
      <c r="G207" s="62">
        <f t="shared" si="8"/>
        <v>1</v>
      </c>
    </row>
    <row r="208" spans="2:7" ht="16.5" x14ac:dyDescent="0.3">
      <c r="B208" s="57" t="s">
        <v>38</v>
      </c>
      <c r="C208" s="66">
        <f>COUNTIFS(TblUniv2017[F2],C$66,TblUniv2017[Program Pendidikan],$C$188)/$C$190*100%</f>
        <v>0</v>
      </c>
      <c r="D208" s="66">
        <f>COUNTIFS(TblUniv2017[F2],D$66,TblUniv2017[Program Pendidikan],$C$188)/$C$190*100%</f>
        <v>1</v>
      </c>
      <c r="E208" s="66">
        <f>COUNTIFS(TblUniv2017[F2],E$66,TblUniv2017[Program Pendidikan],$C$188)/$C$190*100%</f>
        <v>0</v>
      </c>
      <c r="F208" s="66">
        <f>COUNTIFS(TblUniv2017[F2],F$66,TblUniv2017[Program Pendidikan],$C$188)/$C$190*100%</f>
        <v>0</v>
      </c>
      <c r="G208" s="62">
        <f t="shared" si="8"/>
        <v>1</v>
      </c>
    </row>
    <row r="209" spans="2:7" ht="16.5" x14ac:dyDescent="0.3">
      <c r="B209" s="57" t="s">
        <v>39</v>
      </c>
      <c r="C209" s="66">
        <f>COUNTIFS(TblUniv2017[F3],C$66,TblUniv2017[Program Pendidikan],$C$188)/$C$190*100%</f>
        <v>0.5</v>
      </c>
      <c r="D209" s="66">
        <f>COUNTIFS(TblUniv2017[F3],D$66,TblUniv2017[Program Pendidikan],$C$188)/$C$190*100%</f>
        <v>0.5</v>
      </c>
      <c r="E209" s="66">
        <f>COUNTIFS(TblUniv2017[F3],E$66,TblUniv2017[Program Pendidikan],$C$188)/$C$190*100%</f>
        <v>0</v>
      </c>
      <c r="F209" s="66">
        <f>COUNTIFS(TblUniv2017[F3],F$66,TblUniv2017[Program Pendidikan],$C$188)/$C$190*100%</f>
        <v>0</v>
      </c>
      <c r="G209" s="62">
        <f t="shared" si="8"/>
        <v>1</v>
      </c>
    </row>
    <row r="210" spans="2:7" ht="16.5" x14ac:dyDescent="0.3">
      <c r="B210" s="60"/>
      <c r="C210" s="61">
        <f>AVERAGE(C207:C209)</f>
        <v>0.33333333333333331</v>
      </c>
      <c r="D210" s="61">
        <f>AVERAGE(D207:D209)</f>
        <v>0.66666666666666663</v>
      </c>
      <c r="E210" s="61">
        <f>AVERAGE(E207:E209)</f>
        <v>0</v>
      </c>
      <c r="F210" s="61">
        <f>AVERAGE(F207:F209)</f>
        <v>0</v>
      </c>
      <c r="G210" s="62">
        <f t="shared" si="8"/>
        <v>1</v>
      </c>
    </row>
    <row r="211" spans="2:7" ht="16.5" x14ac:dyDescent="0.3">
      <c r="B211" s="57" t="s">
        <v>40</v>
      </c>
      <c r="C211" s="66">
        <f>COUNTIFS(TblUniv2017[G1],C$66,TblUniv2017[Program Pendidikan],$C$188)/$C$190*100%</f>
        <v>1</v>
      </c>
      <c r="D211" s="66">
        <f>COUNTIFS(TblUniv2017[G1],D$66,TblUniv2017[Program Pendidikan],$C$188)/$C$190*100%</f>
        <v>0</v>
      </c>
      <c r="E211" s="66">
        <f>COUNTIFS(TblUniv2017[G1],E$66,TblUniv2017[Program Pendidikan],$C$188)/$C$190*100%</f>
        <v>0</v>
      </c>
      <c r="F211" s="66">
        <f>COUNTIFS(TblUniv2017[G1],F$66,TblUniv2017[Program Pendidikan],$C$188)/$C$190*100%</f>
        <v>0</v>
      </c>
      <c r="G211" s="62">
        <f t="shared" si="8"/>
        <v>1</v>
      </c>
    </row>
    <row r="212" spans="2:7" ht="16.5" x14ac:dyDescent="0.3">
      <c r="B212" s="57" t="s">
        <v>41</v>
      </c>
      <c r="C212" s="66">
        <f>COUNTIFS(TblUniv2017[G2],C$66,TblUniv2017[Program Pendidikan],$C$188)/$C$190*100%</f>
        <v>0.5</v>
      </c>
      <c r="D212" s="66">
        <f>COUNTIFS(TblUniv2017[G2],D$66,TblUniv2017[Program Pendidikan],$C$188)/$C$190*100%</f>
        <v>0.5</v>
      </c>
      <c r="E212" s="66">
        <f>COUNTIFS(TblUniv2017[G2],E$66,TblUniv2017[Program Pendidikan],$C$188)/$C$190*100%</f>
        <v>0</v>
      </c>
      <c r="F212" s="66">
        <f>COUNTIFS(TblUniv2017[G2],F$66,TblUniv2017[Program Pendidikan],$C$188)/$C$190*100%</f>
        <v>0</v>
      </c>
      <c r="G212" s="62">
        <f t="shared" si="8"/>
        <v>1</v>
      </c>
    </row>
    <row r="213" spans="2:7" ht="16.5" x14ac:dyDescent="0.3">
      <c r="B213" s="60"/>
      <c r="C213" s="61">
        <f>AVERAGE(C211:C212)</f>
        <v>0.75</v>
      </c>
      <c r="D213" s="61">
        <f>AVERAGE(D211:D212)</f>
        <v>0.25</v>
      </c>
      <c r="E213" s="61">
        <f>AVERAGE(E211:E212)</f>
        <v>0</v>
      </c>
      <c r="F213" s="61">
        <f>AVERAGE(F211:F212)</f>
        <v>0</v>
      </c>
      <c r="G213" s="62">
        <f t="shared" si="8"/>
        <v>1</v>
      </c>
    </row>
    <row r="214" spans="2:7" ht="16.5" x14ac:dyDescent="0.3">
      <c r="B214" s="57" t="s">
        <v>42</v>
      </c>
      <c r="C214" s="66">
        <f>COUNTIFS(TblUniv2017[H1],C$66,TblUniv2017[Program Pendidikan],$C$188)/$C$190*100%</f>
        <v>0.5</v>
      </c>
      <c r="D214" s="66">
        <f>COUNTIFS(TblUniv2017[H1],D$66,TblUniv2017[Program Pendidikan],$C$188)/$C$190*100%</f>
        <v>0.5</v>
      </c>
      <c r="E214" s="66">
        <f>COUNTIFS(TblUniv2017[H1],E$66,TblUniv2017[Program Pendidikan],$C$188)/$C$190*100%</f>
        <v>0</v>
      </c>
      <c r="F214" s="66">
        <f>COUNTIFS(TblUniv2017[H1],F$66,TblUniv2017[Program Pendidikan],$C$188)/$C$190*100%</f>
        <v>0</v>
      </c>
      <c r="G214" s="62">
        <f t="shared" si="8"/>
        <v>1</v>
      </c>
    </row>
    <row r="215" spans="2:7" ht="16.5" x14ac:dyDescent="0.3">
      <c r="B215" s="57" t="s">
        <v>43</v>
      </c>
      <c r="C215" s="66">
        <f>COUNTIFS(TblUniv2017[H1],C$66,TblUniv2017[Program Pendidikan],$C$188)/$C$190*100%</f>
        <v>0.5</v>
      </c>
      <c r="D215" s="66">
        <f>COUNTIFS(TblUniv2017[H1],D$66,TblUniv2017[Program Pendidikan],$C$188)/$C$190*100%</f>
        <v>0.5</v>
      </c>
      <c r="E215" s="66">
        <f>COUNTIFS(TblUniv2017[H1],E$66,TblUniv2017[Program Pendidikan],$C$188)/$C$190*100%</f>
        <v>0</v>
      </c>
      <c r="F215" s="66">
        <f>COUNTIFS(TblUniv2017[H1],F$66,TblUniv2017[Program Pendidikan],$C$188)/$C$190*100%</f>
        <v>0</v>
      </c>
      <c r="G215" s="62">
        <f t="shared" si="8"/>
        <v>1</v>
      </c>
    </row>
    <row r="216" spans="2:7" ht="16.5" x14ac:dyDescent="0.3">
      <c r="B216" s="57" t="s">
        <v>44</v>
      </c>
      <c r="C216" s="66">
        <f>COUNTIFS(TblUniv2017[H3],C$66,TblUniv2017[Program Pendidikan],$C$188)/$C$190*100%</f>
        <v>0.5</v>
      </c>
      <c r="D216" s="66">
        <f>COUNTIFS(TblUniv2017[H3],D$66,TblUniv2017[Program Pendidikan],$C$188)/$C$190*100%</f>
        <v>0.5</v>
      </c>
      <c r="E216" s="66">
        <f>COUNTIFS(TblUniv2017[H3],E$66,TblUniv2017[Program Pendidikan],$C$188)/$C$190*100%</f>
        <v>0</v>
      </c>
      <c r="F216" s="66">
        <f>COUNTIFS(TblUniv2017[H3],F$66,TblUniv2017[Program Pendidikan],$C$188)/$C$190*100%</f>
        <v>0</v>
      </c>
      <c r="G216" s="62">
        <f t="shared" si="8"/>
        <v>1</v>
      </c>
    </row>
    <row r="217" spans="2:7" ht="16.5" x14ac:dyDescent="0.3">
      <c r="B217" s="57" t="s">
        <v>45</v>
      </c>
      <c r="C217" s="66">
        <f>COUNTIFS(TblUniv2017[H4],C$66,TblUniv2017[Program Pendidikan],$C$188)/$C$190*100%</f>
        <v>0.5</v>
      </c>
      <c r="D217" s="66">
        <f>COUNTIFS(TblUniv2017[H4],D$66,TblUniv2017[Program Pendidikan],$C$188)/$C$190*100%</f>
        <v>0.5</v>
      </c>
      <c r="E217" s="66">
        <f>COUNTIFS(TblUniv2017[H4],E$66,TblUniv2017[Program Pendidikan],$C$188)/$C$190*100%</f>
        <v>0</v>
      </c>
      <c r="F217" s="66">
        <f>COUNTIFS(TblUniv2017[H4],F$66,TblUniv2017[Program Pendidikan],$C$188)/$C$190*100%</f>
        <v>0</v>
      </c>
      <c r="G217" s="62">
        <f t="shared" si="8"/>
        <v>1</v>
      </c>
    </row>
    <row r="218" spans="2:7" ht="16.5" x14ac:dyDescent="0.3">
      <c r="B218" s="60"/>
      <c r="C218" s="61">
        <f>AVERAGE(C214:C217)</f>
        <v>0.5</v>
      </c>
      <c r="D218" s="61">
        <f>AVERAGE(D214:D217)</f>
        <v>0.5</v>
      </c>
      <c r="E218" s="61">
        <f>AVERAGE(E214:E217)</f>
        <v>0</v>
      </c>
      <c r="F218" s="61">
        <f>AVERAGE(F214:F217)</f>
        <v>0</v>
      </c>
      <c r="G218" s="62">
        <f t="shared" si="8"/>
        <v>1</v>
      </c>
    </row>
    <row r="219" spans="2:7" ht="16.5" x14ac:dyDescent="0.3">
      <c r="B219" s="57" t="s">
        <v>648</v>
      </c>
      <c r="C219" s="66">
        <f>COUNTIFS(TblUniv2017[I. a1],C$66,TblUniv2017[Program Pendidikan],$C$188)/$C$190*100%</f>
        <v>0.5</v>
      </c>
      <c r="D219" s="66">
        <f>COUNTIFS(TblUniv2017[I. a1],D$66,TblUniv2017[Program Pendidikan],$C$188)/$C$190*100%</f>
        <v>0.5</v>
      </c>
      <c r="E219" s="66">
        <f>COUNTIFS(TblUniv2017[I. a1],E$66,TblUniv2017[Program Pendidikan],$C$188)/$C$190*100%</f>
        <v>0</v>
      </c>
      <c r="F219" s="66">
        <f>COUNTIFS(TblUniv2017[I. a1],F$66,TblUniv2017[Program Pendidikan],$C$188)/$C$190*100%</f>
        <v>0</v>
      </c>
      <c r="G219" s="62">
        <f t="shared" si="8"/>
        <v>1</v>
      </c>
    </row>
    <row r="220" spans="2:7" ht="16.5" x14ac:dyDescent="0.3">
      <c r="B220" s="57" t="s">
        <v>649</v>
      </c>
      <c r="C220" s="66">
        <f>COUNTIFS(TblUniv2017[I. a2],C$66,TblUniv2017[Program Pendidikan],$C$188)/$C$190*100%</f>
        <v>0.5</v>
      </c>
      <c r="D220" s="66">
        <f>COUNTIFS(TblUniv2017[I. a2],D$66,TblUniv2017[Program Pendidikan],$C$188)/$C$190*100%</f>
        <v>0.5</v>
      </c>
      <c r="E220" s="66">
        <f>COUNTIFS(TblUniv2017[I. a2],E$66,TblUniv2017[Program Pendidikan],$C$188)/$C$190*100%</f>
        <v>0</v>
      </c>
      <c r="F220" s="66">
        <f>COUNTIFS(TblUniv2017[I. a2],F$66,TblUniv2017[Program Pendidikan],$C$188)/$C$190*100%</f>
        <v>0</v>
      </c>
      <c r="G220" s="62">
        <f t="shared" si="8"/>
        <v>1</v>
      </c>
    </row>
    <row r="221" spans="2:7" ht="16.5" x14ac:dyDescent="0.3">
      <c r="B221" s="57" t="s">
        <v>650</v>
      </c>
      <c r="C221" s="66">
        <f>COUNTIFS(TblUniv2017[I. a3],C$66,TblUniv2017[Program Pendidikan],$C$188)/$C$190*100%</f>
        <v>1</v>
      </c>
      <c r="D221" s="66">
        <f>COUNTIFS(TblUniv2017[I. a3],D$66,TblUniv2017[Program Pendidikan],$C$188)/$C$190*100%</f>
        <v>0</v>
      </c>
      <c r="E221" s="66">
        <f>COUNTIFS(TblUniv2017[I. a3],E$66,TblUniv2017[Program Pendidikan],$C$188)/$C$190*100%</f>
        <v>0</v>
      </c>
      <c r="F221" s="66">
        <f>COUNTIFS(TblUniv2017[I. a3],F$66,TblUniv2017[Program Pendidikan],$C$188)/$C$190*100%</f>
        <v>0</v>
      </c>
      <c r="G221" s="62">
        <f t="shared" si="8"/>
        <v>1</v>
      </c>
    </row>
    <row r="222" spans="2:7" ht="16.5" x14ac:dyDescent="0.3">
      <c r="B222" s="57" t="s">
        <v>651</v>
      </c>
      <c r="C222" s="66">
        <f>COUNTIFS(TblUniv2017[I. a4],C$66,TblUniv2017[Program Pendidikan],$C$188)/$C$190*100%</f>
        <v>0.5</v>
      </c>
      <c r="D222" s="66">
        <f>COUNTIFS(TblUniv2017[I. a4],D$66,TblUniv2017[Program Pendidikan],$C$188)/$C$190*100%</f>
        <v>0.5</v>
      </c>
      <c r="E222" s="66">
        <f>COUNTIFS(TblUniv2017[I. a4],E$66,TblUniv2017[Program Pendidikan],$C$188)/$C$190*100%</f>
        <v>0</v>
      </c>
      <c r="F222" s="66">
        <f>COUNTIFS(TblUniv2017[I. a4],F$66,TblUniv2017[Program Pendidikan],$C$188)/$C$190*100%</f>
        <v>0</v>
      </c>
      <c r="G222" s="62">
        <f t="shared" si="8"/>
        <v>1</v>
      </c>
    </row>
    <row r="223" spans="2:7" ht="16.5" x14ac:dyDescent="0.3">
      <c r="B223" s="57" t="s">
        <v>652</v>
      </c>
      <c r="C223" s="66">
        <f>COUNTIFS(TblUniv2017[I. a5],C$66,TblUniv2017[Program Pendidikan],$C$188)/$C$190*100%</f>
        <v>0.5</v>
      </c>
      <c r="D223" s="66">
        <f>COUNTIFS(TblUniv2017[I. a5],D$66,TblUniv2017[Program Pendidikan],$C$188)/$C$190*100%</f>
        <v>0.5</v>
      </c>
      <c r="E223" s="66">
        <f>COUNTIFS(TblUniv2017[I. a5],E$66,TblUniv2017[Program Pendidikan],$C$188)/$C$190*100%</f>
        <v>0</v>
      </c>
      <c r="F223" s="66">
        <f>COUNTIFS(TblUniv2017[I. a5],F$66,TblUniv2017[Program Pendidikan],$C$188)/$C$190*100%</f>
        <v>0</v>
      </c>
      <c r="G223" s="62">
        <f t="shared" si="8"/>
        <v>1</v>
      </c>
    </row>
    <row r="224" spans="2:7" ht="16.5" x14ac:dyDescent="0.3">
      <c r="B224" s="60"/>
      <c r="C224" s="61">
        <f>AVERAGE(C219:C223)</f>
        <v>0.6</v>
      </c>
      <c r="D224" s="61">
        <f>AVERAGE(D219:D223)</f>
        <v>0.4</v>
      </c>
      <c r="E224" s="61">
        <f>AVERAGE(E219:E223)</f>
        <v>0</v>
      </c>
      <c r="F224" s="61">
        <f>AVERAGE(F219:F223)</f>
        <v>0</v>
      </c>
      <c r="G224" s="62">
        <f t="shared" si="8"/>
        <v>1</v>
      </c>
    </row>
    <row r="225" spans="2:7" ht="16.5" x14ac:dyDescent="0.3">
      <c r="B225" s="57" t="s">
        <v>653</v>
      </c>
      <c r="C225" s="66">
        <f>COUNTIFS(TblUniv2017[I. b1],C$66,TblUniv2017[Program Pendidikan],$C$188)/$C$190*100%</f>
        <v>0</v>
      </c>
      <c r="D225" s="66">
        <f>COUNTIFS(TblUniv2017[I. b1],D$66,TblUniv2017[Program Pendidikan],$C$188)/$C$190*100%</f>
        <v>1</v>
      </c>
      <c r="E225" s="66">
        <f>COUNTIFS(TblUniv2017[I. b1],E$66,TblUniv2017[Program Pendidikan],$C$188)/$C$190*100%</f>
        <v>0</v>
      </c>
      <c r="F225" s="66">
        <f>COUNTIFS(TblUniv2017[I. b1],F$66,TblUniv2017[Program Pendidikan],$C$188)/$C$190*100%</f>
        <v>0</v>
      </c>
      <c r="G225" s="62">
        <f t="shared" si="8"/>
        <v>1</v>
      </c>
    </row>
    <row r="226" spans="2:7" ht="16.5" x14ac:dyDescent="0.3">
      <c r="B226" s="57" t="s">
        <v>654</v>
      </c>
      <c r="C226" s="66">
        <f>COUNTIFS(TblUniv2017[I. b2],C$66,TblUniv2017[Program Pendidikan],$C$188)/$C$190*100%</f>
        <v>0.5</v>
      </c>
      <c r="D226" s="66">
        <f>COUNTIFS(TblUniv2017[I. b2],D$66,TblUniv2017[Program Pendidikan],$C$188)/$C$190*100%</f>
        <v>0.5</v>
      </c>
      <c r="E226" s="66">
        <f>COUNTIFS(TblUniv2017[I. b2],E$66,TblUniv2017[Program Pendidikan],$C$188)/$C$190*100%</f>
        <v>0</v>
      </c>
      <c r="F226" s="66">
        <f>COUNTIFS(TblUniv2017[I. b2],F$66,TblUniv2017[Program Pendidikan],$C$188)/$C$190*100%</f>
        <v>0</v>
      </c>
      <c r="G226" s="62">
        <f t="shared" si="8"/>
        <v>1</v>
      </c>
    </row>
    <row r="227" spans="2:7" ht="16.5" x14ac:dyDescent="0.3">
      <c r="B227" s="57" t="s">
        <v>655</v>
      </c>
      <c r="C227" s="66">
        <f>COUNTIFS(TblUniv2017[I. b3],C$66,TblUniv2017[Program Pendidikan],$C$188)/$C$190*100%</f>
        <v>0.5</v>
      </c>
      <c r="D227" s="66">
        <f>COUNTIFS(TblUniv2017[I. b3],D$66,TblUniv2017[Program Pendidikan],$C$188)/$C$190*100%</f>
        <v>0.5</v>
      </c>
      <c r="E227" s="66">
        <f>COUNTIFS(TblUniv2017[I. b3],E$66,TblUniv2017[Program Pendidikan],$C$188)/$C$190*100%</f>
        <v>0</v>
      </c>
      <c r="F227" s="66">
        <f>COUNTIFS(TblUniv2017[I. b3],F$66,TblUniv2017[Program Pendidikan],$C$188)/$C$190*100%</f>
        <v>0</v>
      </c>
      <c r="G227" s="62">
        <f t="shared" si="8"/>
        <v>1</v>
      </c>
    </row>
    <row r="228" spans="2:7" ht="16.5" x14ac:dyDescent="0.3">
      <c r="B228" s="57" t="s">
        <v>656</v>
      </c>
      <c r="C228" s="66">
        <f>COUNTIFS(TblUniv2017[I. b4],C$66,TblUniv2017[Program Pendidikan],$C$188)/$C$190*100%</f>
        <v>0</v>
      </c>
      <c r="D228" s="66">
        <f>COUNTIFS(TblUniv2017[I. b4],D$66,TblUniv2017[Program Pendidikan],$C$188)/$C$190*100%</f>
        <v>1</v>
      </c>
      <c r="E228" s="66">
        <f>COUNTIFS(TblUniv2017[I. b4],E$66,TblUniv2017[Program Pendidikan],$C$188)/$C$190*100%</f>
        <v>0</v>
      </c>
      <c r="F228" s="66">
        <f>COUNTIFS(TblUniv2017[I. b4],F$66,TblUniv2017[Program Pendidikan],$C$188)/$C$190*100%</f>
        <v>0</v>
      </c>
      <c r="G228" s="62">
        <f t="shared" si="8"/>
        <v>1</v>
      </c>
    </row>
    <row r="229" spans="2:7" ht="17.25" thickBot="1" x14ac:dyDescent="0.35">
      <c r="B229" s="67"/>
      <c r="C229" s="68">
        <f>AVERAGE(C225:C228)</f>
        <v>0.25</v>
      </c>
      <c r="D229" s="68">
        <f>AVERAGE(D225:D228)</f>
        <v>0.75</v>
      </c>
      <c r="E229" s="68">
        <f>AVERAGE(E225:E228)</f>
        <v>0</v>
      </c>
      <c r="F229" s="68">
        <f>AVERAGE(F225:F228)</f>
        <v>0</v>
      </c>
      <c r="G229" s="62">
        <f t="shared" si="8"/>
        <v>1</v>
      </c>
    </row>
    <row r="230" spans="2:7" ht="15.75" thickBot="1" x14ac:dyDescent="0.3"/>
    <row r="231" spans="2:7" ht="17.25" thickBot="1" x14ac:dyDescent="0.3">
      <c r="B231" s="64" t="s">
        <v>14</v>
      </c>
      <c r="C231" s="65" t="str">
        <f>C188</f>
        <v>Diploma Empat/ Sarjana Terapan</v>
      </c>
      <c r="G231" s="1" t="s">
        <v>73</v>
      </c>
    </row>
    <row r="232" spans="2:7" ht="33.75" thickBot="1" x14ac:dyDescent="0.3">
      <c r="B232" s="64" t="s">
        <v>647</v>
      </c>
      <c r="C232" s="65">
        <f>C189</f>
        <v>2017</v>
      </c>
      <c r="G232" s="83" t="s">
        <v>128</v>
      </c>
    </row>
    <row r="233" spans="2:7" ht="17.25" thickBot="1" x14ac:dyDescent="0.3">
      <c r="B233" s="64" t="s">
        <v>646</v>
      </c>
      <c r="C233" s="65">
        <f>C190</f>
        <v>2</v>
      </c>
    </row>
    <row r="234" spans="2:7" ht="15.75" thickBot="1" x14ac:dyDescent="0.3">
      <c r="B234" s="222" t="s">
        <v>658</v>
      </c>
      <c r="C234" s="223" t="s">
        <v>664</v>
      </c>
      <c r="D234" s="223"/>
      <c r="E234" s="223"/>
      <c r="F234" s="223"/>
    </row>
    <row r="235" spans="2:7" ht="15.75" thickBot="1" x14ac:dyDescent="0.3">
      <c r="B235" s="222"/>
      <c r="C235" s="72" t="s">
        <v>645</v>
      </c>
      <c r="D235" s="72" t="s">
        <v>665</v>
      </c>
      <c r="E235" s="72" t="s">
        <v>666</v>
      </c>
      <c r="F235" s="72" t="s">
        <v>667</v>
      </c>
    </row>
    <row r="236" spans="2:7" x14ac:dyDescent="0.25">
      <c r="B236" s="73">
        <v>2</v>
      </c>
      <c r="C236" s="71">
        <v>3</v>
      </c>
      <c r="D236" s="71">
        <v>4</v>
      </c>
      <c r="E236" s="71">
        <v>5</v>
      </c>
      <c r="F236" s="74">
        <v>6</v>
      </c>
    </row>
    <row r="237" spans="2:7" x14ac:dyDescent="0.25">
      <c r="B237" s="75" t="s">
        <v>659</v>
      </c>
      <c r="C237" s="58">
        <f>C197</f>
        <v>0.8</v>
      </c>
      <c r="D237" s="58">
        <f>D197</f>
        <v>0.2</v>
      </c>
      <c r="E237" s="58">
        <f>E197</f>
        <v>0</v>
      </c>
      <c r="F237" s="59">
        <f>F197</f>
        <v>0</v>
      </c>
    </row>
    <row r="238" spans="2:7" x14ac:dyDescent="0.25">
      <c r="B238" s="75" t="s">
        <v>660</v>
      </c>
      <c r="C238" s="58">
        <f>C200</f>
        <v>0.5</v>
      </c>
      <c r="D238" s="58">
        <f>D200</f>
        <v>0</v>
      </c>
      <c r="E238" s="58">
        <f>E200</f>
        <v>0.5</v>
      </c>
      <c r="F238" s="59">
        <f>F200</f>
        <v>0</v>
      </c>
    </row>
    <row r="239" spans="2:7" x14ac:dyDescent="0.25">
      <c r="B239" s="75" t="s">
        <v>661</v>
      </c>
      <c r="C239" s="58">
        <f>C203</f>
        <v>1</v>
      </c>
      <c r="D239" s="58">
        <f>D203</f>
        <v>0</v>
      </c>
      <c r="E239" s="58">
        <f>E203</f>
        <v>0</v>
      </c>
      <c r="F239" s="59">
        <f>F203</f>
        <v>0</v>
      </c>
    </row>
    <row r="240" spans="2:7" x14ac:dyDescent="0.25">
      <c r="B240" s="75" t="s">
        <v>662</v>
      </c>
      <c r="C240" s="58">
        <f>C206</f>
        <v>0.75</v>
      </c>
      <c r="D240" s="58">
        <f>D206</f>
        <v>0.25</v>
      </c>
      <c r="E240" s="58">
        <f>E206</f>
        <v>0</v>
      </c>
      <c r="F240" s="59">
        <f>F206</f>
        <v>0</v>
      </c>
    </row>
    <row r="241" spans="2:7" x14ac:dyDescent="0.25">
      <c r="B241" s="75" t="s">
        <v>663</v>
      </c>
      <c r="C241" s="58">
        <f>C210</f>
        <v>0.33333333333333331</v>
      </c>
      <c r="D241" s="58">
        <f>D210</f>
        <v>0.66666666666666663</v>
      </c>
      <c r="E241" s="58">
        <f>E210</f>
        <v>0</v>
      </c>
      <c r="F241" s="59">
        <f>F210</f>
        <v>0</v>
      </c>
    </row>
    <row r="242" spans="2:7" x14ac:dyDescent="0.25">
      <c r="B242" s="75" t="s">
        <v>617</v>
      </c>
      <c r="C242" s="58">
        <f>C213</f>
        <v>0.75</v>
      </c>
      <c r="D242" s="58">
        <f>D213</f>
        <v>0.25</v>
      </c>
      <c r="E242" s="58">
        <f>E213</f>
        <v>0</v>
      </c>
      <c r="F242" s="59">
        <f>F213</f>
        <v>0</v>
      </c>
    </row>
    <row r="243" spans="2:7" x14ac:dyDescent="0.25">
      <c r="B243" s="75" t="s">
        <v>330</v>
      </c>
      <c r="C243" s="58">
        <f>C218</f>
        <v>0.5</v>
      </c>
      <c r="D243" s="58">
        <f>D218</f>
        <v>0.5</v>
      </c>
      <c r="E243" s="58">
        <f>E218</f>
        <v>0</v>
      </c>
      <c r="F243" s="59">
        <f>F218</f>
        <v>0</v>
      </c>
    </row>
    <row r="244" spans="2:7" x14ac:dyDescent="0.25">
      <c r="B244" s="75" t="s">
        <v>68</v>
      </c>
      <c r="C244" s="58">
        <f>C224</f>
        <v>0.6</v>
      </c>
      <c r="D244" s="58">
        <f>D224</f>
        <v>0.4</v>
      </c>
      <c r="E244" s="58">
        <f>E224</f>
        <v>0</v>
      </c>
      <c r="F244" s="59">
        <f>F224</f>
        <v>0</v>
      </c>
    </row>
    <row r="245" spans="2:7" ht="15.75" thickBot="1" x14ac:dyDescent="0.3">
      <c r="B245" s="76" t="s">
        <v>68</v>
      </c>
      <c r="C245" s="77">
        <f>C229</f>
        <v>0.25</v>
      </c>
      <c r="D245" s="77">
        <f>D229</f>
        <v>0.75</v>
      </c>
      <c r="E245" s="77">
        <f>E229</f>
        <v>0</v>
      </c>
      <c r="F245" s="78">
        <f>F229</f>
        <v>0</v>
      </c>
    </row>
    <row r="246" spans="2:7" x14ac:dyDescent="0.25">
      <c r="B246" s="79" t="s">
        <v>669</v>
      </c>
      <c r="C246" s="81">
        <f>SUM(C237:C245)</f>
        <v>5.4833333333333325</v>
      </c>
      <c r="D246" s="81">
        <f>SUM(D237:D245)</f>
        <v>3.0166666666666666</v>
      </c>
      <c r="E246" s="81">
        <f>SUM(E237:E245)</f>
        <v>0.5</v>
      </c>
      <c r="F246" s="84">
        <f>SUM(F237:F245)</f>
        <v>0</v>
      </c>
    </row>
    <row r="247" spans="2:7" ht="15.75" thickBot="1" x14ac:dyDescent="0.3">
      <c r="B247" s="80" t="s">
        <v>670</v>
      </c>
      <c r="C247" s="82">
        <f>AVERAGE(C237:C245)</f>
        <v>0.60925925925925917</v>
      </c>
      <c r="D247" s="82">
        <f>AVERAGE(D237:D245)</f>
        <v>0.3351851851851852</v>
      </c>
      <c r="E247" s="82">
        <f>AVERAGE(E237:E245)</f>
        <v>5.5555555555555552E-2</v>
      </c>
      <c r="F247" s="85">
        <f>AVERAGE(F237:F245)</f>
        <v>0</v>
      </c>
    </row>
    <row r="249" spans="2:7" ht="15.75" thickBot="1" x14ac:dyDescent="0.3"/>
    <row r="250" spans="2:7" ht="17.25" thickBot="1" x14ac:dyDescent="0.3">
      <c r="B250" s="64" t="s">
        <v>66</v>
      </c>
      <c r="C250" s="86" t="s">
        <v>73</v>
      </c>
    </row>
    <row r="251" spans="2:7" ht="17.25" thickBot="1" x14ac:dyDescent="0.3">
      <c r="B251" s="64" t="s">
        <v>647</v>
      </c>
      <c r="C251" s="65">
        <v>2017</v>
      </c>
    </row>
    <row r="252" spans="2:7" ht="17.25" thickBot="1" x14ac:dyDescent="0.3">
      <c r="B252" s="64" t="s">
        <v>646</v>
      </c>
      <c r="C252" s="65">
        <f>COUNTIFS(TblUniv2017[th lulus],C251,TblUniv2017[Program Pendidikan],C250)</f>
        <v>11</v>
      </c>
    </row>
    <row r="253" spans="2:7" ht="16.5" x14ac:dyDescent="0.3">
      <c r="B253" s="55"/>
      <c r="C253" s="56" t="s">
        <v>69</v>
      </c>
      <c r="D253" s="56" t="s">
        <v>1</v>
      </c>
      <c r="E253" s="56" t="s">
        <v>75</v>
      </c>
      <c r="F253" s="56" t="s">
        <v>168</v>
      </c>
      <c r="G253" s="56"/>
    </row>
    <row r="254" spans="2:7" ht="16.5" x14ac:dyDescent="0.3">
      <c r="B254" s="57" t="s">
        <v>26</v>
      </c>
      <c r="C254" s="66">
        <f>COUNTIFS(TblUniv2017[B1],C$66,TblUniv2017[Program Pendidikan],$C$250)/$C$252*100%</f>
        <v>0.45454545454545453</v>
      </c>
      <c r="D254" s="66">
        <f>COUNTIFS(TblUniv2017[B1],D$66,TblUniv2017[Program Pendidikan],$C$250)/$C$252*100%</f>
        <v>0.54545454545454541</v>
      </c>
      <c r="E254" s="66">
        <f>COUNTIFS(TblUniv2017[B1],E$66,TblUniv2017[Program Pendidikan],$C$250)/$C$252*100%</f>
        <v>0</v>
      </c>
      <c r="F254" s="66">
        <f>COUNTIFS(TblUniv2017[B1],F$66,TblUniv2017[Program Pendidikan],$C$250)/$C$252*100%</f>
        <v>0</v>
      </c>
      <c r="G254" s="62">
        <f t="shared" ref="G254:G291" si="9">SUM(C254:F254)</f>
        <v>1</v>
      </c>
    </row>
    <row r="255" spans="2:7" ht="16.5" x14ac:dyDescent="0.3">
      <c r="B255" s="57" t="s">
        <v>27</v>
      </c>
      <c r="C255" s="66">
        <f>COUNTIFS(TblUniv2017[B2],C$66,TblUniv2017[Program Pendidikan],$C$250)/$C$252*100%</f>
        <v>0.54545454545454541</v>
      </c>
      <c r="D255" s="66">
        <f>COUNTIFS(TblUniv2017[B2],D$66,TblUniv2017[Program Pendidikan],$C$250)/$C$252*100%</f>
        <v>0.45454545454545453</v>
      </c>
      <c r="E255" s="66">
        <f>COUNTIFS(TblUniv2017[B2],E$66,TblUniv2017[Program Pendidikan],$C$250)/$C$252*100%</f>
        <v>0</v>
      </c>
      <c r="F255" s="66">
        <f>COUNTIFS(TblUniv2017[B2],F$66,TblUniv2017[Program Pendidikan],$C$250)/$C$252*100%</f>
        <v>0</v>
      </c>
      <c r="G255" s="62">
        <f t="shared" si="9"/>
        <v>1</v>
      </c>
    </row>
    <row r="256" spans="2:7" ht="16.5" x14ac:dyDescent="0.3">
      <c r="B256" s="57" t="s">
        <v>28</v>
      </c>
      <c r="C256" s="66">
        <f>COUNTIFS(TblUniv2017[B3],C$66,TblUniv2017[Program Pendidikan],$C$250)/$C$252*100%</f>
        <v>0.45454545454545453</v>
      </c>
      <c r="D256" s="66">
        <f>COUNTIFS(TblUniv2017[B3],D$66,TblUniv2017[Program Pendidikan],$C$250)/$C$252*100%</f>
        <v>0.54545454545454541</v>
      </c>
      <c r="E256" s="66">
        <f>COUNTIFS(TblUniv2017[B3],E$66,TblUniv2017[Program Pendidikan],$C$250)/$C$252*100%</f>
        <v>0</v>
      </c>
      <c r="F256" s="66">
        <f>COUNTIFS(TblUniv2017[B3],F$66,TblUniv2017[Program Pendidikan],$C$250)/$C$252*100%</f>
        <v>0</v>
      </c>
      <c r="G256" s="62">
        <f t="shared" si="9"/>
        <v>1</v>
      </c>
    </row>
    <row r="257" spans="2:7" ht="16.5" x14ac:dyDescent="0.3">
      <c r="B257" s="57" t="s">
        <v>29</v>
      </c>
      <c r="C257" s="66">
        <f>COUNTIFS(TblUniv2017[B4],C$66,TblUniv2017[Program Pendidikan],$C$250)/$C$252*100%</f>
        <v>0.36363636363636365</v>
      </c>
      <c r="D257" s="66">
        <f>COUNTIFS(TblUniv2017[B4],D$66,TblUniv2017[Program Pendidikan],$C$250)/$C$252*100%</f>
        <v>0.63636363636363635</v>
      </c>
      <c r="E257" s="66">
        <f>COUNTIFS(TblUniv2017[B4],E$66,TblUniv2017[Program Pendidikan],$C$250)/$C$252*100%</f>
        <v>0</v>
      </c>
      <c r="F257" s="66">
        <f>COUNTIFS(TblUniv2017[B4],F$66,TblUniv2017[Program Pendidikan],$C$250)/$C$252*100%</f>
        <v>0</v>
      </c>
      <c r="G257" s="62">
        <f t="shared" si="9"/>
        <v>1</v>
      </c>
    </row>
    <row r="258" spans="2:7" ht="16.5" x14ac:dyDescent="0.3">
      <c r="B258" s="57" t="s">
        <v>30</v>
      </c>
      <c r="C258" s="66">
        <f>COUNTIFS(TblUniv2017[B5],C$66,TblUniv2017[Program Pendidikan],$C$250)/$C$252*100%</f>
        <v>0.54545454545454541</v>
      </c>
      <c r="D258" s="66">
        <f>COUNTIFS(TblUniv2017[B5],D$66,TblUniv2017[Program Pendidikan],$C$250)/$C$252*100%</f>
        <v>0.45454545454545453</v>
      </c>
      <c r="E258" s="66">
        <f>COUNTIFS(TblUniv2017[B5],E$66,TblUniv2017[Program Pendidikan],$C$250)/$C$252*100%</f>
        <v>0</v>
      </c>
      <c r="F258" s="66">
        <f>COUNTIFS(TblUniv2017[B5],F$66,TblUniv2017[Program Pendidikan],$C$250)/$C$252*100%</f>
        <v>0</v>
      </c>
      <c r="G258" s="62">
        <f t="shared" si="9"/>
        <v>1</v>
      </c>
    </row>
    <row r="259" spans="2:7" ht="16.5" x14ac:dyDescent="0.3">
      <c r="B259" s="60"/>
      <c r="C259" s="61">
        <f>AVERAGE(C254:C258)</f>
        <v>0.47272727272727277</v>
      </c>
      <c r="D259" s="61">
        <f>AVERAGE(D254:D258)</f>
        <v>0.52727272727272723</v>
      </c>
      <c r="E259" s="61">
        <f>AVERAGE(E254:E258)</f>
        <v>0</v>
      </c>
      <c r="F259" s="61">
        <f>AVERAGE(F254:F258)</f>
        <v>0</v>
      </c>
      <c r="G259" s="62">
        <f t="shared" si="9"/>
        <v>1</v>
      </c>
    </row>
    <row r="260" spans="2:7" ht="16.5" x14ac:dyDescent="0.3">
      <c r="B260" s="57" t="s">
        <v>31</v>
      </c>
      <c r="C260" s="66">
        <f>COUNTIFS(TblUniv2017[C1],C$66,TblUniv2017[Program Pendidikan],$C$250)/$C$252*100%</f>
        <v>0.27272727272727271</v>
      </c>
      <c r="D260" s="66">
        <f>COUNTIFS(TblUniv2017[C1],D$66,TblUniv2017[Program Pendidikan],$C$250)/$C$252*100%</f>
        <v>0.72727272727272729</v>
      </c>
      <c r="E260" s="66">
        <f>COUNTIFS(TblUniv2017[C1],E$66,TblUniv2017[Program Pendidikan],$C$250)/$C$252*100%</f>
        <v>0</v>
      </c>
      <c r="F260" s="66">
        <f>COUNTIFS(TblUniv2017[C1],F$66,TblUniv2017[Program Pendidikan],$C$250)/$C$252*100%</f>
        <v>0</v>
      </c>
      <c r="G260" s="62">
        <f t="shared" si="9"/>
        <v>1</v>
      </c>
    </row>
    <row r="261" spans="2:7" ht="16.5" x14ac:dyDescent="0.3">
      <c r="B261" s="57" t="s">
        <v>32</v>
      </c>
      <c r="C261" s="66">
        <f>COUNTIFS(TblUniv2017[C2],C$66,TblUniv2017[Program Pendidikan],$C$250)/$C$252*100%</f>
        <v>0.63636363636363635</v>
      </c>
      <c r="D261" s="66">
        <f>COUNTIFS(TblUniv2017[C2],D$66,TblUniv2017[Program Pendidikan],$C$250)/$C$252*100%</f>
        <v>0.36363636363636365</v>
      </c>
      <c r="E261" s="66">
        <f>COUNTIFS(TblUniv2017[C2],E$66,TblUniv2017[Program Pendidikan],$C$250)/$C$252*100%</f>
        <v>0</v>
      </c>
      <c r="F261" s="66">
        <f>COUNTIFS(TblUniv2017[C2],F$66,TblUniv2017[Program Pendidikan],$C$250)/$C$252*100%</f>
        <v>0</v>
      </c>
      <c r="G261" s="62">
        <f t="shared" si="9"/>
        <v>1</v>
      </c>
    </row>
    <row r="262" spans="2:7" ht="16.5" x14ac:dyDescent="0.3">
      <c r="B262" s="60"/>
      <c r="C262" s="61">
        <f>AVERAGE(C260:C261)</f>
        <v>0.45454545454545453</v>
      </c>
      <c r="D262" s="61">
        <f>AVERAGE(D260:D261)</f>
        <v>0.54545454545454541</v>
      </c>
      <c r="E262" s="61">
        <f>AVERAGE(E260:E261)</f>
        <v>0</v>
      </c>
      <c r="F262" s="61">
        <f>AVERAGE(F260:F261)</f>
        <v>0</v>
      </c>
      <c r="G262" s="62">
        <f t="shared" si="9"/>
        <v>1</v>
      </c>
    </row>
    <row r="263" spans="2:7" ht="16.5" x14ac:dyDescent="0.3">
      <c r="B263" s="57" t="s">
        <v>33</v>
      </c>
      <c r="C263" s="66">
        <f>COUNTIFS(TblUniv2017[D1],C$66,TblUniv2017[Program Pendidikan],$C$250)/$C$252*100%</f>
        <v>9.0909090909090912E-2</v>
      </c>
      <c r="D263" s="66">
        <f>COUNTIFS(TblUniv2017[D1],D$66,TblUniv2017[Program Pendidikan],$C$250)/$C$252*100%</f>
        <v>0.81818181818181823</v>
      </c>
      <c r="E263" s="66">
        <f>COUNTIFS(TblUniv2017[D1],E$66,TblUniv2017[Program Pendidikan],$C$250)/$C$252*100%</f>
        <v>9.0909090909090912E-2</v>
      </c>
      <c r="F263" s="66">
        <f>COUNTIFS(TblUniv2017[D1],F$66,TblUniv2017[Program Pendidikan],$C$250)/$C$252*100%</f>
        <v>0</v>
      </c>
      <c r="G263" s="62">
        <f t="shared" si="9"/>
        <v>1</v>
      </c>
    </row>
    <row r="264" spans="2:7" ht="16.5" x14ac:dyDescent="0.3">
      <c r="B264" s="57" t="s">
        <v>34</v>
      </c>
      <c r="C264" s="66">
        <f>COUNTIFS(TblUniv2017[D2],C$66,TblUniv2017[Program Pendidikan],$C$250)/$C$252*100%</f>
        <v>9.0909090909090912E-2</v>
      </c>
      <c r="D264" s="66">
        <f>COUNTIFS(TblUniv2017[D2],D$66,TblUniv2017[Program Pendidikan],$C$250)/$C$252*100%</f>
        <v>0.81818181818181823</v>
      </c>
      <c r="E264" s="66">
        <f>COUNTIFS(TblUniv2017[D2],E$66,TblUniv2017[Program Pendidikan],$C$250)/$C$252*100%</f>
        <v>9.0909090909090912E-2</v>
      </c>
      <c r="F264" s="66">
        <f>COUNTIFS(TblUniv2017[D2],F$66,TblUniv2017[Program Pendidikan],$C$250)/$C$252*100%</f>
        <v>0</v>
      </c>
      <c r="G264" s="62">
        <f t="shared" si="9"/>
        <v>1</v>
      </c>
    </row>
    <row r="265" spans="2:7" ht="16.5" x14ac:dyDescent="0.3">
      <c r="B265" s="60"/>
      <c r="C265" s="61">
        <f>AVERAGE(C263:C264)</f>
        <v>9.0909090909090912E-2</v>
      </c>
      <c r="D265" s="61">
        <f>AVERAGE(D263:D264)</f>
        <v>0.81818181818181823</v>
      </c>
      <c r="E265" s="61">
        <f>AVERAGE(E263:E264)</f>
        <v>9.0909090909090912E-2</v>
      </c>
      <c r="F265" s="61">
        <f>AVERAGE(F263:F264)</f>
        <v>0</v>
      </c>
      <c r="G265" s="62">
        <f t="shared" si="9"/>
        <v>1</v>
      </c>
    </row>
    <row r="266" spans="2:7" ht="16.5" x14ac:dyDescent="0.3">
      <c r="B266" s="57" t="s">
        <v>35</v>
      </c>
      <c r="C266" s="66">
        <f>COUNTIFS(TblUniv2017[E1],C$66,TblUniv2017[Program Pendidikan],$C$250)/$C$252*100%</f>
        <v>0.36363636363636365</v>
      </c>
      <c r="D266" s="66">
        <f>COUNTIFS(TblUniv2017[E1],D$66,TblUniv2017[Program Pendidikan],$C$250)/$C$252*100%</f>
        <v>0.63636363636363635</v>
      </c>
      <c r="E266" s="66">
        <f>COUNTIFS(TblUniv2017[E1],E$66,TblUniv2017[Program Pendidikan],$C$250)/$C$252*100%</f>
        <v>0</v>
      </c>
      <c r="F266" s="66">
        <f>COUNTIFS(TblUniv2017[E1],F$66,TblUniv2017[Program Pendidikan],$C$250)/$C$252*100%</f>
        <v>0</v>
      </c>
      <c r="G266" s="62">
        <f t="shared" si="9"/>
        <v>1</v>
      </c>
    </row>
    <row r="267" spans="2:7" ht="16.5" x14ac:dyDescent="0.3">
      <c r="B267" s="57" t="s">
        <v>36</v>
      </c>
      <c r="C267" s="66">
        <f>COUNTIFS(TblUniv2017[E2],C$66,TblUniv2017[Program Pendidikan],$C$250)/$C$252*100%</f>
        <v>0.45454545454545453</v>
      </c>
      <c r="D267" s="66">
        <f>COUNTIFS(TblUniv2017[E2],D$66,TblUniv2017[Program Pendidikan],$C$250)/$C$252*100%</f>
        <v>0.54545454545454541</v>
      </c>
      <c r="E267" s="66">
        <f>COUNTIFS(TblUniv2017[E2],E$66,TblUniv2017[Program Pendidikan],$C$250)/$C$252*100%</f>
        <v>0</v>
      </c>
      <c r="F267" s="66">
        <f>COUNTIFS(TblUniv2017[E2],F$66,TblUniv2017[Program Pendidikan],$C$250)/$C$252*100%</f>
        <v>0</v>
      </c>
      <c r="G267" s="62">
        <f t="shared" si="9"/>
        <v>1</v>
      </c>
    </row>
    <row r="268" spans="2:7" ht="16.5" x14ac:dyDescent="0.3">
      <c r="B268" s="60"/>
      <c r="C268" s="61">
        <f>AVERAGE(C266:C267)</f>
        <v>0.40909090909090906</v>
      </c>
      <c r="D268" s="61">
        <f>AVERAGE(D266:D267)</f>
        <v>0.59090909090909083</v>
      </c>
      <c r="E268" s="61">
        <f>AVERAGE(E266:E267)</f>
        <v>0</v>
      </c>
      <c r="F268" s="61">
        <f>AVERAGE(F266:F267)</f>
        <v>0</v>
      </c>
      <c r="G268" s="62">
        <f t="shared" si="9"/>
        <v>0.99999999999999989</v>
      </c>
    </row>
    <row r="269" spans="2:7" ht="16.5" x14ac:dyDescent="0.3">
      <c r="B269" s="57" t="s">
        <v>37</v>
      </c>
      <c r="C269" s="66">
        <f>COUNTIFS(TblUniv2017[F1],C$66,TblUniv2017[Program Pendidikan],$C$250)/$C$252*100%</f>
        <v>9.0909090909090912E-2</v>
      </c>
      <c r="D269" s="66">
        <f>COUNTIFS(TblUniv2017[F1],D$66,TblUniv2017[Program Pendidikan],$C$250)/$C$252*100%</f>
        <v>0.90909090909090906</v>
      </c>
      <c r="E269" s="66">
        <f>COUNTIFS(TblUniv2017[F1],E$66,TblUniv2017[Program Pendidikan],$C$250)/$C$252*100%</f>
        <v>0</v>
      </c>
      <c r="F269" s="66">
        <f>COUNTIFS(TblUniv2017[F1],F$66,TblUniv2017[Program Pendidikan],$C$250)/$C$252*100%</f>
        <v>0</v>
      </c>
      <c r="G269" s="62">
        <f t="shared" si="9"/>
        <v>1</v>
      </c>
    </row>
    <row r="270" spans="2:7" ht="16.5" x14ac:dyDescent="0.3">
      <c r="B270" s="57" t="s">
        <v>38</v>
      </c>
      <c r="C270" s="66">
        <f>COUNTIFS(TblUniv2017[F2],C$66,TblUniv2017[Program Pendidikan],$C$250)/$C$252*100%</f>
        <v>0.27272727272727271</v>
      </c>
      <c r="D270" s="66">
        <f>COUNTIFS(TblUniv2017[F2],D$66,TblUniv2017[Program Pendidikan],$C$250)/$C$252*100%</f>
        <v>0.72727272727272729</v>
      </c>
      <c r="E270" s="66">
        <f>COUNTIFS(TblUniv2017[F2],E$66,TblUniv2017[Program Pendidikan],$C$250)/$C$252*100%</f>
        <v>0</v>
      </c>
      <c r="F270" s="66">
        <f>COUNTIFS(TblUniv2017[F2],F$66,TblUniv2017[Program Pendidikan],$C$250)/$C$252*100%</f>
        <v>0</v>
      </c>
      <c r="G270" s="62">
        <f t="shared" si="9"/>
        <v>1</v>
      </c>
    </row>
    <row r="271" spans="2:7" ht="16.5" x14ac:dyDescent="0.3">
      <c r="B271" s="57" t="s">
        <v>39</v>
      </c>
      <c r="C271" s="66">
        <f>COUNTIFS(TblUniv2017[F3],C$66,TblUniv2017[Program Pendidikan],$C$250)/$C$252*100%</f>
        <v>0.27272727272727271</v>
      </c>
      <c r="D271" s="66">
        <f>COUNTIFS(TblUniv2017[F3],D$66,TblUniv2017[Program Pendidikan],$C$250)/$C$252*100%</f>
        <v>0.72727272727272729</v>
      </c>
      <c r="E271" s="66">
        <f>COUNTIFS(TblUniv2017[F3],E$66,TblUniv2017[Program Pendidikan],$C$250)/$C$252*100%</f>
        <v>0</v>
      </c>
      <c r="F271" s="66">
        <f>COUNTIFS(TblUniv2017[F3],F$66,TblUniv2017[Program Pendidikan],$C$250)/$C$252*100%</f>
        <v>0</v>
      </c>
      <c r="G271" s="62">
        <f t="shared" si="9"/>
        <v>1</v>
      </c>
    </row>
    <row r="272" spans="2:7" ht="16.5" x14ac:dyDescent="0.3">
      <c r="B272" s="60"/>
      <c r="C272" s="61">
        <f>AVERAGE(C269:C271)</f>
        <v>0.21212121212121213</v>
      </c>
      <c r="D272" s="61">
        <f>AVERAGE(D269:D271)</f>
        <v>0.78787878787878773</v>
      </c>
      <c r="E272" s="61">
        <f>AVERAGE(E269:E271)</f>
        <v>0</v>
      </c>
      <c r="F272" s="61">
        <f>AVERAGE(F269:F271)</f>
        <v>0</v>
      </c>
      <c r="G272" s="62">
        <f t="shared" si="9"/>
        <v>0.99999999999999989</v>
      </c>
    </row>
    <row r="273" spans="2:7" ht="16.5" x14ac:dyDescent="0.3">
      <c r="B273" s="57" t="s">
        <v>40</v>
      </c>
      <c r="C273" s="66">
        <f>COUNTIFS(TblUniv2017[G1],C$66,TblUniv2017[Program Pendidikan],$C$250)/$C$252*100%</f>
        <v>0.45454545454545453</v>
      </c>
      <c r="D273" s="66">
        <f>COUNTIFS(TblUniv2017[G1],D$66,TblUniv2017[Program Pendidikan],$C$250)/$C$252*100%</f>
        <v>0.54545454545454541</v>
      </c>
      <c r="E273" s="66">
        <f>COUNTIFS(TblUniv2017[G1],E$66,TblUniv2017[Program Pendidikan],$C$250)/$C$252*100%</f>
        <v>0</v>
      </c>
      <c r="F273" s="66">
        <f>COUNTIFS(TblUniv2017[G1],F$66,TblUniv2017[Program Pendidikan],$C$250)/$C$252*100%</f>
        <v>0</v>
      </c>
      <c r="G273" s="62">
        <f t="shared" si="9"/>
        <v>1</v>
      </c>
    </row>
    <row r="274" spans="2:7" ht="16.5" x14ac:dyDescent="0.3">
      <c r="B274" s="57" t="s">
        <v>41</v>
      </c>
      <c r="C274" s="66">
        <f>COUNTIFS(TblUniv2017[G2],C$66,TblUniv2017[Program Pendidikan],$C$250)/$C$252*100%</f>
        <v>0.18181818181818182</v>
      </c>
      <c r="D274" s="66">
        <f>COUNTIFS(TblUniv2017[G2],D$66,TblUniv2017[Program Pendidikan],$C$250)/$C$252*100%</f>
        <v>0.81818181818181823</v>
      </c>
      <c r="E274" s="66">
        <f>COUNTIFS(TblUniv2017[G2],E$66,TblUniv2017[Program Pendidikan],$C$250)/$C$252*100%</f>
        <v>0</v>
      </c>
      <c r="F274" s="66">
        <f>COUNTIFS(TblUniv2017[G2],F$66,TblUniv2017[Program Pendidikan],$C$250)/$C$252*100%</f>
        <v>0</v>
      </c>
      <c r="G274" s="62">
        <f t="shared" si="9"/>
        <v>1</v>
      </c>
    </row>
    <row r="275" spans="2:7" ht="16.5" x14ac:dyDescent="0.3">
      <c r="B275" s="60"/>
      <c r="C275" s="61">
        <f>AVERAGE(C273:C274)</f>
        <v>0.31818181818181818</v>
      </c>
      <c r="D275" s="61">
        <f>AVERAGE(D273:D274)</f>
        <v>0.68181818181818188</v>
      </c>
      <c r="E275" s="61">
        <f>AVERAGE(E273:E274)</f>
        <v>0</v>
      </c>
      <c r="F275" s="61">
        <f>AVERAGE(F273:F274)</f>
        <v>0</v>
      </c>
      <c r="G275" s="62">
        <f t="shared" si="9"/>
        <v>1</v>
      </c>
    </row>
    <row r="276" spans="2:7" ht="16.5" x14ac:dyDescent="0.3">
      <c r="B276" s="57" t="s">
        <v>42</v>
      </c>
      <c r="C276" s="66">
        <f>COUNTIFS(TblUniv2017[H1],C$66,TblUniv2017[Program Pendidikan],$C$250)/$C$252*100%</f>
        <v>0.36363636363636365</v>
      </c>
      <c r="D276" s="66">
        <f>COUNTIFS(TblUniv2017[H1],D$66,TblUniv2017[Program Pendidikan],$C$250)/$C$252*100%</f>
        <v>0.63636363636363635</v>
      </c>
      <c r="E276" s="66">
        <f>COUNTIFS(TblUniv2017[H1],E$66,TblUniv2017[Program Pendidikan],$C$250)/$C$252*100%</f>
        <v>0</v>
      </c>
      <c r="F276" s="66">
        <f>COUNTIFS(TblUniv2017[H1],F$66,TblUniv2017[Program Pendidikan],$C$250)/$C$252*100%</f>
        <v>0</v>
      </c>
      <c r="G276" s="62">
        <f t="shared" si="9"/>
        <v>1</v>
      </c>
    </row>
    <row r="277" spans="2:7" ht="16.5" x14ac:dyDescent="0.3">
      <c r="B277" s="57" t="s">
        <v>43</v>
      </c>
      <c r="C277" s="66">
        <f>COUNTIFS(TblUniv2017[H1],C$66,TblUniv2017[Program Pendidikan],$C$250)/$C$252*100%</f>
        <v>0.36363636363636365</v>
      </c>
      <c r="D277" s="66">
        <f>COUNTIFS(TblUniv2017[H1],D$66,TblUniv2017[Program Pendidikan],$C$250)/$C$252*100%</f>
        <v>0.63636363636363635</v>
      </c>
      <c r="E277" s="66">
        <f>COUNTIFS(TblUniv2017[H1],E$66,TblUniv2017[Program Pendidikan],$C$250)/$C$252*100%</f>
        <v>0</v>
      </c>
      <c r="F277" s="66">
        <f>COUNTIFS(TblUniv2017[H1],F$66,TblUniv2017[Program Pendidikan],$C$250)/$C$252*100%</f>
        <v>0</v>
      </c>
      <c r="G277" s="62">
        <f t="shared" si="9"/>
        <v>1</v>
      </c>
    </row>
    <row r="278" spans="2:7" ht="16.5" x14ac:dyDescent="0.3">
      <c r="B278" s="57" t="s">
        <v>44</v>
      </c>
      <c r="C278" s="66">
        <f>COUNTIFS(TblUniv2017[H3],C$66,TblUniv2017[Program Pendidikan],$C$250)/$C$252*100%</f>
        <v>0.27272727272727271</v>
      </c>
      <c r="D278" s="66">
        <f>COUNTIFS(TblUniv2017[H3],D$66,TblUniv2017[Program Pendidikan],$C$250)/$C$252*100%</f>
        <v>0.72727272727272729</v>
      </c>
      <c r="E278" s="66">
        <f>COUNTIFS(TblUniv2017[H3],E$66,TblUniv2017[Program Pendidikan],$C$250)/$C$252*100%</f>
        <v>0</v>
      </c>
      <c r="F278" s="66">
        <f>COUNTIFS(TblUniv2017[H3],F$66,TblUniv2017[Program Pendidikan],$C$250)/$C$252*100%</f>
        <v>0</v>
      </c>
      <c r="G278" s="62">
        <f t="shared" si="9"/>
        <v>1</v>
      </c>
    </row>
    <row r="279" spans="2:7" ht="16.5" x14ac:dyDescent="0.3">
      <c r="B279" s="57" t="s">
        <v>45</v>
      </c>
      <c r="C279" s="66">
        <f>COUNTIFS(TblUniv2017[H4],C$66,TblUniv2017[Program Pendidikan],$C$250)/$C$252*100%</f>
        <v>0.45454545454545453</v>
      </c>
      <c r="D279" s="66">
        <f>COUNTIFS(TblUniv2017[H4],D$66,TblUniv2017[Program Pendidikan],$C$250)/$C$252*100%</f>
        <v>0.45454545454545453</v>
      </c>
      <c r="E279" s="66">
        <f>COUNTIFS(TblUniv2017[H4],E$66,TblUniv2017[Program Pendidikan],$C$250)/$C$252*100%</f>
        <v>9.0909090909090912E-2</v>
      </c>
      <c r="F279" s="66">
        <f>COUNTIFS(TblUniv2017[H4],F$66,TblUniv2017[Program Pendidikan],$C$250)/$C$252*100%</f>
        <v>0</v>
      </c>
      <c r="G279" s="62">
        <f t="shared" si="9"/>
        <v>1</v>
      </c>
    </row>
    <row r="280" spans="2:7" ht="16.5" x14ac:dyDescent="0.3">
      <c r="B280" s="60"/>
      <c r="C280" s="61">
        <f>AVERAGE(C276:C279)</f>
        <v>0.36363636363636365</v>
      </c>
      <c r="D280" s="61">
        <f>AVERAGE(D276:D279)</f>
        <v>0.61363636363636365</v>
      </c>
      <c r="E280" s="61">
        <f>AVERAGE(E276:E279)</f>
        <v>2.2727272727272728E-2</v>
      </c>
      <c r="F280" s="61">
        <f>AVERAGE(F276:F279)</f>
        <v>0</v>
      </c>
      <c r="G280" s="62">
        <f t="shared" si="9"/>
        <v>1</v>
      </c>
    </row>
    <row r="281" spans="2:7" ht="16.5" x14ac:dyDescent="0.3">
      <c r="B281" s="57" t="s">
        <v>648</v>
      </c>
      <c r="C281" s="66">
        <f>COUNTIFS(TblUniv2017[I. a1],C$66,TblUniv2017[Program Pendidikan],$C$250)/$C$252*100%</f>
        <v>0.45454545454545453</v>
      </c>
      <c r="D281" s="66">
        <f>COUNTIFS(TblUniv2017[I. a1],D$66,TblUniv2017[Program Pendidikan],$C$250)/$C$252*100%</f>
        <v>0.45454545454545453</v>
      </c>
      <c r="E281" s="66">
        <f>COUNTIFS(TblUniv2017[I. a1],E$66,TblUniv2017[Program Pendidikan],$C$250)/$C$252*100%</f>
        <v>9.0909090909090912E-2</v>
      </c>
      <c r="F281" s="66">
        <f>COUNTIFS(TblUniv2017[I. a1],F$66,TblUniv2017[Program Pendidikan],$C$250)/$C$252*100%</f>
        <v>0</v>
      </c>
      <c r="G281" s="62">
        <f t="shared" si="9"/>
        <v>1</v>
      </c>
    </row>
    <row r="282" spans="2:7" ht="16.5" x14ac:dyDescent="0.3">
      <c r="B282" s="57" t="s">
        <v>649</v>
      </c>
      <c r="C282" s="66">
        <f>COUNTIFS(TblUniv2017[I. a2],C$66,TblUniv2017[Program Pendidikan],$C$250)/$C$252*100%</f>
        <v>0.45454545454545453</v>
      </c>
      <c r="D282" s="66">
        <f>COUNTIFS(TblUniv2017[I. a2],D$66,TblUniv2017[Program Pendidikan],$C$250)/$C$252*100%</f>
        <v>0.54545454545454541</v>
      </c>
      <c r="E282" s="66">
        <f>COUNTIFS(TblUniv2017[I. a2],E$66,TblUniv2017[Program Pendidikan],$C$250)/$C$252*100%</f>
        <v>0</v>
      </c>
      <c r="F282" s="66">
        <f>COUNTIFS(TblUniv2017[I. a2],F$66,TblUniv2017[Program Pendidikan],$C$250)/$C$252*100%</f>
        <v>0</v>
      </c>
      <c r="G282" s="62">
        <f t="shared" si="9"/>
        <v>1</v>
      </c>
    </row>
    <row r="283" spans="2:7" ht="16.5" x14ac:dyDescent="0.3">
      <c r="B283" s="57" t="s">
        <v>650</v>
      </c>
      <c r="C283" s="66">
        <f>COUNTIFS(TblUniv2017[I. a3],C$66,TblUniv2017[Program Pendidikan],$C$250)/$C$252*100%</f>
        <v>0.72727272727272729</v>
      </c>
      <c r="D283" s="66">
        <f>COUNTIFS(TblUniv2017[I. a3],D$66,TblUniv2017[Program Pendidikan],$C$250)/$C$252*100%</f>
        <v>0.27272727272727271</v>
      </c>
      <c r="E283" s="66">
        <f>COUNTIFS(TblUniv2017[I. a3],E$66,TblUniv2017[Program Pendidikan],$C$250)/$C$252*100%</f>
        <v>0</v>
      </c>
      <c r="F283" s="66">
        <f>COUNTIFS(TblUniv2017[I. a3],F$66,TblUniv2017[Program Pendidikan],$C$250)/$C$252*100%</f>
        <v>0</v>
      </c>
      <c r="G283" s="62">
        <f t="shared" si="9"/>
        <v>1</v>
      </c>
    </row>
    <row r="284" spans="2:7" ht="16.5" x14ac:dyDescent="0.3">
      <c r="B284" s="57" t="s">
        <v>651</v>
      </c>
      <c r="C284" s="66">
        <f>COUNTIFS(TblUniv2017[I. a4],C$66,TblUniv2017[Program Pendidikan],$C$250)/$C$252*100%</f>
        <v>0.45454545454545453</v>
      </c>
      <c r="D284" s="66">
        <f>COUNTIFS(TblUniv2017[I. a4],D$66,TblUniv2017[Program Pendidikan],$C$250)/$C$252*100%</f>
        <v>0.54545454545454541</v>
      </c>
      <c r="E284" s="66">
        <f>COUNTIFS(TblUniv2017[I. a4],E$66,TblUniv2017[Program Pendidikan],$C$250)/$C$252*100%</f>
        <v>0</v>
      </c>
      <c r="F284" s="66">
        <f>COUNTIFS(TblUniv2017[I. a4],F$66,TblUniv2017[Program Pendidikan],$C$250)/$C$252*100%</f>
        <v>0</v>
      </c>
      <c r="G284" s="62">
        <f t="shared" si="9"/>
        <v>1</v>
      </c>
    </row>
    <row r="285" spans="2:7" ht="16.5" x14ac:dyDescent="0.3">
      <c r="B285" s="57" t="s">
        <v>652</v>
      </c>
      <c r="C285" s="66">
        <f>COUNTIFS(TblUniv2017[I. a5],C$66,TblUniv2017[Program Pendidikan],$C$250)/$C$252*100%</f>
        <v>0.45454545454545453</v>
      </c>
      <c r="D285" s="66">
        <f>COUNTIFS(TblUniv2017[I. a5],D$66,TblUniv2017[Program Pendidikan],$C$250)/$C$252*100%</f>
        <v>0.54545454545454541</v>
      </c>
      <c r="E285" s="66">
        <f>COUNTIFS(TblUniv2017[I. a5],E$66,TblUniv2017[Program Pendidikan],$C$250)/$C$252*100%</f>
        <v>0</v>
      </c>
      <c r="F285" s="66">
        <f>COUNTIFS(TblUniv2017[I. a5],F$66,TblUniv2017[Program Pendidikan],$C$250)/$C$252*100%</f>
        <v>0</v>
      </c>
      <c r="G285" s="62">
        <f t="shared" si="9"/>
        <v>1</v>
      </c>
    </row>
    <row r="286" spans="2:7" ht="16.5" x14ac:dyDescent="0.3">
      <c r="B286" s="60"/>
      <c r="C286" s="61">
        <f>AVERAGE(C281:C285)</f>
        <v>0.50909090909090904</v>
      </c>
      <c r="D286" s="61">
        <f>AVERAGE(D281:D285)</f>
        <v>0.47272727272727266</v>
      </c>
      <c r="E286" s="61">
        <f>AVERAGE(E281:E285)</f>
        <v>1.8181818181818181E-2</v>
      </c>
      <c r="F286" s="61">
        <f>AVERAGE(F281:F285)</f>
        <v>0</v>
      </c>
      <c r="G286" s="62">
        <f t="shared" si="9"/>
        <v>0.99999999999999989</v>
      </c>
    </row>
    <row r="287" spans="2:7" ht="16.5" x14ac:dyDescent="0.3">
      <c r="B287" s="57" t="s">
        <v>653</v>
      </c>
      <c r="C287" s="66">
        <f>COUNTIFS(TblUniv2017[I. b1],C$66,TblUniv2017[Program Pendidikan],$C$250)/$C$252*100%</f>
        <v>0.54545454545454541</v>
      </c>
      <c r="D287" s="66">
        <f>COUNTIFS(TblUniv2017[I. b1],D$66,TblUniv2017[Program Pendidikan],$C$250)/$C$252*100%</f>
        <v>0.36363636363636365</v>
      </c>
      <c r="E287" s="66">
        <f>COUNTIFS(TblUniv2017[I. b1],E$66,TblUniv2017[Program Pendidikan],$C$250)/$C$252*100%</f>
        <v>9.0909090909090912E-2</v>
      </c>
      <c r="F287" s="66">
        <f>COUNTIFS(TblUniv2017[I. b1],F$66,TblUniv2017[Program Pendidikan],$C$250)/$C$252*100%</f>
        <v>0</v>
      </c>
      <c r="G287" s="62">
        <f t="shared" si="9"/>
        <v>1</v>
      </c>
    </row>
    <row r="288" spans="2:7" ht="16.5" x14ac:dyDescent="0.3">
      <c r="B288" s="57" t="s">
        <v>654</v>
      </c>
      <c r="C288" s="66">
        <f>COUNTIFS(TblUniv2017[I. b2],C$66,TblUniv2017[Program Pendidikan],$C$250)/$C$252*100%</f>
        <v>0.45454545454545453</v>
      </c>
      <c r="D288" s="66">
        <f>COUNTIFS(TblUniv2017[I. b2],D$66,TblUniv2017[Program Pendidikan],$C$250)/$C$252*100%</f>
        <v>0.54545454545454541</v>
      </c>
      <c r="E288" s="66">
        <f>COUNTIFS(TblUniv2017[I. b2],E$66,TblUniv2017[Program Pendidikan],$C$250)/$C$252*100%</f>
        <v>0</v>
      </c>
      <c r="F288" s="66">
        <f>COUNTIFS(TblUniv2017[I. b2],F$66,TblUniv2017[Program Pendidikan],$C$250)/$C$252*100%</f>
        <v>0</v>
      </c>
      <c r="G288" s="62">
        <f t="shared" si="9"/>
        <v>1</v>
      </c>
    </row>
    <row r="289" spans="2:7" ht="16.5" x14ac:dyDescent="0.3">
      <c r="B289" s="57" t="s">
        <v>655</v>
      </c>
      <c r="C289" s="66">
        <f>COUNTIFS(TblUniv2017[I. b3],C$66,TblUniv2017[Program Pendidikan],$C$250)/$C$252*100%</f>
        <v>0.54545454545454541</v>
      </c>
      <c r="D289" s="66">
        <f>COUNTIFS(TblUniv2017[I. b3],D$66,TblUniv2017[Program Pendidikan],$C$250)/$C$252*100%</f>
        <v>0.36363636363636365</v>
      </c>
      <c r="E289" s="66">
        <f>COUNTIFS(TblUniv2017[I. b3],E$66,TblUniv2017[Program Pendidikan],$C$250)/$C$252*100%</f>
        <v>9.0909090909090912E-2</v>
      </c>
      <c r="F289" s="66">
        <f>COUNTIFS(TblUniv2017[I. b3],F$66,TblUniv2017[Program Pendidikan],$C$250)/$C$252*100%</f>
        <v>0</v>
      </c>
      <c r="G289" s="62">
        <f t="shared" si="9"/>
        <v>1</v>
      </c>
    </row>
    <row r="290" spans="2:7" ht="16.5" x14ac:dyDescent="0.3">
      <c r="B290" s="57" t="s">
        <v>656</v>
      </c>
      <c r="C290" s="66">
        <f>COUNTIFS(TblUniv2017[I. b4],C$66,TblUniv2017[Program Pendidikan],$C$250)/$C$252*100%</f>
        <v>0.45454545454545453</v>
      </c>
      <c r="D290" s="66">
        <f>COUNTIFS(TblUniv2017[I. b4],D$66,TblUniv2017[Program Pendidikan],$C$250)/$C$252*100%</f>
        <v>0.54545454545454541</v>
      </c>
      <c r="E290" s="66">
        <f>COUNTIFS(TblUniv2017[I. b4],E$66,TblUniv2017[Program Pendidikan],$C$250)/$C$252*100%</f>
        <v>0</v>
      </c>
      <c r="F290" s="66">
        <f>COUNTIFS(TblUniv2017[I. b4],F$66,TblUniv2017[Program Pendidikan],$C$250)/$C$252*100%</f>
        <v>0</v>
      </c>
      <c r="G290" s="62">
        <f t="shared" si="9"/>
        <v>1</v>
      </c>
    </row>
    <row r="291" spans="2:7" ht="17.25" thickBot="1" x14ac:dyDescent="0.35">
      <c r="B291" s="67"/>
      <c r="C291" s="68">
        <f>AVERAGE(C287:C290)</f>
        <v>0.5</v>
      </c>
      <c r="D291" s="68">
        <f>AVERAGE(D287:D290)</f>
        <v>0.45454545454545453</v>
      </c>
      <c r="E291" s="68">
        <f>AVERAGE(E287:E290)</f>
        <v>4.5454545454545456E-2</v>
      </c>
      <c r="F291" s="68">
        <f>AVERAGE(F287:F290)</f>
        <v>0</v>
      </c>
      <c r="G291" s="62">
        <f t="shared" si="9"/>
        <v>1</v>
      </c>
    </row>
    <row r="292" spans="2:7" ht="15.75" thickBot="1" x14ac:dyDescent="0.3"/>
    <row r="293" spans="2:7" ht="17.25" thickBot="1" x14ac:dyDescent="0.3">
      <c r="B293" s="64" t="s">
        <v>14</v>
      </c>
      <c r="C293" s="65" t="str">
        <f>C250</f>
        <v>Diploma Tiga</v>
      </c>
      <c r="G293" s="1" t="s">
        <v>73</v>
      </c>
    </row>
    <row r="294" spans="2:7" ht="33.75" thickBot="1" x14ac:dyDescent="0.3">
      <c r="B294" s="64" t="s">
        <v>647</v>
      </c>
      <c r="C294" s="65">
        <f>C251</f>
        <v>2017</v>
      </c>
      <c r="G294" s="83" t="s">
        <v>128</v>
      </c>
    </row>
    <row r="295" spans="2:7" ht="17.25" thickBot="1" x14ac:dyDescent="0.3">
      <c r="B295" s="64" t="s">
        <v>646</v>
      </c>
      <c r="C295" s="65">
        <f>C252</f>
        <v>11</v>
      </c>
    </row>
    <row r="296" spans="2:7" ht="15.75" thickBot="1" x14ac:dyDescent="0.3">
      <c r="B296" s="222" t="s">
        <v>658</v>
      </c>
      <c r="C296" s="223" t="s">
        <v>664</v>
      </c>
      <c r="D296" s="223"/>
      <c r="E296" s="223"/>
      <c r="F296" s="223"/>
    </row>
    <row r="297" spans="2:7" ht="15.75" thickBot="1" x14ac:dyDescent="0.3">
      <c r="B297" s="222"/>
      <c r="C297" s="72" t="s">
        <v>645</v>
      </c>
      <c r="D297" s="72" t="s">
        <v>665</v>
      </c>
      <c r="E297" s="72" t="s">
        <v>666</v>
      </c>
      <c r="F297" s="72" t="s">
        <v>667</v>
      </c>
    </row>
    <row r="298" spans="2:7" x14ac:dyDescent="0.25">
      <c r="B298" s="73">
        <v>2</v>
      </c>
      <c r="C298" s="71">
        <v>3</v>
      </c>
      <c r="D298" s="71">
        <v>4</v>
      </c>
      <c r="E298" s="71">
        <v>5</v>
      </c>
      <c r="F298" s="74">
        <v>6</v>
      </c>
    </row>
    <row r="299" spans="2:7" x14ac:dyDescent="0.25">
      <c r="B299" s="75" t="s">
        <v>659</v>
      </c>
      <c r="C299" s="58">
        <f>C259</f>
        <v>0.47272727272727277</v>
      </c>
      <c r="D299" s="58">
        <f>D259</f>
        <v>0.52727272727272723</v>
      </c>
      <c r="E299" s="58">
        <f>E259</f>
        <v>0</v>
      </c>
      <c r="F299" s="59">
        <f>F259</f>
        <v>0</v>
      </c>
    </row>
    <row r="300" spans="2:7" x14ac:dyDescent="0.25">
      <c r="B300" s="75" t="s">
        <v>660</v>
      </c>
      <c r="C300" s="58">
        <f>C262</f>
        <v>0.45454545454545453</v>
      </c>
      <c r="D300" s="58">
        <f>D262</f>
        <v>0.54545454545454541</v>
      </c>
      <c r="E300" s="58">
        <f>E262</f>
        <v>0</v>
      </c>
      <c r="F300" s="59">
        <f>F262</f>
        <v>0</v>
      </c>
    </row>
    <row r="301" spans="2:7" x14ac:dyDescent="0.25">
      <c r="B301" s="75" t="s">
        <v>661</v>
      </c>
      <c r="C301" s="58">
        <f>C265</f>
        <v>9.0909090909090912E-2</v>
      </c>
      <c r="D301" s="58">
        <f>D265</f>
        <v>0.81818181818181823</v>
      </c>
      <c r="E301" s="58">
        <f>E265</f>
        <v>9.0909090909090912E-2</v>
      </c>
      <c r="F301" s="59">
        <f>F265</f>
        <v>0</v>
      </c>
    </row>
    <row r="302" spans="2:7" x14ac:dyDescent="0.25">
      <c r="B302" s="75" t="s">
        <v>662</v>
      </c>
      <c r="C302" s="58">
        <f>C268</f>
        <v>0.40909090909090906</v>
      </c>
      <c r="D302" s="58">
        <f>D268</f>
        <v>0.59090909090909083</v>
      </c>
      <c r="E302" s="58">
        <f>E268</f>
        <v>0</v>
      </c>
      <c r="F302" s="59">
        <f>F268</f>
        <v>0</v>
      </c>
    </row>
    <row r="303" spans="2:7" x14ac:dyDescent="0.25">
      <c r="B303" s="75" t="s">
        <v>663</v>
      </c>
      <c r="C303" s="58">
        <f>C272</f>
        <v>0.21212121212121213</v>
      </c>
      <c r="D303" s="58">
        <f>D272</f>
        <v>0.78787878787878773</v>
      </c>
      <c r="E303" s="58">
        <f>E272</f>
        <v>0</v>
      </c>
      <c r="F303" s="59">
        <f>F272</f>
        <v>0</v>
      </c>
    </row>
    <row r="304" spans="2:7" x14ac:dyDescent="0.25">
      <c r="B304" s="75" t="s">
        <v>617</v>
      </c>
      <c r="C304" s="58">
        <f>C275</f>
        <v>0.31818181818181818</v>
      </c>
      <c r="D304" s="58">
        <f>D275</f>
        <v>0.68181818181818188</v>
      </c>
      <c r="E304" s="58">
        <f>E275</f>
        <v>0</v>
      </c>
      <c r="F304" s="59">
        <f>F275</f>
        <v>0</v>
      </c>
    </row>
    <row r="305" spans="2:6" x14ac:dyDescent="0.25">
      <c r="B305" s="75" t="s">
        <v>330</v>
      </c>
      <c r="C305" s="58">
        <f>C280</f>
        <v>0.36363636363636365</v>
      </c>
      <c r="D305" s="58">
        <f>D280</f>
        <v>0.61363636363636365</v>
      </c>
      <c r="E305" s="58">
        <f>E280</f>
        <v>2.2727272727272728E-2</v>
      </c>
      <c r="F305" s="59">
        <f>F280</f>
        <v>0</v>
      </c>
    </row>
    <row r="306" spans="2:6" x14ac:dyDescent="0.25">
      <c r="B306" s="75" t="s">
        <v>68</v>
      </c>
      <c r="C306" s="58">
        <f>C286</f>
        <v>0.50909090909090904</v>
      </c>
      <c r="D306" s="58">
        <f>D286</f>
        <v>0.47272727272727266</v>
      </c>
      <c r="E306" s="58">
        <f>E286</f>
        <v>1.8181818181818181E-2</v>
      </c>
      <c r="F306" s="59">
        <f>F286</f>
        <v>0</v>
      </c>
    </row>
    <row r="307" spans="2:6" ht="15.75" thickBot="1" x14ac:dyDescent="0.3">
      <c r="B307" s="76" t="s">
        <v>68</v>
      </c>
      <c r="C307" s="77">
        <f>C291</f>
        <v>0.5</v>
      </c>
      <c r="D307" s="77">
        <f>D291</f>
        <v>0.45454545454545453</v>
      </c>
      <c r="E307" s="77">
        <f>E291</f>
        <v>4.5454545454545456E-2</v>
      </c>
      <c r="F307" s="78">
        <f>F291</f>
        <v>0</v>
      </c>
    </row>
    <row r="308" spans="2:6" x14ac:dyDescent="0.25">
      <c r="B308" s="79" t="s">
        <v>669</v>
      </c>
      <c r="C308" s="81">
        <f>SUM(C299:C307)</f>
        <v>3.3303030303030301</v>
      </c>
      <c r="D308" s="81">
        <f>SUM(D299:D307)</f>
        <v>5.4924242424242413</v>
      </c>
      <c r="E308" s="81">
        <f>SUM(E299:E307)</f>
        <v>0.1772727272727273</v>
      </c>
      <c r="F308" s="84">
        <f>SUM(F299:F307)</f>
        <v>0</v>
      </c>
    </row>
    <row r="309" spans="2:6" ht="15.75" thickBot="1" x14ac:dyDescent="0.3">
      <c r="B309" s="80" t="s">
        <v>670</v>
      </c>
      <c r="C309" s="82">
        <f>AVERAGE(C299:C307)</f>
        <v>0.37003367003366999</v>
      </c>
      <c r="D309" s="82">
        <f>AVERAGE(D299:D307)</f>
        <v>0.61026936026936018</v>
      </c>
      <c r="E309" s="82">
        <f>AVERAGE(E299:E307)</f>
        <v>1.9696969696969699E-2</v>
      </c>
      <c r="F309" s="85">
        <f>AVERAGE(F299:F307)</f>
        <v>0</v>
      </c>
    </row>
  </sheetData>
  <mergeCells count="33">
    <mergeCell ref="AA1:AC1"/>
    <mergeCell ref="G1:O1"/>
    <mergeCell ref="P1:T1"/>
    <mergeCell ref="U1:V1"/>
    <mergeCell ref="W1:X1"/>
    <mergeCell ref="Y1:Z1"/>
    <mergeCell ref="BC1:BE1"/>
    <mergeCell ref="B109:B110"/>
    <mergeCell ref="C109:F109"/>
    <mergeCell ref="I109:I110"/>
    <mergeCell ref="J109:M109"/>
    <mergeCell ref="P109:P110"/>
    <mergeCell ref="Q109:T109"/>
    <mergeCell ref="W109:W110"/>
    <mergeCell ref="X109:AA109"/>
    <mergeCell ref="AD109:AD110"/>
    <mergeCell ref="AD1:AE1"/>
    <mergeCell ref="AF1:AI1"/>
    <mergeCell ref="AJ1:AN1"/>
    <mergeCell ref="AO1:AR1"/>
    <mergeCell ref="AS1:AV1"/>
    <mergeCell ref="AW1:BB1"/>
    <mergeCell ref="AK109:AK110"/>
    <mergeCell ref="AL109:AO109"/>
    <mergeCell ref="AR109:AR110"/>
    <mergeCell ref="AS109:AV109"/>
    <mergeCell ref="B172:B173"/>
    <mergeCell ref="C172:F172"/>
    <mergeCell ref="B234:B235"/>
    <mergeCell ref="C234:F234"/>
    <mergeCell ref="B296:B297"/>
    <mergeCell ref="C296:F296"/>
    <mergeCell ref="AE109:AH109"/>
  </mergeCells>
  <phoneticPr fontId="8" type="noConversion"/>
  <conditionalFormatting sqref="E2">
    <cfRule type="duplicateValues" dxfId="53" priority="4"/>
  </conditionalFormatting>
  <conditionalFormatting sqref="E3:E58">
    <cfRule type="duplicateValues" dxfId="52" priority="2"/>
    <cfRule type="duplicateValues" dxfId="51" priority="3"/>
  </conditionalFormatting>
  <hyperlinks>
    <hyperlink ref="I4" r:id="rId1"/>
    <hyperlink ref="I7" r:id="rId2"/>
    <hyperlink ref="I6" r:id="rId3"/>
    <hyperlink ref="I5" r:id="rId4"/>
    <hyperlink ref="I10" r:id="rId5"/>
    <hyperlink ref="I12" r:id="rId6"/>
    <hyperlink ref="I11" r:id="rId7"/>
    <hyperlink ref="I9" r:id="rId8"/>
    <hyperlink ref="I13" r:id="rId9"/>
    <hyperlink ref="I14" r:id="rId10"/>
    <hyperlink ref="I15" r:id="rId11"/>
    <hyperlink ref="I35" r:id="rId12"/>
    <hyperlink ref="I37" r:id="rId13"/>
    <hyperlink ref="I40" r:id="rId14"/>
    <hyperlink ref="I46" r:id="rId15"/>
    <hyperlink ref="I25" r:id="rId16"/>
    <hyperlink ref="I19" r:id="rId17"/>
    <hyperlink ref="I31" r:id="rId18"/>
    <hyperlink ref="I34" r:id="rId19"/>
    <hyperlink ref="I45" r:id="rId20"/>
    <hyperlink ref="I21" r:id="rId21"/>
    <hyperlink ref="I20" r:id="rId22"/>
    <hyperlink ref="I41" r:id="rId23"/>
    <hyperlink ref="I43" r:id="rId24"/>
    <hyperlink ref="I47" r:id="rId25"/>
    <hyperlink ref="I48" r:id="rId26"/>
    <hyperlink ref="I26" r:id="rId27"/>
    <hyperlink ref="I16" r:id="rId28"/>
    <hyperlink ref="I38" r:id="rId29"/>
    <hyperlink ref="I30" r:id="rId30"/>
    <hyperlink ref="I49" r:id="rId31"/>
    <hyperlink ref="I18" r:id="rId32"/>
    <hyperlink ref="I42" r:id="rId33"/>
    <hyperlink ref="I22" r:id="rId34"/>
    <hyperlink ref="I23" r:id="rId35"/>
    <hyperlink ref="I36" r:id="rId36"/>
    <hyperlink ref="I32" r:id="rId37"/>
    <hyperlink ref="I29" r:id="rId38"/>
    <hyperlink ref="I17" r:id="rId39"/>
    <hyperlink ref="I33" r:id="rId40"/>
    <hyperlink ref="I50" r:id="rId41"/>
    <hyperlink ref="I56" r:id="rId42"/>
    <hyperlink ref="I54" r:id="rId43"/>
    <hyperlink ref="I52" r:id="rId44"/>
    <hyperlink ref="I55" r:id="rId45"/>
    <hyperlink ref="I57" r:id="rId46"/>
    <hyperlink ref="I51" r:id="rId47"/>
    <hyperlink ref="I53" r:id="rId48"/>
  </hyperlinks>
  <pageMargins left="0.7" right="0.7" top="0.75" bottom="0.75" header="0.3" footer="0.3"/>
  <tableParts count="1">
    <tablePart r:id="rId4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E259"/>
  <sheetViews>
    <sheetView topLeftCell="A8" zoomScale="85" zoomScaleNormal="85" workbookViewId="0">
      <selection activeCell="C64" sqref="C64:D64"/>
    </sheetView>
  </sheetViews>
  <sheetFormatPr defaultRowHeight="15" x14ac:dyDescent="0.25"/>
  <cols>
    <col min="1" max="1" width="2.5703125" customWidth="1"/>
    <col min="2" max="2" width="24.42578125" customWidth="1"/>
    <col min="3" max="3" width="34.7109375" customWidth="1"/>
    <col min="4" max="4" width="25" bestFit="1" customWidth="1"/>
    <col min="5" max="5" width="13.28515625" customWidth="1"/>
    <col min="6" max="6" width="31.7109375" bestFit="1" customWidth="1"/>
    <col min="7" max="7" width="26.140625" bestFit="1" customWidth="1"/>
    <col min="8" max="8" width="7.85546875" customWidth="1"/>
    <col min="9" max="9" width="46.7109375" bestFit="1" customWidth="1"/>
    <col min="10" max="10" width="22.140625" customWidth="1"/>
    <col min="11" max="11" width="20.140625" customWidth="1"/>
    <col min="12" max="12" width="15.28515625" customWidth="1"/>
    <col min="13" max="13" width="18.28515625" customWidth="1"/>
    <col min="14" max="14" width="14" customWidth="1"/>
    <col min="15" max="15" width="6.28515625" customWidth="1"/>
    <col min="16" max="16" width="46.7109375" bestFit="1" customWidth="1"/>
    <col min="17" max="17" width="16.85546875" bestFit="1" customWidth="1"/>
    <col min="18" max="18" width="10.5703125" customWidth="1"/>
    <col min="19" max="19" width="8.7109375" customWidth="1"/>
    <col min="20" max="20" width="11.855468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7.85546875" bestFit="1"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16.28515625" customWidth="1"/>
    <col min="48" max="48" width="30.7109375" customWidth="1"/>
    <col min="49" max="49" width="30" customWidth="1"/>
    <col min="50" max="51" width="7.85546875" bestFit="1" customWidth="1"/>
    <col min="52" max="52" width="8.85546875" bestFit="1" customWidth="1"/>
    <col min="53" max="53" width="7.85546875" bestFit="1" customWidth="1"/>
    <col min="54" max="54" width="39.28515625" customWidth="1"/>
    <col min="55" max="55" width="10.42578125" bestFit="1" customWidth="1"/>
    <col min="56" max="56" width="73.7109375" customWidth="1"/>
    <col min="57" max="57" width="98.28515625" bestFit="1" customWidth="1"/>
  </cols>
  <sheetData>
    <row r="1" spans="2:57"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7" ht="33" x14ac:dyDescent="0.25">
      <c r="B2" s="1" t="s">
        <v>13</v>
      </c>
      <c r="C2" s="1" t="s">
        <v>66</v>
      </c>
      <c r="D2" s="1" t="s">
        <v>14</v>
      </c>
      <c r="E2" s="1" t="s">
        <v>15</v>
      </c>
      <c r="F2" s="1" t="s">
        <v>16</v>
      </c>
      <c r="G2" s="40" t="s">
        <v>17</v>
      </c>
      <c r="H2" s="40" t="s">
        <v>18</v>
      </c>
      <c r="I2" s="40" t="s">
        <v>19</v>
      </c>
      <c r="J2" s="40" t="s">
        <v>20</v>
      </c>
      <c r="K2" s="40" t="s">
        <v>21</v>
      </c>
      <c r="L2" s="40" t="s">
        <v>22</v>
      </c>
      <c r="M2" s="40" t="s">
        <v>23</v>
      </c>
      <c r="N2" s="40" t="s">
        <v>24</v>
      </c>
      <c r="O2" s="40" t="s">
        <v>25</v>
      </c>
      <c r="P2" s="41" t="s">
        <v>26</v>
      </c>
      <c r="Q2" s="41" t="s">
        <v>27</v>
      </c>
      <c r="R2" s="41" t="s">
        <v>28</v>
      </c>
      <c r="S2" s="41" t="s">
        <v>29</v>
      </c>
      <c r="T2" s="41" t="s">
        <v>30</v>
      </c>
      <c r="U2" s="42" t="s">
        <v>31</v>
      </c>
      <c r="V2" s="42" t="s">
        <v>32</v>
      </c>
      <c r="W2" s="43" t="s">
        <v>33</v>
      </c>
      <c r="X2" s="43" t="s">
        <v>34</v>
      </c>
      <c r="Y2" s="44" t="s">
        <v>35</v>
      </c>
      <c r="Z2" s="44" t="s">
        <v>36</v>
      </c>
      <c r="AA2" s="45" t="s">
        <v>37</v>
      </c>
      <c r="AB2" s="45" t="s">
        <v>38</v>
      </c>
      <c r="AC2" s="45" t="s">
        <v>39</v>
      </c>
      <c r="AD2" s="46" t="s">
        <v>40</v>
      </c>
      <c r="AE2" s="46" t="s">
        <v>41</v>
      </c>
      <c r="AF2" s="47" t="s">
        <v>42</v>
      </c>
      <c r="AG2" s="47" t="s">
        <v>43</v>
      </c>
      <c r="AH2" s="47" t="s">
        <v>44</v>
      </c>
      <c r="AI2" s="47" t="s">
        <v>45</v>
      </c>
      <c r="AJ2" s="48" t="s">
        <v>46</v>
      </c>
      <c r="AK2" s="48" t="s">
        <v>47</v>
      </c>
      <c r="AL2" s="48" t="s">
        <v>48</v>
      </c>
      <c r="AM2" s="48" t="s">
        <v>49</v>
      </c>
      <c r="AN2" s="48" t="s">
        <v>50</v>
      </c>
      <c r="AO2" s="49" t="s">
        <v>51</v>
      </c>
      <c r="AP2" s="49" t="s">
        <v>52</v>
      </c>
      <c r="AQ2" s="49" t="s">
        <v>53</v>
      </c>
      <c r="AR2" s="49" t="s">
        <v>54</v>
      </c>
      <c r="AS2" s="50" t="s">
        <v>55</v>
      </c>
      <c r="AT2" s="50" t="s">
        <v>56</v>
      </c>
      <c r="AU2" s="50" t="s">
        <v>57</v>
      </c>
      <c r="AV2" s="50" t="s">
        <v>58</v>
      </c>
      <c r="AW2" s="51" t="s">
        <v>11</v>
      </c>
      <c r="AX2" s="51" t="s">
        <v>59</v>
      </c>
      <c r="AY2" s="51" t="s">
        <v>60</v>
      </c>
      <c r="AZ2" s="51" t="s">
        <v>61</v>
      </c>
      <c r="BA2" s="51" t="s">
        <v>62</v>
      </c>
      <c r="BB2" s="51" t="s">
        <v>63</v>
      </c>
      <c r="BC2" s="52" t="s">
        <v>12</v>
      </c>
      <c r="BD2" s="52" t="s">
        <v>64</v>
      </c>
      <c r="BE2" s="53" t="s">
        <v>65</v>
      </c>
    </row>
    <row r="3" spans="2:57" ht="33" x14ac:dyDescent="0.25">
      <c r="B3" s="113">
        <v>2018</v>
      </c>
      <c r="C3" s="113" t="s">
        <v>128</v>
      </c>
      <c r="D3" s="113" t="s">
        <v>127</v>
      </c>
      <c r="E3" s="114">
        <v>14510160008</v>
      </c>
      <c r="F3" s="114" t="s">
        <v>1078</v>
      </c>
      <c r="G3" s="92" t="s">
        <v>1079</v>
      </c>
      <c r="H3" s="93">
        <v>83830503295</v>
      </c>
      <c r="I3" s="94" t="s">
        <v>1080</v>
      </c>
      <c r="J3" s="95" t="s">
        <v>1081</v>
      </c>
      <c r="K3" s="95" t="s">
        <v>1082</v>
      </c>
      <c r="L3" s="95">
        <v>321397310</v>
      </c>
      <c r="M3" s="95" t="s">
        <v>74</v>
      </c>
      <c r="N3" s="95">
        <v>1</v>
      </c>
      <c r="O3" s="95">
        <v>1</v>
      </c>
      <c r="P3" s="96" t="s">
        <v>69</v>
      </c>
      <c r="Q3" s="96" t="s">
        <v>69</v>
      </c>
      <c r="R3" s="96" t="s">
        <v>1</v>
      </c>
      <c r="S3" s="96" t="s">
        <v>69</v>
      </c>
      <c r="T3" s="96" t="s">
        <v>69</v>
      </c>
      <c r="U3" s="97" t="s">
        <v>69</v>
      </c>
      <c r="V3" s="97" t="s">
        <v>69</v>
      </c>
      <c r="W3" s="98" t="s">
        <v>1</v>
      </c>
      <c r="X3" s="98" t="s">
        <v>1</v>
      </c>
      <c r="Y3" s="99" t="s">
        <v>69</v>
      </c>
      <c r="Z3" s="99" t="s">
        <v>69</v>
      </c>
      <c r="AA3" s="100" t="s">
        <v>69</v>
      </c>
      <c r="AB3" s="100" t="s">
        <v>1</v>
      </c>
      <c r="AC3" s="100" t="s">
        <v>1</v>
      </c>
      <c r="AD3" s="101" t="s">
        <v>69</v>
      </c>
      <c r="AE3" s="101" t="s">
        <v>1</v>
      </c>
      <c r="AF3" s="102" t="s">
        <v>1</v>
      </c>
      <c r="AG3" s="102" t="s">
        <v>69</v>
      </c>
      <c r="AH3" s="102" t="s">
        <v>69</v>
      </c>
      <c r="AI3" s="102" t="s">
        <v>1</v>
      </c>
      <c r="AJ3" s="103" t="s">
        <v>69</v>
      </c>
      <c r="AK3" s="103" t="s">
        <v>1</v>
      </c>
      <c r="AL3" s="103" t="s">
        <v>69</v>
      </c>
      <c r="AM3" s="103" t="s">
        <v>69</v>
      </c>
      <c r="AN3" s="103" t="s">
        <v>69</v>
      </c>
      <c r="AO3" s="104" t="s">
        <v>1</v>
      </c>
      <c r="AP3" s="104" t="s">
        <v>69</v>
      </c>
      <c r="AQ3" s="104" t="s">
        <v>1</v>
      </c>
      <c r="AR3" s="104" t="s">
        <v>1</v>
      </c>
      <c r="AS3" s="105" t="s">
        <v>72</v>
      </c>
      <c r="AT3" s="105" t="s">
        <v>68</v>
      </c>
      <c r="AU3" s="105" t="s">
        <v>71</v>
      </c>
      <c r="AV3" s="105" t="s">
        <v>1083</v>
      </c>
      <c r="AW3" s="106" t="s">
        <v>72</v>
      </c>
      <c r="AX3" s="106" t="s">
        <v>72</v>
      </c>
      <c r="AY3" s="106" t="s">
        <v>72</v>
      </c>
      <c r="AZ3" s="106" t="s">
        <v>72</v>
      </c>
      <c r="BA3" s="106" t="s">
        <v>72</v>
      </c>
      <c r="BB3" s="106" t="s">
        <v>68</v>
      </c>
      <c r="BC3" s="107" t="s">
        <v>69</v>
      </c>
      <c r="BD3" s="108" t="s">
        <v>140</v>
      </c>
      <c r="BE3" s="111" t="s">
        <v>1084</v>
      </c>
    </row>
    <row r="4" spans="2:57" ht="49.5" x14ac:dyDescent="0.25">
      <c r="B4" s="113">
        <v>2018</v>
      </c>
      <c r="C4" s="113" t="s">
        <v>1240</v>
      </c>
      <c r="D4" s="130" t="s">
        <v>90</v>
      </c>
      <c r="E4" s="124">
        <v>14390100012</v>
      </c>
      <c r="F4" s="117" t="s">
        <v>1273</v>
      </c>
      <c r="G4" s="3" t="s">
        <v>1276</v>
      </c>
      <c r="H4" s="4" t="s">
        <v>1277</v>
      </c>
      <c r="I4" s="131" t="s">
        <v>1278</v>
      </c>
      <c r="J4" s="6" t="s">
        <v>1274</v>
      </c>
      <c r="K4" s="6" t="s">
        <v>1275</v>
      </c>
      <c r="L4" s="4" t="s">
        <v>1277</v>
      </c>
      <c r="M4" s="6" t="s">
        <v>1279</v>
      </c>
      <c r="N4" s="6">
        <v>5</v>
      </c>
      <c r="O4" s="6">
        <v>12</v>
      </c>
      <c r="P4" s="7" t="s">
        <v>1</v>
      </c>
      <c r="Q4" s="7" t="s">
        <v>1</v>
      </c>
      <c r="R4" s="7" t="s">
        <v>69</v>
      </c>
      <c r="S4" s="7" t="s">
        <v>1</v>
      </c>
      <c r="T4" s="7" t="s">
        <v>1</v>
      </c>
      <c r="U4" s="8" t="s">
        <v>69</v>
      </c>
      <c r="V4" s="8" t="s">
        <v>69</v>
      </c>
      <c r="W4" s="9" t="s">
        <v>1</v>
      </c>
      <c r="X4" s="9" t="s">
        <v>1</v>
      </c>
      <c r="Y4" s="10" t="s">
        <v>1</v>
      </c>
      <c r="Z4" s="10" t="s">
        <v>1</v>
      </c>
      <c r="AA4" s="11" t="s">
        <v>1</v>
      </c>
      <c r="AB4" s="11" t="s">
        <v>1</v>
      </c>
      <c r="AC4" s="11" t="s">
        <v>1</v>
      </c>
      <c r="AD4" s="12" t="s">
        <v>69</v>
      </c>
      <c r="AE4" s="12" t="s">
        <v>69</v>
      </c>
      <c r="AF4" s="13" t="s">
        <v>1</v>
      </c>
      <c r="AG4" s="13" t="s">
        <v>1</v>
      </c>
      <c r="AH4" s="13" t="s">
        <v>1</v>
      </c>
      <c r="AI4" s="13" t="s">
        <v>1</v>
      </c>
      <c r="AJ4" s="14" t="s">
        <v>1</v>
      </c>
      <c r="AK4" s="14" t="s">
        <v>1</v>
      </c>
      <c r="AL4" s="14" t="s">
        <v>1</v>
      </c>
      <c r="AM4" s="14" t="s">
        <v>1</v>
      </c>
      <c r="AN4" s="14" t="s">
        <v>1</v>
      </c>
      <c r="AO4" s="15" t="s">
        <v>1</v>
      </c>
      <c r="AP4" s="15" t="s">
        <v>1</v>
      </c>
      <c r="AQ4" s="15" t="s">
        <v>1</v>
      </c>
      <c r="AR4" s="15" t="s">
        <v>1</v>
      </c>
      <c r="AS4" s="16" t="s">
        <v>70</v>
      </c>
      <c r="AT4" s="16" t="s">
        <v>579</v>
      </c>
      <c r="AU4" s="16" t="s">
        <v>71</v>
      </c>
      <c r="AV4" s="16" t="s">
        <v>580</v>
      </c>
      <c r="AW4" s="17" t="s">
        <v>72</v>
      </c>
      <c r="AX4" s="17" t="s">
        <v>72</v>
      </c>
      <c r="AY4" s="17" t="s">
        <v>71</v>
      </c>
      <c r="AZ4" s="17" t="s">
        <v>71</v>
      </c>
      <c r="BA4" s="17" t="s">
        <v>71</v>
      </c>
      <c r="BB4" s="17" t="s">
        <v>581</v>
      </c>
      <c r="BC4" s="18" t="s">
        <v>1</v>
      </c>
      <c r="BD4" s="19" t="s">
        <v>1281</v>
      </c>
      <c r="BE4" s="20" t="s">
        <v>1280</v>
      </c>
    </row>
    <row r="5" spans="2:57" ht="66" x14ac:dyDescent="0.25">
      <c r="B5" s="113">
        <v>2018</v>
      </c>
      <c r="C5" s="113" t="s">
        <v>141</v>
      </c>
      <c r="D5" s="130" t="s">
        <v>618</v>
      </c>
      <c r="E5" s="129">
        <v>14410200035</v>
      </c>
      <c r="F5" s="128" t="s">
        <v>1266</v>
      </c>
      <c r="G5" s="3" t="s">
        <v>1268</v>
      </c>
      <c r="H5" s="4" t="s">
        <v>68</v>
      </c>
      <c r="I5" s="131" t="s">
        <v>1269</v>
      </c>
      <c r="J5" s="6" t="s">
        <v>1270</v>
      </c>
      <c r="K5" s="6" t="s">
        <v>1267</v>
      </c>
      <c r="L5" s="6" t="s">
        <v>68</v>
      </c>
      <c r="M5" s="6" t="s">
        <v>1271</v>
      </c>
      <c r="N5" s="6">
        <v>9</v>
      </c>
      <c r="O5" s="6">
        <v>12</v>
      </c>
      <c r="P5" s="7" t="s">
        <v>69</v>
      </c>
      <c r="Q5" s="7" t="s">
        <v>69</v>
      </c>
      <c r="R5" s="7" t="s">
        <v>1</v>
      </c>
      <c r="S5" s="7" t="s">
        <v>69</v>
      </c>
      <c r="T5" s="7" t="s">
        <v>69</v>
      </c>
      <c r="U5" s="8" t="s">
        <v>69</v>
      </c>
      <c r="V5" s="8" t="s">
        <v>1</v>
      </c>
      <c r="W5" s="9" t="s">
        <v>75</v>
      </c>
      <c r="X5" s="9" t="s">
        <v>75</v>
      </c>
      <c r="Y5" s="10" t="s">
        <v>69</v>
      </c>
      <c r="Z5" s="10" t="s">
        <v>69</v>
      </c>
      <c r="AA5" s="11" t="s">
        <v>69</v>
      </c>
      <c r="AB5" s="11" t="s">
        <v>1</v>
      </c>
      <c r="AC5" s="11" t="s">
        <v>1</v>
      </c>
      <c r="AD5" s="12" t="s">
        <v>69</v>
      </c>
      <c r="AE5" s="12" t="s">
        <v>1</v>
      </c>
      <c r="AF5" s="13" t="s">
        <v>1</v>
      </c>
      <c r="AG5" s="13" t="s">
        <v>1</v>
      </c>
      <c r="AH5" s="13" t="s">
        <v>69</v>
      </c>
      <c r="AI5" s="13" t="s">
        <v>1</v>
      </c>
      <c r="AJ5" s="14" t="s">
        <v>1</v>
      </c>
      <c r="AK5" s="14" t="s">
        <v>1</v>
      </c>
      <c r="AL5" s="14" t="s">
        <v>1</v>
      </c>
      <c r="AM5" s="14" t="s">
        <v>1</v>
      </c>
      <c r="AN5" s="14" t="s">
        <v>1</v>
      </c>
      <c r="AO5" s="15" t="s">
        <v>1</v>
      </c>
      <c r="AP5" s="15" t="s">
        <v>1</v>
      </c>
      <c r="AQ5" s="15" t="s">
        <v>1</v>
      </c>
      <c r="AR5" s="15" t="s">
        <v>1</v>
      </c>
      <c r="AS5" s="16" t="s">
        <v>70</v>
      </c>
      <c r="AT5" s="16" t="s">
        <v>535</v>
      </c>
      <c r="AU5" s="16" t="s">
        <v>71</v>
      </c>
      <c r="AV5" s="16" t="s">
        <v>536</v>
      </c>
      <c r="AW5" s="17" t="s">
        <v>71</v>
      </c>
      <c r="AX5" s="17" t="s">
        <v>71</v>
      </c>
      <c r="AY5" s="17" t="s">
        <v>71</v>
      </c>
      <c r="AZ5" s="17" t="s">
        <v>71</v>
      </c>
      <c r="BA5" s="17" t="s">
        <v>71</v>
      </c>
      <c r="BB5" s="17" t="s">
        <v>68</v>
      </c>
      <c r="BC5" s="18" t="s">
        <v>69</v>
      </c>
      <c r="BD5" s="19" t="s">
        <v>94</v>
      </c>
      <c r="BE5" s="20" t="s">
        <v>1272</v>
      </c>
    </row>
    <row r="6" spans="2:57" ht="33" x14ac:dyDescent="0.25">
      <c r="B6" s="113">
        <v>2018</v>
      </c>
      <c r="C6" s="113" t="s">
        <v>141</v>
      </c>
      <c r="D6" s="113" t="s">
        <v>197</v>
      </c>
      <c r="E6" s="114">
        <v>14410100063</v>
      </c>
      <c r="F6" s="114" t="s">
        <v>1085</v>
      </c>
      <c r="G6" s="92" t="s">
        <v>1086</v>
      </c>
      <c r="H6" s="93">
        <v>8127571990</v>
      </c>
      <c r="I6" s="94" t="s">
        <v>68</v>
      </c>
      <c r="J6" s="95" t="s">
        <v>1087</v>
      </c>
      <c r="K6" s="95" t="s">
        <v>1088</v>
      </c>
      <c r="L6" s="95" t="s">
        <v>68</v>
      </c>
      <c r="M6" s="95" t="s">
        <v>1089</v>
      </c>
      <c r="N6" s="95">
        <v>7</v>
      </c>
      <c r="O6" s="95">
        <v>72</v>
      </c>
      <c r="P6" s="96" t="s">
        <v>69</v>
      </c>
      <c r="Q6" s="96" t="s">
        <v>69</v>
      </c>
      <c r="R6" s="96" t="s">
        <v>69</v>
      </c>
      <c r="S6" s="96" t="s">
        <v>69</v>
      </c>
      <c r="T6" s="96" t="s">
        <v>69</v>
      </c>
      <c r="U6" s="97" t="s">
        <v>69</v>
      </c>
      <c r="V6" s="97" t="s">
        <v>69</v>
      </c>
      <c r="W6" s="98" t="s">
        <v>1</v>
      </c>
      <c r="X6" s="98" t="s">
        <v>1</v>
      </c>
      <c r="Y6" s="99" t="s">
        <v>69</v>
      </c>
      <c r="Z6" s="99" t="s">
        <v>69</v>
      </c>
      <c r="AA6" s="100" t="s">
        <v>1</v>
      </c>
      <c r="AB6" s="100" t="s">
        <v>1</v>
      </c>
      <c r="AC6" s="100" t="s">
        <v>1</v>
      </c>
      <c r="AD6" s="101" t="s">
        <v>1</v>
      </c>
      <c r="AE6" s="101" t="s">
        <v>1</v>
      </c>
      <c r="AF6" s="102" t="s">
        <v>1</v>
      </c>
      <c r="AG6" s="102" t="s">
        <v>1</v>
      </c>
      <c r="AH6" s="102" t="s">
        <v>69</v>
      </c>
      <c r="AI6" s="102" t="s">
        <v>1</v>
      </c>
      <c r="AJ6" s="103" t="s">
        <v>1</v>
      </c>
      <c r="AK6" s="103" t="s">
        <v>1</v>
      </c>
      <c r="AL6" s="103" t="s">
        <v>1</v>
      </c>
      <c r="AM6" s="103" t="s">
        <v>1</v>
      </c>
      <c r="AN6" s="103" t="s">
        <v>1</v>
      </c>
      <c r="AO6" s="104" t="s">
        <v>1</v>
      </c>
      <c r="AP6" s="104" t="s">
        <v>1</v>
      </c>
      <c r="AQ6" s="104" t="s">
        <v>1</v>
      </c>
      <c r="AR6" s="104" t="s">
        <v>1</v>
      </c>
      <c r="AS6" s="105" t="s">
        <v>70</v>
      </c>
      <c r="AT6" s="105" t="s">
        <v>68</v>
      </c>
      <c r="AU6" s="105" t="s">
        <v>71</v>
      </c>
      <c r="AV6" s="105" t="s">
        <v>68</v>
      </c>
      <c r="AW6" s="106" t="s">
        <v>72</v>
      </c>
      <c r="AX6" s="106" t="s">
        <v>72</v>
      </c>
      <c r="AY6" s="106" t="s">
        <v>71</v>
      </c>
      <c r="AZ6" s="106" t="s">
        <v>71</v>
      </c>
      <c r="BA6" s="106" t="s">
        <v>72</v>
      </c>
      <c r="BB6" s="106" t="s">
        <v>68</v>
      </c>
      <c r="BC6" s="107" t="s">
        <v>69</v>
      </c>
      <c r="BD6" s="108" t="s">
        <v>1090</v>
      </c>
      <c r="BE6" s="111" t="s">
        <v>68</v>
      </c>
    </row>
    <row r="7" spans="2:57" ht="49.5" x14ac:dyDescent="0.25">
      <c r="B7" s="113">
        <v>2018</v>
      </c>
      <c r="C7" s="113" t="s">
        <v>141</v>
      </c>
      <c r="D7" s="113" t="s">
        <v>197</v>
      </c>
      <c r="E7" s="114">
        <v>11410100206</v>
      </c>
      <c r="F7" s="114" t="s">
        <v>1091</v>
      </c>
      <c r="G7" s="92" t="s">
        <v>1092</v>
      </c>
      <c r="H7" s="93">
        <v>81315934493</v>
      </c>
      <c r="I7" s="94" t="s">
        <v>1093</v>
      </c>
      <c r="J7" s="95" t="s">
        <v>1094</v>
      </c>
      <c r="K7" s="95" t="s">
        <v>1095</v>
      </c>
      <c r="L7" s="95" t="s">
        <v>1096</v>
      </c>
      <c r="M7" s="95" t="s">
        <v>1097</v>
      </c>
      <c r="N7" s="95">
        <v>2</v>
      </c>
      <c r="O7" s="95">
        <v>12</v>
      </c>
      <c r="P7" s="96" t="s">
        <v>75</v>
      </c>
      <c r="Q7" s="96" t="s">
        <v>1</v>
      </c>
      <c r="R7" s="96" t="s">
        <v>75</v>
      </c>
      <c r="S7" s="96" t="s">
        <v>1</v>
      </c>
      <c r="T7" s="96" t="s">
        <v>1</v>
      </c>
      <c r="U7" s="97" t="s">
        <v>1</v>
      </c>
      <c r="V7" s="97" t="s">
        <v>1</v>
      </c>
      <c r="W7" s="98" t="s">
        <v>1</v>
      </c>
      <c r="X7" s="98" t="s">
        <v>1</v>
      </c>
      <c r="Y7" s="99" t="s">
        <v>1</v>
      </c>
      <c r="Z7" s="99" t="s">
        <v>1</v>
      </c>
      <c r="AA7" s="100" t="s">
        <v>1</v>
      </c>
      <c r="AB7" s="100" t="s">
        <v>1</v>
      </c>
      <c r="AC7" s="100" t="s">
        <v>1</v>
      </c>
      <c r="AD7" s="101" t="s">
        <v>75</v>
      </c>
      <c r="AE7" s="101" t="s">
        <v>75</v>
      </c>
      <c r="AF7" s="102" t="s">
        <v>1</v>
      </c>
      <c r="AG7" s="102" t="s">
        <v>75</v>
      </c>
      <c r="AH7" s="102" t="s">
        <v>1</v>
      </c>
      <c r="AI7" s="102" t="s">
        <v>1</v>
      </c>
      <c r="AJ7" s="103" t="s">
        <v>1</v>
      </c>
      <c r="AK7" s="103" t="s">
        <v>1</v>
      </c>
      <c r="AL7" s="103" t="s">
        <v>1</v>
      </c>
      <c r="AM7" s="103" t="s">
        <v>1</v>
      </c>
      <c r="AN7" s="103" t="s">
        <v>1</v>
      </c>
      <c r="AO7" s="104" t="s">
        <v>75</v>
      </c>
      <c r="AP7" s="104" t="s">
        <v>1</v>
      </c>
      <c r="AQ7" s="104" t="s">
        <v>75</v>
      </c>
      <c r="AR7" s="104" t="s">
        <v>1</v>
      </c>
      <c r="AS7" s="105" t="s">
        <v>70</v>
      </c>
      <c r="AT7" s="105" t="s">
        <v>1098</v>
      </c>
      <c r="AU7" s="105" t="s">
        <v>71</v>
      </c>
      <c r="AV7" s="105" t="s">
        <v>1099</v>
      </c>
      <c r="AW7" s="106" t="s">
        <v>71</v>
      </c>
      <c r="AX7" s="106" t="s">
        <v>71</v>
      </c>
      <c r="AY7" s="106" t="s">
        <v>71</v>
      </c>
      <c r="AZ7" s="106" t="s">
        <v>72</v>
      </c>
      <c r="BA7" s="106" t="s">
        <v>72</v>
      </c>
      <c r="BB7" s="106" t="s">
        <v>68</v>
      </c>
      <c r="BC7" s="107" t="s">
        <v>1</v>
      </c>
      <c r="BD7" s="108" t="s">
        <v>1100</v>
      </c>
      <c r="BE7" s="111" t="s">
        <v>1101</v>
      </c>
    </row>
    <row r="8" spans="2:57" ht="82.5" x14ac:dyDescent="0.25">
      <c r="B8" s="113">
        <v>2018</v>
      </c>
      <c r="C8" s="113" t="s">
        <v>141</v>
      </c>
      <c r="D8" s="113" t="s">
        <v>197</v>
      </c>
      <c r="E8" s="114">
        <v>11410100249</v>
      </c>
      <c r="F8" s="114" t="s">
        <v>1102</v>
      </c>
      <c r="G8" s="92" t="s">
        <v>1103</v>
      </c>
      <c r="H8" s="93" t="s">
        <v>68</v>
      </c>
      <c r="I8" s="94" t="s">
        <v>68</v>
      </c>
      <c r="J8" s="95" t="s">
        <v>1104</v>
      </c>
      <c r="K8" s="95" t="s">
        <v>1105</v>
      </c>
      <c r="L8" s="95" t="s">
        <v>1106</v>
      </c>
      <c r="M8" s="95" t="s">
        <v>1107</v>
      </c>
      <c r="N8" s="95">
        <v>1</v>
      </c>
      <c r="O8" s="95">
        <v>12</v>
      </c>
      <c r="P8" s="96" t="s">
        <v>69</v>
      </c>
      <c r="Q8" s="96" t="s">
        <v>1</v>
      </c>
      <c r="R8" s="96" t="s">
        <v>1</v>
      </c>
      <c r="S8" s="96" t="s">
        <v>1</v>
      </c>
      <c r="T8" s="96" t="s">
        <v>1</v>
      </c>
      <c r="U8" s="97" t="s">
        <v>69</v>
      </c>
      <c r="V8" s="97" t="s">
        <v>69</v>
      </c>
      <c r="W8" s="98" t="s">
        <v>75</v>
      </c>
      <c r="X8" s="98" t="s">
        <v>75</v>
      </c>
      <c r="Y8" s="99" t="s">
        <v>69</v>
      </c>
      <c r="Z8" s="99" t="s">
        <v>69</v>
      </c>
      <c r="AA8" s="100" t="s">
        <v>1</v>
      </c>
      <c r="AB8" s="100" t="s">
        <v>1</v>
      </c>
      <c r="AC8" s="100" t="s">
        <v>1</v>
      </c>
      <c r="AD8" s="101" t="s">
        <v>69</v>
      </c>
      <c r="AE8" s="101" t="s">
        <v>69</v>
      </c>
      <c r="AF8" s="102" t="s">
        <v>69</v>
      </c>
      <c r="AG8" s="102" t="s">
        <v>69</v>
      </c>
      <c r="AH8" s="102" t="s">
        <v>69</v>
      </c>
      <c r="AI8" s="102" t="s">
        <v>69</v>
      </c>
      <c r="AJ8" s="103" t="s">
        <v>1</v>
      </c>
      <c r="AK8" s="103" t="s">
        <v>1</v>
      </c>
      <c r="AL8" s="103" t="s">
        <v>1</v>
      </c>
      <c r="AM8" s="103" t="s">
        <v>1</v>
      </c>
      <c r="AN8" s="103" t="s">
        <v>1</v>
      </c>
      <c r="AO8" s="104" t="s">
        <v>1</v>
      </c>
      <c r="AP8" s="104" t="s">
        <v>69</v>
      </c>
      <c r="AQ8" s="104" t="s">
        <v>1</v>
      </c>
      <c r="AR8" s="104" t="s">
        <v>69</v>
      </c>
      <c r="AS8" s="105" t="s">
        <v>70</v>
      </c>
      <c r="AT8" s="105" t="s">
        <v>68</v>
      </c>
      <c r="AU8" s="105" t="s">
        <v>71</v>
      </c>
      <c r="AV8" s="105" t="s">
        <v>68</v>
      </c>
      <c r="AW8" s="106" t="s">
        <v>72</v>
      </c>
      <c r="AX8" s="106" t="s">
        <v>72</v>
      </c>
      <c r="AY8" s="106" t="s">
        <v>72</v>
      </c>
      <c r="AZ8" s="106" t="s">
        <v>72</v>
      </c>
      <c r="BA8" s="106" t="s">
        <v>72</v>
      </c>
      <c r="BB8" s="106" t="s">
        <v>68</v>
      </c>
      <c r="BC8" s="107" t="s">
        <v>1</v>
      </c>
      <c r="BD8" s="108" t="s">
        <v>617</v>
      </c>
      <c r="BE8" s="111" t="s">
        <v>68</v>
      </c>
    </row>
    <row r="11" spans="2:57" ht="23.25" x14ac:dyDescent="0.35">
      <c r="B11" s="63" t="s">
        <v>657</v>
      </c>
      <c r="I11" s="63" t="s">
        <v>668</v>
      </c>
      <c r="AD11" s="63" t="s">
        <v>671</v>
      </c>
      <c r="AR11" s="63" t="s">
        <v>672</v>
      </c>
    </row>
    <row r="12" spans="2:57" ht="23.25" hidden="1" x14ac:dyDescent="0.35">
      <c r="B12" s="63"/>
      <c r="I12" s="63"/>
    </row>
    <row r="13" spans="2:57" ht="17.25" hidden="1" thickBot="1" x14ac:dyDescent="0.3">
      <c r="B13" s="64" t="s">
        <v>14</v>
      </c>
      <c r="C13" s="65" t="s">
        <v>673</v>
      </c>
      <c r="I13" s="64" t="s">
        <v>14</v>
      </c>
      <c r="J13" s="65" t="s">
        <v>618</v>
      </c>
      <c r="P13" s="64" t="s">
        <v>14</v>
      </c>
      <c r="Q13" s="1" t="s">
        <v>197</v>
      </c>
      <c r="W13" s="64" t="s">
        <v>14</v>
      </c>
      <c r="X13" s="1" t="s">
        <v>90</v>
      </c>
      <c r="AD13" s="64" t="s">
        <v>14</v>
      </c>
      <c r="AE13" s="65" t="s">
        <v>142</v>
      </c>
      <c r="AK13" s="64" t="s">
        <v>14</v>
      </c>
      <c r="AL13" s="86" t="s">
        <v>127</v>
      </c>
      <c r="AR13" s="64" t="s">
        <v>14</v>
      </c>
      <c r="AS13" s="86" t="s">
        <v>67</v>
      </c>
    </row>
    <row r="14" spans="2:57" ht="17.25" hidden="1" thickBot="1" x14ac:dyDescent="0.3">
      <c r="B14" s="64" t="s">
        <v>647</v>
      </c>
      <c r="C14" s="65">
        <v>2018</v>
      </c>
      <c r="I14" s="64" t="s">
        <v>647</v>
      </c>
      <c r="J14" s="65">
        <v>2018</v>
      </c>
      <c r="P14" s="64" t="s">
        <v>647</v>
      </c>
      <c r="Q14" s="65">
        <v>2018</v>
      </c>
      <c r="W14" s="64" t="s">
        <v>647</v>
      </c>
      <c r="X14" s="65">
        <v>2018</v>
      </c>
      <c r="AD14" s="64" t="s">
        <v>647</v>
      </c>
      <c r="AE14" s="65">
        <v>2018</v>
      </c>
      <c r="AK14" s="64" t="s">
        <v>647</v>
      </c>
      <c r="AL14" s="65">
        <v>2018</v>
      </c>
      <c r="AR14" s="64" t="s">
        <v>647</v>
      </c>
      <c r="AS14" s="65">
        <v>2018</v>
      </c>
    </row>
    <row r="15" spans="2:57" ht="17.25" hidden="1" thickBot="1" x14ac:dyDescent="0.3">
      <c r="B15" s="64" t="s">
        <v>646</v>
      </c>
      <c r="C15" s="65">
        <f>COUNTIF(TblUniv2018[th lulus],C14)</f>
        <v>6</v>
      </c>
      <c r="I15" s="64" t="s">
        <v>646</v>
      </c>
      <c r="J15" s="65">
        <f>COUNTIFS(TblUniv2018[th lulus],J14,TblUniv2018[Prodi],J13)</f>
        <v>1</v>
      </c>
      <c r="P15" s="64" t="s">
        <v>646</v>
      </c>
      <c r="Q15" s="65">
        <f>COUNTIFS(TblUniv2018[th lulus],Q14,TblUniv2018[Prodi],Q13)</f>
        <v>3</v>
      </c>
      <c r="W15" s="64" t="s">
        <v>646</v>
      </c>
      <c r="X15" s="65">
        <f>COUNTIFS(TblUniv2018[th lulus],X14,TblUniv2018[Prodi],X13)</f>
        <v>1</v>
      </c>
      <c r="AD15" s="64" t="s">
        <v>646</v>
      </c>
      <c r="AE15" s="65">
        <f>COUNTIFS(TblUniv2018[th lulus],AE14,TblUniv2018[Prodi],AE13)</f>
        <v>0</v>
      </c>
      <c r="AK15" s="64" t="s">
        <v>646</v>
      </c>
      <c r="AL15" s="65">
        <f>COUNTIFS(TblUniv2018[th lulus],AL14,TblUniv2018[Prodi],AL13)</f>
        <v>1</v>
      </c>
      <c r="AR15" s="64" t="s">
        <v>646</v>
      </c>
      <c r="AS15" s="65">
        <f>COUNTIFS(TblUniv2018[th lulus],AS14,TblUniv2018[Prodi],AS13)</f>
        <v>0</v>
      </c>
    </row>
    <row r="16" spans="2:57" ht="16.5" hidden="1" x14ac:dyDescent="0.3">
      <c r="B16" s="55"/>
      <c r="C16" s="56" t="s">
        <v>69</v>
      </c>
      <c r="D16" s="56" t="s">
        <v>1</v>
      </c>
      <c r="E16" s="56" t="s">
        <v>75</v>
      </c>
      <c r="F16" s="56" t="s">
        <v>168</v>
      </c>
      <c r="G16" s="56"/>
      <c r="I16" s="55"/>
      <c r="J16" s="56" t="s">
        <v>69</v>
      </c>
      <c r="K16" s="56" t="s">
        <v>1</v>
      </c>
      <c r="L16" s="56" t="s">
        <v>75</v>
      </c>
      <c r="M16" s="56" t="s">
        <v>168</v>
      </c>
      <c r="N16" s="56"/>
      <c r="P16" s="55"/>
      <c r="Q16" s="56" t="s">
        <v>69</v>
      </c>
      <c r="R16" s="56" t="s">
        <v>1</v>
      </c>
      <c r="S16" s="56" t="s">
        <v>75</v>
      </c>
      <c r="T16" s="56" t="s">
        <v>168</v>
      </c>
      <c r="U16" s="56"/>
      <c r="W16" s="55"/>
      <c r="X16" s="56" t="s">
        <v>69</v>
      </c>
      <c r="Y16" s="56" t="s">
        <v>1</v>
      </c>
      <c r="Z16" s="56" t="s">
        <v>75</v>
      </c>
      <c r="AA16" s="56" t="s">
        <v>168</v>
      </c>
      <c r="AB16" s="56"/>
      <c r="AD16" s="55"/>
      <c r="AE16" s="56" t="s">
        <v>69</v>
      </c>
      <c r="AF16" s="56" t="s">
        <v>1</v>
      </c>
      <c r="AG16" s="56" t="s">
        <v>75</v>
      </c>
      <c r="AH16" s="56" t="s">
        <v>168</v>
      </c>
      <c r="AI16" s="56"/>
      <c r="AK16" s="55"/>
      <c r="AL16" s="56" t="s">
        <v>69</v>
      </c>
      <c r="AM16" s="56" t="s">
        <v>1</v>
      </c>
      <c r="AN16" s="56" t="s">
        <v>75</v>
      </c>
      <c r="AO16" s="56" t="s">
        <v>168</v>
      </c>
      <c r="AP16" s="56"/>
      <c r="AR16" s="55"/>
      <c r="AS16" s="56" t="s">
        <v>69</v>
      </c>
      <c r="AT16" s="56" t="s">
        <v>1</v>
      </c>
      <c r="AU16" s="56" t="s">
        <v>75</v>
      </c>
      <c r="AV16" s="56" t="s">
        <v>168</v>
      </c>
      <c r="AW16" s="56"/>
    </row>
    <row r="17" spans="2:49" ht="16.5" hidden="1" x14ac:dyDescent="0.3">
      <c r="B17" s="57" t="s">
        <v>26</v>
      </c>
      <c r="C17" s="66">
        <f>COUNTIFS(TblUniv2018[B1],$C$16)/$C$15*100%</f>
        <v>0.66666666666666663</v>
      </c>
      <c r="D17" s="66">
        <f>COUNTIFS(TblUniv2018[B1],$D$16)/C15*100%</f>
        <v>0.16666666666666666</v>
      </c>
      <c r="E17" s="66">
        <f>COUNTIFS(TblUniv2018[B1],$E$16)/C15*100%</f>
        <v>0.16666666666666666</v>
      </c>
      <c r="F17" s="66">
        <f>COUNTIFS(TblUniv2018[B1],$F$16)/C15*100%</f>
        <v>0</v>
      </c>
      <c r="G17" s="62">
        <f t="shared" ref="G17:G54" si="0">SUM(C17:F17)</f>
        <v>0.99999999999999989</v>
      </c>
      <c r="I17" s="57" t="s">
        <v>26</v>
      </c>
      <c r="J17" s="66">
        <f>COUNTIFS(TblUniv2018[B1],J$16,TblUniv2018[Prodi],$J$13)/$J$15*100%</f>
        <v>1</v>
      </c>
      <c r="K17" s="66">
        <f>COUNTIFS(TblUniv2018[B1],K$16,TblUniv2018[Prodi],$J$13)/$J$15*100%</f>
        <v>0</v>
      </c>
      <c r="L17" s="66">
        <f>COUNTIFS(TblUniv2018[B1],L$16,TblUniv2018[Prodi],$J$13)/$J$15*100%</f>
        <v>0</v>
      </c>
      <c r="M17" s="66">
        <f>COUNTIFS(TblUniv2018[B1],M$16,TblUniv2018[Prodi],$J$13)/$J$15*100%</f>
        <v>0</v>
      </c>
      <c r="N17" s="62">
        <f t="shared" ref="N17:N54" si="1">SUM(J17:M17)</f>
        <v>1</v>
      </c>
      <c r="P17" s="57" t="s">
        <v>26</v>
      </c>
      <c r="Q17" s="66">
        <f>COUNTIFS(TblUniv2018[B1],Q$16,TblUniv2018[Prodi],$Q$13)/$Q$15*100%</f>
        <v>0.66666666666666663</v>
      </c>
      <c r="R17" s="66">
        <f>COUNTIFS(TblUniv2018[B1],R$16,TblUniv2018[Prodi],$Q$13)/$Q$15*100%</f>
        <v>0</v>
      </c>
      <c r="S17" s="66">
        <f>COUNTIFS(TblUniv2018[B1],S$16,TblUniv2018[Prodi],$Q$13)/$Q$15*100%</f>
        <v>0.33333333333333331</v>
      </c>
      <c r="T17" s="66">
        <f>COUNTIFS(TblUniv2018[B1],T$16,TblUniv2018[Prodi],$Q$13)/$Q$15*100%</f>
        <v>0</v>
      </c>
      <c r="U17" s="62">
        <f t="shared" ref="U17:U54" si="2">SUM(Q17:T17)</f>
        <v>1</v>
      </c>
      <c r="W17" s="57" t="s">
        <v>26</v>
      </c>
      <c r="X17" s="66">
        <f>COUNTIFS(TblUniv2018[B1],X$16,TblUniv2018[Prodi],$X$13)/$X$15*100%</f>
        <v>0</v>
      </c>
      <c r="Y17" s="66">
        <f>COUNTIFS(TblUniv2018[B1],Y$16,TblUniv2018[Prodi],$X$13)/$X$15*100%</f>
        <v>1</v>
      </c>
      <c r="Z17" s="66">
        <f>COUNTIFS(TblUniv2018[B1],Z$16,TblUniv2018[Prodi],$X$13)/$X$15*100%</f>
        <v>0</v>
      </c>
      <c r="AA17" s="66">
        <f>COUNTIFS(TblUniv2018[B1],AA$16,TblUniv2018[Prodi],$X$13)/$X$15*100%</f>
        <v>0</v>
      </c>
      <c r="AB17" s="62">
        <f t="shared" ref="AB17:AB54" si="3">SUM(X17:AA17)</f>
        <v>1</v>
      </c>
      <c r="AD17" s="57" t="s">
        <v>26</v>
      </c>
      <c r="AE17" s="66" t="e">
        <f>COUNTIFS(TblUniv2018[B1],AE$16,TblUniv2018[Prodi],$AE$13)/$AE$15*100%</f>
        <v>#DIV/0!</v>
      </c>
      <c r="AF17" s="66" t="e">
        <f>COUNTIFS(TblUniv2018[B1],AF$16,TblUniv2018[Prodi],$AE$13)/$AE$15*100%</f>
        <v>#DIV/0!</v>
      </c>
      <c r="AG17" s="66" t="e">
        <f>COUNTIFS(TblUniv2018[B1],AG$16,TblUniv2018[Prodi],$AE$13)/$AE$15*100%</f>
        <v>#DIV/0!</v>
      </c>
      <c r="AH17" s="66" t="e">
        <f>COUNTIFS(TblUniv2018[B1],AH$16,TblUniv2018[Prodi],$AE$13)/$AE$15*100%</f>
        <v>#DIV/0!</v>
      </c>
      <c r="AI17" s="62" t="e">
        <f t="shared" ref="AI17:AI54" si="4">SUM(AE17:AH17)</f>
        <v>#DIV/0!</v>
      </c>
      <c r="AK17" s="57" t="s">
        <v>26</v>
      </c>
      <c r="AL17" s="66">
        <f>COUNTIFS(TblUniv2018[B1],AL$16,TblUniv2018[Prodi],$AL$13)/$AL$15*100%</f>
        <v>1</v>
      </c>
      <c r="AM17" s="66">
        <f>COUNTIFS(TblUniv2018[B1],AM$16,TblUniv2018[Prodi],$AL$13)/$AL$15*100%</f>
        <v>0</v>
      </c>
      <c r="AN17" s="66">
        <f>COUNTIFS(TblUniv2018[B1],AN$16,TblUniv2018[Prodi],$AL$13)/$AL$15*100%</f>
        <v>0</v>
      </c>
      <c r="AO17" s="66">
        <f>COUNTIFS(TblUniv2018[B1],AO$16,TblUniv2018[Prodi],$AL$13)/$AL$15*100%</f>
        <v>0</v>
      </c>
      <c r="AP17" s="62">
        <f t="shared" ref="AP17:AP54" si="5">SUM(AL17:AO17)</f>
        <v>1</v>
      </c>
      <c r="AR17" s="57" t="s">
        <v>26</v>
      </c>
      <c r="AS17" s="66" t="e">
        <f>COUNTIFS(TblUniv2018[B1],AS$16,TblUniv2018[Prodi],$AS$13)/$AS$15*100%</f>
        <v>#DIV/0!</v>
      </c>
      <c r="AT17" s="66" t="e">
        <f>COUNTIFS(TblUniv2018[B1],AT$16,TblUniv2018[Prodi],$AS$13)/$AS$15*100%</f>
        <v>#DIV/0!</v>
      </c>
      <c r="AU17" s="66" t="e">
        <f>COUNTIFS(TblUniv2018[B1],AU$16,TblUniv2018[Prodi],$AS$13)/$AS$15*100%</f>
        <v>#DIV/0!</v>
      </c>
      <c r="AV17" s="66" t="e">
        <f>COUNTIFS(TblUniv2018[B1],AV$16,TblUniv2018[Prodi],$AS$13)/$AS$15*100%</f>
        <v>#DIV/0!</v>
      </c>
      <c r="AW17" s="62" t="e">
        <f t="shared" ref="AW17:AW54" si="6">SUM(AS17:AV17)</f>
        <v>#DIV/0!</v>
      </c>
    </row>
    <row r="18" spans="2:49" ht="16.5" hidden="1" x14ac:dyDescent="0.3">
      <c r="B18" s="57" t="s">
        <v>27</v>
      </c>
      <c r="C18" s="66">
        <f>COUNTIFS(TblUniv2018[B2],$C$16)/C15*100%</f>
        <v>0.5</v>
      </c>
      <c r="D18" s="66">
        <f>COUNTIFS(TblUniv2018[B2],$D$16)/C15*100%</f>
        <v>0.5</v>
      </c>
      <c r="E18" s="66">
        <f>COUNTIFS(TblUniv2018[B2],$E$16)/C15*100%</f>
        <v>0</v>
      </c>
      <c r="F18" s="66">
        <f>COUNTIFS(TblUniv2018[B2],$F$16)/C15*100%</f>
        <v>0</v>
      </c>
      <c r="G18" s="62">
        <f t="shared" si="0"/>
        <v>1</v>
      </c>
      <c r="I18" s="57" t="s">
        <v>27</v>
      </c>
      <c r="J18" s="66">
        <f>COUNTIFS(TblUniv2018[B2],J$16,TblUniv2018[Prodi],$J$13)/$J$15*100%</f>
        <v>1</v>
      </c>
      <c r="K18" s="66">
        <f>COUNTIFS(TblUniv2018[B2],K$16,TblUniv2018[Prodi],$J$13)/$J$15*100%</f>
        <v>0</v>
      </c>
      <c r="L18" s="66">
        <f>COUNTIFS(TblUniv2018[B2],L$16,TblUniv2018[Prodi],$J$13)/$J$15*100%</f>
        <v>0</v>
      </c>
      <c r="M18" s="66">
        <f>COUNTIFS(TblUniv2018[B2],M$16,TblUniv2018[Prodi],$J$13)/$J$15*100%</f>
        <v>0</v>
      </c>
      <c r="N18" s="62">
        <f t="shared" si="1"/>
        <v>1</v>
      </c>
      <c r="P18" s="57" t="s">
        <v>27</v>
      </c>
      <c r="Q18" s="66">
        <f>COUNTIFS(TblUniv2018[B2],Q$16,TblUniv2018[Prodi],$Q$13)/$Q$15*100%</f>
        <v>0.33333333333333331</v>
      </c>
      <c r="R18" s="66">
        <f>COUNTIFS(TblUniv2018[B2],R$16,TblUniv2018[Prodi],$Q$13)/$Q$15*100%</f>
        <v>0.66666666666666663</v>
      </c>
      <c r="S18" s="66">
        <f>COUNTIFS(TblUniv2018[B2],S$16,TblUniv2018[Prodi],$Q$13)/$Q$15*100%</f>
        <v>0</v>
      </c>
      <c r="T18" s="66">
        <f>COUNTIFS(TblUniv2018[B2],T$16,TblUniv2018[Prodi],$Q$13)/$Q$15*100%</f>
        <v>0</v>
      </c>
      <c r="U18" s="62">
        <f t="shared" si="2"/>
        <v>1</v>
      </c>
      <c r="W18" s="57" t="s">
        <v>27</v>
      </c>
      <c r="X18" s="66">
        <f>COUNTIFS(TblUniv2018[B2],X$16,TblUniv2018[Prodi],$X$13)/$X$15*100%</f>
        <v>0</v>
      </c>
      <c r="Y18" s="66">
        <f>COUNTIFS(TblUniv2018[B2],Y$16,TblUniv2018[Prodi],$X$13)/$X$15*100%</f>
        <v>1</v>
      </c>
      <c r="Z18" s="66">
        <f>COUNTIFS(TblUniv2018[B2],Z$16,TblUniv2018[Prodi],$X$13)/$X$15*100%</f>
        <v>0</v>
      </c>
      <c r="AA18" s="66">
        <f>COUNTIFS(TblUniv2018[B2],AA$16,TblUniv2018[Prodi],$X$13)/$X$15*100%</f>
        <v>0</v>
      </c>
      <c r="AB18" s="62">
        <f t="shared" si="3"/>
        <v>1</v>
      </c>
      <c r="AD18" s="57" t="s">
        <v>27</v>
      </c>
      <c r="AE18" s="66" t="e">
        <f>COUNTIFS(TblUniv2018[B2],AE$16,TblUniv2018[Prodi],$AE$13)/$AE$15*100%</f>
        <v>#DIV/0!</v>
      </c>
      <c r="AF18" s="66" t="e">
        <f>COUNTIFS(TblUniv2018[B2],AF$16,TblUniv2018[Prodi],$AE$13)/$AE$15*100%</f>
        <v>#DIV/0!</v>
      </c>
      <c r="AG18" s="66" t="e">
        <f>COUNTIFS(TblUniv2018[B2],AG$16,TblUniv2018[Prodi],$AE$13)/$AE$15*100%</f>
        <v>#DIV/0!</v>
      </c>
      <c r="AH18" s="66" t="e">
        <f>COUNTIFS(TblUniv2018[B2],AH$16,TblUniv2018[Prodi],$AE$13)/$AE$15*100%</f>
        <v>#DIV/0!</v>
      </c>
      <c r="AI18" s="62" t="e">
        <f t="shared" si="4"/>
        <v>#DIV/0!</v>
      </c>
      <c r="AK18" s="57" t="s">
        <v>27</v>
      </c>
      <c r="AL18" s="66">
        <f>COUNTIFS(TblUniv2018[B2],AL$16,TblUniv2018[Prodi],$AL$13)/$AL$15*100%</f>
        <v>1</v>
      </c>
      <c r="AM18" s="66">
        <f>COUNTIFS(TblUniv2018[B2],AM$16,TblUniv2018[Prodi],$AL$13)/$AL$15*100%</f>
        <v>0</v>
      </c>
      <c r="AN18" s="66">
        <f>COUNTIFS(TblUniv2018[B2],AN$16,TblUniv2018[Prodi],$AL$13)/$AL$15*100%</f>
        <v>0</v>
      </c>
      <c r="AO18" s="66">
        <f>COUNTIFS(TblUniv2018[B2],AO$16,TblUniv2018[Prodi],$AL$13)/$AL$15*100%</f>
        <v>0</v>
      </c>
      <c r="AP18" s="62">
        <f t="shared" si="5"/>
        <v>1</v>
      </c>
      <c r="AR18" s="57" t="s">
        <v>27</v>
      </c>
      <c r="AS18" s="66" t="e">
        <f>COUNTIFS(TblUniv2018[B2],AS$16,TblUniv2018[Prodi],$AS$13)/$AS$15*100%</f>
        <v>#DIV/0!</v>
      </c>
      <c r="AT18" s="66" t="e">
        <f>COUNTIFS(TblUniv2018[B2],AT$16,TblUniv2018[Prodi],$AS$13)/$AS$15*100%</f>
        <v>#DIV/0!</v>
      </c>
      <c r="AU18" s="66" t="e">
        <f>COUNTIFS(TblUniv2018[B2],AU$16,TblUniv2018[Prodi],$AS$13)/$AS$15*100%</f>
        <v>#DIV/0!</v>
      </c>
      <c r="AV18" s="66" t="e">
        <f>COUNTIFS(TblUniv2018[B2],AV$16,TblUniv2018[Prodi],$AS$13)/$AS$15*100%</f>
        <v>#DIV/0!</v>
      </c>
      <c r="AW18" s="62" t="e">
        <f t="shared" si="6"/>
        <v>#DIV/0!</v>
      </c>
    </row>
    <row r="19" spans="2:49" ht="16.5" hidden="1" x14ac:dyDescent="0.3">
      <c r="B19" s="57" t="s">
        <v>28</v>
      </c>
      <c r="C19" s="66">
        <f>COUNTIFS(TblUniv2018[B3],$C$16)/C15*100%</f>
        <v>0.33333333333333331</v>
      </c>
      <c r="D19" s="66">
        <f>COUNTIFS(TblUniv2018[B3],$D$16)/C15*100%</f>
        <v>0.5</v>
      </c>
      <c r="E19" s="66">
        <f>COUNTIFS(TblUniv2018[B3],$E$16)/C15*100%</f>
        <v>0.16666666666666666</v>
      </c>
      <c r="F19" s="66">
        <f>COUNTIFS(TblUniv2018[B3],$F$16)/C15*100%</f>
        <v>0</v>
      </c>
      <c r="G19" s="62">
        <f t="shared" si="0"/>
        <v>0.99999999999999989</v>
      </c>
      <c r="I19" s="57" t="s">
        <v>28</v>
      </c>
      <c r="J19" s="66">
        <f>COUNTIFS(TblUniv2018[B3],J$16,TblUniv2018[Prodi],$J$13)/$J$15*100%</f>
        <v>0</v>
      </c>
      <c r="K19" s="66">
        <f>COUNTIFS(TblUniv2018[B3],K$16,TblUniv2018[Prodi],$J$13)/$J$15*100%</f>
        <v>1</v>
      </c>
      <c r="L19" s="66">
        <f>COUNTIFS(TblUniv2018[B3],L$16,TblUniv2018[Prodi],$J$13)/$J$15*100%</f>
        <v>0</v>
      </c>
      <c r="M19" s="66">
        <f>COUNTIFS(TblUniv2018[B3],M$16,TblUniv2018[Prodi],$J$13)/$J$15*100%</f>
        <v>0</v>
      </c>
      <c r="N19" s="62">
        <f t="shared" si="1"/>
        <v>1</v>
      </c>
      <c r="P19" s="57" t="s">
        <v>28</v>
      </c>
      <c r="Q19" s="66">
        <f>COUNTIFS(TblUniv2018[B3],Q$16,TblUniv2018[Prodi],$Q$13)/$Q$15*100%</f>
        <v>0.33333333333333331</v>
      </c>
      <c r="R19" s="66">
        <f>COUNTIFS(TblUniv2018[B3],R$16,TblUniv2018[Prodi],$Q$13)/$Q$15*100%</f>
        <v>0.33333333333333331</v>
      </c>
      <c r="S19" s="66">
        <f>COUNTIFS(TblUniv2018[B3],S$16,TblUniv2018[Prodi],$Q$13)/$Q$15*100%</f>
        <v>0.33333333333333331</v>
      </c>
      <c r="T19" s="66">
        <f>COUNTIFS(TblUniv2018[B3],T$16,TblUniv2018[Prodi],$Q$13)/$Q$15*100%</f>
        <v>0</v>
      </c>
      <c r="U19" s="62">
        <f t="shared" si="2"/>
        <v>1</v>
      </c>
      <c r="W19" s="57" t="s">
        <v>28</v>
      </c>
      <c r="X19" s="66">
        <f>COUNTIFS(TblUniv2018[B3],X$16,TblUniv2018[Prodi],$X$13)/$X$15*100%</f>
        <v>1</v>
      </c>
      <c r="Y19" s="66">
        <f>COUNTIFS(TblUniv2018[B3],Y$16,TblUniv2018[Prodi],$X$13)/$X$15*100%</f>
        <v>0</v>
      </c>
      <c r="Z19" s="66">
        <f>COUNTIFS(TblUniv2018[B3],Z$16,TblUniv2018[Prodi],$X$13)/$X$15*100%</f>
        <v>0</v>
      </c>
      <c r="AA19" s="66">
        <f>COUNTIFS(TblUniv2018[B3],AA$16,TblUniv2018[Prodi],$X$13)/$X$15*100%</f>
        <v>0</v>
      </c>
      <c r="AB19" s="62">
        <f t="shared" si="3"/>
        <v>1</v>
      </c>
      <c r="AD19" s="57" t="s">
        <v>28</v>
      </c>
      <c r="AE19" s="66" t="e">
        <f>COUNTIFS(TblUniv2018[B3],AE$16,TblUniv2018[Prodi],$AE$13)/$AE$15*100%</f>
        <v>#DIV/0!</v>
      </c>
      <c r="AF19" s="66" t="e">
        <f>COUNTIFS(TblUniv2018[B3],AF$16,TblUniv2018[Prodi],$AE$13)/$AE$15*100%</f>
        <v>#DIV/0!</v>
      </c>
      <c r="AG19" s="66" t="e">
        <f>COUNTIFS(TblUniv2018[B3],AG$16,TblUniv2018[Prodi],$AE$13)/$AE$15*100%</f>
        <v>#DIV/0!</v>
      </c>
      <c r="AH19" s="66" t="e">
        <f>COUNTIFS(TblUniv2018[B3],AH$16,TblUniv2018[Prodi],$AE$13)/$AE$15*100%</f>
        <v>#DIV/0!</v>
      </c>
      <c r="AI19" s="62" t="e">
        <f t="shared" si="4"/>
        <v>#DIV/0!</v>
      </c>
      <c r="AK19" s="57" t="s">
        <v>28</v>
      </c>
      <c r="AL19" s="66">
        <f>COUNTIFS(TblUniv2018[B3],AL$16,TblUniv2018[Prodi],$AL$13)/$AL$15*100%</f>
        <v>0</v>
      </c>
      <c r="AM19" s="66">
        <f>COUNTIFS(TblUniv2018[B3],AM$16,TblUniv2018[Prodi],$AL$13)/$AL$15*100%</f>
        <v>1</v>
      </c>
      <c r="AN19" s="66">
        <f>COUNTIFS(TblUniv2018[B3],AN$16,TblUniv2018[Prodi],$AL$13)/$AL$15*100%</f>
        <v>0</v>
      </c>
      <c r="AO19" s="66">
        <f>COUNTIFS(TblUniv2018[B3],AO$16,TblUniv2018[Prodi],$AL$13)/$AL$15*100%</f>
        <v>0</v>
      </c>
      <c r="AP19" s="62">
        <f t="shared" si="5"/>
        <v>1</v>
      </c>
      <c r="AR19" s="57" t="s">
        <v>28</v>
      </c>
      <c r="AS19" s="66" t="e">
        <f>COUNTIFS(TblUniv2018[B3],AS$16,TblUniv2018[Prodi],$AS$13)/$AS$15*100%</f>
        <v>#DIV/0!</v>
      </c>
      <c r="AT19" s="66" t="e">
        <f>COUNTIFS(TblUniv2018[B3],AT$16,TblUniv2018[Prodi],$AS$13)/$AS$15*100%</f>
        <v>#DIV/0!</v>
      </c>
      <c r="AU19" s="66" t="e">
        <f>COUNTIFS(TblUniv2018[B3],AU$16,TblUniv2018[Prodi],$AS$13)/$AS$15*100%</f>
        <v>#DIV/0!</v>
      </c>
      <c r="AV19" s="66" t="e">
        <f>COUNTIFS(TblUniv2018[B3],AV$16,TblUniv2018[Prodi],$AS$13)/$AS$15*100%</f>
        <v>#DIV/0!</v>
      </c>
      <c r="AW19" s="62" t="e">
        <f t="shared" si="6"/>
        <v>#DIV/0!</v>
      </c>
    </row>
    <row r="20" spans="2:49" ht="16.5" hidden="1" x14ac:dyDescent="0.3">
      <c r="B20" s="57" t="s">
        <v>29</v>
      </c>
      <c r="C20" s="66">
        <f>COUNTIFS(TblUniv2018[B4],$C$16)/C15*100%</f>
        <v>0.5</v>
      </c>
      <c r="D20" s="66">
        <f>COUNTIFS(TblUniv2018[B4],$D$16)/C15*100%</f>
        <v>0.5</v>
      </c>
      <c r="E20" s="66">
        <f>COUNTIFS(TblUniv2018[B4],$E$16)/C15*100%</f>
        <v>0</v>
      </c>
      <c r="F20" s="66">
        <f>COUNTIFS(TblUniv2018[B4],$F$16)/C15*100%</f>
        <v>0</v>
      </c>
      <c r="G20" s="62">
        <f t="shared" si="0"/>
        <v>1</v>
      </c>
      <c r="I20" s="57" t="s">
        <v>29</v>
      </c>
      <c r="J20" s="66">
        <f>COUNTIFS(TblUniv2018[B4],J$16,TblUniv2018[Prodi],$J$13)/$J$15*100%</f>
        <v>1</v>
      </c>
      <c r="K20" s="66">
        <f>COUNTIFS(TblUniv2018[B4],K$16,TblUniv2018[Prodi],$J$13)/$J$15*100%</f>
        <v>0</v>
      </c>
      <c r="L20" s="66">
        <f>COUNTIFS(TblUniv2018[B4],L$16,TblUniv2018[Prodi],$J$13)/$J$15*100%</f>
        <v>0</v>
      </c>
      <c r="M20" s="66">
        <f>COUNTIFS(TblUniv2018[B4],M$16,TblUniv2018[Prodi],$J$13)/$J$15*100%</f>
        <v>0</v>
      </c>
      <c r="N20" s="62">
        <f t="shared" si="1"/>
        <v>1</v>
      </c>
      <c r="P20" s="57" t="s">
        <v>29</v>
      </c>
      <c r="Q20" s="66">
        <f>COUNTIFS(TblUniv2018[B4],Q$16,TblUniv2018[Prodi],$Q$13)/$Q$15*100%</f>
        <v>0.33333333333333331</v>
      </c>
      <c r="R20" s="66">
        <f>COUNTIFS(TblUniv2018[B4],R$16,TblUniv2018[Prodi],$Q$13)/$Q$15*100%</f>
        <v>0.66666666666666663</v>
      </c>
      <c r="S20" s="66">
        <f>COUNTIFS(TblUniv2018[B4],S$16,TblUniv2018[Prodi],$Q$13)/$Q$15*100%</f>
        <v>0</v>
      </c>
      <c r="T20" s="66">
        <f>COUNTIFS(TblUniv2018[B4],T$16,TblUniv2018[Prodi],$Q$13)/$Q$15*100%</f>
        <v>0</v>
      </c>
      <c r="U20" s="62">
        <f t="shared" si="2"/>
        <v>1</v>
      </c>
      <c r="W20" s="57" t="s">
        <v>29</v>
      </c>
      <c r="X20" s="66">
        <f>COUNTIFS(TblUniv2018[B4],X$16,TblUniv2018[Prodi],$X$13)/$X$15*100%</f>
        <v>0</v>
      </c>
      <c r="Y20" s="66">
        <f>COUNTIFS(TblUniv2018[B4],Y$16,TblUniv2018[Prodi],$X$13)/$X$15*100%</f>
        <v>1</v>
      </c>
      <c r="Z20" s="66">
        <f>COUNTIFS(TblUniv2018[B4],Z$16,TblUniv2018[Prodi],$X$13)/$X$15*100%</f>
        <v>0</v>
      </c>
      <c r="AA20" s="66">
        <f>COUNTIFS(TblUniv2018[B4],AA$16,TblUniv2018[Prodi],$X$13)/$X$15*100%</f>
        <v>0</v>
      </c>
      <c r="AB20" s="62">
        <f t="shared" si="3"/>
        <v>1</v>
      </c>
      <c r="AD20" s="57" t="s">
        <v>29</v>
      </c>
      <c r="AE20" s="66" t="e">
        <f>COUNTIFS(TblUniv2018[B4],AE$16,TblUniv2018[Prodi],$AE$13)/$AE$15*100%</f>
        <v>#DIV/0!</v>
      </c>
      <c r="AF20" s="66" t="e">
        <f>COUNTIFS(TblUniv2018[B4],AF$16,TblUniv2018[Prodi],$AE$13)/$AE$15*100%</f>
        <v>#DIV/0!</v>
      </c>
      <c r="AG20" s="66" t="e">
        <f>COUNTIFS(TblUniv2018[B4],AG$16,TblUniv2018[Prodi],$AE$13)/$AE$15*100%</f>
        <v>#DIV/0!</v>
      </c>
      <c r="AH20" s="66" t="e">
        <f>COUNTIFS(TblUniv2018[B4],AH$16,TblUniv2018[Prodi],$AE$13)/$AE$15*100%</f>
        <v>#DIV/0!</v>
      </c>
      <c r="AI20" s="62" t="e">
        <f t="shared" si="4"/>
        <v>#DIV/0!</v>
      </c>
      <c r="AK20" s="57" t="s">
        <v>29</v>
      </c>
      <c r="AL20" s="66">
        <f>COUNTIFS(TblUniv2018[B4],AL$16,TblUniv2018[Prodi],$AL$13)/$AL$15*100%</f>
        <v>1</v>
      </c>
      <c r="AM20" s="66">
        <f>COUNTIFS(TblUniv2018[B4],AM$16,TblUniv2018[Prodi],$AL$13)/$AL$15*100%</f>
        <v>0</v>
      </c>
      <c r="AN20" s="66">
        <f>COUNTIFS(TblUniv2018[B4],AN$16,TblUniv2018[Prodi],$AL$13)/$AL$15*100%</f>
        <v>0</v>
      </c>
      <c r="AO20" s="66">
        <f>COUNTIFS(TblUniv2018[B4],AO$16,TblUniv2018[Prodi],$AL$13)/$AL$15*100%</f>
        <v>0</v>
      </c>
      <c r="AP20" s="62">
        <f t="shared" si="5"/>
        <v>1</v>
      </c>
      <c r="AR20" s="57" t="s">
        <v>29</v>
      </c>
      <c r="AS20" s="66" t="e">
        <f>COUNTIFS(TblUniv2018[B4],AS$16,TblUniv2018[Prodi],$AS$13)/$AS$15*100%</f>
        <v>#DIV/0!</v>
      </c>
      <c r="AT20" s="66" t="e">
        <f>COUNTIFS(TblUniv2018[B4],AT$16,TblUniv2018[Prodi],$AS$13)/$AS$15*100%</f>
        <v>#DIV/0!</v>
      </c>
      <c r="AU20" s="66" t="e">
        <f>COUNTIFS(TblUniv2018[B4],AU$16,TblUniv2018[Prodi],$AS$13)/$AS$15*100%</f>
        <v>#DIV/0!</v>
      </c>
      <c r="AV20" s="66" t="e">
        <f>COUNTIFS(TblUniv2018[B4],AV$16,TblUniv2018[Prodi],$AS$13)/$AS$15*100%</f>
        <v>#DIV/0!</v>
      </c>
      <c r="AW20" s="62" t="e">
        <f t="shared" si="6"/>
        <v>#DIV/0!</v>
      </c>
    </row>
    <row r="21" spans="2:49" ht="16.5" hidden="1" x14ac:dyDescent="0.3">
      <c r="B21" s="57" t="s">
        <v>30</v>
      </c>
      <c r="C21" s="66">
        <f>COUNTIFS(TblUniv2018[B5],$C$16)/C15*100%</f>
        <v>0.5</v>
      </c>
      <c r="D21" s="66">
        <f>COUNTIFS(TblUniv2018[B5],$D$16)/C15*100%</f>
        <v>0.5</v>
      </c>
      <c r="E21" s="66">
        <f>COUNTIFS(TblUniv2018[B5],$E$16)/C15*100%</f>
        <v>0</v>
      </c>
      <c r="F21" s="66">
        <f>COUNTIFS(TblUniv2018[B5],$F$16)/C15*100%</f>
        <v>0</v>
      </c>
      <c r="G21" s="62">
        <f t="shared" si="0"/>
        <v>1</v>
      </c>
      <c r="I21" s="57" t="s">
        <v>30</v>
      </c>
      <c r="J21" s="66">
        <f>COUNTIFS(TblUniv2018[B5],J$16,TblUniv2018[Prodi],$J$13)/$J$15*100%</f>
        <v>1</v>
      </c>
      <c r="K21" s="66">
        <f>COUNTIFS(TblUniv2018[B5],K$16,TblUniv2018[Prodi],$J$13)/$J$15*100%</f>
        <v>0</v>
      </c>
      <c r="L21" s="66">
        <f>COUNTIFS(TblUniv2018[B5],L$16,TblUniv2018[Prodi],$J$13)/$J$15*100%</f>
        <v>0</v>
      </c>
      <c r="M21" s="66">
        <f>COUNTIFS(TblUniv2018[B5],M$16,TblUniv2018[Prodi],$J$13)/$J$15*100%</f>
        <v>0</v>
      </c>
      <c r="N21" s="62">
        <f t="shared" si="1"/>
        <v>1</v>
      </c>
      <c r="P21" s="57" t="s">
        <v>30</v>
      </c>
      <c r="Q21" s="66">
        <f>COUNTIFS(TblUniv2018[B5],Q$16,TblUniv2018[Prodi],$Q$13)/$Q$15*100%</f>
        <v>0.33333333333333331</v>
      </c>
      <c r="R21" s="66">
        <f>COUNTIFS(TblUniv2018[B5],R$16,TblUniv2018[Prodi],$Q$13)/$Q$15*100%</f>
        <v>0.66666666666666663</v>
      </c>
      <c r="S21" s="66">
        <f>COUNTIFS(TblUniv2018[B5],S$16,TblUniv2018[Prodi],$Q$13)/$Q$15*100%</f>
        <v>0</v>
      </c>
      <c r="T21" s="66">
        <f>COUNTIFS(TblUniv2018[B5],T$16,TblUniv2018[Prodi],$Q$13)/$Q$15*100%</f>
        <v>0</v>
      </c>
      <c r="U21" s="62">
        <f t="shared" si="2"/>
        <v>1</v>
      </c>
      <c r="W21" s="57" t="s">
        <v>30</v>
      </c>
      <c r="X21" s="66">
        <f>COUNTIFS(TblUniv2018[B5],X$16,TblUniv2018[Prodi],$X$13)/$X$15*100%</f>
        <v>0</v>
      </c>
      <c r="Y21" s="66">
        <f>COUNTIFS(TblUniv2018[B5],Y$16,TblUniv2018[Prodi],$X$13)/$X$15*100%</f>
        <v>1</v>
      </c>
      <c r="Z21" s="66">
        <f>COUNTIFS(TblUniv2018[B5],Z$16,TblUniv2018[Prodi],$X$13)/$X$15*100%</f>
        <v>0</v>
      </c>
      <c r="AA21" s="66">
        <f>COUNTIFS(TblUniv2018[B5],AA$16,TblUniv2018[Prodi],$X$13)/$X$15*100%</f>
        <v>0</v>
      </c>
      <c r="AB21" s="62">
        <f t="shared" si="3"/>
        <v>1</v>
      </c>
      <c r="AD21" s="57" t="s">
        <v>30</v>
      </c>
      <c r="AE21" s="66" t="e">
        <f>COUNTIFS(TblUniv2018[B5],AE$16,TblUniv2018[Prodi],$AE$13)/$AE$15*100%</f>
        <v>#DIV/0!</v>
      </c>
      <c r="AF21" s="66" t="e">
        <f>COUNTIFS(TblUniv2018[B5],AF$16,TblUniv2018[Prodi],$AE$13)/$AE$15*100%</f>
        <v>#DIV/0!</v>
      </c>
      <c r="AG21" s="66" t="e">
        <f>COUNTIFS(TblUniv2018[B5],AG$16,TblUniv2018[Prodi],$AE$13)/$AE$15*100%</f>
        <v>#DIV/0!</v>
      </c>
      <c r="AH21" s="66" t="e">
        <f>COUNTIFS(TblUniv2018[B5],AH$16,TblUniv2018[Prodi],$AE$13)/$AE$15*100%</f>
        <v>#DIV/0!</v>
      </c>
      <c r="AI21" s="62" t="e">
        <f t="shared" si="4"/>
        <v>#DIV/0!</v>
      </c>
      <c r="AK21" s="57" t="s">
        <v>30</v>
      </c>
      <c r="AL21" s="66">
        <f>COUNTIFS(TblUniv2018[B5],AL$16,TblUniv2018[Prodi],$AL$13)/$AL$15*100%</f>
        <v>1</v>
      </c>
      <c r="AM21" s="66">
        <f>COUNTIFS(TblUniv2018[B5],AM$16,TblUniv2018[Prodi],$AL$13)/$AL$15*100%</f>
        <v>0</v>
      </c>
      <c r="AN21" s="66">
        <f>COUNTIFS(TblUniv2018[B5],AN$16,TblUniv2018[Prodi],$AL$13)/$AL$15*100%</f>
        <v>0</v>
      </c>
      <c r="AO21" s="66">
        <f>COUNTIFS(TblUniv2018[B5],AO$16,TblUniv2018[Prodi],$AL$13)/$AL$15*100%</f>
        <v>0</v>
      </c>
      <c r="AP21" s="62">
        <f t="shared" si="5"/>
        <v>1</v>
      </c>
      <c r="AR21" s="57" t="s">
        <v>30</v>
      </c>
      <c r="AS21" s="66" t="e">
        <f>COUNTIFS(TblUniv2018[B5],AS$16,TblUniv2018[Prodi],$AS$13)/$AS$15*100%</f>
        <v>#DIV/0!</v>
      </c>
      <c r="AT21" s="66" t="e">
        <f>COUNTIFS(TblUniv2018[B5],AT$16,TblUniv2018[Prodi],$AS$13)/$AS$15*100%</f>
        <v>#DIV/0!</v>
      </c>
      <c r="AU21" s="66" t="e">
        <f>COUNTIFS(TblUniv2018[B5],AU$16,TblUniv2018[Prodi],$AS$13)/$AS$15*100%</f>
        <v>#DIV/0!</v>
      </c>
      <c r="AV21" s="66" t="e">
        <f>COUNTIFS(TblUniv2018[B5],AV$16,TblUniv2018[Prodi],$AS$13)/$AS$15*100%</f>
        <v>#DIV/0!</v>
      </c>
      <c r="AW21" s="62" t="e">
        <f t="shared" si="6"/>
        <v>#DIV/0!</v>
      </c>
    </row>
    <row r="22" spans="2:49" ht="16.5" hidden="1" x14ac:dyDescent="0.3">
      <c r="B22" s="60"/>
      <c r="C22" s="61">
        <f>AVERAGE(C17:C21)</f>
        <v>0.5</v>
      </c>
      <c r="D22" s="61">
        <f>AVERAGE(D17:D21)</f>
        <v>0.43333333333333329</v>
      </c>
      <c r="E22" s="61">
        <f>AVERAGE(E17:E21)</f>
        <v>6.6666666666666666E-2</v>
      </c>
      <c r="F22" s="61">
        <f>AVERAGE(F17:F21)</f>
        <v>0</v>
      </c>
      <c r="G22" s="62">
        <f t="shared" si="0"/>
        <v>1</v>
      </c>
      <c r="I22" s="60"/>
      <c r="J22" s="61">
        <f>AVERAGE(J17:J21)</f>
        <v>0.8</v>
      </c>
      <c r="K22" s="61">
        <f>AVERAGE(K17:K21)</f>
        <v>0.2</v>
      </c>
      <c r="L22" s="61">
        <f>AVERAGE(L17:L21)</f>
        <v>0</v>
      </c>
      <c r="M22" s="61">
        <f>AVERAGE(M17:M21)</f>
        <v>0</v>
      </c>
      <c r="N22" s="62">
        <f t="shared" si="1"/>
        <v>1</v>
      </c>
      <c r="P22" s="60"/>
      <c r="Q22" s="61">
        <f>AVERAGE(Q17:Q21)</f>
        <v>0.39999999999999997</v>
      </c>
      <c r="R22" s="61">
        <f>AVERAGE(R17:R21)</f>
        <v>0.46666666666666662</v>
      </c>
      <c r="S22" s="61">
        <f>AVERAGE(S17:S21)</f>
        <v>0.13333333333333333</v>
      </c>
      <c r="T22" s="61">
        <f>AVERAGE(T17:T21)</f>
        <v>0</v>
      </c>
      <c r="U22" s="62">
        <f t="shared" si="2"/>
        <v>0.99999999999999989</v>
      </c>
      <c r="W22" s="60"/>
      <c r="X22" s="61">
        <f>AVERAGE(X17:X21)</f>
        <v>0.2</v>
      </c>
      <c r="Y22" s="61">
        <f>AVERAGE(Y17:Y21)</f>
        <v>0.8</v>
      </c>
      <c r="Z22" s="61">
        <f>AVERAGE(Z17:Z21)</f>
        <v>0</v>
      </c>
      <c r="AA22" s="61">
        <f>AVERAGE(AA17:AA21)</f>
        <v>0</v>
      </c>
      <c r="AB22" s="62">
        <f t="shared" si="3"/>
        <v>1</v>
      </c>
      <c r="AD22" s="60"/>
      <c r="AE22" s="61" t="e">
        <f>AVERAGE(AE17:AE21)</f>
        <v>#DIV/0!</v>
      </c>
      <c r="AF22" s="61" t="e">
        <f>AVERAGE(AF17:AF21)</f>
        <v>#DIV/0!</v>
      </c>
      <c r="AG22" s="61" t="e">
        <f>AVERAGE(AG17:AG21)</f>
        <v>#DIV/0!</v>
      </c>
      <c r="AH22" s="61" t="e">
        <f>AVERAGE(AH17:AH21)</f>
        <v>#DIV/0!</v>
      </c>
      <c r="AI22" s="62" t="e">
        <f t="shared" si="4"/>
        <v>#DIV/0!</v>
      </c>
      <c r="AK22" s="60"/>
      <c r="AL22" s="61">
        <f>AVERAGE(AL17:AL21)</f>
        <v>0.8</v>
      </c>
      <c r="AM22" s="61">
        <f>AVERAGE(AM17:AM21)</f>
        <v>0.2</v>
      </c>
      <c r="AN22" s="61">
        <f>AVERAGE(AN17:AN21)</f>
        <v>0</v>
      </c>
      <c r="AO22" s="61">
        <f>AVERAGE(AO17:AO21)</f>
        <v>0</v>
      </c>
      <c r="AP22" s="62">
        <f t="shared" si="5"/>
        <v>1</v>
      </c>
      <c r="AR22" s="60"/>
      <c r="AS22" s="61" t="e">
        <f>AVERAGE(AS17:AS21)</f>
        <v>#DIV/0!</v>
      </c>
      <c r="AT22" s="61" t="e">
        <f>AVERAGE(AT17:AT21)</f>
        <v>#DIV/0!</v>
      </c>
      <c r="AU22" s="61" t="e">
        <f>AVERAGE(AU17:AU21)</f>
        <v>#DIV/0!</v>
      </c>
      <c r="AV22" s="61" t="e">
        <f>AVERAGE(AV17:AV21)</f>
        <v>#DIV/0!</v>
      </c>
      <c r="AW22" s="62" t="e">
        <f t="shared" si="6"/>
        <v>#DIV/0!</v>
      </c>
    </row>
    <row r="23" spans="2:49" ht="16.5" hidden="1" x14ac:dyDescent="0.3">
      <c r="B23" s="57" t="s">
        <v>31</v>
      </c>
      <c r="C23" s="66">
        <f>COUNTIFS(TblUniv2018[C1],$C$16)/$C$15*100%</f>
        <v>0.83333333333333337</v>
      </c>
      <c r="D23" s="66">
        <f>COUNTIFS(TblUniv2018[C1],$D$16)/$C$15*100%</f>
        <v>0.16666666666666666</v>
      </c>
      <c r="E23" s="66">
        <f>COUNTIFS(TblUniv2018[C1],$E$16)/$C$15*100%</f>
        <v>0</v>
      </c>
      <c r="F23" s="66">
        <f>COUNTIFS(TblUniv2018[C1],$F$16)/$C$15*100%</f>
        <v>0</v>
      </c>
      <c r="G23" s="62">
        <f t="shared" si="0"/>
        <v>1</v>
      </c>
      <c r="I23" s="57" t="s">
        <v>31</v>
      </c>
      <c r="J23" s="66">
        <f>COUNTIFS(TblUniv2018[C1],J$16,TblUniv2018[Prodi],$J$13)/$J$15*100%</f>
        <v>1</v>
      </c>
      <c r="K23" s="66">
        <f>COUNTIFS(TblUniv2018[C1],K$16,TblUniv2018[Prodi],$J$13)/$J$15*100%</f>
        <v>0</v>
      </c>
      <c r="L23" s="66">
        <f>COUNTIFS(TblUniv2018[C1],L$16,TblUniv2018[Prodi],$J$13)/$J$15*100%</f>
        <v>0</v>
      </c>
      <c r="M23" s="66">
        <f>COUNTIFS(TblUniv2018[C1],M$16,TblUniv2018[Prodi],$J$13)/$J$15*100%</f>
        <v>0</v>
      </c>
      <c r="N23" s="62">
        <f t="shared" si="1"/>
        <v>1</v>
      </c>
      <c r="P23" s="57" t="s">
        <v>31</v>
      </c>
      <c r="Q23" s="66">
        <f>COUNTIFS(TblUniv2018[C1],Q$16,TblUniv2018[Prodi],$Q$13)/$Q$15*100%</f>
        <v>0.66666666666666663</v>
      </c>
      <c r="R23" s="66">
        <f>COUNTIFS(TblUniv2018[C1],R$16,TblUniv2018[Prodi],$Q$13)/$Q$15*100%</f>
        <v>0.33333333333333331</v>
      </c>
      <c r="S23" s="66">
        <f>COUNTIFS(TblUniv2018[C1],S$16,TblUniv2018[Prodi],$Q$13)/$Q$15*100%</f>
        <v>0</v>
      </c>
      <c r="T23" s="66">
        <f>COUNTIFS(TblUniv2018[C1],T$16,TblUniv2018[Prodi],$Q$13)/$Q$15*100%</f>
        <v>0</v>
      </c>
      <c r="U23" s="62">
        <f t="shared" si="2"/>
        <v>1</v>
      </c>
      <c r="W23" s="57" t="s">
        <v>31</v>
      </c>
      <c r="X23" s="66">
        <f>COUNTIFS(TblUniv2018[C1],X$16,TblUniv2018[Prodi],$X$13)/$X$15*100%</f>
        <v>1</v>
      </c>
      <c r="Y23" s="66">
        <f>COUNTIFS(TblUniv2018[C1],Y$16,TblUniv2018[Prodi],$X$13)/$X$15*100%</f>
        <v>0</v>
      </c>
      <c r="Z23" s="66">
        <f>COUNTIFS(TblUniv2018[C1],Z$16,TblUniv2018[Prodi],$X$13)/$X$15*100%</f>
        <v>0</v>
      </c>
      <c r="AA23" s="66">
        <f>COUNTIFS(TblUniv2018[C1],AA$16,TblUniv2018[Prodi],$X$13)/$X$15*100%</f>
        <v>0</v>
      </c>
      <c r="AB23" s="62">
        <f t="shared" si="3"/>
        <v>1</v>
      </c>
      <c r="AD23" s="57" t="s">
        <v>31</v>
      </c>
      <c r="AE23" s="66" t="e">
        <f>COUNTIFS(TblUniv2018[C1],AE$16,TblUniv2018[Prodi],$AE$13)/$AE$15*100%</f>
        <v>#DIV/0!</v>
      </c>
      <c r="AF23" s="66" t="e">
        <f>COUNTIFS(TblUniv2018[C1],AF$16,TblUniv2018[Prodi],$AE$13)/$AE$15*100%</f>
        <v>#DIV/0!</v>
      </c>
      <c r="AG23" s="66" t="e">
        <f>COUNTIFS(TblUniv2018[C1],AG$16,TblUniv2018[Prodi],$AE$13)/$AE$15*100%</f>
        <v>#DIV/0!</v>
      </c>
      <c r="AH23" s="66" t="e">
        <f>COUNTIFS(TblUniv2018[C1],AH$16,TblUniv2018[Prodi],$AE$13)/$AE$15*100%</f>
        <v>#DIV/0!</v>
      </c>
      <c r="AI23" s="62" t="e">
        <f t="shared" si="4"/>
        <v>#DIV/0!</v>
      </c>
      <c r="AK23" s="57" t="s">
        <v>31</v>
      </c>
      <c r="AL23" s="66">
        <f>COUNTIFS(TblUniv2018[C1],AL$16,TblUniv2018[Prodi],$AL$13)/$AL$15*100%</f>
        <v>1</v>
      </c>
      <c r="AM23" s="66">
        <f>COUNTIFS(TblUniv2018[C1],AM$16,TblUniv2018[Prodi],$AL$13)/$AL$15*100%</f>
        <v>0</v>
      </c>
      <c r="AN23" s="66">
        <f>COUNTIFS(TblUniv2018[C1],AN$16,TblUniv2018[Prodi],$AL$13)/$AL$15*100%</f>
        <v>0</v>
      </c>
      <c r="AO23" s="66">
        <f>COUNTIFS(TblUniv2018[C1],AO$16,TblUniv2018[Prodi],$AL$13)/$AL$15*100%</f>
        <v>0</v>
      </c>
      <c r="AP23" s="62">
        <f t="shared" si="5"/>
        <v>1</v>
      </c>
      <c r="AR23" s="57" t="s">
        <v>31</v>
      </c>
      <c r="AS23" s="66" t="e">
        <f>COUNTIFS(TblUniv2018[C1],AS$16,TblUniv2018[Prodi],$AS$13)/$AS$15*100%</f>
        <v>#DIV/0!</v>
      </c>
      <c r="AT23" s="66" t="e">
        <f>COUNTIFS(TblUniv2018[C1],AT$16,TblUniv2018[Prodi],$AS$13)/$AS$15*100%</f>
        <v>#DIV/0!</v>
      </c>
      <c r="AU23" s="66" t="e">
        <f>COUNTIFS(TblUniv2018[C1],AU$16,TblUniv2018[Prodi],$AS$13)/$AS$15*100%</f>
        <v>#DIV/0!</v>
      </c>
      <c r="AV23" s="66" t="e">
        <f>COUNTIFS(TblUniv2018[C1],AV$16,TblUniv2018[Prodi],$AS$13)/$AS$15*100%</f>
        <v>#DIV/0!</v>
      </c>
      <c r="AW23" s="62" t="e">
        <f t="shared" si="6"/>
        <v>#DIV/0!</v>
      </c>
    </row>
    <row r="24" spans="2:49" ht="16.5" hidden="1" x14ac:dyDescent="0.3">
      <c r="B24" s="57" t="s">
        <v>32</v>
      </c>
      <c r="C24" s="66">
        <f>COUNTIFS(TblUniv2018[C2],C$16)/$C$15*100%</f>
        <v>0.66666666666666663</v>
      </c>
      <c r="D24" s="66">
        <f>COUNTIFS(TblUniv2018[C2],D$16)/$C$15*100%</f>
        <v>0.33333333333333331</v>
      </c>
      <c r="E24" s="66">
        <f>COUNTIFS(TblUniv2018[C2],E$16)/$C$15*100%</f>
        <v>0</v>
      </c>
      <c r="F24" s="66">
        <f>COUNTIFS(TblUniv2018[C2],F$16)/$C$15*100%</f>
        <v>0</v>
      </c>
      <c r="G24" s="62">
        <f t="shared" si="0"/>
        <v>1</v>
      </c>
      <c r="I24" s="57" t="s">
        <v>32</v>
      </c>
      <c r="J24" s="66">
        <f>COUNTIFS(TblUniv2018[C2],J$16,TblUniv2018[Prodi],$J$13)/$J$15*100%</f>
        <v>0</v>
      </c>
      <c r="K24" s="66">
        <f>COUNTIFS(TblUniv2018[C2],K$16,TblUniv2018[Prodi],$J$13)/$J$15*100%</f>
        <v>1</v>
      </c>
      <c r="L24" s="66">
        <f>COUNTIFS(TblUniv2018[C2],L$16,TblUniv2018[Prodi],$J$13)/$J$15*100%</f>
        <v>0</v>
      </c>
      <c r="M24" s="66">
        <f>COUNTIFS(TblUniv2018[C2],M$16,TblUniv2018[Prodi],$J$13)/$J$15*100%</f>
        <v>0</v>
      </c>
      <c r="N24" s="62">
        <f t="shared" si="1"/>
        <v>1</v>
      </c>
      <c r="P24" s="57" t="s">
        <v>32</v>
      </c>
      <c r="Q24" s="66">
        <f>COUNTIFS(TblUniv2018[C2],Q$16,TblUniv2018[Prodi],$Q$13)/$Q$15*100%</f>
        <v>0.66666666666666663</v>
      </c>
      <c r="R24" s="66">
        <f>COUNTIFS(TblUniv2018[C2],R$16,TblUniv2018[Prodi],$Q$13)/$Q$15*100%</f>
        <v>0.33333333333333331</v>
      </c>
      <c r="S24" s="66">
        <f>COUNTIFS(TblUniv2018[C2],S$16,TblUniv2018[Prodi],$Q$13)/$Q$15*100%</f>
        <v>0</v>
      </c>
      <c r="T24" s="66">
        <f>COUNTIFS(TblUniv2018[C2],T$16,TblUniv2018[Prodi],$Q$13)/$Q$15*100%</f>
        <v>0</v>
      </c>
      <c r="U24" s="62">
        <f t="shared" si="2"/>
        <v>1</v>
      </c>
      <c r="W24" s="57" t="s">
        <v>32</v>
      </c>
      <c r="X24" s="66">
        <f>COUNTIFS(TblUniv2018[C2],X$16,TblUniv2018[Prodi],$X$13)/$X$15*100%</f>
        <v>1</v>
      </c>
      <c r="Y24" s="66">
        <f>COUNTIFS(TblUniv2018[C2],Y$16,TblUniv2018[Prodi],$X$13)/$X$15*100%</f>
        <v>0</v>
      </c>
      <c r="Z24" s="66">
        <f>COUNTIFS(TblUniv2018[C2],Z$16,TblUniv2018[Prodi],$X$13)/$X$15*100%</f>
        <v>0</v>
      </c>
      <c r="AA24" s="66">
        <f>COUNTIFS(TblUniv2018[C2],AA$16,TblUniv2018[Prodi],$X$13)/$X$15*100%</f>
        <v>0</v>
      </c>
      <c r="AB24" s="62">
        <f t="shared" si="3"/>
        <v>1</v>
      </c>
      <c r="AD24" s="57" t="s">
        <v>32</v>
      </c>
      <c r="AE24" s="66" t="e">
        <f>COUNTIFS(TblUniv2018[C2],AE$16,TblUniv2018[Prodi],$AE$13)/$AE$15*100%</f>
        <v>#DIV/0!</v>
      </c>
      <c r="AF24" s="66" t="e">
        <f>COUNTIFS(TblUniv2018[C2],AF$16,TblUniv2018[Prodi],$AE$13)/$AE$15*100%</f>
        <v>#DIV/0!</v>
      </c>
      <c r="AG24" s="66" t="e">
        <f>COUNTIFS(TblUniv2018[C2],AG$16,TblUniv2018[Prodi],$AE$13)/$AE$15*100%</f>
        <v>#DIV/0!</v>
      </c>
      <c r="AH24" s="66" t="e">
        <f>COUNTIFS(TblUniv2018[C2],AH$16,TblUniv2018[Prodi],$AE$13)/$AE$15*100%</f>
        <v>#DIV/0!</v>
      </c>
      <c r="AI24" s="62" t="e">
        <f t="shared" si="4"/>
        <v>#DIV/0!</v>
      </c>
      <c r="AK24" s="57" t="s">
        <v>32</v>
      </c>
      <c r="AL24" s="66">
        <f>COUNTIFS(TblUniv2018[C2],AL$16,TblUniv2018[Prodi],$AL$13)/$AL$15*100%</f>
        <v>1</v>
      </c>
      <c r="AM24" s="66">
        <f>COUNTIFS(TblUniv2018[C2],AM$16,TblUniv2018[Prodi],$AL$13)/$AL$15*100%</f>
        <v>0</v>
      </c>
      <c r="AN24" s="66">
        <f>COUNTIFS(TblUniv2018[C2],AN$16,TblUniv2018[Prodi],$AL$13)/$AL$15*100%</f>
        <v>0</v>
      </c>
      <c r="AO24" s="66">
        <f>COUNTIFS(TblUniv2018[C2],AO$16,TblUniv2018[Prodi],$AL$13)/$AL$15*100%</f>
        <v>0</v>
      </c>
      <c r="AP24" s="62">
        <f t="shared" si="5"/>
        <v>1</v>
      </c>
      <c r="AR24" s="57" t="s">
        <v>32</v>
      </c>
      <c r="AS24" s="66" t="e">
        <f>COUNTIFS(TblUniv2018[C2],AS$16,TblUniv2018[Prodi],$AS$13)/$AS$15*100%</f>
        <v>#DIV/0!</v>
      </c>
      <c r="AT24" s="66" t="e">
        <f>COUNTIFS(TblUniv2018[C2],AT$16,TblUniv2018[Prodi],$AS$13)/$AS$15*100%</f>
        <v>#DIV/0!</v>
      </c>
      <c r="AU24" s="66" t="e">
        <f>COUNTIFS(TblUniv2018[C2],AU$16,TblUniv2018[Prodi],$AS$13)/$AS$15*100%</f>
        <v>#DIV/0!</v>
      </c>
      <c r="AV24" s="66" t="e">
        <f>COUNTIFS(TblUniv2018[C2],AV$16,TblUniv2018[Prodi],$AS$13)/$AS$15*100%</f>
        <v>#DIV/0!</v>
      </c>
      <c r="AW24" s="62" t="e">
        <f t="shared" si="6"/>
        <v>#DIV/0!</v>
      </c>
    </row>
    <row r="25" spans="2:49" ht="16.5" hidden="1" x14ac:dyDescent="0.3">
      <c r="B25" s="60"/>
      <c r="C25" s="61">
        <f>AVERAGE(C23:C24)</f>
        <v>0.75</v>
      </c>
      <c r="D25" s="61">
        <f>AVERAGE(D23:D24)</f>
        <v>0.25</v>
      </c>
      <c r="E25" s="61">
        <f>AVERAGE(E23:E24)</f>
        <v>0</v>
      </c>
      <c r="F25" s="61">
        <f>AVERAGE(F23:F24)</f>
        <v>0</v>
      </c>
      <c r="G25" s="62">
        <f t="shared" si="0"/>
        <v>1</v>
      </c>
      <c r="I25" s="60"/>
      <c r="J25" s="61">
        <f>AVERAGE(J23:J24)</f>
        <v>0.5</v>
      </c>
      <c r="K25" s="61">
        <f>AVERAGE(K23:K24)</f>
        <v>0.5</v>
      </c>
      <c r="L25" s="61">
        <f>AVERAGE(L23:L24)</f>
        <v>0</v>
      </c>
      <c r="M25" s="61">
        <f>AVERAGE(M23:M24)</f>
        <v>0</v>
      </c>
      <c r="N25" s="62">
        <f t="shared" si="1"/>
        <v>1</v>
      </c>
      <c r="P25" s="60"/>
      <c r="Q25" s="61">
        <f>AVERAGE(Q23:Q24)</f>
        <v>0.66666666666666663</v>
      </c>
      <c r="R25" s="61">
        <f>AVERAGE(R23:R24)</f>
        <v>0.33333333333333331</v>
      </c>
      <c r="S25" s="61">
        <f>AVERAGE(S23:S24)</f>
        <v>0</v>
      </c>
      <c r="T25" s="61">
        <f>AVERAGE(T23:T24)</f>
        <v>0</v>
      </c>
      <c r="U25" s="62">
        <f t="shared" si="2"/>
        <v>1</v>
      </c>
      <c r="W25" s="60"/>
      <c r="X25" s="61">
        <f>AVERAGE(X23:X24)</f>
        <v>1</v>
      </c>
      <c r="Y25" s="61">
        <f>AVERAGE(Y23:Y24)</f>
        <v>0</v>
      </c>
      <c r="Z25" s="61">
        <f>AVERAGE(Z23:Z24)</f>
        <v>0</v>
      </c>
      <c r="AA25" s="61">
        <f>AVERAGE(AA23:AA24)</f>
        <v>0</v>
      </c>
      <c r="AB25" s="62">
        <f t="shared" si="3"/>
        <v>1</v>
      </c>
      <c r="AD25" s="60"/>
      <c r="AE25" s="61" t="e">
        <f>AVERAGE(AE23:AE24)</f>
        <v>#DIV/0!</v>
      </c>
      <c r="AF25" s="61" t="e">
        <f>AVERAGE(AF23:AF24)</f>
        <v>#DIV/0!</v>
      </c>
      <c r="AG25" s="61" t="e">
        <f>AVERAGE(AG23:AG24)</f>
        <v>#DIV/0!</v>
      </c>
      <c r="AH25" s="61" t="e">
        <f>AVERAGE(AH23:AH24)</f>
        <v>#DIV/0!</v>
      </c>
      <c r="AI25" s="62" t="e">
        <f t="shared" si="4"/>
        <v>#DIV/0!</v>
      </c>
      <c r="AK25" s="60"/>
      <c r="AL25" s="61">
        <f>AVERAGE(AL23:AL24)</f>
        <v>1</v>
      </c>
      <c r="AM25" s="61">
        <f>AVERAGE(AM23:AM24)</f>
        <v>0</v>
      </c>
      <c r="AN25" s="61">
        <f>AVERAGE(AN23:AN24)</f>
        <v>0</v>
      </c>
      <c r="AO25" s="61">
        <f>AVERAGE(AO23:AO24)</f>
        <v>0</v>
      </c>
      <c r="AP25" s="62">
        <f t="shared" si="5"/>
        <v>1</v>
      </c>
      <c r="AR25" s="60"/>
      <c r="AS25" s="61" t="e">
        <f>AVERAGE(AS23:AS24)</f>
        <v>#DIV/0!</v>
      </c>
      <c r="AT25" s="61" t="e">
        <f>AVERAGE(AT23:AT24)</f>
        <v>#DIV/0!</v>
      </c>
      <c r="AU25" s="61" t="e">
        <f>AVERAGE(AU23:AU24)</f>
        <v>#DIV/0!</v>
      </c>
      <c r="AV25" s="61" t="e">
        <f>AVERAGE(AV23:AV24)</f>
        <v>#DIV/0!</v>
      </c>
      <c r="AW25" s="62" t="e">
        <f t="shared" si="6"/>
        <v>#DIV/0!</v>
      </c>
    </row>
    <row r="26" spans="2:49" ht="16.5" hidden="1" x14ac:dyDescent="0.3">
      <c r="B26" s="57" t="s">
        <v>33</v>
      </c>
      <c r="C26" s="66">
        <f>COUNTIFS(TblUniv2018[D1],C$16)/$C$15*100%</f>
        <v>0</v>
      </c>
      <c r="D26" s="66">
        <f>COUNTIFS(TblUniv2018[D1],D$16)/$C$15*100%</f>
        <v>0.66666666666666663</v>
      </c>
      <c r="E26" s="66">
        <f>COUNTIFS(TblUniv2018[D1],E$16)/$C$15*100%</f>
        <v>0.33333333333333331</v>
      </c>
      <c r="F26" s="66">
        <f>COUNTIFS(TblUniv2018[D1],F$16)/$C$15*100%</f>
        <v>0</v>
      </c>
      <c r="G26" s="62">
        <f t="shared" si="0"/>
        <v>1</v>
      </c>
      <c r="I26" s="57" t="s">
        <v>33</v>
      </c>
      <c r="J26" s="66">
        <f>COUNTIFS(TblUniv2018[D1],J$16,TblUniv2018[Prodi],$J$13)/$J$15*100%</f>
        <v>0</v>
      </c>
      <c r="K26" s="66">
        <f>COUNTIFS(TblUniv2018[D1],K$16,TblUniv2018[Prodi],$J$13)/$J$15*100%</f>
        <v>0</v>
      </c>
      <c r="L26" s="66">
        <f>COUNTIFS(TblUniv2018[D1],L$16,TblUniv2018[Prodi],$J$13)/$J$15*100%</f>
        <v>1</v>
      </c>
      <c r="M26" s="66">
        <f>COUNTIFS(TblUniv2018[D1],M$16,TblUniv2018[Prodi],$J$13)/$J$15*100%</f>
        <v>0</v>
      </c>
      <c r="N26" s="62">
        <f t="shared" si="1"/>
        <v>1</v>
      </c>
      <c r="P26" s="57" t="s">
        <v>33</v>
      </c>
      <c r="Q26" s="66">
        <f>COUNTIFS(TblUniv2018[D1],Q$16,TblUniv2018[Prodi],$Q$13)/$Q$15*100%</f>
        <v>0</v>
      </c>
      <c r="R26" s="66">
        <f>COUNTIFS(TblUniv2018[D1],R$16,TblUniv2018[Prodi],$Q$13)/$Q$15*100%</f>
        <v>0.66666666666666663</v>
      </c>
      <c r="S26" s="66">
        <f>COUNTIFS(TblUniv2018[D1],S$16,TblUniv2018[Prodi],$Q$13)/$Q$15*100%</f>
        <v>0.33333333333333331</v>
      </c>
      <c r="T26" s="66">
        <f>COUNTIFS(TblUniv2018[D1],T$16,TblUniv2018[Prodi],$Q$13)/$Q$15*100%</f>
        <v>0</v>
      </c>
      <c r="U26" s="62">
        <f t="shared" si="2"/>
        <v>1</v>
      </c>
      <c r="W26" s="57" t="s">
        <v>33</v>
      </c>
      <c r="X26" s="66">
        <f>COUNTIFS(TblUniv2018[D1],X$16,TblUniv2018[Prodi],$X$13)/$X$15*100%</f>
        <v>0</v>
      </c>
      <c r="Y26" s="66">
        <f>COUNTIFS(TblUniv2018[D1],Y$16,TblUniv2018[Prodi],$X$13)/$X$15*100%</f>
        <v>1</v>
      </c>
      <c r="Z26" s="66">
        <f>COUNTIFS(TblUniv2018[D1],Z$16,TblUniv2018[Prodi],$X$13)/$X$15*100%</f>
        <v>0</v>
      </c>
      <c r="AA26" s="66">
        <f>COUNTIFS(TblUniv2018[D1],AA$16,TblUniv2018[Prodi],$X$13)/$X$15*100%</f>
        <v>0</v>
      </c>
      <c r="AB26" s="62">
        <f t="shared" si="3"/>
        <v>1</v>
      </c>
      <c r="AD26" s="57" t="s">
        <v>33</v>
      </c>
      <c r="AE26" s="66" t="e">
        <f>COUNTIFS(TblUniv2018[D1],AE$16,TblUniv2018[Prodi],$AE$13)/$AE$15*100%</f>
        <v>#DIV/0!</v>
      </c>
      <c r="AF26" s="66" t="e">
        <f>COUNTIFS(TblUniv2018[D1],AF$16,TblUniv2018[Prodi],$AE$13)/$AE$15*100%</f>
        <v>#DIV/0!</v>
      </c>
      <c r="AG26" s="66" t="e">
        <f>COUNTIFS(TblUniv2018[D1],AG$16,TblUniv2018[Prodi],$AE$13)/$AE$15*100%</f>
        <v>#DIV/0!</v>
      </c>
      <c r="AH26" s="66" t="e">
        <f>COUNTIFS(TblUniv2018[D1],AH$16,TblUniv2018[Prodi],$AE$13)/$AE$15*100%</f>
        <v>#DIV/0!</v>
      </c>
      <c r="AI26" s="62" t="e">
        <f t="shared" si="4"/>
        <v>#DIV/0!</v>
      </c>
      <c r="AK26" s="57" t="s">
        <v>33</v>
      </c>
      <c r="AL26" s="66">
        <f>COUNTIFS(TblUniv2018[D1],AL$16,TblUniv2018[Prodi],$AL$13)/$AL$15*100%</f>
        <v>0</v>
      </c>
      <c r="AM26" s="66">
        <f>COUNTIFS(TblUniv2018[D1],AM$16,TblUniv2018[Prodi],$AL$13)/$AL$15*100%</f>
        <v>1</v>
      </c>
      <c r="AN26" s="66">
        <f>COUNTIFS(TblUniv2018[D1],AN$16,TblUniv2018[Prodi],$AL$13)/$AL$15*100%</f>
        <v>0</v>
      </c>
      <c r="AO26" s="66">
        <f>COUNTIFS(TblUniv2018[D1],AO$16,TblUniv2018[Prodi],$AL$13)/$AL$15*100%</f>
        <v>0</v>
      </c>
      <c r="AP26" s="62">
        <f t="shared" si="5"/>
        <v>1</v>
      </c>
      <c r="AR26" s="57" t="s">
        <v>33</v>
      </c>
      <c r="AS26" s="66" t="e">
        <f>COUNTIFS(TblUniv2018[D1],AS$16,TblUniv2018[Prodi],$AS$13)/$AS$15*100%</f>
        <v>#DIV/0!</v>
      </c>
      <c r="AT26" s="66" t="e">
        <f>COUNTIFS(TblUniv2018[D1],AT$16,TblUniv2018[Prodi],$AS$13)/$AS$15*100%</f>
        <v>#DIV/0!</v>
      </c>
      <c r="AU26" s="66" t="e">
        <f>COUNTIFS(TblUniv2018[D1],AU$16,TblUniv2018[Prodi],$AS$13)/$AS$15*100%</f>
        <v>#DIV/0!</v>
      </c>
      <c r="AV26" s="66" t="e">
        <f>COUNTIFS(TblUniv2018[D1],AV$16,TblUniv2018[Prodi],$AS$13)/$AS$15*100%</f>
        <v>#DIV/0!</v>
      </c>
      <c r="AW26" s="62" t="e">
        <f t="shared" si="6"/>
        <v>#DIV/0!</v>
      </c>
    </row>
    <row r="27" spans="2:49" ht="16.5" hidden="1" x14ac:dyDescent="0.3">
      <c r="B27" s="57" t="s">
        <v>34</v>
      </c>
      <c r="C27" s="66">
        <f>COUNTIFS(TblUniv2018[D2],C$16)/$C$15*100%</f>
        <v>0</v>
      </c>
      <c r="D27" s="66">
        <f>COUNTIFS(TblUniv2018[D2],D$16)/$C$15*100%</f>
        <v>0.66666666666666663</v>
      </c>
      <c r="E27" s="66">
        <f>COUNTIFS(TblUniv2018[D2],E$16)/$C$15*100%</f>
        <v>0.33333333333333331</v>
      </c>
      <c r="F27" s="66">
        <f>COUNTIFS(TblUniv2018[D2],F$16)/$C$15*100%</f>
        <v>0</v>
      </c>
      <c r="G27" s="62">
        <f t="shared" si="0"/>
        <v>1</v>
      </c>
      <c r="I27" s="57" t="s">
        <v>34</v>
      </c>
      <c r="J27" s="66">
        <f>COUNTIFS(TblUniv2018[D2],J$16,TblUniv2018[Prodi],$J$13)/$J$15*100%</f>
        <v>0</v>
      </c>
      <c r="K27" s="66">
        <f>COUNTIFS(TblUniv2018[D2],K$16,TblUniv2018[Prodi],$J$13)/$J$15*100%</f>
        <v>0</v>
      </c>
      <c r="L27" s="66">
        <f>COUNTIFS(TblUniv2018[D2],L$16,TblUniv2018[Prodi],$J$13)/$J$15*100%</f>
        <v>1</v>
      </c>
      <c r="M27" s="66">
        <f>COUNTIFS(TblUniv2018[D2],M$16,TblUniv2018[Prodi],$J$13)/$J$15*100%</f>
        <v>0</v>
      </c>
      <c r="N27" s="62">
        <f t="shared" si="1"/>
        <v>1</v>
      </c>
      <c r="P27" s="57" t="s">
        <v>34</v>
      </c>
      <c r="Q27" s="66">
        <f>COUNTIFS(TblUniv2018[D2],Q$16,TblUniv2018[Prodi],$Q$13)/$Q$15*100%</f>
        <v>0</v>
      </c>
      <c r="R27" s="66">
        <f>COUNTIFS(TblUniv2018[D2],R$16,TblUniv2018[Prodi],$Q$13)/$Q$15*100%</f>
        <v>0.66666666666666663</v>
      </c>
      <c r="S27" s="66">
        <f>COUNTIFS(TblUniv2018[D2],S$16,TblUniv2018[Prodi],$Q$13)/$Q$15*100%</f>
        <v>0.33333333333333331</v>
      </c>
      <c r="T27" s="66">
        <f>COUNTIFS(TblUniv2018[D2],T$16,TblUniv2018[Prodi],$Q$13)/$Q$15*100%</f>
        <v>0</v>
      </c>
      <c r="U27" s="62">
        <f t="shared" si="2"/>
        <v>1</v>
      </c>
      <c r="W27" s="57" t="s">
        <v>34</v>
      </c>
      <c r="X27" s="66">
        <f>COUNTIFS(TblUniv2018[D2],X$16,TblUniv2018[Prodi],$X$13)/$X$15*100%</f>
        <v>0</v>
      </c>
      <c r="Y27" s="66">
        <f>COUNTIFS(TblUniv2018[D2],Y$16,TblUniv2018[Prodi],$X$13)/$X$15*100%</f>
        <v>1</v>
      </c>
      <c r="Z27" s="66">
        <f>COUNTIFS(TblUniv2018[D2],Z$16,TblUniv2018[Prodi],$X$13)/$X$15*100%</f>
        <v>0</v>
      </c>
      <c r="AA27" s="66">
        <f>COUNTIFS(TblUniv2018[D2],AA$16,TblUniv2018[Prodi],$X$13)/$X$15*100%</f>
        <v>0</v>
      </c>
      <c r="AB27" s="62">
        <f t="shared" si="3"/>
        <v>1</v>
      </c>
      <c r="AD27" s="57" t="s">
        <v>34</v>
      </c>
      <c r="AE27" s="66" t="e">
        <f>COUNTIFS(TblUniv2018[D2],AE$16,TblUniv2018[Prodi],$AE$13)/$AE$15*100%</f>
        <v>#DIV/0!</v>
      </c>
      <c r="AF27" s="66" t="e">
        <f>COUNTIFS(TblUniv2018[D2],AF$16,TblUniv2018[Prodi],$AE$13)/$AE$15*100%</f>
        <v>#DIV/0!</v>
      </c>
      <c r="AG27" s="66" t="e">
        <f>COUNTIFS(TblUniv2018[D2],AG$16,TblUniv2018[Prodi],$AE$13)/$AE$15*100%</f>
        <v>#DIV/0!</v>
      </c>
      <c r="AH27" s="66" t="e">
        <f>COUNTIFS(TblUniv2018[D2],AH$16,TblUniv2018[Prodi],$AE$13)/$AE$15*100%</f>
        <v>#DIV/0!</v>
      </c>
      <c r="AI27" s="62" t="e">
        <f t="shared" si="4"/>
        <v>#DIV/0!</v>
      </c>
      <c r="AK27" s="57" t="s">
        <v>34</v>
      </c>
      <c r="AL27" s="66">
        <f>COUNTIFS(TblUniv2018[D2],AL$16,TblUniv2018[Prodi],$AL$13)/$AL$15*100%</f>
        <v>0</v>
      </c>
      <c r="AM27" s="66">
        <f>COUNTIFS(TblUniv2018[D2],AM$16,TblUniv2018[Prodi],$AL$13)/$AL$15*100%</f>
        <v>1</v>
      </c>
      <c r="AN27" s="66">
        <f>COUNTIFS(TblUniv2018[D2],AN$16,TblUniv2018[Prodi],$AL$13)/$AL$15*100%</f>
        <v>0</v>
      </c>
      <c r="AO27" s="66">
        <f>COUNTIFS(TblUniv2018[D2],AO$16,TblUniv2018[Prodi],$AL$13)/$AL$15*100%</f>
        <v>0</v>
      </c>
      <c r="AP27" s="62">
        <f t="shared" si="5"/>
        <v>1</v>
      </c>
      <c r="AR27" s="57" t="s">
        <v>34</v>
      </c>
      <c r="AS27" s="66" t="e">
        <f>COUNTIFS(TblUniv2018[D2],AS$16,TblUniv2018[Prodi],$AS$13)/$AS$15*100%</f>
        <v>#DIV/0!</v>
      </c>
      <c r="AT27" s="66" t="e">
        <f>COUNTIFS(TblUniv2018[D2],AT$16,TblUniv2018[Prodi],$AS$13)/$AS$15*100%</f>
        <v>#DIV/0!</v>
      </c>
      <c r="AU27" s="66" t="e">
        <f>COUNTIFS(TblUniv2018[D2],AU$16,TblUniv2018[Prodi],$AS$13)/$AS$15*100%</f>
        <v>#DIV/0!</v>
      </c>
      <c r="AV27" s="66" t="e">
        <f>COUNTIFS(TblUniv2018[D2],AV$16,TblUniv2018[Prodi],$AS$13)/$AS$15*100%</f>
        <v>#DIV/0!</v>
      </c>
      <c r="AW27" s="62" t="e">
        <f t="shared" si="6"/>
        <v>#DIV/0!</v>
      </c>
    </row>
    <row r="28" spans="2:49" ht="16.5" hidden="1" x14ac:dyDescent="0.3">
      <c r="B28" s="60"/>
      <c r="C28" s="61">
        <f>AVERAGE(C26:C27)</f>
        <v>0</v>
      </c>
      <c r="D28" s="61">
        <f>AVERAGE(D26:D27)</f>
        <v>0.66666666666666663</v>
      </c>
      <c r="E28" s="61">
        <f>AVERAGE(E26:E27)</f>
        <v>0.33333333333333331</v>
      </c>
      <c r="F28" s="61">
        <f>AVERAGE(F26:F27)</f>
        <v>0</v>
      </c>
      <c r="G28" s="62">
        <f t="shared" si="0"/>
        <v>1</v>
      </c>
      <c r="I28" s="60"/>
      <c r="J28" s="61">
        <f>AVERAGE(J26:J27)</f>
        <v>0</v>
      </c>
      <c r="K28" s="61">
        <f>AVERAGE(K26:K27)</f>
        <v>0</v>
      </c>
      <c r="L28" s="61">
        <f>AVERAGE(L26:L27)</f>
        <v>1</v>
      </c>
      <c r="M28" s="61">
        <f>AVERAGE(M26:M27)</f>
        <v>0</v>
      </c>
      <c r="N28" s="62">
        <f t="shared" si="1"/>
        <v>1</v>
      </c>
      <c r="P28" s="60"/>
      <c r="Q28" s="61">
        <f>AVERAGE(Q26:Q27)</f>
        <v>0</v>
      </c>
      <c r="R28" s="61">
        <f>AVERAGE(R26:R27)</f>
        <v>0.66666666666666663</v>
      </c>
      <c r="S28" s="61">
        <f>AVERAGE(S26:S27)</f>
        <v>0.33333333333333331</v>
      </c>
      <c r="T28" s="61">
        <f>AVERAGE(T26:T27)</f>
        <v>0</v>
      </c>
      <c r="U28" s="62">
        <f t="shared" si="2"/>
        <v>1</v>
      </c>
      <c r="W28" s="60"/>
      <c r="X28" s="61">
        <f>AVERAGE(X26:X27)</f>
        <v>0</v>
      </c>
      <c r="Y28" s="61">
        <f>AVERAGE(Y26:Y27)</f>
        <v>1</v>
      </c>
      <c r="Z28" s="61">
        <f>AVERAGE(Z26:Z27)</f>
        <v>0</v>
      </c>
      <c r="AA28" s="61">
        <f>AVERAGE(AA26:AA27)</f>
        <v>0</v>
      </c>
      <c r="AB28" s="62">
        <f t="shared" si="3"/>
        <v>1</v>
      </c>
      <c r="AD28" s="60"/>
      <c r="AE28" s="61" t="e">
        <f>AVERAGE(AE26:AE27)</f>
        <v>#DIV/0!</v>
      </c>
      <c r="AF28" s="61" t="e">
        <f>AVERAGE(AF26:AF27)</f>
        <v>#DIV/0!</v>
      </c>
      <c r="AG28" s="61" t="e">
        <f>AVERAGE(AG26:AG27)</f>
        <v>#DIV/0!</v>
      </c>
      <c r="AH28" s="61" t="e">
        <f>AVERAGE(AH26:AH27)</f>
        <v>#DIV/0!</v>
      </c>
      <c r="AI28" s="62" t="e">
        <f t="shared" si="4"/>
        <v>#DIV/0!</v>
      </c>
      <c r="AK28" s="60"/>
      <c r="AL28" s="61">
        <f>AVERAGE(AL26:AL27)</f>
        <v>0</v>
      </c>
      <c r="AM28" s="61">
        <f>AVERAGE(AM26:AM27)</f>
        <v>1</v>
      </c>
      <c r="AN28" s="61">
        <f>AVERAGE(AN26:AN27)</f>
        <v>0</v>
      </c>
      <c r="AO28" s="61">
        <f>AVERAGE(AO26:AO27)</f>
        <v>0</v>
      </c>
      <c r="AP28" s="62">
        <f t="shared" si="5"/>
        <v>1</v>
      </c>
      <c r="AR28" s="60"/>
      <c r="AS28" s="61" t="e">
        <f>AVERAGE(AS26:AS27)</f>
        <v>#DIV/0!</v>
      </c>
      <c r="AT28" s="61" t="e">
        <f>AVERAGE(AT26:AT27)</f>
        <v>#DIV/0!</v>
      </c>
      <c r="AU28" s="61" t="e">
        <f>AVERAGE(AU26:AU27)</f>
        <v>#DIV/0!</v>
      </c>
      <c r="AV28" s="61" t="e">
        <f>AVERAGE(AV26:AV27)</f>
        <v>#DIV/0!</v>
      </c>
      <c r="AW28" s="62" t="e">
        <f t="shared" si="6"/>
        <v>#DIV/0!</v>
      </c>
    </row>
    <row r="29" spans="2:49" ht="16.5" hidden="1" x14ac:dyDescent="0.3">
      <c r="B29" s="57" t="s">
        <v>35</v>
      </c>
      <c r="C29" s="66">
        <f>COUNTIFS(TblUniv2018[E1],C$16)/$C$15*100%</f>
        <v>0.66666666666666663</v>
      </c>
      <c r="D29" s="66">
        <f>COUNTIFS(TblUniv2018[E1],D$16)/$C$15*100%</f>
        <v>0.33333333333333331</v>
      </c>
      <c r="E29" s="66">
        <f>COUNTIFS(TblUniv2018[E1],E$16)/$C$15*100%</f>
        <v>0</v>
      </c>
      <c r="F29" s="66">
        <f>COUNTIFS(TblUniv2018[E1],F$16)/$C$15*100%</f>
        <v>0</v>
      </c>
      <c r="G29" s="62">
        <f t="shared" si="0"/>
        <v>1</v>
      </c>
      <c r="I29" s="57" t="s">
        <v>35</v>
      </c>
      <c r="J29" s="66">
        <f>COUNTIFS(TblUniv2018[E1],J$16,TblUniv2018[Prodi],$J$13)/$J$15*100%</f>
        <v>1</v>
      </c>
      <c r="K29" s="66">
        <f>COUNTIFS(TblUniv2018[E1],K$16,TblUniv2018[Prodi],$J$13)/$J$15*100%</f>
        <v>0</v>
      </c>
      <c r="L29" s="66">
        <f>COUNTIFS(TblUniv2018[E1],L$16,TblUniv2018[Prodi],$J$13)/$J$15*100%</f>
        <v>0</v>
      </c>
      <c r="M29" s="66">
        <f>COUNTIFS(TblUniv2018[E1],M$16,TblUniv2018[Prodi],$J$13)/$J$15*100%</f>
        <v>0</v>
      </c>
      <c r="N29" s="62">
        <f t="shared" si="1"/>
        <v>1</v>
      </c>
      <c r="P29" s="57" t="s">
        <v>35</v>
      </c>
      <c r="Q29" s="66">
        <f>COUNTIFS(TblUniv2018[E1],Q$16,TblUniv2018[Prodi],$Q$13)/$Q$15*100%</f>
        <v>0.66666666666666663</v>
      </c>
      <c r="R29" s="66">
        <f>COUNTIFS(TblUniv2018[E1],R$16,TblUniv2018[Prodi],$Q$13)/$Q$15*100%</f>
        <v>0.33333333333333331</v>
      </c>
      <c r="S29" s="66">
        <f>COUNTIFS(TblUniv2018[E1],S$16,TblUniv2018[Prodi],$Q$13)/$Q$15*100%</f>
        <v>0</v>
      </c>
      <c r="T29" s="66">
        <f>COUNTIFS(TblUniv2018[E1],T$16,TblUniv2018[Prodi],$Q$13)/$Q$15*100%</f>
        <v>0</v>
      </c>
      <c r="U29" s="62">
        <f t="shared" si="2"/>
        <v>1</v>
      </c>
      <c r="W29" s="57" t="s">
        <v>35</v>
      </c>
      <c r="X29" s="66">
        <f>COUNTIFS(TblUniv2018[E1],X$16,TblUniv2018[Prodi],$X$13)/$X$15*100%</f>
        <v>0</v>
      </c>
      <c r="Y29" s="66">
        <f>COUNTIFS(TblUniv2018[E1],Y$16,TblUniv2018[Prodi],$X$13)/$X$15*100%</f>
        <v>1</v>
      </c>
      <c r="Z29" s="66">
        <f>COUNTIFS(TblUniv2018[E1],Z$16,TblUniv2018[Prodi],$X$13)/$X$15*100%</f>
        <v>0</v>
      </c>
      <c r="AA29" s="66">
        <f>COUNTIFS(TblUniv2018[E1],AA$16,TblUniv2018[Prodi],$X$13)/$X$15*100%</f>
        <v>0</v>
      </c>
      <c r="AB29" s="62">
        <f t="shared" si="3"/>
        <v>1</v>
      </c>
      <c r="AD29" s="57" t="s">
        <v>35</v>
      </c>
      <c r="AE29" s="66" t="e">
        <f>COUNTIFS(TblUniv2018[E1],AE$16,TblUniv2018[Prodi],$AE$13)/$AE$15*100%</f>
        <v>#DIV/0!</v>
      </c>
      <c r="AF29" s="66" t="e">
        <f>COUNTIFS(TblUniv2018[E1],AF$16,TblUniv2018[Prodi],$AE$13)/$AE$15*100%</f>
        <v>#DIV/0!</v>
      </c>
      <c r="AG29" s="66" t="e">
        <f>COUNTIFS(TblUniv2018[E1],AG$16,TblUniv2018[Prodi],$AE$13)/$AE$15*100%</f>
        <v>#DIV/0!</v>
      </c>
      <c r="AH29" s="66" t="e">
        <f>COUNTIFS(TblUniv2018[E1],AH$16,TblUniv2018[Prodi],$AE$13)/$AE$15*100%</f>
        <v>#DIV/0!</v>
      </c>
      <c r="AI29" s="62" t="e">
        <f t="shared" si="4"/>
        <v>#DIV/0!</v>
      </c>
      <c r="AK29" s="57" t="s">
        <v>35</v>
      </c>
      <c r="AL29" s="66">
        <f>COUNTIFS(TblUniv2018[E1],AL$16,TblUniv2018[Prodi],$AL$13)/$AL$15*100%</f>
        <v>1</v>
      </c>
      <c r="AM29" s="66">
        <f>COUNTIFS(TblUniv2018[E1],AM$16,TblUniv2018[Prodi],$AL$13)/$AL$15*100%</f>
        <v>0</v>
      </c>
      <c r="AN29" s="66">
        <f>COUNTIFS(TblUniv2018[E1],AN$16,TblUniv2018[Prodi],$AL$13)/$AL$15*100%</f>
        <v>0</v>
      </c>
      <c r="AO29" s="66">
        <f>COUNTIFS(TblUniv2018[E1],AO$16,TblUniv2018[Prodi],$AL$13)/$AL$15*100%</f>
        <v>0</v>
      </c>
      <c r="AP29" s="62">
        <f t="shared" si="5"/>
        <v>1</v>
      </c>
      <c r="AR29" s="57" t="s">
        <v>35</v>
      </c>
      <c r="AS29" s="66" t="e">
        <f>COUNTIFS(TblUniv2018[E1],AS$16,TblUniv2018[Prodi],$AS$13)/$AS$15*100%</f>
        <v>#DIV/0!</v>
      </c>
      <c r="AT29" s="66" t="e">
        <f>COUNTIFS(TblUniv2018[E1],AT$16,TblUniv2018[Prodi],$AS$13)/$AS$15*100%</f>
        <v>#DIV/0!</v>
      </c>
      <c r="AU29" s="66" t="e">
        <f>COUNTIFS(TblUniv2018[E1],AU$16,TblUniv2018[Prodi],$AS$13)/$AS$15*100%</f>
        <v>#DIV/0!</v>
      </c>
      <c r="AV29" s="66" t="e">
        <f>COUNTIFS(TblUniv2018[E1],AV$16,TblUniv2018[Prodi],$AS$13)/$AS$15*100%</f>
        <v>#DIV/0!</v>
      </c>
      <c r="AW29" s="62" t="e">
        <f t="shared" si="6"/>
        <v>#DIV/0!</v>
      </c>
    </row>
    <row r="30" spans="2:49" ht="16.5" hidden="1" x14ac:dyDescent="0.3">
      <c r="B30" s="57" t="s">
        <v>36</v>
      </c>
      <c r="C30" s="66">
        <f>COUNTIFS(TblUniv2018[E2],C$16)/$C$15*100%</f>
        <v>0.66666666666666663</v>
      </c>
      <c r="D30" s="66">
        <f>COUNTIFS(TblUniv2018[E2],D$16)/$C$15*100%</f>
        <v>0.33333333333333331</v>
      </c>
      <c r="E30" s="66">
        <f>COUNTIFS(TblUniv2018[E2],E$16)/$C$15*100%</f>
        <v>0</v>
      </c>
      <c r="F30" s="66">
        <f>COUNTIFS(TblUniv2018[E2],F$16)/$C$15*100%</f>
        <v>0</v>
      </c>
      <c r="G30" s="62">
        <f t="shared" si="0"/>
        <v>1</v>
      </c>
      <c r="I30" s="57" t="s">
        <v>36</v>
      </c>
      <c r="J30" s="66">
        <f>COUNTIFS(TblUniv2018[E2],J$16,TblUniv2018[Prodi],$J$13)/$J$15*100%</f>
        <v>1</v>
      </c>
      <c r="K30" s="66">
        <f>COUNTIFS(TblUniv2018[E2],K$16,TblUniv2018[Prodi],$J$13)/$J$15*100%</f>
        <v>0</v>
      </c>
      <c r="L30" s="66">
        <f>COUNTIFS(TblUniv2018[E2],L$16,TblUniv2018[Prodi],$J$13)/$J$15*100%</f>
        <v>0</v>
      </c>
      <c r="M30" s="66">
        <f>COUNTIFS(TblUniv2018[E2],M$16,TblUniv2018[Prodi],$J$13)/$J$15*100%</f>
        <v>0</v>
      </c>
      <c r="N30" s="62">
        <f t="shared" si="1"/>
        <v>1</v>
      </c>
      <c r="P30" s="57" t="s">
        <v>36</v>
      </c>
      <c r="Q30" s="66">
        <f>COUNTIFS(TblUniv2018[E2],Q$16,TblUniv2018[Prodi],$Q$13)/$Q$15*100%</f>
        <v>0.66666666666666663</v>
      </c>
      <c r="R30" s="66">
        <f>COUNTIFS(TblUniv2018[E2],R$16,TblUniv2018[Prodi],$Q$13)/$Q$15*100%</f>
        <v>0.33333333333333331</v>
      </c>
      <c r="S30" s="66">
        <f>COUNTIFS(TblUniv2018[E2],S$16,TblUniv2018[Prodi],$Q$13)/$Q$15*100%</f>
        <v>0</v>
      </c>
      <c r="T30" s="66">
        <f>COUNTIFS(TblUniv2018[E2],T$16,TblUniv2018[Prodi],$Q$13)/$Q$15*100%</f>
        <v>0</v>
      </c>
      <c r="U30" s="62">
        <f t="shared" si="2"/>
        <v>1</v>
      </c>
      <c r="W30" s="57" t="s">
        <v>36</v>
      </c>
      <c r="X30" s="66">
        <f>COUNTIFS(TblUniv2018[E2],X$16,TblUniv2018[Prodi],$X$13)/$X$15*100%</f>
        <v>0</v>
      </c>
      <c r="Y30" s="66">
        <f>COUNTIFS(TblUniv2018[E2],Y$16,TblUniv2018[Prodi],$X$13)/$X$15*100%</f>
        <v>1</v>
      </c>
      <c r="Z30" s="66">
        <f>COUNTIFS(TblUniv2018[E2],Z$16,TblUniv2018[Prodi],$X$13)/$X$15*100%</f>
        <v>0</v>
      </c>
      <c r="AA30" s="66">
        <f>COUNTIFS(TblUniv2018[E2],AA$16,TblUniv2018[Prodi],$X$13)/$X$15*100%</f>
        <v>0</v>
      </c>
      <c r="AB30" s="62">
        <f t="shared" si="3"/>
        <v>1</v>
      </c>
      <c r="AD30" s="57" t="s">
        <v>36</v>
      </c>
      <c r="AE30" s="66" t="e">
        <f>COUNTIFS(TblUniv2018[E2],AE$16,TblUniv2018[Prodi],$AE$13)/$AE$15*100%</f>
        <v>#DIV/0!</v>
      </c>
      <c r="AF30" s="66" t="e">
        <f>COUNTIFS(TblUniv2018[E2],AF$16,TblUniv2018[Prodi],$AE$13)/$AE$15*100%</f>
        <v>#DIV/0!</v>
      </c>
      <c r="AG30" s="66" t="e">
        <f>COUNTIFS(TblUniv2018[E2],AG$16,TblUniv2018[Prodi],$AE$13)/$AE$15*100%</f>
        <v>#DIV/0!</v>
      </c>
      <c r="AH30" s="66" t="e">
        <f>COUNTIFS(TblUniv2018[E2],AH$16,TblUniv2018[Prodi],$AE$13)/$AE$15*100%</f>
        <v>#DIV/0!</v>
      </c>
      <c r="AI30" s="62" t="e">
        <f t="shared" si="4"/>
        <v>#DIV/0!</v>
      </c>
      <c r="AK30" s="57" t="s">
        <v>36</v>
      </c>
      <c r="AL30" s="66">
        <f>COUNTIFS(TblUniv2018[E2],AL$16,TblUniv2018[Prodi],$AL$13)/$AL$15*100%</f>
        <v>1</v>
      </c>
      <c r="AM30" s="66">
        <f>COUNTIFS(TblUniv2018[E2],AM$16,TblUniv2018[Prodi],$AL$13)/$AL$15*100%</f>
        <v>0</v>
      </c>
      <c r="AN30" s="66">
        <f>COUNTIFS(TblUniv2018[E2],AN$16,TblUniv2018[Prodi],$AL$13)/$AL$15*100%</f>
        <v>0</v>
      </c>
      <c r="AO30" s="66">
        <f>COUNTIFS(TblUniv2018[E2],AO$16,TblUniv2018[Prodi],$AL$13)/$AL$15*100%</f>
        <v>0</v>
      </c>
      <c r="AP30" s="62">
        <f t="shared" si="5"/>
        <v>1</v>
      </c>
      <c r="AR30" s="57" t="s">
        <v>36</v>
      </c>
      <c r="AS30" s="66" t="e">
        <f>COUNTIFS(TblUniv2018[E2],AS$16,TblUniv2018[Prodi],$AS$13)/$AS$15*100%</f>
        <v>#DIV/0!</v>
      </c>
      <c r="AT30" s="66" t="e">
        <f>COUNTIFS(TblUniv2018[E2],AT$16,TblUniv2018[Prodi],$AS$13)/$AS$15*100%</f>
        <v>#DIV/0!</v>
      </c>
      <c r="AU30" s="66" t="e">
        <f>COUNTIFS(TblUniv2018[E2],AU$16,TblUniv2018[Prodi],$AS$13)/$AS$15*100%</f>
        <v>#DIV/0!</v>
      </c>
      <c r="AV30" s="66" t="e">
        <f>COUNTIFS(TblUniv2018[E2],AV$16,TblUniv2018[Prodi],$AS$13)/$AS$15*100%</f>
        <v>#DIV/0!</v>
      </c>
      <c r="AW30" s="62" t="e">
        <f t="shared" si="6"/>
        <v>#DIV/0!</v>
      </c>
    </row>
    <row r="31" spans="2:49" ht="16.5" hidden="1" x14ac:dyDescent="0.3">
      <c r="B31" s="60"/>
      <c r="C31" s="61">
        <f>AVERAGE(C29:C30)</f>
        <v>0.66666666666666663</v>
      </c>
      <c r="D31" s="61">
        <f>AVERAGE(D29:D30)</f>
        <v>0.33333333333333331</v>
      </c>
      <c r="E31" s="61">
        <f>AVERAGE(E29:E30)</f>
        <v>0</v>
      </c>
      <c r="F31" s="61">
        <f>AVERAGE(F29:F30)</f>
        <v>0</v>
      </c>
      <c r="G31" s="62">
        <f t="shared" si="0"/>
        <v>1</v>
      </c>
      <c r="I31" s="60"/>
      <c r="J31" s="61">
        <f>AVERAGE(J29:J30)</f>
        <v>1</v>
      </c>
      <c r="K31" s="61">
        <f>AVERAGE(K29:K30)</f>
        <v>0</v>
      </c>
      <c r="L31" s="61">
        <f>AVERAGE(L29:L30)</f>
        <v>0</v>
      </c>
      <c r="M31" s="61">
        <f>AVERAGE(M29:M30)</f>
        <v>0</v>
      </c>
      <c r="N31" s="62">
        <f t="shared" si="1"/>
        <v>1</v>
      </c>
      <c r="P31" s="60"/>
      <c r="Q31" s="61">
        <f>AVERAGE(Q29:Q30)</f>
        <v>0.66666666666666663</v>
      </c>
      <c r="R31" s="61">
        <f>AVERAGE(R29:R30)</f>
        <v>0.33333333333333331</v>
      </c>
      <c r="S31" s="61">
        <f>AVERAGE(S29:S30)</f>
        <v>0</v>
      </c>
      <c r="T31" s="61">
        <f>AVERAGE(T29:T30)</f>
        <v>0</v>
      </c>
      <c r="U31" s="62">
        <f t="shared" si="2"/>
        <v>1</v>
      </c>
      <c r="W31" s="60"/>
      <c r="X31" s="61">
        <f>AVERAGE(X29:X30)</f>
        <v>0</v>
      </c>
      <c r="Y31" s="61">
        <f>AVERAGE(Y29:Y30)</f>
        <v>1</v>
      </c>
      <c r="Z31" s="61">
        <f>AVERAGE(Z29:Z30)</f>
        <v>0</v>
      </c>
      <c r="AA31" s="61">
        <f>AVERAGE(AA29:AA30)</f>
        <v>0</v>
      </c>
      <c r="AB31" s="62">
        <f t="shared" si="3"/>
        <v>1</v>
      </c>
      <c r="AD31" s="60"/>
      <c r="AE31" s="61" t="e">
        <f>AVERAGE(AE29:AE30)</f>
        <v>#DIV/0!</v>
      </c>
      <c r="AF31" s="61" t="e">
        <f>AVERAGE(AF29:AF30)</f>
        <v>#DIV/0!</v>
      </c>
      <c r="AG31" s="61" t="e">
        <f>AVERAGE(AG29:AG30)</f>
        <v>#DIV/0!</v>
      </c>
      <c r="AH31" s="61" t="e">
        <f>AVERAGE(AH29:AH30)</f>
        <v>#DIV/0!</v>
      </c>
      <c r="AI31" s="62" t="e">
        <f t="shared" si="4"/>
        <v>#DIV/0!</v>
      </c>
      <c r="AK31" s="60"/>
      <c r="AL31" s="61">
        <f>AVERAGE(AL29:AL30)</f>
        <v>1</v>
      </c>
      <c r="AM31" s="61">
        <f>AVERAGE(AM29:AM30)</f>
        <v>0</v>
      </c>
      <c r="AN31" s="61">
        <f>AVERAGE(AN29:AN30)</f>
        <v>0</v>
      </c>
      <c r="AO31" s="61">
        <f>AVERAGE(AO29:AO30)</f>
        <v>0</v>
      </c>
      <c r="AP31" s="62">
        <f t="shared" si="5"/>
        <v>1</v>
      </c>
      <c r="AR31" s="60"/>
      <c r="AS31" s="61" t="e">
        <f>AVERAGE(AS29:AS30)</f>
        <v>#DIV/0!</v>
      </c>
      <c r="AT31" s="61" t="e">
        <f>AVERAGE(AT29:AT30)</f>
        <v>#DIV/0!</v>
      </c>
      <c r="AU31" s="61" t="e">
        <f>AVERAGE(AU29:AU30)</f>
        <v>#DIV/0!</v>
      </c>
      <c r="AV31" s="61" t="e">
        <f>AVERAGE(AV29:AV30)</f>
        <v>#DIV/0!</v>
      </c>
      <c r="AW31" s="62" t="e">
        <f t="shared" si="6"/>
        <v>#DIV/0!</v>
      </c>
    </row>
    <row r="32" spans="2:49" ht="16.5" hidden="1" x14ac:dyDescent="0.3">
      <c r="B32" s="57" t="s">
        <v>37</v>
      </c>
      <c r="C32" s="66">
        <f>COUNTIFS(TblUniv2018[F1],C$16)/$C$15*100%</f>
        <v>0.33333333333333331</v>
      </c>
      <c r="D32" s="66">
        <f>COUNTIFS(TblUniv2018[F1],D$16)/$C$15*100%</f>
        <v>0.66666666666666663</v>
      </c>
      <c r="E32" s="66">
        <f>COUNTIFS(TblUniv2018[F1],E$16)/$C$15*100%</f>
        <v>0</v>
      </c>
      <c r="F32" s="66">
        <f>COUNTIFS(TblUniv2018[F1],F$16)/$C$15*100%</f>
        <v>0</v>
      </c>
      <c r="G32" s="62">
        <f t="shared" si="0"/>
        <v>1</v>
      </c>
      <c r="I32" s="57" t="s">
        <v>37</v>
      </c>
      <c r="J32" s="66">
        <f>COUNTIFS(TblUniv2018[F1],J$16,TblUniv2018[Prodi],$J$13)/$J$15*100%</f>
        <v>1</v>
      </c>
      <c r="K32" s="66">
        <f>COUNTIFS(TblUniv2018[F1],K$16,TblUniv2018[Prodi],$J$13)/$J$15*100%</f>
        <v>0</v>
      </c>
      <c r="L32" s="66">
        <f>COUNTIFS(TblUniv2018[F1],L$16,TblUniv2018[Prodi],$J$13)/$J$15*100%</f>
        <v>0</v>
      </c>
      <c r="M32" s="66">
        <f>COUNTIFS(TblUniv2018[F1],M$16,TblUniv2018[Prodi],$J$13)/$J$15*100%</f>
        <v>0</v>
      </c>
      <c r="N32" s="62">
        <f t="shared" si="1"/>
        <v>1</v>
      </c>
      <c r="P32" s="57" t="s">
        <v>37</v>
      </c>
      <c r="Q32" s="66">
        <f>COUNTIFS(TblUniv2018[F1],Q$16,TblUniv2018[Prodi],$Q$13)/$Q$15*100%</f>
        <v>0</v>
      </c>
      <c r="R32" s="66">
        <f>COUNTIFS(TblUniv2018[F1],R$16,TblUniv2018[Prodi],$Q$13)/$Q$15*100%</f>
        <v>1</v>
      </c>
      <c r="S32" s="66">
        <f>COUNTIFS(TblUniv2018[F1],S$16,TblUniv2018[Prodi],$Q$13)/$Q$15*100%</f>
        <v>0</v>
      </c>
      <c r="T32" s="66">
        <f>COUNTIFS(TblUniv2018[F1],T$16,TblUniv2018[Prodi],$Q$13)/$Q$15*100%</f>
        <v>0</v>
      </c>
      <c r="U32" s="62">
        <f t="shared" si="2"/>
        <v>1</v>
      </c>
      <c r="W32" s="57" t="s">
        <v>37</v>
      </c>
      <c r="X32" s="66">
        <f>COUNTIFS(TblUniv2018[F1],X$16,TblUniv2018[Prodi],$X$13)/$X$15*100%</f>
        <v>0</v>
      </c>
      <c r="Y32" s="66">
        <f>COUNTIFS(TblUniv2018[F1],Y$16,TblUniv2018[Prodi],$X$13)/$X$15*100%</f>
        <v>1</v>
      </c>
      <c r="Z32" s="66">
        <f>COUNTIFS(TblUniv2018[F1],Z$16,TblUniv2018[Prodi],$X$13)/$X$15*100%</f>
        <v>0</v>
      </c>
      <c r="AA32" s="66">
        <f>COUNTIFS(TblUniv2018[F1],AA$16,TblUniv2018[Prodi],$X$13)/$X$15*100%</f>
        <v>0</v>
      </c>
      <c r="AB32" s="62">
        <f t="shared" si="3"/>
        <v>1</v>
      </c>
      <c r="AD32" s="57" t="s">
        <v>37</v>
      </c>
      <c r="AE32" s="66" t="e">
        <f>COUNTIFS(TblUniv2018[F1],AE$16,TblUniv2018[Prodi],$AE$13)/$AE$15*100%</f>
        <v>#DIV/0!</v>
      </c>
      <c r="AF32" s="66" t="e">
        <f>COUNTIFS(TblUniv2018[F1],AF$16,TblUniv2018[Prodi],$AE$13)/$AE$15*100%</f>
        <v>#DIV/0!</v>
      </c>
      <c r="AG32" s="66" t="e">
        <f>COUNTIFS(TblUniv2018[F1],AG$16,TblUniv2018[Prodi],$AE$13)/$AE$15*100%</f>
        <v>#DIV/0!</v>
      </c>
      <c r="AH32" s="66" t="e">
        <f>COUNTIFS(TblUniv2018[F1],AH$16,TblUniv2018[Prodi],$AE$13)/$AE$15*100%</f>
        <v>#DIV/0!</v>
      </c>
      <c r="AI32" s="62" t="e">
        <f t="shared" si="4"/>
        <v>#DIV/0!</v>
      </c>
      <c r="AK32" s="57" t="s">
        <v>37</v>
      </c>
      <c r="AL32" s="66">
        <f>COUNTIFS(TblUniv2018[F1],AL$16,TblUniv2018[Prodi],$AL$13)/$AL$15*100%</f>
        <v>1</v>
      </c>
      <c r="AM32" s="66">
        <f>COUNTIFS(TblUniv2018[F1],AM$16,TblUniv2018[Prodi],$AL$13)/$AL$15*100%</f>
        <v>0</v>
      </c>
      <c r="AN32" s="66">
        <f>COUNTIFS(TblUniv2018[F1],AN$16,TblUniv2018[Prodi],$AL$13)/$AL$15*100%</f>
        <v>0</v>
      </c>
      <c r="AO32" s="66">
        <f>COUNTIFS(TblUniv2018[F1],AO$16,TblUniv2018[Prodi],$AL$13)/$AL$15*100%</f>
        <v>0</v>
      </c>
      <c r="AP32" s="62">
        <f t="shared" si="5"/>
        <v>1</v>
      </c>
      <c r="AR32" s="57" t="s">
        <v>37</v>
      </c>
      <c r="AS32" s="66" t="e">
        <f>COUNTIFS(TblUniv2018[F1],AS$16,TblUniv2018[Prodi],$AS$13)/$AS$15*100%</f>
        <v>#DIV/0!</v>
      </c>
      <c r="AT32" s="66" t="e">
        <f>COUNTIFS(TblUniv2018[F1],AT$16,TblUniv2018[Prodi],$AS$13)/$AS$15*100%</f>
        <v>#DIV/0!</v>
      </c>
      <c r="AU32" s="66" t="e">
        <f>COUNTIFS(TblUniv2018[F1],AU$16,TblUniv2018[Prodi],$AS$13)/$AS$15*100%</f>
        <v>#DIV/0!</v>
      </c>
      <c r="AV32" s="66" t="e">
        <f>COUNTIFS(TblUniv2018[F1],AV$16,TblUniv2018[Prodi],$AS$13)/$AS$15*100%</f>
        <v>#DIV/0!</v>
      </c>
      <c r="AW32" s="62" t="e">
        <f t="shared" si="6"/>
        <v>#DIV/0!</v>
      </c>
    </row>
    <row r="33" spans="2:49" ht="16.5" hidden="1" x14ac:dyDescent="0.3">
      <c r="B33" s="57" t="s">
        <v>38</v>
      </c>
      <c r="C33" s="66">
        <f>COUNTIFS(TblUniv2018[F2],C$16)/$C$15*100%</f>
        <v>0</v>
      </c>
      <c r="D33" s="66">
        <f>COUNTIFS(TblUniv2018[F2],D$16)/$C$15*100%</f>
        <v>1</v>
      </c>
      <c r="E33" s="66">
        <f>COUNTIFS(TblUniv2018[F2],E$16)/$C$15*100%</f>
        <v>0</v>
      </c>
      <c r="F33" s="66">
        <f>COUNTIFS(TblUniv2018[F2],F$16)/$C$15*100%</f>
        <v>0</v>
      </c>
      <c r="G33" s="62">
        <f t="shared" si="0"/>
        <v>1</v>
      </c>
      <c r="I33" s="57" t="s">
        <v>38</v>
      </c>
      <c r="J33" s="66">
        <f>COUNTIFS(TblUniv2018[F2],J$16,TblUniv2018[Prodi],$J$13)/$J$15*100%</f>
        <v>0</v>
      </c>
      <c r="K33" s="66">
        <f>COUNTIFS(TblUniv2018[F2],K$16,TblUniv2018[Prodi],$J$13)/$J$15*100%</f>
        <v>1</v>
      </c>
      <c r="L33" s="66">
        <f>COUNTIFS(TblUniv2018[F2],L$16,TblUniv2018[Prodi],$J$13)/$J$15*100%</f>
        <v>0</v>
      </c>
      <c r="M33" s="66">
        <f>COUNTIFS(TblUniv2018[F2],M$16,TblUniv2018[Prodi],$J$13)/$J$15*100%</f>
        <v>0</v>
      </c>
      <c r="N33" s="62">
        <f t="shared" si="1"/>
        <v>1</v>
      </c>
      <c r="P33" s="57" t="s">
        <v>38</v>
      </c>
      <c r="Q33" s="66">
        <f>COUNTIFS(TblUniv2018[F2],Q$16,TblUniv2018[Prodi],$Q$13)/$Q$15*100%</f>
        <v>0</v>
      </c>
      <c r="R33" s="66">
        <f>COUNTIFS(TblUniv2018[F2],R$16,TblUniv2018[Prodi],$Q$13)/$Q$15*100%</f>
        <v>1</v>
      </c>
      <c r="S33" s="66">
        <f>COUNTIFS(TblUniv2018[F2],S$16,TblUniv2018[Prodi],$Q$13)/$Q$15*100%</f>
        <v>0</v>
      </c>
      <c r="T33" s="66">
        <f>COUNTIFS(TblUniv2018[F2],T$16,TblUniv2018[Prodi],$Q$13)/$Q$15*100%</f>
        <v>0</v>
      </c>
      <c r="U33" s="62">
        <f t="shared" si="2"/>
        <v>1</v>
      </c>
      <c r="W33" s="57" t="s">
        <v>38</v>
      </c>
      <c r="X33" s="66">
        <f>COUNTIFS(TblUniv2018[F2],X$16,TblUniv2018[Prodi],$X$13)/$X$15*100%</f>
        <v>0</v>
      </c>
      <c r="Y33" s="66">
        <f>COUNTIFS(TblUniv2018[F2],Y$16,TblUniv2018[Prodi],$X$13)/$X$15*100%</f>
        <v>1</v>
      </c>
      <c r="Z33" s="66">
        <f>COUNTIFS(TblUniv2018[F2],Z$16,TblUniv2018[Prodi],$X$13)/$X$15*100%</f>
        <v>0</v>
      </c>
      <c r="AA33" s="66">
        <f>COUNTIFS(TblUniv2018[F2],AA$16,TblUniv2018[Prodi],$X$13)/$X$15*100%</f>
        <v>0</v>
      </c>
      <c r="AB33" s="62">
        <f t="shared" si="3"/>
        <v>1</v>
      </c>
      <c r="AD33" s="57" t="s">
        <v>38</v>
      </c>
      <c r="AE33" s="66" t="e">
        <f>COUNTIFS(TblUniv2018[F2],AE$16,TblUniv2018[Prodi],$AE$13)/$AE$15*100%</f>
        <v>#DIV/0!</v>
      </c>
      <c r="AF33" s="66" t="e">
        <f>COUNTIFS(TblUniv2018[F2],AF$16,TblUniv2018[Prodi],$AE$13)/$AE$15*100%</f>
        <v>#DIV/0!</v>
      </c>
      <c r="AG33" s="66" t="e">
        <f>COUNTIFS(TblUniv2018[F2],AG$16,TblUniv2018[Prodi],$AE$13)/$AE$15*100%</f>
        <v>#DIV/0!</v>
      </c>
      <c r="AH33" s="66" t="e">
        <f>COUNTIFS(TblUniv2018[F2],AH$16,TblUniv2018[Prodi],$AE$13)/$AE$15*100%</f>
        <v>#DIV/0!</v>
      </c>
      <c r="AI33" s="62" t="e">
        <f t="shared" si="4"/>
        <v>#DIV/0!</v>
      </c>
      <c r="AK33" s="57" t="s">
        <v>38</v>
      </c>
      <c r="AL33" s="66">
        <f>COUNTIFS(TblUniv2018[F2],AL$16,TblUniv2018[Prodi],$AL$13)/$AL$15*100%</f>
        <v>0</v>
      </c>
      <c r="AM33" s="66">
        <f>COUNTIFS(TblUniv2018[F2],AM$16,TblUniv2018[Prodi],$AL$13)/$AL$15*100%</f>
        <v>1</v>
      </c>
      <c r="AN33" s="66">
        <f>COUNTIFS(TblUniv2018[F2],AN$16,TblUniv2018[Prodi],$AL$13)/$AL$15*100%</f>
        <v>0</v>
      </c>
      <c r="AO33" s="66">
        <f>COUNTIFS(TblUniv2018[F2],AO$16,TblUniv2018[Prodi],$AL$13)/$AL$15*100%</f>
        <v>0</v>
      </c>
      <c r="AP33" s="62">
        <f t="shared" si="5"/>
        <v>1</v>
      </c>
      <c r="AR33" s="57" t="s">
        <v>38</v>
      </c>
      <c r="AS33" s="66" t="e">
        <f>COUNTIFS(TblUniv2018[F2],AS$16,TblUniv2018[Prodi],$AS$13)/$AS$15*100%</f>
        <v>#DIV/0!</v>
      </c>
      <c r="AT33" s="66" t="e">
        <f>COUNTIFS(TblUniv2018[F2],AT$16,TblUniv2018[Prodi],$AS$13)/$AS$15*100%</f>
        <v>#DIV/0!</v>
      </c>
      <c r="AU33" s="66" t="e">
        <f>COUNTIFS(TblUniv2018[F2],AU$16,TblUniv2018[Prodi],$AS$13)/$AS$15*100%</f>
        <v>#DIV/0!</v>
      </c>
      <c r="AV33" s="66" t="e">
        <f>COUNTIFS(TblUniv2018[F2],AV$16,TblUniv2018[Prodi],$AS$13)/$AS$15*100%</f>
        <v>#DIV/0!</v>
      </c>
      <c r="AW33" s="62" t="e">
        <f t="shared" si="6"/>
        <v>#DIV/0!</v>
      </c>
    </row>
    <row r="34" spans="2:49" ht="16.5" hidden="1" x14ac:dyDescent="0.3">
      <c r="B34" s="57" t="s">
        <v>39</v>
      </c>
      <c r="C34" s="66">
        <f>COUNTIFS(TblUniv2018[F3],C$16)/$C$15*100%</f>
        <v>0</v>
      </c>
      <c r="D34" s="66">
        <f>COUNTIFS(TblUniv2018[F3],D$16)/$C$15*100%</f>
        <v>1</v>
      </c>
      <c r="E34" s="66">
        <f>COUNTIFS(TblUniv2018[F3],E$16)/$C$15*100%</f>
        <v>0</v>
      </c>
      <c r="F34" s="66">
        <f>COUNTIFS(TblUniv2018[F3],F$16)/$C$15*100%</f>
        <v>0</v>
      </c>
      <c r="G34" s="62">
        <f t="shared" si="0"/>
        <v>1</v>
      </c>
      <c r="I34" s="57" t="s">
        <v>39</v>
      </c>
      <c r="J34" s="66">
        <f>COUNTIFS(TblUniv2018[F3],J$16,TblUniv2018[Prodi],$J$13)/$J$15*100%</f>
        <v>0</v>
      </c>
      <c r="K34" s="66">
        <f>COUNTIFS(TblUniv2018[F3],K$16,TblUniv2018[Prodi],$J$13)/$J$15*100%</f>
        <v>1</v>
      </c>
      <c r="L34" s="66">
        <f>COUNTIFS(TblUniv2018[F3],L$16,TblUniv2018[Prodi],$J$13)/$J$15*100%</f>
        <v>0</v>
      </c>
      <c r="M34" s="66">
        <f>COUNTIFS(TblUniv2018[F3],M$16,TblUniv2018[Prodi],$J$13)/$J$15*100%</f>
        <v>0</v>
      </c>
      <c r="N34" s="62">
        <f t="shared" si="1"/>
        <v>1</v>
      </c>
      <c r="P34" s="57" t="s">
        <v>39</v>
      </c>
      <c r="Q34" s="66">
        <f>COUNTIFS(TblUniv2018[F3],Q$16,TblUniv2018[Prodi],$Q$13)/$Q$15*100%</f>
        <v>0</v>
      </c>
      <c r="R34" s="66">
        <f>COUNTIFS(TblUniv2018[F3],R$16,TblUniv2018[Prodi],$Q$13)/$Q$15*100%</f>
        <v>1</v>
      </c>
      <c r="S34" s="66">
        <f>COUNTIFS(TblUniv2018[F3],S$16,TblUniv2018[Prodi],$Q$13)/$Q$15*100%</f>
        <v>0</v>
      </c>
      <c r="T34" s="66">
        <f>COUNTIFS(TblUniv2018[F3],T$16,TblUniv2018[Prodi],$Q$13)/$Q$15*100%</f>
        <v>0</v>
      </c>
      <c r="U34" s="62">
        <f t="shared" si="2"/>
        <v>1</v>
      </c>
      <c r="W34" s="57" t="s">
        <v>39</v>
      </c>
      <c r="X34" s="66">
        <f>COUNTIFS(TblUniv2018[F3],X$16,TblUniv2018[Prodi],$X$13)/$X$15*100%</f>
        <v>0</v>
      </c>
      <c r="Y34" s="66">
        <f>COUNTIFS(TblUniv2018[F3],Y$16,TblUniv2018[Prodi],$X$13)/$X$15*100%</f>
        <v>1</v>
      </c>
      <c r="Z34" s="66">
        <f>COUNTIFS(TblUniv2018[F3],Z$16,TblUniv2018[Prodi],$X$13)/$X$15*100%</f>
        <v>0</v>
      </c>
      <c r="AA34" s="66">
        <f>COUNTIFS(TblUniv2018[F3],AA$16,TblUniv2018[Prodi],$X$13)/$X$15*100%</f>
        <v>0</v>
      </c>
      <c r="AB34" s="62">
        <f t="shared" si="3"/>
        <v>1</v>
      </c>
      <c r="AD34" s="57" t="s">
        <v>39</v>
      </c>
      <c r="AE34" s="66" t="e">
        <f>COUNTIFS(TblUniv2018[F3],AE$16,TblUniv2018[Prodi],$AE$13)/$AE$15*100%</f>
        <v>#DIV/0!</v>
      </c>
      <c r="AF34" s="66" t="e">
        <f>COUNTIFS(TblUniv2018[F3],AF$16,TblUniv2018[Prodi],$AE$13)/$AE$15*100%</f>
        <v>#DIV/0!</v>
      </c>
      <c r="AG34" s="66" t="e">
        <f>COUNTIFS(TblUniv2018[F3],AG$16,TblUniv2018[Prodi],$AE$13)/$AE$15*100%</f>
        <v>#DIV/0!</v>
      </c>
      <c r="AH34" s="66" t="e">
        <f>COUNTIFS(TblUniv2018[F3],AH$16,TblUniv2018[Prodi],$AE$13)/$AE$15*100%</f>
        <v>#DIV/0!</v>
      </c>
      <c r="AI34" s="62" t="e">
        <f t="shared" si="4"/>
        <v>#DIV/0!</v>
      </c>
      <c r="AK34" s="57" t="s">
        <v>39</v>
      </c>
      <c r="AL34" s="66">
        <f>COUNTIFS(TblUniv2018[F3],AL$16,TblUniv2018[Prodi],$AL$13)/$AL$15*100%</f>
        <v>0</v>
      </c>
      <c r="AM34" s="66">
        <f>COUNTIFS(TblUniv2018[F3],AM$16,TblUniv2018[Prodi],$AL$13)/$AL$15*100%</f>
        <v>1</v>
      </c>
      <c r="AN34" s="66">
        <f>COUNTIFS(TblUniv2018[F3],AN$16,TblUniv2018[Prodi],$AL$13)/$AL$15*100%</f>
        <v>0</v>
      </c>
      <c r="AO34" s="66">
        <f>COUNTIFS(TblUniv2018[F3],AO$16,TblUniv2018[Prodi],$AL$13)/$AL$15*100%</f>
        <v>0</v>
      </c>
      <c r="AP34" s="62">
        <f t="shared" si="5"/>
        <v>1</v>
      </c>
      <c r="AR34" s="57" t="s">
        <v>39</v>
      </c>
      <c r="AS34" s="66" t="e">
        <f>COUNTIFS(TblUniv2018[F3],AS$16,TblUniv2018[Prodi],$AS$13)/$AS$15*100%</f>
        <v>#DIV/0!</v>
      </c>
      <c r="AT34" s="66" t="e">
        <f>COUNTIFS(TblUniv2018[F3],AT$16,TblUniv2018[Prodi],$AS$13)/$AS$15*100%</f>
        <v>#DIV/0!</v>
      </c>
      <c r="AU34" s="66" t="e">
        <f>COUNTIFS(TblUniv2018[F3],AU$16,TblUniv2018[Prodi],$AS$13)/$AS$15*100%</f>
        <v>#DIV/0!</v>
      </c>
      <c r="AV34" s="66" t="e">
        <f>COUNTIFS(TblUniv2018[F3],AV$16,TblUniv2018[Prodi],$AS$13)/$AS$15*100%</f>
        <v>#DIV/0!</v>
      </c>
      <c r="AW34" s="62" t="e">
        <f t="shared" si="6"/>
        <v>#DIV/0!</v>
      </c>
    </row>
    <row r="35" spans="2:49" ht="16.5" hidden="1" x14ac:dyDescent="0.3">
      <c r="B35" s="60"/>
      <c r="C35" s="61">
        <f>AVERAGE(C32:C34)</f>
        <v>0.1111111111111111</v>
      </c>
      <c r="D35" s="61">
        <f>AVERAGE(D32:D34)</f>
        <v>0.88888888888888884</v>
      </c>
      <c r="E35" s="61">
        <f>AVERAGE(E32:E34)</f>
        <v>0</v>
      </c>
      <c r="F35" s="61">
        <f>AVERAGE(F32:F34)</f>
        <v>0</v>
      </c>
      <c r="G35" s="62">
        <f t="shared" si="0"/>
        <v>1</v>
      </c>
      <c r="I35" s="60"/>
      <c r="J35" s="61">
        <f>AVERAGE(J32:J34)</f>
        <v>0.33333333333333331</v>
      </c>
      <c r="K35" s="61">
        <f>AVERAGE(K32:K34)</f>
        <v>0.66666666666666663</v>
      </c>
      <c r="L35" s="61">
        <f>AVERAGE(L32:L34)</f>
        <v>0</v>
      </c>
      <c r="M35" s="61">
        <f>AVERAGE(M32:M34)</f>
        <v>0</v>
      </c>
      <c r="N35" s="62">
        <f t="shared" si="1"/>
        <v>1</v>
      </c>
      <c r="P35" s="60"/>
      <c r="Q35" s="61">
        <f>AVERAGE(Q32:Q34)</f>
        <v>0</v>
      </c>
      <c r="R35" s="61">
        <f>AVERAGE(R32:R34)</f>
        <v>1</v>
      </c>
      <c r="S35" s="61">
        <f>AVERAGE(S32:S34)</f>
        <v>0</v>
      </c>
      <c r="T35" s="61">
        <f>AVERAGE(T32:T34)</f>
        <v>0</v>
      </c>
      <c r="U35" s="62">
        <f t="shared" si="2"/>
        <v>1</v>
      </c>
      <c r="W35" s="60"/>
      <c r="X35" s="61">
        <f>AVERAGE(X32:X34)</f>
        <v>0</v>
      </c>
      <c r="Y35" s="61">
        <f>AVERAGE(Y32:Y34)</f>
        <v>1</v>
      </c>
      <c r="Z35" s="61">
        <f>AVERAGE(Z32:Z34)</f>
        <v>0</v>
      </c>
      <c r="AA35" s="61">
        <f>AVERAGE(AA32:AA34)</f>
        <v>0</v>
      </c>
      <c r="AB35" s="62">
        <f t="shared" si="3"/>
        <v>1</v>
      </c>
      <c r="AD35" s="60"/>
      <c r="AE35" s="61" t="e">
        <f>AVERAGE(AE32:AE34)</f>
        <v>#DIV/0!</v>
      </c>
      <c r="AF35" s="61" t="e">
        <f>AVERAGE(AF32:AF34)</f>
        <v>#DIV/0!</v>
      </c>
      <c r="AG35" s="61" t="e">
        <f>AVERAGE(AG32:AG34)</f>
        <v>#DIV/0!</v>
      </c>
      <c r="AH35" s="61" t="e">
        <f>AVERAGE(AH32:AH34)</f>
        <v>#DIV/0!</v>
      </c>
      <c r="AI35" s="62" t="e">
        <f t="shared" si="4"/>
        <v>#DIV/0!</v>
      </c>
      <c r="AK35" s="60"/>
      <c r="AL35" s="61">
        <f>AVERAGE(AL32:AL34)</f>
        <v>0.33333333333333331</v>
      </c>
      <c r="AM35" s="61">
        <f>AVERAGE(AM32:AM34)</f>
        <v>0.66666666666666663</v>
      </c>
      <c r="AN35" s="61">
        <f>AVERAGE(AN32:AN34)</f>
        <v>0</v>
      </c>
      <c r="AO35" s="61">
        <f>AVERAGE(AO32:AO34)</f>
        <v>0</v>
      </c>
      <c r="AP35" s="62">
        <f t="shared" si="5"/>
        <v>1</v>
      </c>
      <c r="AR35" s="60"/>
      <c r="AS35" s="61" t="e">
        <f>AVERAGE(AS32:AS34)</f>
        <v>#DIV/0!</v>
      </c>
      <c r="AT35" s="61" t="e">
        <f>AVERAGE(AT32:AT34)</f>
        <v>#DIV/0!</v>
      </c>
      <c r="AU35" s="61" t="e">
        <f>AVERAGE(AU32:AU34)</f>
        <v>#DIV/0!</v>
      </c>
      <c r="AV35" s="61" t="e">
        <f>AVERAGE(AV32:AV34)</f>
        <v>#DIV/0!</v>
      </c>
      <c r="AW35" s="62" t="e">
        <f t="shared" si="6"/>
        <v>#DIV/0!</v>
      </c>
    </row>
    <row r="36" spans="2:49" ht="16.5" hidden="1" x14ac:dyDescent="0.3">
      <c r="B36" s="57" t="s">
        <v>40</v>
      </c>
      <c r="C36" s="66">
        <f>COUNTIFS(TblUniv2018[G1],C$16)/$C$15*100%</f>
        <v>0.66666666666666663</v>
      </c>
      <c r="D36" s="66">
        <f>COUNTIFS(TblUniv2018[G1],D$16)/$C$15*100%</f>
        <v>0.16666666666666666</v>
      </c>
      <c r="E36" s="66">
        <f>COUNTIFS(TblUniv2018[G1],E$16)/$C$15*100%</f>
        <v>0.16666666666666666</v>
      </c>
      <c r="F36" s="66">
        <f>COUNTIFS(TblUniv2018[G1],F$16)/$C$15*100%</f>
        <v>0</v>
      </c>
      <c r="G36" s="62">
        <f t="shared" si="0"/>
        <v>0.99999999999999989</v>
      </c>
      <c r="I36" s="57" t="s">
        <v>40</v>
      </c>
      <c r="J36" s="66">
        <f>COUNTIFS(TblUniv2018[G1],J$16,TblUniv2018[Prodi],$J$13)/$J$15*100%</f>
        <v>1</v>
      </c>
      <c r="K36" s="66">
        <f>COUNTIFS(TblUniv2018[G1],K$16,TblUniv2018[Prodi],$J$13)/$J$15*100%</f>
        <v>0</v>
      </c>
      <c r="L36" s="66">
        <f>COUNTIFS(TblUniv2018[G1],L$16,TblUniv2018[Prodi],$J$13)/$J$15*100%</f>
        <v>0</v>
      </c>
      <c r="M36" s="66">
        <f>COUNTIFS(TblUniv2018[G1],M$16,TblUniv2018[Prodi],$J$13)/$J$15*100%</f>
        <v>0</v>
      </c>
      <c r="N36" s="62">
        <f t="shared" si="1"/>
        <v>1</v>
      </c>
      <c r="P36" s="57" t="s">
        <v>40</v>
      </c>
      <c r="Q36" s="66">
        <f>COUNTIFS(TblUniv2018[G1],Q$16,TblUniv2018[Prodi],$Q$13)/$Q$15*100%</f>
        <v>0.33333333333333331</v>
      </c>
      <c r="R36" s="66">
        <f>COUNTIFS(TblUniv2018[G1],R$16,TblUniv2018[Prodi],$Q$13)/$Q$15*100%</f>
        <v>0.33333333333333331</v>
      </c>
      <c r="S36" s="66">
        <f>COUNTIFS(TblUniv2018[G1],S$16,TblUniv2018[Prodi],$Q$13)/$Q$15*100%</f>
        <v>0.33333333333333331</v>
      </c>
      <c r="T36" s="66">
        <f>COUNTIFS(TblUniv2018[G1],T$16,TblUniv2018[Prodi],$Q$13)/$Q$15*100%</f>
        <v>0</v>
      </c>
      <c r="U36" s="62">
        <f t="shared" si="2"/>
        <v>1</v>
      </c>
      <c r="W36" s="57" t="s">
        <v>40</v>
      </c>
      <c r="X36" s="66">
        <f>COUNTIFS(TblUniv2018[G1],X$16,TblUniv2018[Prodi],$X$13)/$X$15*100%</f>
        <v>1</v>
      </c>
      <c r="Y36" s="66">
        <f>COUNTIFS(TblUniv2018[G1],Y$16,TblUniv2018[Prodi],$X$13)/$X$15*100%</f>
        <v>0</v>
      </c>
      <c r="Z36" s="66">
        <f>COUNTIFS(TblUniv2018[G1],Z$16,TblUniv2018[Prodi],$X$13)/$X$15*100%</f>
        <v>0</v>
      </c>
      <c r="AA36" s="66">
        <f>COUNTIFS(TblUniv2018[G1],AA$16,TblUniv2018[Prodi],$X$13)/$X$15*100%</f>
        <v>0</v>
      </c>
      <c r="AB36" s="62">
        <f t="shared" si="3"/>
        <v>1</v>
      </c>
      <c r="AD36" s="57" t="s">
        <v>40</v>
      </c>
      <c r="AE36" s="66" t="e">
        <f>COUNTIFS(TblUniv2018[G1],AE$16,TblUniv2018[Prodi],$AE$13)/$AE$15*100%</f>
        <v>#DIV/0!</v>
      </c>
      <c r="AF36" s="66" t="e">
        <f>COUNTIFS(TblUniv2018[G1],AF$16,TblUniv2018[Prodi],$AE$13)/$AE$15*100%</f>
        <v>#DIV/0!</v>
      </c>
      <c r="AG36" s="66" t="e">
        <f>COUNTIFS(TblUniv2018[G1],AG$16,TblUniv2018[Prodi],$AE$13)/$AE$15*100%</f>
        <v>#DIV/0!</v>
      </c>
      <c r="AH36" s="66" t="e">
        <f>COUNTIFS(TblUniv2018[G1],AH$16,TblUniv2018[Prodi],$AE$13)/$AE$15*100%</f>
        <v>#DIV/0!</v>
      </c>
      <c r="AI36" s="62" t="e">
        <f t="shared" si="4"/>
        <v>#DIV/0!</v>
      </c>
      <c r="AK36" s="57" t="s">
        <v>40</v>
      </c>
      <c r="AL36" s="66">
        <f>COUNTIFS(TblUniv2018[G1],AL$16,TblUniv2018[Prodi],$AL$13)/$AL$15*100%</f>
        <v>1</v>
      </c>
      <c r="AM36" s="66">
        <f>COUNTIFS(TblUniv2018[G1],AM$16,TblUniv2018[Prodi],$AL$13)/$AL$15*100%</f>
        <v>0</v>
      </c>
      <c r="AN36" s="66">
        <f>COUNTIFS(TblUniv2018[G1],AN$16,TblUniv2018[Prodi],$AL$13)/$AL$15*100%</f>
        <v>0</v>
      </c>
      <c r="AO36" s="66">
        <f>COUNTIFS(TblUniv2018[G1],AO$16,TblUniv2018[Prodi],$AL$13)/$AL$15*100%</f>
        <v>0</v>
      </c>
      <c r="AP36" s="62">
        <f t="shared" si="5"/>
        <v>1</v>
      </c>
      <c r="AR36" s="57" t="s">
        <v>40</v>
      </c>
      <c r="AS36" s="66" t="e">
        <f>COUNTIFS(TblUniv2018[G1],AS$16,TblUniv2018[Prodi],$AS$13)/$AS$15*100%</f>
        <v>#DIV/0!</v>
      </c>
      <c r="AT36" s="66" t="e">
        <f>COUNTIFS(TblUniv2018[G1],AT$16,TblUniv2018[Prodi],$AS$13)/$AS$15*100%</f>
        <v>#DIV/0!</v>
      </c>
      <c r="AU36" s="66" t="e">
        <f>COUNTIFS(TblUniv2018[G1],AU$16,TblUniv2018[Prodi],$AS$13)/$AS$15*100%</f>
        <v>#DIV/0!</v>
      </c>
      <c r="AV36" s="66" t="e">
        <f>COUNTIFS(TblUniv2018[G1],AV$16,TblUniv2018[Prodi],$AS$13)/$AS$15*100%</f>
        <v>#DIV/0!</v>
      </c>
      <c r="AW36" s="62" t="e">
        <f t="shared" si="6"/>
        <v>#DIV/0!</v>
      </c>
    </row>
    <row r="37" spans="2:49" ht="16.5" hidden="1" x14ac:dyDescent="0.3">
      <c r="B37" s="57" t="s">
        <v>41</v>
      </c>
      <c r="C37" s="66">
        <f>COUNTIFS(TblUniv2018[G2],C$16)/$C$15*100%</f>
        <v>0.33333333333333331</v>
      </c>
      <c r="D37" s="66">
        <f>COUNTIFS(TblUniv2018[G2],D$16)/$C$15*100%</f>
        <v>0.5</v>
      </c>
      <c r="E37" s="66">
        <f>COUNTIFS(TblUniv2018[G2],E$16)/$C$15*100%</f>
        <v>0.16666666666666666</v>
      </c>
      <c r="F37" s="66">
        <f>COUNTIFS(TblUniv2018[G2],F$16)/$C$15*100%</f>
        <v>0</v>
      </c>
      <c r="G37" s="62">
        <f t="shared" si="0"/>
        <v>0.99999999999999989</v>
      </c>
      <c r="I37" s="57" t="s">
        <v>41</v>
      </c>
      <c r="J37" s="66">
        <f>COUNTIFS(TblUniv2018[G2],J$16,TblUniv2018[Prodi],$J$13)/$J$15*100%</f>
        <v>0</v>
      </c>
      <c r="K37" s="66">
        <f>COUNTIFS(TblUniv2018[G2],K$16,TblUniv2018[Prodi],$J$13)/$J$15*100%</f>
        <v>1</v>
      </c>
      <c r="L37" s="66">
        <f>COUNTIFS(TblUniv2018[G2],L$16,TblUniv2018[Prodi],$J$13)/$J$15*100%</f>
        <v>0</v>
      </c>
      <c r="M37" s="66">
        <f>COUNTIFS(TblUniv2018[G2],M$16,TblUniv2018[Prodi],$J$13)/$J$15*100%</f>
        <v>0</v>
      </c>
      <c r="N37" s="62">
        <f t="shared" si="1"/>
        <v>1</v>
      </c>
      <c r="P37" s="57" t="s">
        <v>41</v>
      </c>
      <c r="Q37" s="66">
        <f>COUNTIFS(TblUniv2018[G2],Q$16,TblUniv2018[Prodi],$Q$13)/$Q$15*100%</f>
        <v>0.33333333333333331</v>
      </c>
      <c r="R37" s="66">
        <f>COUNTIFS(TblUniv2018[G2],R$16,TblUniv2018[Prodi],$Q$13)/$Q$15*100%</f>
        <v>0.33333333333333331</v>
      </c>
      <c r="S37" s="66">
        <f>COUNTIFS(TblUniv2018[G2],S$16,TblUniv2018[Prodi],$Q$13)/$Q$15*100%</f>
        <v>0.33333333333333331</v>
      </c>
      <c r="T37" s="66">
        <f>COUNTIFS(TblUniv2018[G2],T$16,TblUniv2018[Prodi],$Q$13)/$Q$15*100%</f>
        <v>0</v>
      </c>
      <c r="U37" s="62">
        <f t="shared" si="2"/>
        <v>1</v>
      </c>
      <c r="W37" s="57" t="s">
        <v>41</v>
      </c>
      <c r="X37" s="66">
        <f>COUNTIFS(TblUniv2018[G2],X$16,TblUniv2018[Prodi],$X$13)/$X$15*100%</f>
        <v>1</v>
      </c>
      <c r="Y37" s="66">
        <f>COUNTIFS(TblUniv2018[G2],Y$16,TblUniv2018[Prodi],$X$13)/$X$15*100%</f>
        <v>0</v>
      </c>
      <c r="Z37" s="66">
        <f>COUNTIFS(TblUniv2018[G2],Z$16,TblUniv2018[Prodi],$X$13)/$X$15*100%</f>
        <v>0</v>
      </c>
      <c r="AA37" s="66">
        <f>COUNTIFS(TblUniv2018[G2],AA$16,TblUniv2018[Prodi],$X$13)/$X$15*100%</f>
        <v>0</v>
      </c>
      <c r="AB37" s="62">
        <f t="shared" si="3"/>
        <v>1</v>
      </c>
      <c r="AD37" s="57" t="s">
        <v>41</v>
      </c>
      <c r="AE37" s="66" t="e">
        <f>COUNTIFS(TblUniv2018[G2],AE$16,TblUniv2018[Prodi],$AE$13)/$AE$15*100%</f>
        <v>#DIV/0!</v>
      </c>
      <c r="AF37" s="66" t="e">
        <f>COUNTIFS(TblUniv2018[G2],AF$16,TblUniv2018[Prodi],$AE$13)/$AE$15*100%</f>
        <v>#DIV/0!</v>
      </c>
      <c r="AG37" s="66" t="e">
        <f>COUNTIFS(TblUniv2018[G2],AG$16,TblUniv2018[Prodi],$AE$13)/$AE$15*100%</f>
        <v>#DIV/0!</v>
      </c>
      <c r="AH37" s="66" t="e">
        <f>COUNTIFS(TblUniv2018[G2],AH$16,TblUniv2018[Prodi],$AE$13)/$AE$15*100%</f>
        <v>#DIV/0!</v>
      </c>
      <c r="AI37" s="62" t="e">
        <f t="shared" si="4"/>
        <v>#DIV/0!</v>
      </c>
      <c r="AK37" s="57" t="s">
        <v>41</v>
      </c>
      <c r="AL37" s="66">
        <f>COUNTIFS(TblUniv2018[G2],AL$16,TblUniv2018[Prodi],$AL$13)/$AL$15*100%</f>
        <v>0</v>
      </c>
      <c r="AM37" s="66">
        <f>COUNTIFS(TblUniv2018[G2],AM$16,TblUniv2018[Prodi],$AL$13)/$AL$15*100%</f>
        <v>1</v>
      </c>
      <c r="AN37" s="66">
        <f>COUNTIFS(TblUniv2018[G2],AN$16,TblUniv2018[Prodi],$AL$13)/$AL$15*100%</f>
        <v>0</v>
      </c>
      <c r="AO37" s="66">
        <f>COUNTIFS(TblUniv2018[G2],AO$16,TblUniv2018[Prodi],$AL$13)/$AL$15*100%</f>
        <v>0</v>
      </c>
      <c r="AP37" s="62">
        <f t="shared" si="5"/>
        <v>1</v>
      </c>
      <c r="AR37" s="57" t="s">
        <v>41</v>
      </c>
      <c r="AS37" s="66" t="e">
        <f>COUNTIFS(TblUniv2018[G2],AS$16,TblUniv2018[Prodi],$AS$13)/$AS$15*100%</f>
        <v>#DIV/0!</v>
      </c>
      <c r="AT37" s="66" t="e">
        <f>COUNTIFS(TblUniv2018[G2],AT$16,TblUniv2018[Prodi],$AS$13)/$AS$15*100%</f>
        <v>#DIV/0!</v>
      </c>
      <c r="AU37" s="66" t="e">
        <f>COUNTIFS(TblUniv2018[G2],AU$16,TblUniv2018[Prodi],$AS$13)/$AS$15*100%</f>
        <v>#DIV/0!</v>
      </c>
      <c r="AV37" s="66" t="e">
        <f>COUNTIFS(TblUniv2018[G2],AV$16,TblUniv2018[Prodi],$AS$13)/$AS$15*100%</f>
        <v>#DIV/0!</v>
      </c>
      <c r="AW37" s="62" t="e">
        <f t="shared" si="6"/>
        <v>#DIV/0!</v>
      </c>
    </row>
    <row r="38" spans="2:49" ht="16.5" hidden="1" x14ac:dyDescent="0.3">
      <c r="B38" s="60"/>
      <c r="C38" s="61">
        <f>AVERAGE(C36:C37)</f>
        <v>0.5</v>
      </c>
      <c r="D38" s="61">
        <f>AVERAGE(D36:D37)</f>
        <v>0.33333333333333331</v>
      </c>
      <c r="E38" s="61">
        <f>AVERAGE(E36:E37)</f>
        <v>0.16666666666666666</v>
      </c>
      <c r="F38" s="61">
        <f>AVERAGE(F36:F37)</f>
        <v>0</v>
      </c>
      <c r="G38" s="62">
        <f t="shared" si="0"/>
        <v>0.99999999999999989</v>
      </c>
      <c r="I38" s="60"/>
      <c r="J38" s="61">
        <f>AVERAGE(J36:J37)</f>
        <v>0.5</v>
      </c>
      <c r="K38" s="61">
        <f>AVERAGE(K36:K37)</f>
        <v>0.5</v>
      </c>
      <c r="L38" s="61">
        <f>AVERAGE(L36:L37)</f>
        <v>0</v>
      </c>
      <c r="M38" s="61">
        <f>AVERAGE(M36:M37)</f>
        <v>0</v>
      </c>
      <c r="N38" s="62">
        <f t="shared" si="1"/>
        <v>1</v>
      </c>
      <c r="P38" s="60"/>
      <c r="Q38" s="61">
        <f>AVERAGE(Q36:Q37)</f>
        <v>0.33333333333333331</v>
      </c>
      <c r="R38" s="61">
        <f>AVERAGE(R36:R37)</f>
        <v>0.33333333333333331</v>
      </c>
      <c r="S38" s="61">
        <f>AVERAGE(S36:S37)</f>
        <v>0.33333333333333331</v>
      </c>
      <c r="T38" s="61">
        <f>AVERAGE(T36:T37)</f>
        <v>0</v>
      </c>
      <c r="U38" s="62">
        <f t="shared" si="2"/>
        <v>1</v>
      </c>
      <c r="W38" s="60"/>
      <c r="X38" s="61">
        <f>AVERAGE(X36:X37)</f>
        <v>1</v>
      </c>
      <c r="Y38" s="61">
        <f>AVERAGE(Y36:Y37)</f>
        <v>0</v>
      </c>
      <c r="Z38" s="61">
        <f>AVERAGE(Z36:Z37)</f>
        <v>0</v>
      </c>
      <c r="AA38" s="61">
        <f>AVERAGE(AA36:AA37)</f>
        <v>0</v>
      </c>
      <c r="AB38" s="62">
        <f t="shared" si="3"/>
        <v>1</v>
      </c>
      <c r="AD38" s="60"/>
      <c r="AE38" s="61" t="e">
        <f>AVERAGE(AE36:AE37)</f>
        <v>#DIV/0!</v>
      </c>
      <c r="AF38" s="61" t="e">
        <f>AVERAGE(AF36:AF37)</f>
        <v>#DIV/0!</v>
      </c>
      <c r="AG38" s="61" t="e">
        <f>AVERAGE(AG36:AG37)</f>
        <v>#DIV/0!</v>
      </c>
      <c r="AH38" s="61" t="e">
        <f>AVERAGE(AH36:AH37)</f>
        <v>#DIV/0!</v>
      </c>
      <c r="AI38" s="62" t="e">
        <f t="shared" si="4"/>
        <v>#DIV/0!</v>
      </c>
      <c r="AK38" s="60"/>
      <c r="AL38" s="61">
        <f>AVERAGE(AL36:AL37)</f>
        <v>0.5</v>
      </c>
      <c r="AM38" s="61">
        <f>AVERAGE(AM36:AM37)</f>
        <v>0.5</v>
      </c>
      <c r="AN38" s="61">
        <f>AVERAGE(AN36:AN37)</f>
        <v>0</v>
      </c>
      <c r="AO38" s="61">
        <f>AVERAGE(AO36:AO37)</f>
        <v>0</v>
      </c>
      <c r="AP38" s="62">
        <f t="shared" si="5"/>
        <v>1</v>
      </c>
      <c r="AR38" s="60"/>
      <c r="AS38" s="61" t="e">
        <f>AVERAGE(AS36:AS37)</f>
        <v>#DIV/0!</v>
      </c>
      <c r="AT38" s="61" t="e">
        <f>AVERAGE(AT36:AT37)</f>
        <v>#DIV/0!</v>
      </c>
      <c r="AU38" s="61" t="e">
        <f>AVERAGE(AU36:AU37)</f>
        <v>#DIV/0!</v>
      </c>
      <c r="AV38" s="61" t="e">
        <f>AVERAGE(AV36:AV37)</f>
        <v>#DIV/0!</v>
      </c>
      <c r="AW38" s="62" t="e">
        <f t="shared" si="6"/>
        <v>#DIV/0!</v>
      </c>
    </row>
    <row r="39" spans="2:49" ht="16.5" hidden="1" x14ac:dyDescent="0.3">
      <c r="B39" s="57" t="s">
        <v>42</v>
      </c>
      <c r="C39" s="66">
        <f>COUNTIFS(TblUniv2018[H1],C$16)/$C$15*100%</f>
        <v>0.16666666666666666</v>
      </c>
      <c r="D39" s="66">
        <f>COUNTIFS(TblUniv2018[H1],D$16)/$C$15*100%</f>
        <v>0.83333333333333337</v>
      </c>
      <c r="E39" s="66">
        <f>COUNTIFS(TblUniv2018[H1],E$16)/$C$15*100%</f>
        <v>0</v>
      </c>
      <c r="F39" s="66">
        <f>COUNTIFS(TblUniv2018[H1],F$16)/$C$15*100%</f>
        <v>0</v>
      </c>
      <c r="G39" s="62">
        <f t="shared" si="0"/>
        <v>1</v>
      </c>
      <c r="I39" s="57" t="s">
        <v>42</v>
      </c>
      <c r="J39" s="66">
        <f>COUNTIFS(TblUniv2018[H1],J$16,TblUniv2018[Prodi],$J$13)/$J$15*100%</f>
        <v>0</v>
      </c>
      <c r="K39" s="66">
        <f>COUNTIFS(TblUniv2018[H1],K$16,TblUniv2018[Prodi],$J$13)/$J$15*100%</f>
        <v>1</v>
      </c>
      <c r="L39" s="66">
        <f>COUNTIFS(TblUniv2018[H1],L$16,TblUniv2018[Prodi],$J$13)/$J$15*100%</f>
        <v>0</v>
      </c>
      <c r="M39" s="66">
        <f>COUNTIFS(TblUniv2018[H1],M$16,TblUniv2018[Prodi],$J$13)/$J$15*100%</f>
        <v>0</v>
      </c>
      <c r="N39" s="62">
        <f t="shared" si="1"/>
        <v>1</v>
      </c>
      <c r="P39" s="57" t="s">
        <v>42</v>
      </c>
      <c r="Q39" s="66">
        <f>COUNTIFS(TblUniv2018[H1],Q$16,TblUniv2018[Prodi],$Q$13)/$Q$15*100%</f>
        <v>0.33333333333333331</v>
      </c>
      <c r="R39" s="66">
        <f>COUNTIFS(TblUniv2018[H1],R$16,TblUniv2018[Prodi],$Q$13)/$Q$15*100%</f>
        <v>0.66666666666666663</v>
      </c>
      <c r="S39" s="66">
        <f>COUNTIFS(TblUniv2018[H1],S$16,TblUniv2018[Prodi],$Q$13)/$Q$15*100%</f>
        <v>0</v>
      </c>
      <c r="T39" s="66">
        <f>COUNTIFS(TblUniv2018[H1],T$16,TblUniv2018[Prodi],$Q$13)/$Q$15*100%</f>
        <v>0</v>
      </c>
      <c r="U39" s="62">
        <f t="shared" si="2"/>
        <v>1</v>
      </c>
      <c r="W39" s="57" t="s">
        <v>42</v>
      </c>
      <c r="X39" s="66">
        <f>COUNTIFS(TblUniv2018[H1],X$16,TblUniv2018[Prodi],$X$13)/$X$15*100%</f>
        <v>0</v>
      </c>
      <c r="Y39" s="66">
        <f>COUNTIFS(TblUniv2018[H1],Y$16,TblUniv2018[Prodi],$X$13)/$X$15*100%</f>
        <v>1</v>
      </c>
      <c r="Z39" s="66">
        <f>COUNTIFS(TblUniv2018[H1],Z$16,TblUniv2018[Prodi],$X$13)/$X$15*100%</f>
        <v>0</v>
      </c>
      <c r="AA39" s="66">
        <f>COUNTIFS(TblUniv2018[H1],AA$16,TblUniv2018[Prodi],$X$13)/$X$15*100%</f>
        <v>0</v>
      </c>
      <c r="AB39" s="62">
        <f t="shared" si="3"/>
        <v>1</v>
      </c>
      <c r="AD39" s="57" t="s">
        <v>42</v>
      </c>
      <c r="AE39" s="66" t="e">
        <f>COUNTIFS(TblUniv2018[H1],AE$16,TblUniv2018[Prodi],$AE$13)/$AE$15*100%</f>
        <v>#DIV/0!</v>
      </c>
      <c r="AF39" s="66" t="e">
        <f>COUNTIFS(TblUniv2018[H1],AF$16,TblUniv2018[Prodi],$AE$13)/$AE$15*100%</f>
        <v>#DIV/0!</v>
      </c>
      <c r="AG39" s="66" t="e">
        <f>COUNTIFS(TblUniv2018[H1],AG$16,TblUniv2018[Prodi],$AE$13)/$AE$15*100%</f>
        <v>#DIV/0!</v>
      </c>
      <c r="AH39" s="66" t="e">
        <f>COUNTIFS(TblUniv2018[H1],AH$16,TblUniv2018[Prodi],$AE$13)/$AE$15*100%</f>
        <v>#DIV/0!</v>
      </c>
      <c r="AI39" s="62" t="e">
        <f t="shared" si="4"/>
        <v>#DIV/0!</v>
      </c>
      <c r="AK39" s="57" t="s">
        <v>42</v>
      </c>
      <c r="AL39" s="66">
        <f>COUNTIFS(TblUniv2018[H1],AL$16,TblUniv2018[Prodi],$AL$13)/$AL$15*100%</f>
        <v>0</v>
      </c>
      <c r="AM39" s="66">
        <f>COUNTIFS(TblUniv2018[H1],AM$16,TblUniv2018[Prodi],$AL$13)/$AL$15*100%</f>
        <v>1</v>
      </c>
      <c r="AN39" s="66">
        <f>COUNTIFS(TblUniv2018[H1],AN$16,TblUniv2018[Prodi],$AL$13)/$AL$15*100%</f>
        <v>0</v>
      </c>
      <c r="AO39" s="66">
        <f>COUNTIFS(TblUniv2018[H1],AO$16,TblUniv2018[Prodi],$AL$13)/$AL$15*100%</f>
        <v>0</v>
      </c>
      <c r="AP39" s="62">
        <f t="shared" si="5"/>
        <v>1</v>
      </c>
      <c r="AR39" s="57" t="s">
        <v>42</v>
      </c>
      <c r="AS39" s="66" t="e">
        <f>COUNTIFS(TblUniv2018[H1],AS$16,TblUniv2018[Prodi],$AS$13)/$AS$15*100%</f>
        <v>#DIV/0!</v>
      </c>
      <c r="AT39" s="66" t="e">
        <f>COUNTIFS(TblUniv2018[H1],AT$16,TblUniv2018[Prodi],$AS$13)/$AS$15*100%</f>
        <v>#DIV/0!</v>
      </c>
      <c r="AU39" s="66" t="e">
        <f>COUNTIFS(TblUniv2018[H1],AU$16,TblUniv2018[Prodi],$AS$13)/$AS$15*100%</f>
        <v>#DIV/0!</v>
      </c>
      <c r="AV39" s="66" t="e">
        <f>COUNTIFS(TblUniv2018[H1],AV$16,TblUniv2018[Prodi],$AS$13)/$AS$15*100%</f>
        <v>#DIV/0!</v>
      </c>
      <c r="AW39" s="62" t="e">
        <f t="shared" si="6"/>
        <v>#DIV/0!</v>
      </c>
    </row>
    <row r="40" spans="2:49" ht="16.5" hidden="1" x14ac:dyDescent="0.3">
      <c r="B40" s="57" t="s">
        <v>43</v>
      </c>
      <c r="C40" s="66">
        <f>COUNTIFS(TblUniv2018[H2],C$16)/$C$15*100%</f>
        <v>0.33333333333333331</v>
      </c>
      <c r="D40" s="66">
        <f>COUNTIFS(TblUniv2018[H2],D$16)/$C$15*100%</f>
        <v>0.5</v>
      </c>
      <c r="E40" s="66">
        <f>COUNTIFS(TblUniv2018[H2],E$16)/$C$15*100%</f>
        <v>0.16666666666666666</v>
      </c>
      <c r="F40" s="66">
        <f>COUNTIFS(TblUniv2018[H2],F$16)/$C$15*100%</f>
        <v>0</v>
      </c>
      <c r="G40" s="62">
        <f t="shared" si="0"/>
        <v>0.99999999999999989</v>
      </c>
      <c r="I40" s="57" t="s">
        <v>43</v>
      </c>
      <c r="J40" s="66">
        <f>COUNTIFS(TblUniv2018[H1],J$16,TblUniv2018[Prodi],$J$13)/$J$15*100%</f>
        <v>0</v>
      </c>
      <c r="K40" s="66">
        <f>COUNTIFS(TblUniv2018[H1],K$16,TblUniv2018[Prodi],$J$13)/$J$15*100%</f>
        <v>1</v>
      </c>
      <c r="L40" s="66">
        <f>COUNTIFS(TblUniv2018[H1],L$16,TblUniv2018[Prodi],$J$13)/$J$15*100%</f>
        <v>0</v>
      </c>
      <c r="M40" s="66">
        <f>COUNTIFS(TblUniv2018[H1],M$16,TblUniv2018[Prodi],$J$13)/$J$15*100%</f>
        <v>0</v>
      </c>
      <c r="N40" s="62">
        <f t="shared" si="1"/>
        <v>1</v>
      </c>
      <c r="P40" s="57" t="s">
        <v>43</v>
      </c>
      <c r="Q40" s="66">
        <f>COUNTIFS(TblUniv2018[H1],Q$16,TblUniv2018[Prodi],$Q$13)/$Q$15*100%</f>
        <v>0.33333333333333331</v>
      </c>
      <c r="R40" s="66">
        <f>COUNTIFS(TblUniv2018[H1],R$16,TblUniv2018[Prodi],$Q$13)/$Q$15*100%</f>
        <v>0.66666666666666663</v>
      </c>
      <c r="S40" s="66">
        <f>COUNTIFS(TblUniv2018[H1],S$16,TblUniv2018[Prodi],$Q$13)/$Q$15*100%</f>
        <v>0</v>
      </c>
      <c r="T40" s="66">
        <f>COUNTIFS(TblUniv2018[H1],T$16,TblUniv2018[Prodi],$Q$13)/$Q$15*100%</f>
        <v>0</v>
      </c>
      <c r="U40" s="62">
        <f t="shared" si="2"/>
        <v>1</v>
      </c>
      <c r="W40" s="57" t="s">
        <v>43</v>
      </c>
      <c r="X40" s="66">
        <f>COUNTIFS(TblUniv2018[H1],X$16,TblUniv2018[Prodi],$X$13)/$X$15*100%</f>
        <v>0</v>
      </c>
      <c r="Y40" s="66">
        <f>COUNTIFS(TblUniv2018[H1],Y$16,TblUniv2018[Prodi],$X$13)/$X$15*100%</f>
        <v>1</v>
      </c>
      <c r="Z40" s="66">
        <f>COUNTIFS(TblUniv2018[H1],Z$16,TblUniv2018[Prodi],$X$13)/$X$15*100%</f>
        <v>0</v>
      </c>
      <c r="AA40" s="66">
        <f>COUNTIFS(TblUniv2018[H1],AA$16,TblUniv2018[Prodi],$X$13)/$X$15*100%</f>
        <v>0</v>
      </c>
      <c r="AB40" s="62">
        <f t="shared" si="3"/>
        <v>1</v>
      </c>
      <c r="AD40" s="57" t="s">
        <v>43</v>
      </c>
      <c r="AE40" s="66" t="e">
        <f>COUNTIFS(TblUniv2018[H1],AE$16,TblUniv2018[Prodi],$AE$13)/$AE$15*100%</f>
        <v>#DIV/0!</v>
      </c>
      <c r="AF40" s="66" t="e">
        <f>COUNTIFS(TblUniv2018[H1],AF$16,TblUniv2018[Prodi],$AE$13)/$AE$15*100%</f>
        <v>#DIV/0!</v>
      </c>
      <c r="AG40" s="66" t="e">
        <f>COUNTIFS(TblUniv2018[H1],AG$16,TblUniv2018[Prodi],$AE$13)/$AE$15*100%</f>
        <v>#DIV/0!</v>
      </c>
      <c r="AH40" s="66" t="e">
        <f>COUNTIFS(TblUniv2018[H1],AH$16,TblUniv2018[Prodi],$AE$13)/$AE$15*100%</f>
        <v>#DIV/0!</v>
      </c>
      <c r="AI40" s="62" t="e">
        <f t="shared" si="4"/>
        <v>#DIV/0!</v>
      </c>
      <c r="AK40" s="57" t="s">
        <v>43</v>
      </c>
      <c r="AL40" s="66">
        <f>COUNTIFS(TblUniv2018[H1],AL$16,TblUniv2018[Prodi],$AL$13)/$AL$15*100%</f>
        <v>0</v>
      </c>
      <c r="AM40" s="66">
        <f>COUNTIFS(TblUniv2018[H1],AM$16,TblUniv2018[Prodi],$AL$13)/$AL$15*100%</f>
        <v>1</v>
      </c>
      <c r="AN40" s="66">
        <f>COUNTIFS(TblUniv2018[H1],AN$16,TblUniv2018[Prodi],$AL$13)/$AL$15*100%</f>
        <v>0</v>
      </c>
      <c r="AO40" s="66">
        <f>COUNTIFS(TblUniv2018[H1],AO$16,TblUniv2018[Prodi],$AL$13)/$AL$15*100%</f>
        <v>0</v>
      </c>
      <c r="AP40" s="62">
        <f t="shared" si="5"/>
        <v>1</v>
      </c>
      <c r="AR40" s="57" t="s">
        <v>43</v>
      </c>
      <c r="AS40" s="66" t="e">
        <f>COUNTIFS(TblUniv2018[H1],AS$16,TblUniv2018[Prodi],$AS$13)/$AS$15*100%</f>
        <v>#DIV/0!</v>
      </c>
      <c r="AT40" s="66" t="e">
        <f>COUNTIFS(TblUniv2018[H1],AT$16,TblUniv2018[Prodi],$AS$13)/$AS$15*100%</f>
        <v>#DIV/0!</v>
      </c>
      <c r="AU40" s="66" t="e">
        <f>COUNTIFS(TblUniv2018[H1],AU$16,TblUniv2018[Prodi],$AS$13)/$AS$15*100%</f>
        <v>#DIV/0!</v>
      </c>
      <c r="AV40" s="66" t="e">
        <f>COUNTIFS(TblUniv2018[H1],AV$16,TblUniv2018[Prodi],$AS$13)/$AS$15*100%</f>
        <v>#DIV/0!</v>
      </c>
      <c r="AW40" s="62" t="e">
        <f t="shared" si="6"/>
        <v>#DIV/0!</v>
      </c>
    </row>
    <row r="41" spans="2:49" ht="16.5" hidden="1" x14ac:dyDescent="0.3">
      <c r="B41" s="57" t="s">
        <v>44</v>
      </c>
      <c r="C41" s="66">
        <f>COUNTIFS(TblUniv2018[H3],C$16)/$C$15*100%</f>
        <v>0.66666666666666663</v>
      </c>
      <c r="D41" s="66">
        <f>COUNTIFS(TblUniv2018[H3],D$16)/$C$15*100%</f>
        <v>0.33333333333333331</v>
      </c>
      <c r="E41" s="66">
        <f>COUNTIFS(TblUniv2018[H3],E$16)/$C$15*100%</f>
        <v>0</v>
      </c>
      <c r="F41" s="66">
        <f>COUNTIFS(TblUniv2018[H3],F$16)/$C$15*100%</f>
        <v>0</v>
      </c>
      <c r="G41" s="62">
        <f t="shared" si="0"/>
        <v>1</v>
      </c>
      <c r="I41" s="57" t="s">
        <v>44</v>
      </c>
      <c r="J41" s="66">
        <f>COUNTIFS(TblUniv2018[H3],J$16,TblUniv2018[Prodi],$J$13)/$J$15*100%</f>
        <v>1</v>
      </c>
      <c r="K41" s="66">
        <f>COUNTIFS(TblUniv2018[H3],K$16,TblUniv2018[Prodi],$J$13)/$J$15*100%</f>
        <v>0</v>
      </c>
      <c r="L41" s="66">
        <f>COUNTIFS(TblUniv2018[H3],L$16,TblUniv2018[Prodi],$J$13)/$J$15*100%</f>
        <v>0</v>
      </c>
      <c r="M41" s="66">
        <f>COUNTIFS(TblUniv2018[H3],M$16,TblUniv2018[Prodi],$J$13)/$J$15*100%</f>
        <v>0</v>
      </c>
      <c r="N41" s="62">
        <f t="shared" si="1"/>
        <v>1</v>
      </c>
      <c r="P41" s="57" t="s">
        <v>44</v>
      </c>
      <c r="Q41" s="66">
        <f>COUNTIFS(TblUniv2018[H3],Q$16,TblUniv2018[Prodi],$Q$13)/$Q$15*100%</f>
        <v>0.66666666666666663</v>
      </c>
      <c r="R41" s="66">
        <f>COUNTIFS(TblUniv2018[H3],R$16,TblUniv2018[Prodi],$Q$13)/$Q$15*100%</f>
        <v>0.33333333333333331</v>
      </c>
      <c r="S41" s="66">
        <f>COUNTIFS(TblUniv2018[H3],S$16,TblUniv2018[Prodi],$Q$13)/$Q$15*100%</f>
        <v>0</v>
      </c>
      <c r="T41" s="66">
        <f>COUNTIFS(TblUniv2018[H3],T$16,TblUniv2018[Prodi],$Q$13)/$Q$15*100%</f>
        <v>0</v>
      </c>
      <c r="U41" s="62">
        <f t="shared" si="2"/>
        <v>1</v>
      </c>
      <c r="W41" s="57" t="s">
        <v>44</v>
      </c>
      <c r="X41" s="66">
        <f>COUNTIFS(TblUniv2018[H3],X$16,TblUniv2018[Prodi],$X$13)/$X$15*100%</f>
        <v>0</v>
      </c>
      <c r="Y41" s="66">
        <f>COUNTIFS(TblUniv2018[H3],Y$16,TblUniv2018[Prodi],$X$13)/$X$15*100%</f>
        <v>1</v>
      </c>
      <c r="Z41" s="66">
        <f>COUNTIFS(TblUniv2018[H3],Z$16,TblUniv2018[Prodi],$X$13)/$X$15*100%</f>
        <v>0</v>
      </c>
      <c r="AA41" s="66">
        <f>COUNTIFS(TblUniv2018[H3],AA$16,TblUniv2018[Prodi],$X$13)/$X$15*100%</f>
        <v>0</v>
      </c>
      <c r="AB41" s="62">
        <f t="shared" si="3"/>
        <v>1</v>
      </c>
      <c r="AD41" s="57" t="s">
        <v>44</v>
      </c>
      <c r="AE41" s="66" t="e">
        <f>COUNTIFS(TblUniv2018[H3],AE$16,TblUniv2018[Prodi],$AE$13)/$AE$15*100%</f>
        <v>#DIV/0!</v>
      </c>
      <c r="AF41" s="66" t="e">
        <f>COUNTIFS(TblUniv2018[H3],AF$16,TblUniv2018[Prodi],$AE$13)/$AE$15*100%</f>
        <v>#DIV/0!</v>
      </c>
      <c r="AG41" s="66" t="e">
        <f>COUNTIFS(TblUniv2018[H3],AG$16,TblUniv2018[Prodi],$AE$13)/$AE$15*100%</f>
        <v>#DIV/0!</v>
      </c>
      <c r="AH41" s="66" t="e">
        <f>COUNTIFS(TblUniv2018[H3],AH$16,TblUniv2018[Prodi],$AE$13)/$AE$15*100%</f>
        <v>#DIV/0!</v>
      </c>
      <c r="AI41" s="62" t="e">
        <f t="shared" si="4"/>
        <v>#DIV/0!</v>
      </c>
      <c r="AK41" s="57" t="s">
        <v>44</v>
      </c>
      <c r="AL41" s="66">
        <f>COUNTIFS(TblUniv2018[H3],AL$16,TblUniv2018[Prodi],$AL$13)/$AL$15*100%</f>
        <v>1</v>
      </c>
      <c r="AM41" s="66">
        <f>COUNTIFS(TblUniv2018[H3],AM$16,TblUniv2018[Prodi],$AL$13)/$AL$15*100%</f>
        <v>0</v>
      </c>
      <c r="AN41" s="66">
        <f>COUNTIFS(TblUniv2018[H3],AN$16,TblUniv2018[Prodi],$AL$13)/$AL$15*100%</f>
        <v>0</v>
      </c>
      <c r="AO41" s="66">
        <f>COUNTIFS(TblUniv2018[H3],AO$16,TblUniv2018[Prodi],$AL$13)/$AL$15*100%</f>
        <v>0</v>
      </c>
      <c r="AP41" s="62">
        <f t="shared" si="5"/>
        <v>1</v>
      </c>
      <c r="AR41" s="57" t="s">
        <v>44</v>
      </c>
      <c r="AS41" s="66" t="e">
        <f>COUNTIFS(TblUniv2018[H3],AS$16,TblUniv2018[Prodi],$AS$13)/$AS$15*100%</f>
        <v>#DIV/0!</v>
      </c>
      <c r="AT41" s="66" t="e">
        <f>COUNTIFS(TblUniv2018[H3],AT$16,TblUniv2018[Prodi],$AS$13)/$AS$15*100%</f>
        <v>#DIV/0!</v>
      </c>
      <c r="AU41" s="66" t="e">
        <f>COUNTIFS(TblUniv2018[H3],AU$16,TblUniv2018[Prodi],$AS$13)/$AS$15*100%</f>
        <v>#DIV/0!</v>
      </c>
      <c r="AV41" s="66" t="e">
        <f>COUNTIFS(TblUniv2018[H3],AV$16,TblUniv2018[Prodi],$AS$13)/$AS$15*100%</f>
        <v>#DIV/0!</v>
      </c>
      <c r="AW41" s="62" t="e">
        <f t="shared" si="6"/>
        <v>#DIV/0!</v>
      </c>
    </row>
    <row r="42" spans="2:49" ht="16.5" hidden="1" x14ac:dyDescent="0.3">
      <c r="B42" s="57" t="s">
        <v>45</v>
      </c>
      <c r="C42" s="66">
        <f>COUNTIFS(TblUniv2018[H4],C$16)/$C$15*100%</f>
        <v>0.16666666666666666</v>
      </c>
      <c r="D42" s="66">
        <f>COUNTIFS(TblUniv2018[H4],D$16)/$C$15*100%</f>
        <v>0.83333333333333337</v>
      </c>
      <c r="E42" s="66">
        <f>COUNTIFS(TblUniv2018[H4],E$16)/$C$15*100%</f>
        <v>0</v>
      </c>
      <c r="F42" s="66">
        <f>COUNTIFS(TblUniv2018[H4],F$16)/$C$15*100%</f>
        <v>0</v>
      </c>
      <c r="G42" s="62">
        <f t="shared" si="0"/>
        <v>1</v>
      </c>
      <c r="I42" s="57" t="s">
        <v>45</v>
      </c>
      <c r="J42" s="66">
        <f>COUNTIFS(TblUniv2018[H4],J$16,TblUniv2018[Prodi],$J$13)/$J$15*100%</f>
        <v>0</v>
      </c>
      <c r="K42" s="66">
        <f>COUNTIFS(TblUniv2018[H4],K$16,TblUniv2018[Prodi],$J$13)/$J$15*100%</f>
        <v>1</v>
      </c>
      <c r="L42" s="66">
        <f>COUNTIFS(TblUniv2018[H4],L$16,TblUniv2018[Prodi],$J$13)/$J$15*100%</f>
        <v>0</v>
      </c>
      <c r="M42" s="66">
        <f>COUNTIFS(TblUniv2018[H4],M$16,TblUniv2018[Prodi],$J$13)/$J$15*100%</f>
        <v>0</v>
      </c>
      <c r="N42" s="62">
        <f t="shared" si="1"/>
        <v>1</v>
      </c>
      <c r="P42" s="57" t="s">
        <v>45</v>
      </c>
      <c r="Q42" s="66">
        <f>COUNTIFS(TblUniv2018[H4],Q$16,TblUniv2018[Prodi],$Q$13)/$Q$15*100%</f>
        <v>0.33333333333333331</v>
      </c>
      <c r="R42" s="66">
        <f>COUNTIFS(TblUniv2018[H4],R$16,TblUniv2018[Prodi],$Q$13)/$Q$15*100%</f>
        <v>0.66666666666666663</v>
      </c>
      <c r="S42" s="66">
        <f>COUNTIFS(TblUniv2018[H4],S$16,TblUniv2018[Prodi],$Q$13)/$Q$15*100%</f>
        <v>0</v>
      </c>
      <c r="T42" s="66">
        <f>COUNTIFS(TblUniv2018[H4],T$16,TblUniv2018[Prodi],$Q$13)/$Q$15*100%</f>
        <v>0</v>
      </c>
      <c r="U42" s="62">
        <f t="shared" si="2"/>
        <v>1</v>
      </c>
      <c r="W42" s="57" t="s">
        <v>45</v>
      </c>
      <c r="X42" s="66">
        <f>COUNTIFS(TblUniv2018[H4],X$16,TblUniv2018[Prodi],$X$13)/$X$15*100%</f>
        <v>0</v>
      </c>
      <c r="Y42" s="66">
        <f>COUNTIFS(TblUniv2018[H4],Y$16,TblUniv2018[Prodi],$X$13)/$X$15*100%</f>
        <v>1</v>
      </c>
      <c r="Z42" s="66">
        <f>COUNTIFS(TblUniv2018[H4],Z$16,TblUniv2018[Prodi],$X$13)/$X$15*100%</f>
        <v>0</v>
      </c>
      <c r="AA42" s="66">
        <f>COUNTIFS(TblUniv2018[H4],AA$16,TblUniv2018[Prodi],$X$13)/$X$15*100%</f>
        <v>0</v>
      </c>
      <c r="AB42" s="62">
        <f t="shared" si="3"/>
        <v>1</v>
      </c>
      <c r="AD42" s="57" t="s">
        <v>45</v>
      </c>
      <c r="AE42" s="66" t="e">
        <f>COUNTIFS(TblUniv2018[H4],AE$16,TblUniv2018[Prodi],$AE$13)/$AE$15*100%</f>
        <v>#DIV/0!</v>
      </c>
      <c r="AF42" s="66" t="e">
        <f>COUNTIFS(TblUniv2018[H4],AF$16,TblUniv2018[Prodi],$AE$13)/$AE$15*100%</f>
        <v>#DIV/0!</v>
      </c>
      <c r="AG42" s="66" t="e">
        <f>COUNTIFS(TblUniv2018[H4],AG$16,TblUniv2018[Prodi],$AE$13)/$AE$15*100%</f>
        <v>#DIV/0!</v>
      </c>
      <c r="AH42" s="66" t="e">
        <f>COUNTIFS(TblUniv2018[H4],AH$16,TblUniv2018[Prodi],$AE$13)/$AE$15*100%</f>
        <v>#DIV/0!</v>
      </c>
      <c r="AI42" s="62" t="e">
        <f t="shared" si="4"/>
        <v>#DIV/0!</v>
      </c>
      <c r="AK42" s="57" t="s">
        <v>45</v>
      </c>
      <c r="AL42" s="66">
        <f>COUNTIFS(TblUniv2018[H4],AL$16,TblUniv2018[Prodi],$AL$13)/$AL$15*100%</f>
        <v>0</v>
      </c>
      <c r="AM42" s="66">
        <f>COUNTIFS(TblUniv2018[H4],AM$16,TblUniv2018[Prodi],$AL$13)/$AL$15*100%</f>
        <v>1</v>
      </c>
      <c r="AN42" s="66">
        <f>COUNTIFS(TblUniv2018[H4],AN$16,TblUniv2018[Prodi],$AL$13)/$AL$15*100%</f>
        <v>0</v>
      </c>
      <c r="AO42" s="66">
        <f>COUNTIFS(TblUniv2018[H4],AO$16,TblUniv2018[Prodi],$AL$13)/$AL$15*100%</f>
        <v>0</v>
      </c>
      <c r="AP42" s="62">
        <f t="shared" si="5"/>
        <v>1</v>
      </c>
      <c r="AR42" s="57" t="s">
        <v>45</v>
      </c>
      <c r="AS42" s="66" t="e">
        <f>COUNTIFS(TblUniv2018[H4],AS$16,TblUniv2018[Prodi],$AS$13)/$AS$15*100%</f>
        <v>#DIV/0!</v>
      </c>
      <c r="AT42" s="66" t="e">
        <f>COUNTIFS(TblUniv2018[H4],AT$16,TblUniv2018[Prodi],$AS$13)/$AS$15*100%</f>
        <v>#DIV/0!</v>
      </c>
      <c r="AU42" s="66" t="e">
        <f>COUNTIFS(TblUniv2018[H4],AU$16,TblUniv2018[Prodi],$AS$13)/$AS$15*100%</f>
        <v>#DIV/0!</v>
      </c>
      <c r="AV42" s="66" t="e">
        <f>COUNTIFS(TblUniv2018[H4],AV$16,TblUniv2018[Prodi],$AS$13)/$AS$15*100%</f>
        <v>#DIV/0!</v>
      </c>
      <c r="AW42" s="62" t="e">
        <f t="shared" si="6"/>
        <v>#DIV/0!</v>
      </c>
    </row>
    <row r="43" spans="2:49" ht="16.5" hidden="1" x14ac:dyDescent="0.3">
      <c r="B43" s="60"/>
      <c r="C43" s="61">
        <f>AVERAGE(C39:C42)</f>
        <v>0.33333333333333331</v>
      </c>
      <c r="D43" s="61">
        <f>AVERAGE(D39:D42)</f>
        <v>0.625</v>
      </c>
      <c r="E43" s="61">
        <f>AVERAGE(E39:E42)</f>
        <v>4.1666666666666664E-2</v>
      </c>
      <c r="F43" s="61">
        <f>AVERAGE(F39:F42)</f>
        <v>0</v>
      </c>
      <c r="G43" s="62">
        <f t="shared" si="0"/>
        <v>0.99999999999999989</v>
      </c>
      <c r="I43" s="60"/>
      <c r="J43" s="61">
        <f>AVERAGE(J39:J42)</f>
        <v>0.25</v>
      </c>
      <c r="K43" s="61">
        <f>AVERAGE(K39:K42)</f>
        <v>0.75</v>
      </c>
      <c r="L43" s="61">
        <f>AVERAGE(L39:L42)</f>
        <v>0</v>
      </c>
      <c r="M43" s="61">
        <f>AVERAGE(M39:M42)</f>
        <v>0</v>
      </c>
      <c r="N43" s="62">
        <f t="shared" si="1"/>
        <v>1</v>
      </c>
      <c r="P43" s="60"/>
      <c r="Q43" s="61">
        <f>AVERAGE(Q39:Q42)</f>
        <v>0.41666666666666663</v>
      </c>
      <c r="R43" s="61">
        <f>AVERAGE(R39:R42)</f>
        <v>0.58333333333333326</v>
      </c>
      <c r="S43" s="61">
        <f>AVERAGE(S39:S42)</f>
        <v>0</v>
      </c>
      <c r="T43" s="61">
        <f>AVERAGE(T39:T42)</f>
        <v>0</v>
      </c>
      <c r="U43" s="62">
        <f t="shared" si="2"/>
        <v>0.99999999999999989</v>
      </c>
      <c r="W43" s="60"/>
      <c r="X43" s="61">
        <f>AVERAGE(X39:X42)</f>
        <v>0</v>
      </c>
      <c r="Y43" s="61">
        <f>AVERAGE(Y39:Y42)</f>
        <v>1</v>
      </c>
      <c r="Z43" s="61">
        <f>AVERAGE(Z39:Z42)</f>
        <v>0</v>
      </c>
      <c r="AA43" s="61">
        <f>AVERAGE(AA39:AA42)</f>
        <v>0</v>
      </c>
      <c r="AB43" s="62">
        <f t="shared" si="3"/>
        <v>1</v>
      </c>
      <c r="AD43" s="60"/>
      <c r="AE43" s="61" t="e">
        <f>AVERAGE(AE39:AE42)</f>
        <v>#DIV/0!</v>
      </c>
      <c r="AF43" s="61" t="e">
        <f>AVERAGE(AF39:AF42)</f>
        <v>#DIV/0!</v>
      </c>
      <c r="AG43" s="61" t="e">
        <f>AVERAGE(AG39:AG42)</f>
        <v>#DIV/0!</v>
      </c>
      <c r="AH43" s="61" t="e">
        <f>AVERAGE(AH39:AH42)</f>
        <v>#DIV/0!</v>
      </c>
      <c r="AI43" s="62" t="e">
        <f t="shared" si="4"/>
        <v>#DIV/0!</v>
      </c>
      <c r="AK43" s="60"/>
      <c r="AL43" s="61">
        <f>AVERAGE(AL39:AL42)</f>
        <v>0.25</v>
      </c>
      <c r="AM43" s="61">
        <f>AVERAGE(AM39:AM42)</f>
        <v>0.75</v>
      </c>
      <c r="AN43" s="61">
        <f>AVERAGE(AN39:AN42)</f>
        <v>0</v>
      </c>
      <c r="AO43" s="61">
        <f>AVERAGE(AO39:AO42)</f>
        <v>0</v>
      </c>
      <c r="AP43" s="62">
        <f t="shared" si="5"/>
        <v>1</v>
      </c>
      <c r="AR43" s="60"/>
      <c r="AS43" s="61" t="e">
        <f>AVERAGE(AS39:AS42)</f>
        <v>#DIV/0!</v>
      </c>
      <c r="AT43" s="61" t="e">
        <f>AVERAGE(AT39:AT42)</f>
        <v>#DIV/0!</v>
      </c>
      <c r="AU43" s="61" t="e">
        <f>AVERAGE(AU39:AU42)</f>
        <v>#DIV/0!</v>
      </c>
      <c r="AV43" s="61" t="e">
        <f>AVERAGE(AV39:AV42)</f>
        <v>#DIV/0!</v>
      </c>
      <c r="AW43" s="62" t="e">
        <f t="shared" si="6"/>
        <v>#DIV/0!</v>
      </c>
    </row>
    <row r="44" spans="2:49" ht="16.5" hidden="1" x14ac:dyDescent="0.3">
      <c r="B44" s="57" t="s">
        <v>648</v>
      </c>
      <c r="C44" s="66">
        <f>COUNTIFS(TblUniv2018[I. a1],C$16)/$C$15*100%</f>
        <v>0.16666666666666666</v>
      </c>
      <c r="D44" s="66">
        <f>COUNTIFS(TblUniv2018[I. a1],D$16)/$C$15*100%</f>
        <v>0.83333333333333337</v>
      </c>
      <c r="E44" s="66">
        <f>COUNTIFS(TblUniv2018[I. a1],E$16)/$C$15*100%</f>
        <v>0</v>
      </c>
      <c r="F44" s="66">
        <f>COUNTIFS(TblUniv2018[I. a1],F$16)/$C$15*100%</f>
        <v>0</v>
      </c>
      <c r="G44" s="62">
        <f t="shared" si="0"/>
        <v>1</v>
      </c>
      <c r="I44" s="57" t="s">
        <v>648</v>
      </c>
      <c r="J44" s="66">
        <f>COUNTIFS(TblUniv2018[I. a1],J$16,TblUniv2018[Prodi],$J$13)/$J$15*100%</f>
        <v>0</v>
      </c>
      <c r="K44" s="66">
        <f>COUNTIFS(TblUniv2018[I. a1],K$16,TblUniv2018[Prodi],$J$13)/$J$15*100%</f>
        <v>1</v>
      </c>
      <c r="L44" s="66">
        <f>COUNTIFS(TblUniv2018[I. a1],L$16,TblUniv2018[Prodi],$J$13)/$J$15*100%</f>
        <v>0</v>
      </c>
      <c r="M44" s="66">
        <f>COUNTIFS(TblUniv2018[I. a1],M$16,TblUniv2018[Prodi],$J$13)/$J$15*100%</f>
        <v>0</v>
      </c>
      <c r="N44" s="62">
        <f t="shared" si="1"/>
        <v>1</v>
      </c>
      <c r="P44" s="57" t="s">
        <v>648</v>
      </c>
      <c r="Q44" s="66">
        <f>COUNTIFS(TblUniv2018[I. a1],Q$16,TblUniv2018[Prodi],$Q$13)/$Q$15*100%</f>
        <v>0</v>
      </c>
      <c r="R44" s="66">
        <f>COUNTIFS(TblUniv2018[I. a1],R$16,TblUniv2018[Prodi],$Q$13)/$Q$15*100%</f>
        <v>1</v>
      </c>
      <c r="S44" s="66">
        <f>COUNTIFS(TblUniv2018[I. a1],S$16,TblUniv2018[Prodi],$Q$13)/$Q$15*100%</f>
        <v>0</v>
      </c>
      <c r="T44" s="66">
        <f>COUNTIFS(TblUniv2018[I. a1],T$16,TblUniv2018[Prodi],$Q$13)/$Q$15*100%</f>
        <v>0</v>
      </c>
      <c r="U44" s="62">
        <f t="shared" si="2"/>
        <v>1</v>
      </c>
      <c r="W44" s="57" t="s">
        <v>648</v>
      </c>
      <c r="X44" s="66">
        <f>COUNTIFS(TblUniv2018[I. a1],X$16,TblUniv2018[Prodi],$X$13)/$X$15*100%</f>
        <v>0</v>
      </c>
      <c r="Y44" s="66">
        <f>COUNTIFS(TblUniv2018[I. a1],Y$16,TblUniv2018[Prodi],$X$13)/$X$15*100%</f>
        <v>1</v>
      </c>
      <c r="Z44" s="66">
        <f>COUNTIFS(TblUniv2018[I. a1],Z$16,TblUniv2018[Prodi],$X$13)/$X$15*100%</f>
        <v>0</v>
      </c>
      <c r="AA44" s="66">
        <f>COUNTIFS(TblUniv2018[I. a1],AA$16,TblUniv2018[Prodi],$X$13)/$X$15*100%</f>
        <v>0</v>
      </c>
      <c r="AB44" s="62">
        <f t="shared" si="3"/>
        <v>1</v>
      </c>
      <c r="AD44" s="57" t="s">
        <v>648</v>
      </c>
      <c r="AE44" s="66" t="e">
        <f>COUNTIFS(TblUniv2018[I. a1],AE$16,TblUniv2018[Prodi],$AE$13)/$AE$15*100%</f>
        <v>#DIV/0!</v>
      </c>
      <c r="AF44" s="66" t="e">
        <f>COUNTIFS(TblUniv2018[I. a1],AF$16,TblUniv2018[Prodi],$AE$13)/$AE$15*100%</f>
        <v>#DIV/0!</v>
      </c>
      <c r="AG44" s="66" t="e">
        <f>COUNTIFS(TblUniv2018[I. a1],AG$16,TblUniv2018[Prodi],$AE$13)/$AE$15*100%</f>
        <v>#DIV/0!</v>
      </c>
      <c r="AH44" s="66" t="e">
        <f>COUNTIFS(TblUniv2018[I. a1],AH$16,TblUniv2018[Prodi],$AE$13)/$AE$15*100%</f>
        <v>#DIV/0!</v>
      </c>
      <c r="AI44" s="62" t="e">
        <f t="shared" si="4"/>
        <v>#DIV/0!</v>
      </c>
      <c r="AK44" s="57" t="s">
        <v>648</v>
      </c>
      <c r="AL44" s="66">
        <f>COUNTIFS(TblUniv2018[I. a1],AL$16,TblUniv2018[Prodi],$AL$13)/$AL$15*100%</f>
        <v>1</v>
      </c>
      <c r="AM44" s="66">
        <f>COUNTIFS(TblUniv2018[I. a1],AM$16,TblUniv2018[Prodi],$AL$13)/$AL$15*100%</f>
        <v>0</v>
      </c>
      <c r="AN44" s="66">
        <f>COUNTIFS(TblUniv2018[I. a1],AN$16,TblUniv2018[Prodi],$AL$13)/$AL$15*100%</f>
        <v>0</v>
      </c>
      <c r="AO44" s="66">
        <f>COUNTIFS(TblUniv2018[I. a1],AO$16,TblUniv2018[Prodi],$AL$13)/$AL$15*100%</f>
        <v>0</v>
      </c>
      <c r="AP44" s="62">
        <f t="shared" si="5"/>
        <v>1</v>
      </c>
      <c r="AR44" s="57" t="s">
        <v>648</v>
      </c>
      <c r="AS44" s="66" t="e">
        <f>COUNTIFS(TblUniv2018[I. a1],AS$16,TblUniv2018[Prodi],$AS$13)/$AS$15*100%</f>
        <v>#DIV/0!</v>
      </c>
      <c r="AT44" s="66" t="e">
        <f>COUNTIFS(TblUniv2018[I. a1],AT$16,TblUniv2018[Prodi],$AS$13)/$AS$15*100%</f>
        <v>#DIV/0!</v>
      </c>
      <c r="AU44" s="66" t="e">
        <f>COUNTIFS(TblUniv2018[I. a1],AU$16,TblUniv2018[Prodi],$AS$13)/$AS$15*100%</f>
        <v>#DIV/0!</v>
      </c>
      <c r="AV44" s="66" t="e">
        <f>COUNTIFS(TblUniv2018[I. a1],AV$16,TblUniv2018[Prodi],$AS$13)/$AS$15*100%</f>
        <v>#DIV/0!</v>
      </c>
      <c r="AW44" s="62" t="e">
        <f t="shared" si="6"/>
        <v>#DIV/0!</v>
      </c>
    </row>
    <row r="45" spans="2:49" ht="16.5" hidden="1" x14ac:dyDescent="0.3">
      <c r="B45" s="57" t="s">
        <v>649</v>
      </c>
      <c r="C45" s="66">
        <f>COUNTIFS(TblUniv2018[I. a2],C$16)/$C$15*100%</f>
        <v>0</v>
      </c>
      <c r="D45" s="66">
        <f>COUNTIFS(TblUniv2018[I. a2],D$16)/$C$15*100%</f>
        <v>1</v>
      </c>
      <c r="E45" s="66">
        <f>COUNTIFS(TblUniv2018[I. a2],E$16)/$C$15*100%</f>
        <v>0</v>
      </c>
      <c r="F45" s="66">
        <f>COUNTIFS(TblUniv2018[I. a2],F$16)/$C$15*100%</f>
        <v>0</v>
      </c>
      <c r="G45" s="62">
        <f t="shared" si="0"/>
        <v>1</v>
      </c>
      <c r="I45" s="57" t="s">
        <v>649</v>
      </c>
      <c r="J45" s="66">
        <f>COUNTIFS(TblUniv2018[I. a2],J$16,TblUniv2018[Prodi],$J$13)/$J$15*100%</f>
        <v>0</v>
      </c>
      <c r="K45" s="66">
        <f>COUNTIFS(TblUniv2018[I. a2],K$16,TblUniv2018[Prodi],$J$13)/$J$15*100%</f>
        <v>1</v>
      </c>
      <c r="L45" s="66">
        <f>COUNTIFS(TblUniv2018[I. a2],L$16,TblUniv2018[Prodi],$J$13)/$J$15*100%</f>
        <v>0</v>
      </c>
      <c r="M45" s="66">
        <f>COUNTIFS(TblUniv2018[I. a2],M$16,TblUniv2018[Prodi],$J$13)/$J$15*100%</f>
        <v>0</v>
      </c>
      <c r="N45" s="62">
        <f t="shared" si="1"/>
        <v>1</v>
      </c>
      <c r="P45" s="57" t="s">
        <v>649</v>
      </c>
      <c r="Q45" s="66">
        <f>COUNTIFS(TblUniv2018[I. a2],Q$16,TblUniv2018[Prodi],$Q$13)/$Q$15*100%</f>
        <v>0</v>
      </c>
      <c r="R45" s="66">
        <f>COUNTIFS(TblUniv2018[I. a2],R$16,TblUniv2018[Prodi],$Q$13)/$Q$15*100%</f>
        <v>1</v>
      </c>
      <c r="S45" s="66">
        <f>COUNTIFS(TblUniv2018[I. a2],S$16,TblUniv2018[Prodi],$Q$13)/$Q$15*100%</f>
        <v>0</v>
      </c>
      <c r="T45" s="66">
        <f>COUNTIFS(TblUniv2018[I. a2],T$16,TblUniv2018[Prodi],$Q$13)/$Q$15*100%</f>
        <v>0</v>
      </c>
      <c r="U45" s="62">
        <f t="shared" si="2"/>
        <v>1</v>
      </c>
      <c r="W45" s="57" t="s">
        <v>649</v>
      </c>
      <c r="X45" s="66">
        <f>COUNTIFS(TblUniv2018[I. a2],X$16,TblUniv2018[Prodi],$X$13)/$X$15*100%</f>
        <v>0</v>
      </c>
      <c r="Y45" s="66">
        <f>COUNTIFS(TblUniv2018[I. a2],Y$16,TblUniv2018[Prodi],$X$13)/$X$15*100%</f>
        <v>1</v>
      </c>
      <c r="Z45" s="66">
        <f>COUNTIFS(TblUniv2018[I. a2],Z$16,TblUniv2018[Prodi],$X$13)/$X$15*100%</f>
        <v>0</v>
      </c>
      <c r="AA45" s="66">
        <f>COUNTIFS(TblUniv2018[I. a2],AA$16,TblUniv2018[Prodi],$X$13)/$X$15*100%</f>
        <v>0</v>
      </c>
      <c r="AB45" s="62">
        <f t="shared" si="3"/>
        <v>1</v>
      </c>
      <c r="AD45" s="57" t="s">
        <v>649</v>
      </c>
      <c r="AE45" s="66" t="e">
        <f>COUNTIFS(TblUniv2018[I. a2],AE$16,TblUniv2018[Prodi],$AE$13)/$AE$15*100%</f>
        <v>#DIV/0!</v>
      </c>
      <c r="AF45" s="66" t="e">
        <f>COUNTIFS(TblUniv2018[I. a2],AF$16,TblUniv2018[Prodi],$AE$13)/$AE$15*100%</f>
        <v>#DIV/0!</v>
      </c>
      <c r="AG45" s="66" t="e">
        <f>COUNTIFS(TblUniv2018[I. a2],AG$16,TblUniv2018[Prodi],$AE$13)/$AE$15*100%</f>
        <v>#DIV/0!</v>
      </c>
      <c r="AH45" s="66" t="e">
        <f>COUNTIFS(TblUniv2018[I. a2],AH$16,TblUniv2018[Prodi],$AE$13)/$AE$15*100%</f>
        <v>#DIV/0!</v>
      </c>
      <c r="AI45" s="62" t="e">
        <f t="shared" si="4"/>
        <v>#DIV/0!</v>
      </c>
      <c r="AK45" s="57" t="s">
        <v>649</v>
      </c>
      <c r="AL45" s="66">
        <f>COUNTIFS(TblUniv2018[I. a2],AL$16,TblUniv2018[Prodi],$AL$13)/$AL$15*100%</f>
        <v>0</v>
      </c>
      <c r="AM45" s="66">
        <f>COUNTIFS(TblUniv2018[I. a2],AM$16,TblUniv2018[Prodi],$AL$13)/$AL$15*100%</f>
        <v>1</v>
      </c>
      <c r="AN45" s="66">
        <f>COUNTIFS(TblUniv2018[I. a2],AN$16,TblUniv2018[Prodi],$AL$13)/$AL$15*100%</f>
        <v>0</v>
      </c>
      <c r="AO45" s="66">
        <f>COUNTIFS(TblUniv2018[I. a2],AO$16,TblUniv2018[Prodi],$AL$13)/$AL$15*100%</f>
        <v>0</v>
      </c>
      <c r="AP45" s="62">
        <f t="shared" si="5"/>
        <v>1</v>
      </c>
      <c r="AR45" s="57" t="s">
        <v>649</v>
      </c>
      <c r="AS45" s="66" t="e">
        <f>COUNTIFS(TblUniv2018[I. a2],AS$16,TblUniv2018[Prodi],$AS$13)/$AS$15*100%</f>
        <v>#DIV/0!</v>
      </c>
      <c r="AT45" s="66" t="e">
        <f>COUNTIFS(TblUniv2018[I. a2],AT$16,TblUniv2018[Prodi],$AS$13)/$AS$15*100%</f>
        <v>#DIV/0!</v>
      </c>
      <c r="AU45" s="66" t="e">
        <f>COUNTIFS(TblUniv2018[I. a2],AU$16,TblUniv2018[Prodi],$AS$13)/$AS$15*100%</f>
        <v>#DIV/0!</v>
      </c>
      <c r="AV45" s="66" t="e">
        <f>COUNTIFS(TblUniv2018[I. a2],AV$16,TblUniv2018[Prodi],$AS$13)/$AS$15*100%</f>
        <v>#DIV/0!</v>
      </c>
      <c r="AW45" s="62" t="e">
        <f t="shared" si="6"/>
        <v>#DIV/0!</v>
      </c>
    </row>
    <row r="46" spans="2:49" ht="16.5" hidden="1" x14ac:dyDescent="0.3">
      <c r="B46" s="57" t="s">
        <v>650</v>
      </c>
      <c r="C46" s="66">
        <f>COUNTIFS(TblUniv2018[I. a3],C$16)/$C$15*100%</f>
        <v>0.16666666666666666</v>
      </c>
      <c r="D46" s="66">
        <f>COUNTIFS(TblUniv2018[I. a3],D$16)/$C$15*100%</f>
        <v>0.83333333333333337</v>
      </c>
      <c r="E46" s="66">
        <f>COUNTIFS(TblUniv2018[I. a3],E$16)/$C$15*100%</f>
        <v>0</v>
      </c>
      <c r="F46" s="66">
        <f>COUNTIFS(TblUniv2018[I. a3],F$16)/$C$15*100%</f>
        <v>0</v>
      </c>
      <c r="G46" s="62">
        <f t="shared" si="0"/>
        <v>1</v>
      </c>
      <c r="I46" s="57" t="s">
        <v>650</v>
      </c>
      <c r="J46" s="66">
        <f>COUNTIFS(TblUniv2018[I. a3],J$16,TblUniv2018[Prodi],$J$13)/$J$15*100%</f>
        <v>0</v>
      </c>
      <c r="K46" s="66">
        <f>COUNTIFS(TblUniv2018[I. a3],K$16,TblUniv2018[Prodi],$J$13)/$J$15*100%</f>
        <v>1</v>
      </c>
      <c r="L46" s="66">
        <f>COUNTIFS(TblUniv2018[I. a3],L$16,TblUniv2018[Prodi],$J$13)/$J$15*100%</f>
        <v>0</v>
      </c>
      <c r="M46" s="66">
        <f>COUNTIFS(TblUniv2018[I. a3],M$16,TblUniv2018[Prodi],$J$13)/$J$15*100%</f>
        <v>0</v>
      </c>
      <c r="N46" s="62">
        <f t="shared" si="1"/>
        <v>1</v>
      </c>
      <c r="P46" s="57" t="s">
        <v>650</v>
      </c>
      <c r="Q46" s="66">
        <f>COUNTIFS(TblUniv2018[I. a3],Q$16,TblUniv2018[Prodi],$Q$13)/$Q$15*100%</f>
        <v>0</v>
      </c>
      <c r="R46" s="66">
        <f>COUNTIFS(TblUniv2018[I. a3],R$16,TblUniv2018[Prodi],$Q$13)/$Q$15*100%</f>
        <v>1</v>
      </c>
      <c r="S46" s="66">
        <f>COUNTIFS(TblUniv2018[I. a3],S$16,TblUniv2018[Prodi],$Q$13)/$Q$15*100%</f>
        <v>0</v>
      </c>
      <c r="T46" s="66">
        <f>COUNTIFS(TblUniv2018[I. a3],T$16,TblUniv2018[Prodi],$Q$13)/$Q$15*100%</f>
        <v>0</v>
      </c>
      <c r="U46" s="62">
        <f t="shared" si="2"/>
        <v>1</v>
      </c>
      <c r="W46" s="57" t="s">
        <v>650</v>
      </c>
      <c r="X46" s="66">
        <f>COUNTIFS(TblUniv2018[I. a3],X$16,TblUniv2018[Prodi],$X$13)/$X$15*100%</f>
        <v>0</v>
      </c>
      <c r="Y46" s="66">
        <f>COUNTIFS(TblUniv2018[I. a3],Y$16,TblUniv2018[Prodi],$X$13)/$X$15*100%</f>
        <v>1</v>
      </c>
      <c r="Z46" s="66">
        <f>COUNTIFS(TblUniv2018[I. a3],Z$16,TblUniv2018[Prodi],$X$13)/$X$15*100%</f>
        <v>0</v>
      </c>
      <c r="AA46" s="66">
        <f>COUNTIFS(TblUniv2018[I. a3],AA$16,TblUniv2018[Prodi],$X$13)/$X$15*100%</f>
        <v>0</v>
      </c>
      <c r="AB46" s="62">
        <f t="shared" si="3"/>
        <v>1</v>
      </c>
      <c r="AD46" s="57" t="s">
        <v>650</v>
      </c>
      <c r="AE46" s="66" t="e">
        <f>COUNTIFS(TblUniv2018[I. a3],AE$16,TblUniv2018[Prodi],$AE$13)/$AE$15*100%</f>
        <v>#DIV/0!</v>
      </c>
      <c r="AF46" s="66" t="e">
        <f>COUNTIFS(TblUniv2018[I. a3],AF$16,TblUniv2018[Prodi],$AE$13)/$AE$15*100%</f>
        <v>#DIV/0!</v>
      </c>
      <c r="AG46" s="66" t="e">
        <f>COUNTIFS(TblUniv2018[I. a3],AG$16,TblUniv2018[Prodi],$AE$13)/$AE$15*100%</f>
        <v>#DIV/0!</v>
      </c>
      <c r="AH46" s="66" t="e">
        <f>COUNTIFS(TblUniv2018[I. a3],AH$16,TblUniv2018[Prodi],$AE$13)/$AE$15*100%</f>
        <v>#DIV/0!</v>
      </c>
      <c r="AI46" s="62" t="e">
        <f t="shared" si="4"/>
        <v>#DIV/0!</v>
      </c>
      <c r="AK46" s="57" t="s">
        <v>650</v>
      </c>
      <c r="AL46" s="66">
        <f>COUNTIFS(TblUniv2018[I. a3],AL$16,TblUniv2018[Prodi],$AL$13)/$AL$15*100%</f>
        <v>1</v>
      </c>
      <c r="AM46" s="66">
        <f>COUNTIFS(TblUniv2018[I. a3],AM$16,TblUniv2018[Prodi],$AL$13)/$AL$15*100%</f>
        <v>0</v>
      </c>
      <c r="AN46" s="66">
        <f>COUNTIFS(TblUniv2018[I. a3],AN$16,TblUniv2018[Prodi],$AL$13)/$AL$15*100%</f>
        <v>0</v>
      </c>
      <c r="AO46" s="66">
        <f>COUNTIFS(TblUniv2018[I. a3],AO$16,TblUniv2018[Prodi],$AL$13)/$AL$15*100%</f>
        <v>0</v>
      </c>
      <c r="AP46" s="62">
        <f t="shared" si="5"/>
        <v>1</v>
      </c>
      <c r="AR46" s="57" t="s">
        <v>650</v>
      </c>
      <c r="AS46" s="66" t="e">
        <f>COUNTIFS(TblUniv2018[I. a3],AS$16,TblUniv2018[Prodi],$AS$13)/$AS$15*100%</f>
        <v>#DIV/0!</v>
      </c>
      <c r="AT46" s="66" t="e">
        <f>COUNTIFS(TblUniv2018[I. a3],AT$16,TblUniv2018[Prodi],$AS$13)/$AS$15*100%</f>
        <v>#DIV/0!</v>
      </c>
      <c r="AU46" s="66" t="e">
        <f>COUNTIFS(TblUniv2018[I. a3],AU$16,TblUniv2018[Prodi],$AS$13)/$AS$15*100%</f>
        <v>#DIV/0!</v>
      </c>
      <c r="AV46" s="66" t="e">
        <f>COUNTIFS(TblUniv2018[I. a3],AV$16,TblUniv2018[Prodi],$AS$13)/$AS$15*100%</f>
        <v>#DIV/0!</v>
      </c>
      <c r="AW46" s="62" t="e">
        <f t="shared" si="6"/>
        <v>#DIV/0!</v>
      </c>
    </row>
    <row r="47" spans="2:49" ht="16.5" hidden="1" x14ac:dyDescent="0.3">
      <c r="B47" s="57" t="s">
        <v>651</v>
      </c>
      <c r="C47" s="66">
        <f>COUNTIFS(TblUniv2018[I. a4],C$16)/$C$15*100%</f>
        <v>0.16666666666666666</v>
      </c>
      <c r="D47" s="66">
        <f>COUNTIFS(TblUniv2018[I. a4],D$16)/$C$15*100%</f>
        <v>0.83333333333333337</v>
      </c>
      <c r="E47" s="66">
        <f>COUNTIFS(TblUniv2018[I. a4],E$16)/$C$15*100%</f>
        <v>0</v>
      </c>
      <c r="F47" s="66">
        <f>COUNTIFS(TblUniv2018[I. a4],F$16)/$C$15*100%</f>
        <v>0</v>
      </c>
      <c r="G47" s="62">
        <f t="shared" si="0"/>
        <v>1</v>
      </c>
      <c r="I47" s="57" t="s">
        <v>651</v>
      </c>
      <c r="J47" s="66">
        <f>COUNTIFS(TblUniv2018[I. a4],J$16,TblUniv2018[Prodi],$J$13)/$J$15*100%</f>
        <v>0</v>
      </c>
      <c r="K47" s="66">
        <f>COUNTIFS(TblUniv2018[I. a4],K$16,TblUniv2018[Prodi],$J$13)/$J$15*100%</f>
        <v>1</v>
      </c>
      <c r="L47" s="66">
        <f>COUNTIFS(TblUniv2018[I. a4],L$16,TblUniv2018[Prodi],$J$13)/$J$15*100%</f>
        <v>0</v>
      </c>
      <c r="M47" s="66">
        <f>COUNTIFS(TblUniv2018[I. a4],M$16,TblUniv2018[Prodi],$J$13)/$J$15*100%</f>
        <v>0</v>
      </c>
      <c r="N47" s="62">
        <f t="shared" si="1"/>
        <v>1</v>
      </c>
      <c r="P47" s="57" t="s">
        <v>651</v>
      </c>
      <c r="Q47" s="66">
        <f>COUNTIFS(TblUniv2018[I. a4],Q$16,TblUniv2018[Prodi],$Q$13)/$Q$15*100%</f>
        <v>0</v>
      </c>
      <c r="R47" s="66">
        <f>COUNTIFS(TblUniv2018[I. a4],R$16,TblUniv2018[Prodi],$Q$13)/$Q$15*100%</f>
        <v>1</v>
      </c>
      <c r="S47" s="66">
        <f>COUNTIFS(TblUniv2018[I. a4],S$16,TblUniv2018[Prodi],$Q$13)/$Q$15*100%</f>
        <v>0</v>
      </c>
      <c r="T47" s="66">
        <f>COUNTIFS(TblUniv2018[I. a4],T$16,TblUniv2018[Prodi],$Q$13)/$Q$15*100%</f>
        <v>0</v>
      </c>
      <c r="U47" s="62">
        <f t="shared" si="2"/>
        <v>1</v>
      </c>
      <c r="W47" s="57" t="s">
        <v>651</v>
      </c>
      <c r="X47" s="66">
        <f>COUNTIFS(TblUniv2018[I. a4],X$16,TblUniv2018[Prodi],$X$13)/$X$15*100%</f>
        <v>0</v>
      </c>
      <c r="Y47" s="66">
        <f>COUNTIFS(TblUniv2018[I. a4],Y$16,TblUniv2018[Prodi],$X$13)/$X$15*100%</f>
        <v>1</v>
      </c>
      <c r="Z47" s="66">
        <f>COUNTIFS(TblUniv2018[I. a4],Z$16,TblUniv2018[Prodi],$X$13)/$X$15*100%</f>
        <v>0</v>
      </c>
      <c r="AA47" s="66">
        <f>COUNTIFS(TblUniv2018[I. a4],AA$16,TblUniv2018[Prodi],$X$13)/$X$15*100%</f>
        <v>0</v>
      </c>
      <c r="AB47" s="62">
        <f t="shared" si="3"/>
        <v>1</v>
      </c>
      <c r="AD47" s="57" t="s">
        <v>651</v>
      </c>
      <c r="AE47" s="66" t="e">
        <f>COUNTIFS(TblUniv2018[I. a4],AE$16,TblUniv2018[Prodi],$AE$13)/$AE$15*100%</f>
        <v>#DIV/0!</v>
      </c>
      <c r="AF47" s="66" t="e">
        <f>COUNTIFS(TblUniv2018[I. a4],AF$16,TblUniv2018[Prodi],$AE$13)/$AE$15*100%</f>
        <v>#DIV/0!</v>
      </c>
      <c r="AG47" s="66" t="e">
        <f>COUNTIFS(TblUniv2018[I. a4],AG$16,TblUniv2018[Prodi],$AE$13)/$AE$15*100%</f>
        <v>#DIV/0!</v>
      </c>
      <c r="AH47" s="66" t="e">
        <f>COUNTIFS(TblUniv2018[I. a4],AH$16,TblUniv2018[Prodi],$AE$13)/$AE$15*100%</f>
        <v>#DIV/0!</v>
      </c>
      <c r="AI47" s="62" t="e">
        <f t="shared" si="4"/>
        <v>#DIV/0!</v>
      </c>
      <c r="AK47" s="57" t="s">
        <v>651</v>
      </c>
      <c r="AL47" s="66">
        <f>COUNTIFS(TblUniv2018[I. a4],AL$16,TblUniv2018[Prodi],$AL$13)/$AL$15*100%</f>
        <v>1</v>
      </c>
      <c r="AM47" s="66">
        <f>COUNTIFS(TblUniv2018[I. a4],AM$16,TblUniv2018[Prodi],$AL$13)/$AL$15*100%</f>
        <v>0</v>
      </c>
      <c r="AN47" s="66">
        <f>COUNTIFS(TblUniv2018[I. a4],AN$16,TblUniv2018[Prodi],$AL$13)/$AL$15*100%</f>
        <v>0</v>
      </c>
      <c r="AO47" s="66">
        <f>COUNTIFS(TblUniv2018[I. a4],AO$16,TblUniv2018[Prodi],$AL$13)/$AL$15*100%</f>
        <v>0</v>
      </c>
      <c r="AP47" s="62">
        <f t="shared" si="5"/>
        <v>1</v>
      </c>
      <c r="AR47" s="57" t="s">
        <v>651</v>
      </c>
      <c r="AS47" s="66" t="e">
        <f>COUNTIFS(TblUniv2018[I. a4],AS$16,TblUniv2018[Prodi],$AS$13)/$AS$15*100%</f>
        <v>#DIV/0!</v>
      </c>
      <c r="AT47" s="66" t="e">
        <f>COUNTIFS(TblUniv2018[I. a4],AT$16,TblUniv2018[Prodi],$AS$13)/$AS$15*100%</f>
        <v>#DIV/0!</v>
      </c>
      <c r="AU47" s="66" t="e">
        <f>COUNTIFS(TblUniv2018[I. a4],AU$16,TblUniv2018[Prodi],$AS$13)/$AS$15*100%</f>
        <v>#DIV/0!</v>
      </c>
      <c r="AV47" s="66" t="e">
        <f>COUNTIFS(TblUniv2018[I. a4],AV$16,TblUniv2018[Prodi],$AS$13)/$AS$15*100%</f>
        <v>#DIV/0!</v>
      </c>
      <c r="AW47" s="62" t="e">
        <f t="shared" si="6"/>
        <v>#DIV/0!</v>
      </c>
    </row>
    <row r="48" spans="2:49" ht="16.5" hidden="1" x14ac:dyDescent="0.3">
      <c r="B48" s="57" t="s">
        <v>652</v>
      </c>
      <c r="C48" s="66">
        <f>COUNTIFS(TblUniv2018[I. a5],C$16)/$C$15*100%</f>
        <v>0.16666666666666666</v>
      </c>
      <c r="D48" s="66">
        <f>COUNTIFS(TblUniv2018[I. a5],D$16)/$C$15*100%</f>
        <v>0.83333333333333337</v>
      </c>
      <c r="E48" s="66">
        <f>COUNTIFS(TblUniv2018[I. a5],E$16)/$C$15*100%</f>
        <v>0</v>
      </c>
      <c r="F48" s="66">
        <f>COUNTIFS(TblUniv2018[I. a5],F$16)/$C$15*100%</f>
        <v>0</v>
      </c>
      <c r="G48" s="62">
        <f t="shared" si="0"/>
        <v>1</v>
      </c>
      <c r="I48" s="57" t="s">
        <v>652</v>
      </c>
      <c r="J48" s="66">
        <f>COUNTIFS(TblUniv2018[I. a5],J$16,TblUniv2018[Prodi],$J$13)/$J$15*100%</f>
        <v>0</v>
      </c>
      <c r="K48" s="66">
        <f>COUNTIFS(TblUniv2018[I. a5],K$16,TblUniv2018[Prodi],$J$13)/$J$15*100%</f>
        <v>1</v>
      </c>
      <c r="L48" s="66">
        <f>COUNTIFS(TblUniv2018[I. a5],L$16,TblUniv2018[Prodi],$J$13)/$J$15*100%</f>
        <v>0</v>
      </c>
      <c r="M48" s="66">
        <f>COUNTIFS(TblUniv2018[I. a5],M$16,TblUniv2018[Prodi],$J$13)/$J$15*100%</f>
        <v>0</v>
      </c>
      <c r="N48" s="62">
        <f t="shared" si="1"/>
        <v>1</v>
      </c>
      <c r="P48" s="57" t="s">
        <v>652</v>
      </c>
      <c r="Q48" s="66">
        <f>COUNTIFS(TblUniv2018[I. a5],Q$16,TblUniv2018[Prodi],$Q$13)/$Q$15*100%</f>
        <v>0</v>
      </c>
      <c r="R48" s="66">
        <f>COUNTIFS(TblUniv2018[I. a5],R$16,TblUniv2018[Prodi],$Q$13)/$Q$15*100%</f>
        <v>1</v>
      </c>
      <c r="S48" s="66">
        <f>COUNTIFS(TblUniv2018[I. a5],S$16,TblUniv2018[Prodi],$Q$13)/$Q$15*100%</f>
        <v>0</v>
      </c>
      <c r="T48" s="66">
        <f>COUNTIFS(TblUniv2018[I. a5],T$16,TblUniv2018[Prodi],$Q$13)/$Q$15*100%</f>
        <v>0</v>
      </c>
      <c r="U48" s="62">
        <f t="shared" si="2"/>
        <v>1</v>
      </c>
      <c r="W48" s="57" t="s">
        <v>652</v>
      </c>
      <c r="X48" s="66">
        <f>COUNTIFS(TblUniv2018[I. a5],X$16,TblUniv2018[Prodi],$X$13)/$X$15*100%</f>
        <v>0</v>
      </c>
      <c r="Y48" s="66">
        <f>COUNTIFS(TblUniv2018[I. a5],Y$16,TblUniv2018[Prodi],$X$13)/$X$15*100%</f>
        <v>1</v>
      </c>
      <c r="Z48" s="66">
        <f>COUNTIFS(TblUniv2018[I. a5],Z$16,TblUniv2018[Prodi],$X$13)/$X$15*100%</f>
        <v>0</v>
      </c>
      <c r="AA48" s="66">
        <f>COUNTIFS(TblUniv2018[I. a5],AA$16,TblUniv2018[Prodi],$X$13)/$X$15*100%</f>
        <v>0</v>
      </c>
      <c r="AB48" s="62">
        <f t="shared" si="3"/>
        <v>1</v>
      </c>
      <c r="AD48" s="57" t="s">
        <v>652</v>
      </c>
      <c r="AE48" s="66" t="e">
        <f>COUNTIFS(TblUniv2018[I. a5],AE$16,TblUniv2018[Prodi],$AE$13)/$AE$15*100%</f>
        <v>#DIV/0!</v>
      </c>
      <c r="AF48" s="66" t="e">
        <f>COUNTIFS(TblUniv2018[I. a5],AF$16,TblUniv2018[Prodi],$AE$13)/$AE$15*100%</f>
        <v>#DIV/0!</v>
      </c>
      <c r="AG48" s="66" t="e">
        <f>COUNTIFS(TblUniv2018[I. a5],AG$16,TblUniv2018[Prodi],$AE$13)/$AE$15*100%</f>
        <v>#DIV/0!</v>
      </c>
      <c r="AH48" s="66" t="e">
        <f>COUNTIFS(TblUniv2018[I. a5],AH$16,TblUniv2018[Prodi],$AE$13)/$AE$15*100%</f>
        <v>#DIV/0!</v>
      </c>
      <c r="AI48" s="62" t="e">
        <f t="shared" si="4"/>
        <v>#DIV/0!</v>
      </c>
      <c r="AK48" s="57" t="s">
        <v>652</v>
      </c>
      <c r="AL48" s="66">
        <f>COUNTIFS(TblUniv2018[I. a5],AL$16,TblUniv2018[Prodi],$AL$13)/$AL$15*100%</f>
        <v>1</v>
      </c>
      <c r="AM48" s="66">
        <f>COUNTIFS(TblUniv2018[I. a5],AM$16,TblUniv2018[Prodi],$AL$13)/$AL$15*100%</f>
        <v>0</v>
      </c>
      <c r="AN48" s="66">
        <f>COUNTIFS(TblUniv2018[I. a5],AN$16,TblUniv2018[Prodi],$AL$13)/$AL$15*100%</f>
        <v>0</v>
      </c>
      <c r="AO48" s="66">
        <f>COUNTIFS(TblUniv2018[I. a5],AO$16,TblUniv2018[Prodi],$AL$13)/$AL$15*100%</f>
        <v>0</v>
      </c>
      <c r="AP48" s="62">
        <f t="shared" si="5"/>
        <v>1</v>
      </c>
      <c r="AR48" s="57" t="s">
        <v>652</v>
      </c>
      <c r="AS48" s="66" t="e">
        <f>COUNTIFS(TblUniv2018[I. a5],AS$16,TblUniv2018[Prodi],$AS$13)/$AS$15*100%</f>
        <v>#DIV/0!</v>
      </c>
      <c r="AT48" s="66" t="e">
        <f>COUNTIFS(TblUniv2018[I. a5],AT$16,TblUniv2018[Prodi],$AS$13)/$AS$15*100%</f>
        <v>#DIV/0!</v>
      </c>
      <c r="AU48" s="66" t="e">
        <f>COUNTIFS(TblUniv2018[I. a5],AU$16,TblUniv2018[Prodi],$AS$13)/$AS$15*100%</f>
        <v>#DIV/0!</v>
      </c>
      <c r="AV48" s="66" t="e">
        <f>COUNTIFS(TblUniv2018[I. a5],AV$16,TblUniv2018[Prodi],$AS$13)/$AS$15*100%</f>
        <v>#DIV/0!</v>
      </c>
      <c r="AW48" s="62" t="e">
        <f t="shared" si="6"/>
        <v>#DIV/0!</v>
      </c>
    </row>
    <row r="49" spans="2:49" ht="16.5" hidden="1" x14ac:dyDescent="0.3">
      <c r="B49" s="60"/>
      <c r="C49" s="61">
        <f>AVERAGE(C44:C48)</f>
        <v>0.13333333333333333</v>
      </c>
      <c r="D49" s="61">
        <f>AVERAGE(D44:D48)</f>
        <v>0.86666666666666681</v>
      </c>
      <c r="E49" s="61">
        <f>AVERAGE(E44:E48)</f>
        <v>0</v>
      </c>
      <c r="F49" s="61">
        <f>AVERAGE(F44:F48)</f>
        <v>0</v>
      </c>
      <c r="G49" s="62">
        <f t="shared" si="0"/>
        <v>1.0000000000000002</v>
      </c>
      <c r="I49" s="60"/>
      <c r="J49" s="61">
        <f>AVERAGE(J44:J48)</f>
        <v>0</v>
      </c>
      <c r="K49" s="61">
        <f>AVERAGE(K44:K48)</f>
        <v>1</v>
      </c>
      <c r="L49" s="61">
        <f>AVERAGE(L44:L48)</f>
        <v>0</v>
      </c>
      <c r="M49" s="61">
        <f>AVERAGE(M44:M48)</f>
        <v>0</v>
      </c>
      <c r="N49" s="62">
        <f t="shared" si="1"/>
        <v>1</v>
      </c>
      <c r="P49" s="60"/>
      <c r="Q49" s="61">
        <f>AVERAGE(Q44:Q48)</f>
        <v>0</v>
      </c>
      <c r="R49" s="61">
        <f>AVERAGE(R44:R48)</f>
        <v>1</v>
      </c>
      <c r="S49" s="61">
        <f>AVERAGE(S44:S48)</f>
        <v>0</v>
      </c>
      <c r="T49" s="61">
        <f>AVERAGE(T44:T48)</f>
        <v>0</v>
      </c>
      <c r="U49" s="62">
        <f t="shared" si="2"/>
        <v>1</v>
      </c>
      <c r="W49" s="60"/>
      <c r="X49" s="61">
        <f>AVERAGE(X44:X48)</f>
        <v>0</v>
      </c>
      <c r="Y49" s="61">
        <f>AVERAGE(Y44:Y48)</f>
        <v>1</v>
      </c>
      <c r="Z49" s="61">
        <f>AVERAGE(Z44:Z48)</f>
        <v>0</v>
      </c>
      <c r="AA49" s="61">
        <f>AVERAGE(AA44:AA48)</f>
        <v>0</v>
      </c>
      <c r="AB49" s="62">
        <f t="shared" si="3"/>
        <v>1</v>
      </c>
      <c r="AD49" s="60"/>
      <c r="AE49" s="61" t="e">
        <f>AVERAGE(AE44:AE48)</f>
        <v>#DIV/0!</v>
      </c>
      <c r="AF49" s="61" t="e">
        <f>AVERAGE(AF44:AF48)</f>
        <v>#DIV/0!</v>
      </c>
      <c r="AG49" s="61" t="e">
        <f>AVERAGE(AG44:AG48)</f>
        <v>#DIV/0!</v>
      </c>
      <c r="AH49" s="61" t="e">
        <f>AVERAGE(AH44:AH48)</f>
        <v>#DIV/0!</v>
      </c>
      <c r="AI49" s="62" t="e">
        <f t="shared" si="4"/>
        <v>#DIV/0!</v>
      </c>
      <c r="AK49" s="60"/>
      <c r="AL49" s="61">
        <f>AVERAGE(AL44:AL48)</f>
        <v>0.8</v>
      </c>
      <c r="AM49" s="61">
        <f>AVERAGE(AM44:AM48)</f>
        <v>0.2</v>
      </c>
      <c r="AN49" s="61">
        <f>AVERAGE(AN44:AN48)</f>
        <v>0</v>
      </c>
      <c r="AO49" s="61">
        <f>AVERAGE(AO44:AO48)</f>
        <v>0</v>
      </c>
      <c r="AP49" s="62">
        <f t="shared" si="5"/>
        <v>1</v>
      </c>
      <c r="AR49" s="60"/>
      <c r="AS49" s="61" t="e">
        <f>AVERAGE(AS44:AS48)</f>
        <v>#DIV/0!</v>
      </c>
      <c r="AT49" s="61" t="e">
        <f>AVERAGE(AT44:AT48)</f>
        <v>#DIV/0!</v>
      </c>
      <c r="AU49" s="61" t="e">
        <f>AVERAGE(AU44:AU48)</f>
        <v>#DIV/0!</v>
      </c>
      <c r="AV49" s="61" t="e">
        <f>AVERAGE(AV44:AV48)</f>
        <v>#DIV/0!</v>
      </c>
      <c r="AW49" s="62" t="e">
        <f t="shared" si="6"/>
        <v>#DIV/0!</v>
      </c>
    </row>
    <row r="50" spans="2:49" ht="16.5" hidden="1" x14ac:dyDescent="0.3">
      <c r="B50" s="57" t="s">
        <v>653</v>
      </c>
      <c r="C50" s="66">
        <f>COUNTIFS(TblUniv2018[I. b1],C$16)/$C$15*100%</f>
        <v>0</v>
      </c>
      <c r="D50" s="66">
        <f>COUNTIFS(TblUniv2018[I. b1],D$16)/$C$15*100%</f>
        <v>0.83333333333333337</v>
      </c>
      <c r="E50" s="66">
        <f>COUNTIFS(TblUniv2018[I. b1],E$16)/$C$15*100%</f>
        <v>0.16666666666666666</v>
      </c>
      <c r="F50" s="66">
        <f>COUNTIFS(TblUniv2018[I. b1],F$16)/$C$15*100%</f>
        <v>0</v>
      </c>
      <c r="G50" s="62">
        <f t="shared" si="0"/>
        <v>1</v>
      </c>
      <c r="I50" s="57" t="s">
        <v>653</v>
      </c>
      <c r="J50" s="66">
        <f>COUNTIFS(TblUniv2018[I. b1],J$16,TblUniv2018[Prodi],$J$13)/$J$15*100%</f>
        <v>0</v>
      </c>
      <c r="K50" s="66">
        <f>COUNTIFS(TblUniv2018[I. b1],K$16,TblUniv2018[Prodi],$J$13)/$J$15*100%</f>
        <v>1</v>
      </c>
      <c r="L50" s="66">
        <f>COUNTIFS(TblUniv2018[I. b1],L$16,TblUniv2018[Prodi],$J$13)/$J$15*100%</f>
        <v>0</v>
      </c>
      <c r="M50" s="66">
        <f>COUNTIFS(TblUniv2018[I. b1],M$16,TblUniv2018[Prodi],$J$13)/$J$15*100%</f>
        <v>0</v>
      </c>
      <c r="N50" s="62">
        <f t="shared" si="1"/>
        <v>1</v>
      </c>
      <c r="P50" s="57" t="s">
        <v>653</v>
      </c>
      <c r="Q50" s="66">
        <f>COUNTIFS(TblUniv2018[I. b1],Q$16,TblUniv2018[Prodi],$Q$13)/$Q$15*100%</f>
        <v>0</v>
      </c>
      <c r="R50" s="66">
        <f>COUNTIFS(TblUniv2018[I. b1],R$16,TblUniv2018[Prodi],$Q$13)/$Q$15*100%</f>
        <v>0.66666666666666663</v>
      </c>
      <c r="S50" s="66">
        <f>COUNTIFS(TblUniv2018[I. b1],S$16,TblUniv2018[Prodi],$Q$13)/$Q$15*100%</f>
        <v>0.33333333333333331</v>
      </c>
      <c r="T50" s="66">
        <f>COUNTIFS(TblUniv2018[I. b1],T$16,TblUniv2018[Prodi],$Q$13)/$Q$15*100%</f>
        <v>0</v>
      </c>
      <c r="U50" s="62">
        <f t="shared" si="2"/>
        <v>1</v>
      </c>
      <c r="W50" s="57" t="s">
        <v>653</v>
      </c>
      <c r="X50" s="66">
        <f>COUNTIFS(TblUniv2018[I. b1],X$16,TblUniv2018[Prodi],$X$13)/$X$15*100%</f>
        <v>0</v>
      </c>
      <c r="Y50" s="66">
        <f>COUNTIFS(TblUniv2018[I. b1],Y$16,TblUniv2018[Prodi],$X$13)/$X$15*100%</f>
        <v>1</v>
      </c>
      <c r="Z50" s="66">
        <f>COUNTIFS(TblUniv2018[I. b1],Z$16,TblUniv2018[Prodi],$X$13)/$X$15*100%</f>
        <v>0</v>
      </c>
      <c r="AA50" s="66">
        <f>COUNTIFS(TblUniv2018[I. b1],AA$16,TblUniv2018[Prodi],$X$13)/$X$15*100%</f>
        <v>0</v>
      </c>
      <c r="AB50" s="62">
        <f t="shared" si="3"/>
        <v>1</v>
      </c>
      <c r="AD50" s="57" t="s">
        <v>653</v>
      </c>
      <c r="AE50" s="66" t="e">
        <f>COUNTIFS(TblUniv2018[I. b1],AE$16,TblUniv2018[Prodi],$AE$13)/$AE$15*100%</f>
        <v>#DIV/0!</v>
      </c>
      <c r="AF50" s="66" t="e">
        <f>COUNTIFS(TblUniv2018[I. b1],AF$16,TblUniv2018[Prodi],$AE$13)/$AE$15*100%</f>
        <v>#DIV/0!</v>
      </c>
      <c r="AG50" s="66" t="e">
        <f>COUNTIFS(TblUniv2018[I. b1],AG$16,TblUniv2018[Prodi],$AE$13)/$AE$15*100%</f>
        <v>#DIV/0!</v>
      </c>
      <c r="AH50" s="66" t="e">
        <f>COUNTIFS(TblUniv2018[I. b1],AH$16,TblUniv2018[Prodi],$AE$13)/$AE$15*100%</f>
        <v>#DIV/0!</v>
      </c>
      <c r="AI50" s="62" t="e">
        <f t="shared" si="4"/>
        <v>#DIV/0!</v>
      </c>
      <c r="AK50" s="57" t="s">
        <v>653</v>
      </c>
      <c r="AL50" s="66">
        <f>COUNTIFS(TblUniv2018[I. b1],AL$16,TblUniv2018[Prodi],$AL$13)/$AL$15*100%</f>
        <v>0</v>
      </c>
      <c r="AM50" s="66">
        <f>COUNTIFS(TblUniv2018[I. b1],AM$16,TblUniv2018[Prodi],$AL$13)/$AL$15*100%</f>
        <v>1</v>
      </c>
      <c r="AN50" s="66">
        <f>COUNTIFS(TblUniv2018[I. b1],AN$16,TblUniv2018[Prodi],$AL$13)/$AL$15*100%</f>
        <v>0</v>
      </c>
      <c r="AO50" s="66">
        <f>COUNTIFS(TblUniv2018[I. b1],AO$16,TblUniv2018[Prodi],$AL$13)/$AL$15*100%</f>
        <v>0</v>
      </c>
      <c r="AP50" s="62">
        <f t="shared" si="5"/>
        <v>1</v>
      </c>
      <c r="AR50" s="57" t="s">
        <v>653</v>
      </c>
      <c r="AS50" s="66" t="e">
        <f>COUNTIFS(TblUniv2018[I. b1],AS$16,TblUniv2018[Prodi],$AS$13)/$AS$15*100%</f>
        <v>#DIV/0!</v>
      </c>
      <c r="AT50" s="66" t="e">
        <f>COUNTIFS(TblUniv2018[I. b1],AT$16,TblUniv2018[Prodi],$AS$13)/$AS$15*100%</f>
        <v>#DIV/0!</v>
      </c>
      <c r="AU50" s="66" t="e">
        <f>COUNTIFS(TblUniv2018[I. b1],AU$16,TblUniv2018[Prodi],$AS$13)/$AS$15*100%</f>
        <v>#DIV/0!</v>
      </c>
      <c r="AV50" s="66" t="e">
        <f>COUNTIFS(TblUniv2018[I. b1],AV$16,TblUniv2018[Prodi],$AS$13)/$AS$15*100%</f>
        <v>#DIV/0!</v>
      </c>
      <c r="AW50" s="62" t="e">
        <f t="shared" si="6"/>
        <v>#DIV/0!</v>
      </c>
    </row>
    <row r="51" spans="2:49" ht="16.5" hidden="1" x14ac:dyDescent="0.3">
      <c r="B51" s="57" t="s">
        <v>654</v>
      </c>
      <c r="C51" s="66">
        <f>COUNTIFS(TblUniv2018[I. b2],C$16)/$C$15*100%</f>
        <v>0.33333333333333331</v>
      </c>
      <c r="D51" s="66">
        <f>COUNTIFS(TblUniv2018[I. b2],D$16)/$C$15*100%</f>
        <v>0.66666666666666663</v>
      </c>
      <c r="E51" s="66">
        <f>COUNTIFS(TblUniv2018[I. b2],E$16)/$C$15*100%</f>
        <v>0</v>
      </c>
      <c r="F51" s="66">
        <f>COUNTIFS(TblUniv2018[I. b2],F$16)/$C$15*100%</f>
        <v>0</v>
      </c>
      <c r="G51" s="62">
        <f t="shared" si="0"/>
        <v>1</v>
      </c>
      <c r="I51" s="57" t="s">
        <v>654</v>
      </c>
      <c r="J51" s="66">
        <f>COUNTIFS(TblUniv2018[I. b2],J$16,TblUniv2018[Prodi],$J$13)/$J$15*100%</f>
        <v>0</v>
      </c>
      <c r="K51" s="66">
        <f>COUNTIFS(TblUniv2018[I. b2],K$16,TblUniv2018[Prodi],$J$13)/$J$15*100%</f>
        <v>1</v>
      </c>
      <c r="L51" s="66">
        <f>COUNTIFS(TblUniv2018[I. b2],L$16,TblUniv2018[Prodi],$J$13)/$J$15*100%</f>
        <v>0</v>
      </c>
      <c r="M51" s="66">
        <f>COUNTIFS(TblUniv2018[I. b2],M$16,TblUniv2018[Prodi],$J$13)/$J$15*100%</f>
        <v>0</v>
      </c>
      <c r="N51" s="62">
        <f t="shared" si="1"/>
        <v>1</v>
      </c>
      <c r="P51" s="57" t="s">
        <v>654</v>
      </c>
      <c r="Q51" s="66">
        <f>COUNTIFS(TblUniv2018[I. b2],Q$16,TblUniv2018[Prodi],$Q$13)/$Q$15*100%</f>
        <v>0.33333333333333331</v>
      </c>
      <c r="R51" s="66">
        <f>COUNTIFS(TblUniv2018[I. b2],R$16,TblUniv2018[Prodi],$Q$13)/$Q$15*100%</f>
        <v>0.66666666666666663</v>
      </c>
      <c r="S51" s="66">
        <f>COUNTIFS(TblUniv2018[I. b2],S$16,TblUniv2018[Prodi],$Q$13)/$Q$15*100%</f>
        <v>0</v>
      </c>
      <c r="T51" s="66">
        <f>COUNTIFS(TblUniv2018[I. b2],T$16,TblUniv2018[Prodi],$Q$13)/$Q$15*100%</f>
        <v>0</v>
      </c>
      <c r="U51" s="62">
        <f t="shared" si="2"/>
        <v>1</v>
      </c>
      <c r="W51" s="57" t="s">
        <v>654</v>
      </c>
      <c r="X51" s="66">
        <f>COUNTIFS(TblUniv2018[I. b2],X$16,TblUniv2018[Prodi],$X$13)/$X$15*100%</f>
        <v>0</v>
      </c>
      <c r="Y51" s="66">
        <f>COUNTIFS(TblUniv2018[I. b2],Y$16,TblUniv2018[Prodi],$X$13)/$X$15*100%</f>
        <v>1</v>
      </c>
      <c r="Z51" s="66">
        <f>COUNTIFS(TblUniv2018[I. b2],Z$16,TblUniv2018[Prodi],$X$13)/$X$15*100%</f>
        <v>0</v>
      </c>
      <c r="AA51" s="66">
        <f>COUNTIFS(TblUniv2018[I. b2],AA$16,TblUniv2018[Prodi],$X$13)/$X$15*100%</f>
        <v>0</v>
      </c>
      <c r="AB51" s="62">
        <f t="shared" si="3"/>
        <v>1</v>
      </c>
      <c r="AD51" s="57" t="s">
        <v>654</v>
      </c>
      <c r="AE51" s="66" t="e">
        <f>COUNTIFS(TblUniv2018[I. b2],AE$16,TblUniv2018[Prodi],$AE$13)/$AE$15*100%</f>
        <v>#DIV/0!</v>
      </c>
      <c r="AF51" s="66" t="e">
        <f>COUNTIFS(TblUniv2018[I. b2],AF$16,TblUniv2018[Prodi],$AE$13)/$AE$15*100%</f>
        <v>#DIV/0!</v>
      </c>
      <c r="AG51" s="66" t="e">
        <f>COUNTIFS(TblUniv2018[I. b2],AG$16,TblUniv2018[Prodi],$AE$13)/$AE$15*100%</f>
        <v>#DIV/0!</v>
      </c>
      <c r="AH51" s="66" t="e">
        <f>COUNTIFS(TblUniv2018[I. b2],AH$16,TblUniv2018[Prodi],$AE$13)/$AE$15*100%</f>
        <v>#DIV/0!</v>
      </c>
      <c r="AI51" s="62" t="e">
        <f t="shared" si="4"/>
        <v>#DIV/0!</v>
      </c>
      <c r="AK51" s="57" t="s">
        <v>654</v>
      </c>
      <c r="AL51" s="66">
        <f>COUNTIFS(TblUniv2018[I. b2],AL$16,TblUniv2018[Prodi],$AL$13)/$AL$15*100%</f>
        <v>1</v>
      </c>
      <c r="AM51" s="66">
        <f>COUNTIFS(TblUniv2018[I. b2],AM$16,TblUniv2018[Prodi],$AL$13)/$AL$15*100%</f>
        <v>0</v>
      </c>
      <c r="AN51" s="66">
        <f>COUNTIFS(TblUniv2018[I. b2],AN$16,TblUniv2018[Prodi],$AL$13)/$AL$15*100%</f>
        <v>0</v>
      </c>
      <c r="AO51" s="66">
        <f>COUNTIFS(TblUniv2018[I. b2],AO$16,TblUniv2018[Prodi],$AL$13)/$AL$15*100%</f>
        <v>0</v>
      </c>
      <c r="AP51" s="62">
        <f t="shared" si="5"/>
        <v>1</v>
      </c>
      <c r="AR51" s="57" t="s">
        <v>654</v>
      </c>
      <c r="AS51" s="66" t="e">
        <f>COUNTIFS(TblUniv2018[I. b2],AS$16,TblUniv2018[Prodi],$AS$13)/$AS$15*100%</f>
        <v>#DIV/0!</v>
      </c>
      <c r="AT51" s="66" t="e">
        <f>COUNTIFS(TblUniv2018[I. b2],AT$16,TblUniv2018[Prodi],$AS$13)/$AS$15*100%</f>
        <v>#DIV/0!</v>
      </c>
      <c r="AU51" s="66" t="e">
        <f>COUNTIFS(TblUniv2018[I. b2],AU$16,TblUniv2018[Prodi],$AS$13)/$AS$15*100%</f>
        <v>#DIV/0!</v>
      </c>
      <c r="AV51" s="66" t="e">
        <f>COUNTIFS(TblUniv2018[I. b2],AV$16,TblUniv2018[Prodi],$AS$13)/$AS$15*100%</f>
        <v>#DIV/0!</v>
      </c>
      <c r="AW51" s="62" t="e">
        <f t="shared" si="6"/>
        <v>#DIV/0!</v>
      </c>
    </row>
    <row r="52" spans="2:49" ht="16.5" hidden="1" x14ac:dyDescent="0.3">
      <c r="B52" s="57" t="s">
        <v>655</v>
      </c>
      <c r="C52" s="66">
        <f>COUNTIFS(TblUniv2018[I. b3],C$16)/$C$15*100%</f>
        <v>0</v>
      </c>
      <c r="D52" s="66">
        <f>COUNTIFS(TblUniv2018[I. b3],D$16)/$C$15*100%</f>
        <v>0.83333333333333337</v>
      </c>
      <c r="E52" s="66">
        <f>COUNTIFS(TblUniv2018[I. b3],E$16)/$C$15*100%</f>
        <v>0.16666666666666666</v>
      </c>
      <c r="F52" s="66">
        <f>COUNTIFS(TblUniv2018[I. b3],F$16)/$C$15*100%</f>
        <v>0</v>
      </c>
      <c r="G52" s="62">
        <f t="shared" si="0"/>
        <v>1</v>
      </c>
      <c r="I52" s="57" t="s">
        <v>655</v>
      </c>
      <c r="J52" s="66">
        <f>COUNTIFS(TblUniv2018[I. b3],J$16,TblUniv2018[Prodi],$J$13)/$J$15*100%</f>
        <v>0</v>
      </c>
      <c r="K52" s="66">
        <f>COUNTIFS(TblUniv2018[I. b3],K$16,TblUniv2018[Prodi],$J$13)/$J$15*100%</f>
        <v>1</v>
      </c>
      <c r="L52" s="66">
        <f>COUNTIFS(TblUniv2018[I. b3],L$16,TblUniv2018[Prodi],$J$13)/$J$15*100%</f>
        <v>0</v>
      </c>
      <c r="M52" s="66">
        <f>COUNTIFS(TblUniv2018[I. b3],M$16,TblUniv2018[Prodi],$J$13)/$J$15*100%</f>
        <v>0</v>
      </c>
      <c r="N52" s="62">
        <f t="shared" si="1"/>
        <v>1</v>
      </c>
      <c r="P52" s="57" t="s">
        <v>655</v>
      </c>
      <c r="Q52" s="66">
        <f>COUNTIFS(TblUniv2018[I. b3],Q$16,TblUniv2018[Prodi],$Q$13)/$Q$15*100%</f>
        <v>0</v>
      </c>
      <c r="R52" s="66">
        <f>COUNTIFS(TblUniv2018[I. b3],R$16,TblUniv2018[Prodi],$Q$13)/$Q$15*100%</f>
        <v>0.66666666666666663</v>
      </c>
      <c r="S52" s="66">
        <f>COUNTIFS(TblUniv2018[I. b3],S$16,TblUniv2018[Prodi],$Q$13)/$Q$15*100%</f>
        <v>0.33333333333333331</v>
      </c>
      <c r="T52" s="66">
        <f>COUNTIFS(TblUniv2018[I. b3],T$16,TblUniv2018[Prodi],$Q$13)/$Q$15*100%</f>
        <v>0</v>
      </c>
      <c r="U52" s="62">
        <f t="shared" si="2"/>
        <v>1</v>
      </c>
      <c r="W52" s="57" t="s">
        <v>655</v>
      </c>
      <c r="X52" s="66">
        <f>COUNTIFS(TblUniv2018[I. b3],X$16,TblUniv2018[Prodi],$X$13)/$X$15*100%</f>
        <v>0</v>
      </c>
      <c r="Y52" s="66">
        <f>COUNTIFS(TblUniv2018[I. b3],Y$16,TblUniv2018[Prodi],$X$13)/$X$15*100%</f>
        <v>1</v>
      </c>
      <c r="Z52" s="66">
        <f>COUNTIFS(TblUniv2018[I. b3],Z$16,TblUniv2018[Prodi],$X$13)/$X$15*100%</f>
        <v>0</v>
      </c>
      <c r="AA52" s="66">
        <f>COUNTIFS(TblUniv2018[I. b3],AA$16,TblUniv2018[Prodi],$X$13)/$X$15*100%</f>
        <v>0</v>
      </c>
      <c r="AB52" s="62">
        <f t="shared" si="3"/>
        <v>1</v>
      </c>
      <c r="AD52" s="57" t="s">
        <v>655</v>
      </c>
      <c r="AE52" s="66" t="e">
        <f>COUNTIFS(TblUniv2018[I. b3],AE$16,TblUniv2018[Prodi],$AE$13)/$AE$15*100%</f>
        <v>#DIV/0!</v>
      </c>
      <c r="AF52" s="66" t="e">
        <f>COUNTIFS(TblUniv2018[I. b3],AF$16,TblUniv2018[Prodi],$AE$13)/$AE$15*100%</f>
        <v>#DIV/0!</v>
      </c>
      <c r="AG52" s="66" t="e">
        <f>COUNTIFS(TblUniv2018[I. b3],AG$16,TblUniv2018[Prodi],$AE$13)/$AE$15*100%</f>
        <v>#DIV/0!</v>
      </c>
      <c r="AH52" s="66" t="e">
        <f>COUNTIFS(TblUniv2018[I. b3],AH$16,TblUniv2018[Prodi],$AE$13)/$AE$15*100%</f>
        <v>#DIV/0!</v>
      </c>
      <c r="AI52" s="62" t="e">
        <f t="shared" si="4"/>
        <v>#DIV/0!</v>
      </c>
      <c r="AK52" s="57" t="s">
        <v>655</v>
      </c>
      <c r="AL52" s="66">
        <f>COUNTIFS(TblUniv2018[I. b3],AL$16,TblUniv2018[Prodi],$AL$13)/$AL$15*100%</f>
        <v>0</v>
      </c>
      <c r="AM52" s="66">
        <f>COUNTIFS(TblUniv2018[I. b3],AM$16,TblUniv2018[Prodi],$AL$13)/$AL$15*100%</f>
        <v>1</v>
      </c>
      <c r="AN52" s="66">
        <f>COUNTIFS(TblUniv2018[I. b3],AN$16,TblUniv2018[Prodi],$AL$13)/$AL$15*100%</f>
        <v>0</v>
      </c>
      <c r="AO52" s="66">
        <f>COUNTIFS(TblUniv2018[I. b3],AO$16,TblUniv2018[Prodi],$AL$13)/$AL$15*100%</f>
        <v>0</v>
      </c>
      <c r="AP52" s="62">
        <f t="shared" si="5"/>
        <v>1</v>
      </c>
      <c r="AR52" s="57" t="s">
        <v>655</v>
      </c>
      <c r="AS52" s="66" t="e">
        <f>COUNTIFS(TblUniv2018[I. b3],AS$16,TblUniv2018[Prodi],$AS$13)/$AS$15*100%</f>
        <v>#DIV/0!</v>
      </c>
      <c r="AT52" s="66" t="e">
        <f>COUNTIFS(TblUniv2018[I. b3],AT$16,TblUniv2018[Prodi],$AS$13)/$AS$15*100%</f>
        <v>#DIV/0!</v>
      </c>
      <c r="AU52" s="66" t="e">
        <f>COUNTIFS(TblUniv2018[I. b3],AU$16,TblUniv2018[Prodi],$AS$13)/$AS$15*100%</f>
        <v>#DIV/0!</v>
      </c>
      <c r="AV52" s="66" t="e">
        <f>COUNTIFS(TblUniv2018[I. b3],AV$16,TblUniv2018[Prodi],$AS$13)/$AS$15*100%</f>
        <v>#DIV/0!</v>
      </c>
      <c r="AW52" s="62" t="e">
        <f t="shared" si="6"/>
        <v>#DIV/0!</v>
      </c>
    </row>
    <row r="53" spans="2:49" ht="16.5" hidden="1" x14ac:dyDescent="0.3">
      <c r="B53" s="57" t="s">
        <v>656</v>
      </c>
      <c r="C53" s="66">
        <f>COUNTIFS(TblUniv2018[I. b4],C$16)/$C$15*100%</f>
        <v>0.16666666666666666</v>
      </c>
      <c r="D53" s="66">
        <f>COUNTIFS(TblUniv2018[I. b4],D$16)/$C$15*100%</f>
        <v>0.83333333333333337</v>
      </c>
      <c r="E53" s="66">
        <f>COUNTIFS(TblUniv2018[I. b4],E$16)/$C$15*100%</f>
        <v>0</v>
      </c>
      <c r="F53" s="66">
        <f>COUNTIFS(TblUniv2018[I. b4],F$16)/$C$15*100%</f>
        <v>0</v>
      </c>
      <c r="G53" s="62">
        <f t="shared" si="0"/>
        <v>1</v>
      </c>
      <c r="I53" s="57" t="s">
        <v>656</v>
      </c>
      <c r="J53" s="66">
        <f>COUNTIFS(TblUniv2018[I. b4],J$16,TblUniv2018[Prodi],$J$13)/$J$15*100%</f>
        <v>0</v>
      </c>
      <c r="K53" s="66">
        <f>COUNTIFS(TblUniv2018[I. b4],K$16,TblUniv2018[Prodi],$J$13)/$J$15*100%</f>
        <v>1</v>
      </c>
      <c r="L53" s="66">
        <f>COUNTIFS(TblUniv2018[I. b4],L$16,TblUniv2018[Prodi],$J$13)/$J$15*100%</f>
        <v>0</v>
      </c>
      <c r="M53" s="66">
        <f>COUNTIFS(TblUniv2018[I. b4],M$16,TblUniv2018[Prodi],$J$13)/$J$15*100%</f>
        <v>0</v>
      </c>
      <c r="N53" s="62">
        <f t="shared" si="1"/>
        <v>1</v>
      </c>
      <c r="P53" s="57" t="s">
        <v>656</v>
      </c>
      <c r="Q53" s="66">
        <f>COUNTIFS(TblUniv2018[I. b4],Q$16,TblUniv2018[Prodi],$Q$13)/$Q$15*100%</f>
        <v>0.33333333333333331</v>
      </c>
      <c r="R53" s="66">
        <f>COUNTIFS(TblUniv2018[I. b4],R$16,TblUniv2018[Prodi],$Q$13)/$Q$15*100%</f>
        <v>0.66666666666666663</v>
      </c>
      <c r="S53" s="66">
        <f>COUNTIFS(TblUniv2018[I. b4],S$16,TblUniv2018[Prodi],$Q$13)/$Q$15*100%</f>
        <v>0</v>
      </c>
      <c r="T53" s="66">
        <f>COUNTIFS(TblUniv2018[I. b4],T$16,TblUniv2018[Prodi],$Q$13)/$Q$15*100%</f>
        <v>0</v>
      </c>
      <c r="U53" s="62">
        <f t="shared" si="2"/>
        <v>1</v>
      </c>
      <c r="W53" s="57" t="s">
        <v>656</v>
      </c>
      <c r="X53" s="66">
        <f>COUNTIFS(TblUniv2018[I. b4],X$16,TblUniv2018[Prodi],$X$13)/$X$15*100%</f>
        <v>0</v>
      </c>
      <c r="Y53" s="66">
        <f>COUNTIFS(TblUniv2018[I. b4],Y$16,TblUniv2018[Prodi],$X$13)/$X$15*100%</f>
        <v>1</v>
      </c>
      <c r="Z53" s="66">
        <f>COUNTIFS(TblUniv2018[I. b4],Z$16,TblUniv2018[Prodi],$X$13)/$X$15*100%</f>
        <v>0</v>
      </c>
      <c r="AA53" s="66">
        <f>COUNTIFS(TblUniv2018[I. b4],AA$16,TblUniv2018[Prodi],$X$13)/$X$15*100%</f>
        <v>0</v>
      </c>
      <c r="AB53" s="62">
        <f t="shared" si="3"/>
        <v>1</v>
      </c>
      <c r="AD53" s="57" t="s">
        <v>656</v>
      </c>
      <c r="AE53" s="66" t="e">
        <f>COUNTIFS(TblUniv2018[I. b4],AE$16,TblUniv2018[Prodi],$AE$13)/$AE$15*100%</f>
        <v>#DIV/0!</v>
      </c>
      <c r="AF53" s="66" t="e">
        <f>COUNTIFS(TblUniv2018[I. b4],AF$16,TblUniv2018[Prodi],$AE$13)/$AE$15*100%</f>
        <v>#DIV/0!</v>
      </c>
      <c r="AG53" s="66" t="e">
        <f>COUNTIFS(TblUniv2018[I. b4],AG$16,TblUniv2018[Prodi],$AE$13)/$AE$15*100%</f>
        <v>#DIV/0!</v>
      </c>
      <c r="AH53" s="66" t="e">
        <f>COUNTIFS(TblUniv2018[I. b4],AH$16,TblUniv2018[Prodi],$AE$13)/$AE$15*100%</f>
        <v>#DIV/0!</v>
      </c>
      <c r="AI53" s="62" t="e">
        <f t="shared" si="4"/>
        <v>#DIV/0!</v>
      </c>
      <c r="AK53" s="57" t="s">
        <v>656</v>
      </c>
      <c r="AL53" s="66">
        <f>COUNTIFS(TblUniv2018[I. b4],AL$16,TblUniv2018[Prodi],$AL$13)/$AL$15*100%</f>
        <v>0</v>
      </c>
      <c r="AM53" s="66">
        <f>COUNTIFS(TblUniv2018[I. b4],AM$16,TblUniv2018[Prodi],$AL$13)/$AL$15*100%</f>
        <v>1</v>
      </c>
      <c r="AN53" s="66">
        <f>COUNTIFS(TblUniv2018[I. b4],AN$16,TblUniv2018[Prodi],$AL$13)/$AL$15*100%</f>
        <v>0</v>
      </c>
      <c r="AO53" s="66">
        <f>COUNTIFS(TblUniv2018[I. b4],AO$16,TblUniv2018[Prodi],$AL$13)/$AL$15*100%</f>
        <v>0</v>
      </c>
      <c r="AP53" s="62">
        <f t="shared" si="5"/>
        <v>1</v>
      </c>
      <c r="AR53" s="57" t="s">
        <v>656</v>
      </c>
      <c r="AS53" s="66" t="e">
        <f>COUNTIFS(TblUniv2018[I. b4],AS$16,TblUniv2018[Prodi],$AS$13)/$AS$15*100%</f>
        <v>#DIV/0!</v>
      </c>
      <c r="AT53" s="66" t="e">
        <f>COUNTIFS(TblUniv2018[I. b4],AT$16,TblUniv2018[Prodi],$AS$13)/$AS$15*100%</f>
        <v>#DIV/0!</v>
      </c>
      <c r="AU53" s="66" t="e">
        <f>COUNTIFS(TblUniv2018[I. b4],AU$16,TblUniv2018[Prodi],$AS$13)/$AS$15*100%</f>
        <v>#DIV/0!</v>
      </c>
      <c r="AV53" s="66" t="e">
        <f>COUNTIFS(TblUniv2018[I. b4],AV$16,TblUniv2018[Prodi],$AS$13)/$AS$15*100%</f>
        <v>#DIV/0!</v>
      </c>
      <c r="AW53" s="62" t="e">
        <f t="shared" si="6"/>
        <v>#DIV/0!</v>
      </c>
    </row>
    <row r="54" spans="2:49" ht="17.25" hidden="1" thickBot="1" x14ac:dyDescent="0.35">
      <c r="B54" s="67"/>
      <c r="C54" s="68">
        <f>AVERAGE(C50:C53)</f>
        <v>0.125</v>
      </c>
      <c r="D54" s="68">
        <f>AVERAGE(D50:D53)</f>
        <v>0.79166666666666674</v>
      </c>
      <c r="E54" s="68">
        <f>AVERAGE(E50:E53)</f>
        <v>8.3333333333333329E-2</v>
      </c>
      <c r="F54" s="68">
        <f>AVERAGE(F50:F53)</f>
        <v>0</v>
      </c>
      <c r="G54" s="62">
        <f t="shared" si="0"/>
        <v>1</v>
      </c>
      <c r="I54" s="67"/>
      <c r="J54" s="68">
        <f>AVERAGE(J50:J53)</f>
        <v>0</v>
      </c>
      <c r="K54" s="68">
        <f>AVERAGE(K50:K53)</f>
        <v>1</v>
      </c>
      <c r="L54" s="68">
        <f>AVERAGE(L50:L53)</f>
        <v>0</v>
      </c>
      <c r="M54" s="68">
        <f>AVERAGE(M50:M53)</f>
        <v>0</v>
      </c>
      <c r="N54" s="62">
        <f t="shared" si="1"/>
        <v>1</v>
      </c>
      <c r="P54" s="67"/>
      <c r="Q54" s="68">
        <f>AVERAGE(Q50:Q53)</f>
        <v>0.16666666666666666</v>
      </c>
      <c r="R54" s="68">
        <f>AVERAGE(R50:R53)</f>
        <v>0.66666666666666663</v>
      </c>
      <c r="S54" s="68">
        <f>AVERAGE(S50:S53)</f>
        <v>0.16666666666666666</v>
      </c>
      <c r="T54" s="68">
        <f>AVERAGE(T50:T53)</f>
        <v>0</v>
      </c>
      <c r="U54" s="62">
        <f t="shared" si="2"/>
        <v>0.99999999999999989</v>
      </c>
      <c r="W54" s="67"/>
      <c r="X54" s="68">
        <f>AVERAGE(X50:X53)</f>
        <v>0</v>
      </c>
      <c r="Y54" s="68">
        <f>AVERAGE(Y50:Y53)</f>
        <v>1</v>
      </c>
      <c r="Z54" s="68">
        <f>AVERAGE(Z50:Z53)</f>
        <v>0</v>
      </c>
      <c r="AA54" s="68">
        <f>AVERAGE(AA50:AA53)</f>
        <v>0</v>
      </c>
      <c r="AB54" s="62">
        <f t="shared" si="3"/>
        <v>1</v>
      </c>
      <c r="AD54" s="67"/>
      <c r="AE54" s="68" t="e">
        <f>AVERAGE(AE50:AE53)</f>
        <v>#DIV/0!</v>
      </c>
      <c r="AF54" s="68" t="e">
        <f>AVERAGE(AF50:AF53)</f>
        <v>#DIV/0!</v>
      </c>
      <c r="AG54" s="68" t="e">
        <f>AVERAGE(AG50:AG53)</f>
        <v>#DIV/0!</v>
      </c>
      <c r="AH54" s="68" t="e">
        <f>AVERAGE(AH50:AH53)</f>
        <v>#DIV/0!</v>
      </c>
      <c r="AI54" s="62" t="e">
        <f t="shared" si="4"/>
        <v>#DIV/0!</v>
      </c>
      <c r="AK54" s="67"/>
      <c r="AL54" s="68">
        <f>AVERAGE(AL50:AL53)</f>
        <v>0.25</v>
      </c>
      <c r="AM54" s="68">
        <f>AVERAGE(AM50:AM53)</f>
        <v>0.75</v>
      </c>
      <c r="AN54" s="68">
        <f>AVERAGE(AN50:AN53)</f>
        <v>0</v>
      </c>
      <c r="AO54" s="68">
        <f>AVERAGE(AO50:AO53)</f>
        <v>0</v>
      </c>
      <c r="AP54" s="62">
        <f t="shared" si="5"/>
        <v>1</v>
      </c>
      <c r="AR54" s="67"/>
      <c r="AS54" s="68" t="e">
        <f>AVERAGE(AS50:AS53)</f>
        <v>#DIV/0!</v>
      </c>
      <c r="AT54" s="68" t="e">
        <f>AVERAGE(AT50:AT53)</f>
        <v>#DIV/0!</v>
      </c>
      <c r="AU54" s="68" t="e">
        <f>AVERAGE(AU50:AU53)</f>
        <v>#DIV/0!</v>
      </c>
      <c r="AV54" s="68" t="e">
        <f>AVERAGE(AV50:AV53)</f>
        <v>#DIV/0!</v>
      </c>
      <c r="AW54" s="62" t="e">
        <f t="shared" si="6"/>
        <v>#DIV/0!</v>
      </c>
    </row>
    <row r="55" spans="2:49" ht="15.75" thickBot="1" x14ac:dyDescent="0.3"/>
    <row r="56" spans="2:49" ht="17.25" thickBot="1" x14ac:dyDescent="0.3">
      <c r="I56" s="64" t="s">
        <v>14</v>
      </c>
      <c r="J56" s="65" t="str">
        <f>J13</f>
        <v>S1 Teknik Komputer</v>
      </c>
      <c r="P56" s="64" t="s">
        <v>14</v>
      </c>
      <c r="Q56" s="65" t="str">
        <f>Q13</f>
        <v>S1 Sistem Informasi</v>
      </c>
      <c r="W56" s="64" t="s">
        <v>14</v>
      </c>
      <c r="X56" s="65" t="str">
        <f>X13</f>
        <v>D3 Sistem Informasi</v>
      </c>
      <c r="AD56" s="64" t="s">
        <v>14</v>
      </c>
      <c r="AE56" s="65" t="str">
        <f>AE13</f>
        <v>S1 Desain Komunikasi Visual</v>
      </c>
      <c r="AK56" s="64" t="s">
        <v>14</v>
      </c>
      <c r="AL56" s="65" t="str">
        <f>AL13</f>
        <v>D4 Produksi Film dan Televisi</v>
      </c>
      <c r="AR56" s="64" t="s">
        <v>14</v>
      </c>
      <c r="AS56" s="65" t="str">
        <f>AS13</f>
        <v>D3 Administrasi Perkantoran</v>
      </c>
    </row>
    <row r="57" spans="2:49" ht="17.25" thickBot="1" x14ac:dyDescent="0.3">
      <c r="B57" s="64" t="s">
        <v>647</v>
      </c>
      <c r="C57" s="65">
        <v>2018</v>
      </c>
      <c r="I57" s="64" t="s">
        <v>647</v>
      </c>
      <c r="J57" s="65">
        <f>J14</f>
        <v>2018</v>
      </c>
      <c r="P57" s="64" t="s">
        <v>647</v>
      </c>
      <c r="Q57" s="65">
        <f>Q14</f>
        <v>2018</v>
      </c>
      <c r="W57" s="64" t="s">
        <v>647</v>
      </c>
      <c r="X57" s="65">
        <f>X14</f>
        <v>2018</v>
      </c>
      <c r="AD57" s="64" t="s">
        <v>647</v>
      </c>
      <c r="AE57" s="65">
        <f>AE14</f>
        <v>2018</v>
      </c>
      <c r="AK57" s="64" t="s">
        <v>647</v>
      </c>
      <c r="AL57" s="65">
        <f>AL14</f>
        <v>2018</v>
      </c>
      <c r="AR57" s="64" t="s">
        <v>647</v>
      </c>
      <c r="AS57" s="65">
        <f>AS14</f>
        <v>2018</v>
      </c>
    </row>
    <row r="58" spans="2:49" ht="17.25" thickBot="1" x14ac:dyDescent="0.3">
      <c r="B58" s="69" t="s">
        <v>646</v>
      </c>
      <c r="C58" s="70">
        <f>COUNTIF(TblUniv2018[th lulus],C57)</f>
        <v>6</v>
      </c>
      <c r="I58" s="64" t="s">
        <v>646</v>
      </c>
      <c r="J58" s="65">
        <f>J15</f>
        <v>1</v>
      </c>
      <c r="P58" s="64" t="s">
        <v>646</v>
      </c>
      <c r="Q58" s="65">
        <f>Q15</f>
        <v>3</v>
      </c>
      <c r="W58" s="64" t="s">
        <v>646</v>
      </c>
      <c r="X58" s="65">
        <f>X15</f>
        <v>1</v>
      </c>
      <c r="AD58" s="64" t="s">
        <v>646</v>
      </c>
      <c r="AE58" s="65">
        <f>AE15</f>
        <v>0</v>
      </c>
      <c r="AK58" s="64" t="s">
        <v>646</v>
      </c>
      <c r="AL58" s="65">
        <f>AL15</f>
        <v>1</v>
      </c>
      <c r="AR58" s="64" t="s">
        <v>646</v>
      </c>
      <c r="AS58" s="65">
        <f>AS15</f>
        <v>0</v>
      </c>
    </row>
    <row r="59" spans="2:49" ht="15.75" thickBot="1" x14ac:dyDescent="0.3">
      <c r="B59" s="222" t="s">
        <v>658</v>
      </c>
      <c r="C59" s="223" t="s">
        <v>664</v>
      </c>
      <c r="D59" s="223"/>
      <c r="E59" s="223"/>
      <c r="F59" s="223"/>
      <c r="I59" s="222" t="s">
        <v>658</v>
      </c>
      <c r="J59" s="223" t="s">
        <v>664</v>
      </c>
      <c r="K59" s="223"/>
      <c r="L59" s="223"/>
      <c r="M59" s="223"/>
      <c r="P59" s="222" t="s">
        <v>658</v>
      </c>
      <c r="Q59" s="223" t="s">
        <v>664</v>
      </c>
      <c r="R59" s="223"/>
      <c r="S59" s="223"/>
      <c r="T59" s="223"/>
      <c r="W59" s="222" t="s">
        <v>658</v>
      </c>
      <c r="X59" s="223" t="s">
        <v>664</v>
      </c>
      <c r="Y59" s="223"/>
      <c r="Z59" s="223"/>
      <c r="AA59" s="223"/>
      <c r="AD59" s="222" t="s">
        <v>658</v>
      </c>
      <c r="AE59" s="223" t="s">
        <v>664</v>
      </c>
      <c r="AF59" s="223"/>
      <c r="AG59" s="223"/>
      <c r="AH59" s="223"/>
      <c r="AK59" s="222" t="s">
        <v>658</v>
      </c>
      <c r="AL59" s="223" t="s">
        <v>664</v>
      </c>
      <c r="AM59" s="223"/>
      <c r="AN59" s="223"/>
      <c r="AO59" s="223"/>
      <c r="AR59" s="222" t="s">
        <v>658</v>
      </c>
      <c r="AS59" s="223" t="s">
        <v>664</v>
      </c>
      <c r="AT59" s="223"/>
      <c r="AU59" s="223"/>
      <c r="AV59" s="223"/>
    </row>
    <row r="60" spans="2:49" ht="28.5" customHeight="1" thickBot="1" x14ac:dyDescent="0.3">
      <c r="B60" s="222"/>
      <c r="C60" s="72" t="s">
        <v>645</v>
      </c>
      <c r="D60" s="72" t="s">
        <v>665</v>
      </c>
      <c r="E60" s="72" t="s">
        <v>666</v>
      </c>
      <c r="F60" s="72" t="s">
        <v>667</v>
      </c>
      <c r="I60" s="222"/>
      <c r="J60" s="72" t="s">
        <v>645</v>
      </c>
      <c r="K60" s="72" t="s">
        <v>665</v>
      </c>
      <c r="L60" s="72" t="s">
        <v>666</v>
      </c>
      <c r="M60" s="72" t="s">
        <v>667</v>
      </c>
      <c r="P60" s="222"/>
      <c r="Q60" s="72" t="s">
        <v>645</v>
      </c>
      <c r="R60" s="72" t="s">
        <v>665</v>
      </c>
      <c r="S60" s="72" t="s">
        <v>666</v>
      </c>
      <c r="T60" s="72" t="s">
        <v>667</v>
      </c>
      <c r="W60" s="222"/>
      <c r="X60" s="72" t="s">
        <v>645</v>
      </c>
      <c r="Y60" s="72" t="s">
        <v>665</v>
      </c>
      <c r="Z60" s="72" t="s">
        <v>666</v>
      </c>
      <c r="AA60" s="72" t="s">
        <v>667</v>
      </c>
      <c r="AD60" s="222"/>
      <c r="AE60" s="72" t="s">
        <v>645</v>
      </c>
      <c r="AF60" s="72" t="s">
        <v>665</v>
      </c>
      <c r="AG60" s="72" t="s">
        <v>666</v>
      </c>
      <c r="AH60" s="72" t="s">
        <v>667</v>
      </c>
      <c r="AK60" s="222"/>
      <c r="AL60" s="72" t="s">
        <v>645</v>
      </c>
      <c r="AM60" s="72" t="s">
        <v>665</v>
      </c>
      <c r="AN60" s="72" t="s">
        <v>666</v>
      </c>
      <c r="AO60" s="72" t="s">
        <v>667</v>
      </c>
      <c r="AR60" s="222"/>
      <c r="AS60" s="72" t="s">
        <v>645</v>
      </c>
      <c r="AT60" s="72" t="s">
        <v>665</v>
      </c>
      <c r="AU60" s="72" t="s">
        <v>666</v>
      </c>
      <c r="AV60" s="72" t="s">
        <v>667</v>
      </c>
    </row>
    <row r="61" spans="2:49" x14ac:dyDescent="0.25">
      <c r="B61" s="73">
        <v>2</v>
      </c>
      <c r="C61" s="71">
        <v>3</v>
      </c>
      <c r="D61" s="71">
        <v>4</v>
      </c>
      <c r="E61" s="71">
        <v>5</v>
      </c>
      <c r="F61" s="74">
        <v>6</v>
      </c>
      <c r="I61" s="73">
        <v>2</v>
      </c>
      <c r="J61" s="71">
        <v>3</v>
      </c>
      <c r="K61" s="71">
        <v>4</v>
      </c>
      <c r="L61" s="71">
        <v>5</v>
      </c>
      <c r="M61" s="74">
        <v>6</v>
      </c>
      <c r="P61" s="73">
        <v>2</v>
      </c>
      <c r="Q61" s="71">
        <v>3</v>
      </c>
      <c r="R61" s="71">
        <v>4</v>
      </c>
      <c r="S61" s="71">
        <v>5</v>
      </c>
      <c r="T61" s="74">
        <v>6</v>
      </c>
      <c r="W61" s="73">
        <v>2</v>
      </c>
      <c r="X61" s="71">
        <v>3</v>
      </c>
      <c r="Y61" s="71">
        <v>4</v>
      </c>
      <c r="Z61" s="71">
        <v>5</v>
      </c>
      <c r="AA61" s="74">
        <v>6</v>
      </c>
      <c r="AD61" s="73">
        <v>2</v>
      </c>
      <c r="AE61" s="71">
        <v>3</v>
      </c>
      <c r="AF61" s="71">
        <v>4</v>
      </c>
      <c r="AG61" s="71">
        <v>5</v>
      </c>
      <c r="AH61" s="74">
        <v>6</v>
      </c>
      <c r="AK61" s="73">
        <v>2</v>
      </c>
      <c r="AL61" s="71">
        <v>3</v>
      </c>
      <c r="AM61" s="71">
        <v>4</v>
      </c>
      <c r="AN61" s="71">
        <v>5</v>
      </c>
      <c r="AO61" s="74">
        <v>6</v>
      </c>
      <c r="AR61" s="73">
        <v>2</v>
      </c>
      <c r="AS61" s="71">
        <v>3</v>
      </c>
      <c r="AT61" s="71">
        <v>4</v>
      </c>
      <c r="AU61" s="71">
        <v>5</v>
      </c>
      <c r="AV61" s="74">
        <v>6</v>
      </c>
    </row>
    <row r="62" spans="2:49" x14ac:dyDescent="0.25">
      <c r="B62" s="75" t="s">
        <v>659</v>
      </c>
      <c r="C62" s="58">
        <f>C22</f>
        <v>0.5</v>
      </c>
      <c r="D62" s="58">
        <f>D22</f>
        <v>0.43333333333333329</v>
      </c>
      <c r="E62" s="58">
        <f>E22</f>
        <v>6.6666666666666666E-2</v>
      </c>
      <c r="F62" s="59">
        <f>F22</f>
        <v>0</v>
      </c>
      <c r="I62" s="75" t="s">
        <v>659</v>
      </c>
      <c r="J62" s="58">
        <f>J22</f>
        <v>0.8</v>
      </c>
      <c r="K62" s="58">
        <f>K22</f>
        <v>0.2</v>
      </c>
      <c r="L62" s="58">
        <f>L22</f>
        <v>0</v>
      </c>
      <c r="M62" s="59">
        <f>M22</f>
        <v>0</v>
      </c>
      <c r="P62" s="75" t="s">
        <v>659</v>
      </c>
      <c r="Q62" s="58">
        <f>Q22</f>
        <v>0.39999999999999997</v>
      </c>
      <c r="R62" s="58">
        <f>R22</f>
        <v>0.46666666666666662</v>
      </c>
      <c r="S62" s="58">
        <f>S22</f>
        <v>0.13333333333333333</v>
      </c>
      <c r="T62" s="59">
        <f>T22</f>
        <v>0</v>
      </c>
      <c r="W62" s="75" t="s">
        <v>659</v>
      </c>
      <c r="X62" s="58">
        <f>X22</f>
        <v>0.2</v>
      </c>
      <c r="Y62" s="58">
        <f>Y22</f>
        <v>0.8</v>
      </c>
      <c r="Z62" s="58">
        <f>Z22</f>
        <v>0</v>
      </c>
      <c r="AA62" s="59">
        <f>AA22</f>
        <v>0</v>
      </c>
      <c r="AD62" s="75" t="s">
        <v>659</v>
      </c>
      <c r="AE62" s="58" t="e">
        <f>AE22</f>
        <v>#DIV/0!</v>
      </c>
      <c r="AF62" s="58" t="e">
        <f>AF22</f>
        <v>#DIV/0!</v>
      </c>
      <c r="AG62" s="58" t="e">
        <f>AG22</f>
        <v>#DIV/0!</v>
      </c>
      <c r="AH62" s="59" t="e">
        <f>AH22</f>
        <v>#DIV/0!</v>
      </c>
      <c r="AK62" s="75" t="s">
        <v>659</v>
      </c>
      <c r="AL62" s="58">
        <f>AL22</f>
        <v>0.8</v>
      </c>
      <c r="AM62" s="58">
        <f>AM22</f>
        <v>0.2</v>
      </c>
      <c r="AN62" s="58">
        <f>AN22</f>
        <v>0</v>
      </c>
      <c r="AO62" s="59">
        <f>AO22</f>
        <v>0</v>
      </c>
      <c r="AR62" s="75" t="s">
        <v>659</v>
      </c>
      <c r="AS62" s="58" t="e">
        <f>AS22</f>
        <v>#DIV/0!</v>
      </c>
      <c r="AT62" s="58" t="e">
        <f>AT22</f>
        <v>#DIV/0!</v>
      </c>
      <c r="AU62" s="58" t="e">
        <f>AU22</f>
        <v>#DIV/0!</v>
      </c>
      <c r="AV62" s="59" t="e">
        <f>AV22</f>
        <v>#DIV/0!</v>
      </c>
    </row>
    <row r="63" spans="2:49" x14ac:dyDescent="0.25">
      <c r="B63" s="75" t="s">
        <v>660</v>
      </c>
      <c r="C63" s="58">
        <f>C25</f>
        <v>0.75</v>
      </c>
      <c r="D63" s="58">
        <f>D25</f>
        <v>0.25</v>
      </c>
      <c r="E63" s="58">
        <f>E25</f>
        <v>0</v>
      </c>
      <c r="F63" s="59">
        <f>F25</f>
        <v>0</v>
      </c>
      <c r="I63" s="75" t="s">
        <v>660</v>
      </c>
      <c r="J63" s="58">
        <f>J25</f>
        <v>0.5</v>
      </c>
      <c r="K63" s="58">
        <f>K25</f>
        <v>0.5</v>
      </c>
      <c r="L63" s="58">
        <f>L25</f>
        <v>0</v>
      </c>
      <c r="M63" s="59">
        <f>M25</f>
        <v>0</v>
      </c>
      <c r="P63" s="75" t="s">
        <v>660</v>
      </c>
      <c r="Q63" s="58">
        <f>Q25</f>
        <v>0.66666666666666663</v>
      </c>
      <c r="R63" s="58">
        <f>R25</f>
        <v>0.33333333333333331</v>
      </c>
      <c r="S63" s="58">
        <f>S25</f>
        <v>0</v>
      </c>
      <c r="T63" s="59">
        <f>T25</f>
        <v>0</v>
      </c>
      <c r="W63" s="75" t="s">
        <v>660</v>
      </c>
      <c r="X63" s="58">
        <f>X25</f>
        <v>1</v>
      </c>
      <c r="Y63" s="58">
        <f>Y25</f>
        <v>0</v>
      </c>
      <c r="Z63" s="58">
        <f>Z25</f>
        <v>0</v>
      </c>
      <c r="AA63" s="59">
        <f>AA25</f>
        <v>0</v>
      </c>
      <c r="AD63" s="75" t="s">
        <v>660</v>
      </c>
      <c r="AE63" s="58" t="e">
        <f>AE25</f>
        <v>#DIV/0!</v>
      </c>
      <c r="AF63" s="58" t="e">
        <f>AF25</f>
        <v>#DIV/0!</v>
      </c>
      <c r="AG63" s="58" t="e">
        <f>AG25</f>
        <v>#DIV/0!</v>
      </c>
      <c r="AH63" s="59" t="e">
        <f>AH25</f>
        <v>#DIV/0!</v>
      </c>
      <c r="AK63" s="75" t="s">
        <v>660</v>
      </c>
      <c r="AL63" s="58">
        <f>AL25</f>
        <v>1</v>
      </c>
      <c r="AM63" s="58">
        <f>AM25</f>
        <v>0</v>
      </c>
      <c r="AN63" s="58">
        <f>AN25</f>
        <v>0</v>
      </c>
      <c r="AO63" s="59">
        <f>AO25</f>
        <v>0</v>
      </c>
      <c r="AR63" s="75" t="s">
        <v>660</v>
      </c>
      <c r="AS63" s="58" t="e">
        <f>AS25</f>
        <v>#DIV/0!</v>
      </c>
      <c r="AT63" s="58" t="e">
        <f>AT25</f>
        <v>#DIV/0!</v>
      </c>
      <c r="AU63" s="58" t="e">
        <f>AU25</f>
        <v>#DIV/0!</v>
      </c>
      <c r="AV63" s="59" t="e">
        <f>AV25</f>
        <v>#DIV/0!</v>
      </c>
    </row>
    <row r="64" spans="2:49" x14ac:dyDescent="0.25">
      <c r="B64" s="75" t="s">
        <v>661</v>
      </c>
      <c r="C64" s="58">
        <f>C28</f>
        <v>0</v>
      </c>
      <c r="D64" s="58">
        <f>D28</f>
        <v>0.66666666666666663</v>
      </c>
      <c r="E64" s="58">
        <f>E28</f>
        <v>0.33333333333333331</v>
      </c>
      <c r="F64" s="59">
        <f>F28</f>
        <v>0</v>
      </c>
      <c r="I64" s="75" t="s">
        <v>661</v>
      </c>
      <c r="J64" s="58">
        <f>J28</f>
        <v>0</v>
      </c>
      <c r="K64" s="58">
        <f>K28</f>
        <v>0</v>
      </c>
      <c r="L64" s="58">
        <f>L28</f>
        <v>1</v>
      </c>
      <c r="M64" s="59">
        <f>M28</f>
        <v>0</v>
      </c>
      <c r="P64" s="75" t="s">
        <v>661</v>
      </c>
      <c r="Q64" s="58">
        <f>Q28</f>
        <v>0</v>
      </c>
      <c r="R64" s="58">
        <f>R28</f>
        <v>0.66666666666666663</v>
      </c>
      <c r="S64" s="58">
        <f>S28</f>
        <v>0.33333333333333331</v>
      </c>
      <c r="T64" s="59">
        <f>T28</f>
        <v>0</v>
      </c>
      <c r="W64" s="75" t="s">
        <v>661</v>
      </c>
      <c r="X64" s="58">
        <f>X28</f>
        <v>0</v>
      </c>
      <c r="Y64" s="58">
        <f>Y28</f>
        <v>1</v>
      </c>
      <c r="Z64" s="58">
        <f>Z28</f>
        <v>0</v>
      </c>
      <c r="AA64" s="59">
        <f>AA28</f>
        <v>0</v>
      </c>
      <c r="AD64" s="75" t="s">
        <v>661</v>
      </c>
      <c r="AE64" s="58" t="e">
        <f>AE28</f>
        <v>#DIV/0!</v>
      </c>
      <c r="AF64" s="58" t="e">
        <f>AF28</f>
        <v>#DIV/0!</v>
      </c>
      <c r="AG64" s="58" t="e">
        <f>AG28</f>
        <v>#DIV/0!</v>
      </c>
      <c r="AH64" s="59" t="e">
        <f>AH28</f>
        <v>#DIV/0!</v>
      </c>
      <c r="AK64" s="75" t="s">
        <v>661</v>
      </c>
      <c r="AL64" s="58">
        <f>AL28</f>
        <v>0</v>
      </c>
      <c r="AM64" s="58">
        <f>AM28</f>
        <v>1</v>
      </c>
      <c r="AN64" s="58">
        <f>AN28</f>
        <v>0</v>
      </c>
      <c r="AO64" s="59">
        <f>AO28</f>
        <v>0</v>
      </c>
      <c r="AR64" s="75" t="s">
        <v>661</v>
      </c>
      <c r="AS64" s="58" t="e">
        <f>AS28</f>
        <v>#DIV/0!</v>
      </c>
      <c r="AT64" s="58" t="e">
        <f>AT28</f>
        <v>#DIV/0!</v>
      </c>
      <c r="AU64" s="58" t="e">
        <f>AU28</f>
        <v>#DIV/0!</v>
      </c>
      <c r="AV64" s="59" t="e">
        <f>AV28</f>
        <v>#DIV/0!</v>
      </c>
    </row>
    <row r="65" spans="2:48" x14ac:dyDescent="0.25">
      <c r="B65" s="75" t="s">
        <v>662</v>
      </c>
      <c r="C65" s="58">
        <f>C31</f>
        <v>0.66666666666666663</v>
      </c>
      <c r="D65" s="58">
        <f>D31</f>
        <v>0.33333333333333331</v>
      </c>
      <c r="E65" s="58">
        <f>E31</f>
        <v>0</v>
      </c>
      <c r="F65" s="59">
        <f>F31</f>
        <v>0</v>
      </c>
      <c r="I65" s="75" t="s">
        <v>662</v>
      </c>
      <c r="J65" s="58">
        <f>J31</f>
        <v>1</v>
      </c>
      <c r="K65" s="58">
        <f>K31</f>
        <v>0</v>
      </c>
      <c r="L65" s="58">
        <f>L31</f>
        <v>0</v>
      </c>
      <c r="M65" s="59">
        <f>M31</f>
        <v>0</v>
      </c>
      <c r="P65" s="75" t="s">
        <v>662</v>
      </c>
      <c r="Q65" s="58">
        <f>Q31</f>
        <v>0.66666666666666663</v>
      </c>
      <c r="R65" s="58">
        <f>R31</f>
        <v>0.33333333333333331</v>
      </c>
      <c r="S65" s="58">
        <f>S31</f>
        <v>0</v>
      </c>
      <c r="T65" s="59">
        <f>T31</f>
        <v>0</v>
      </c>
      <c r="W65" s="75" t="s">
        <v>662</v>
      </c>
      <c r="X65" s="58">
        <f>X31</f>
        <v>0</v>
      </c>
      <c r="Y65" s="58">
        <f>Y31</f>
        <v>1</v>
      </c>
      <c r="Z65" s="58">
        <f>Z31</f>
        <v>0</v>
      </c>
      <c r="AA65" s="59">
        <f>AA31</f>
        <v>0</v>
      </c>
      <c r="AD65" s="75" t="s">
        <v>662</v>
      </c>
      <c r="AE65" s="58" t="e">
        <f>AE31</f>
        <v>#DIV/0!</v>
      </c>
      <c r="AF65" s="58" t="e">
        <f>AF31</f>
        <v>#DIV/0!</v>
      </c>
      <c r="AG65" s="58" t="e">
        <f>AG31</f>
        <v>#DIV/0!</v>
      </c>
      <c r="AH65" s="59" t="e">
        <f>AH31</f>
        <v>#DIV/0!</v>
      </c>
      <c r="AK65" s="75" t="s">
        <v>662</v>
      </c>
      <c r="AL65" s="58">
        <f>AL31</f>
        <v>1</v>
      </c>
      <c r="AM65" s="58">
        <f>AM31</f>
        <v>0</v>
      </c>
      <c r="AN65" s="58">
        <f>AN31</f>
        <v>0</v>
      </c>
      <c r="AO65" s="59">
        <f>AO31</f>
        <v>0</v>
      </c>
      <c r="AR65" s="75" t="s">
        <v>662</v>
      </c>
      <c r="AS65" s="58" t="e">
        <f>AS31</f>
        <v>#DIV/0!</v>
      </c>
      <c r="AT65" s="58" t="e">
        <f>AT31</f>
        <v>#DIV/0!</v>
      </c>
      <c r="AU65" s="58" t="e">
        <f>AU31</f>
        <v>#DIV/0!</v>
      </c>
      <c r="AV65" s="59" t="e">
        <f>AV31</f>
        <v>#DIV/0!</v>
      </c>
    </row>
    <row r="66" spans="2:48" x14ac:dyDescent="0.25">
      <c r="B66" s="75" t="s">
        <v>663</v>
      </c>
      <c r="C66" s="58">
        <f>C35</f>
        <v>0.1111111111111111</v>
      </c>
      <c r="D66" s="58">
        <f>D35</f>
        <v>0.88888888888888884</v>
      </c>
      <c r="E66" s="58">
        <f>E35</f>
        <v>0</v>
      </c>
      <c r="F66" s="59">
        <f>F35</f>
        <v>0</v>
      </c>
      <c r="I66" s="75" t="s">
        <v>663</v>
      </c>
      <c r="J66" s="58">
        <f>J35</f>
        <v>0.33333333333333331</v>
      </c>
      <c r="K66" s="58">
        <f>K35</f>
        <v>0.66666666666666663</v>
      </c>
      <c r="L66" s="58">
        <f>L35</f>
        <v>0</v>
      </c>
      <c r="M66" s="59">
        <f>M35</f>
        <v>0</v>
      </c>
      <c r="P66" s="75" t="s">
        <v>663</v>
      </c>
      <c r="Q66" s="58">
        <f>Q35</f>
        <v>0</v>
      </c>
      <c r="R66" s="58">
        <f>R35</f>
        <v>1</v>
      </c>
      <c r="S66" s="58">
        <f>S35</f>
        <v>0</v>
      </c>
      <c r="T66" s="59">
        <f>T35</f>
        <v>0</v>
      </c>
      <c r="W66" s="75" t="s">
        <v>663</v>
      </c>
      <c r="X66" s="58">
        <f>X35</f>
        <v>0</v>
      </c>
      <c r="Y66" s="58">
        <f>Y35</f>
        <v>1</v>
      </c>
      <c r="Z66" s="58">
        <f>Z35</f>
        <v>0</v>
      </c>
      <c r="AA66" s="59">
        <f>AA35</f>
        <v>0</v>
      </c>
      <c r="AD66" s="75" t="s">
        <v>663</v>
      </c>
      <c r="AE66" s="58" t="e">
        <f>AE35</f>
        <v>#DIV/0!</v>
      </c>
      <c r="AF66" s="58" t="e">
        <f>AF35</f>
        <v>#DIV/0!</v>
      </c>
      <c r="AG66" s="58" t="e">
        <f>AG35</f>
        <v>#DIV/0!</v>
      </c>
      <c r="AH66" s="59" t="e">
        <f>AH35</f>
        <v>#DIV/0!</v>
      </c>
      <c r="AK66" s="75" t="s">
        <v>663</v>
      </c>
      <c r="AL66" s="58">
        <f>AL35</f>
        <v>0.33333333333333331</v>
      </c>
      <c r="AM66" s="58">
        <f>AM35</f>
        <v>0.66666666666666663</v>
      </c>
      <c r="AN66" s="58">
        <f>AN35</f>
        <v>0</v>
      </c>
      <c r="AO66" s="59">
        <f>AO35</f>
        <v>0</v>
      </c>
      <c r="AR66" s="75" t="s">
        <v>663</v>
      </c>
      <c r="AS66" s="58" t="e">
        <f>AS35</f>
        <v>#DIV/0!</v>
      </c>
      <c r="AT66" s="58" t="e">
        <f>AT35</f>
        <v>#DIV/0!</v>
      </c>
      <c r="AU66" s="58" t="e">
        <f>AU35</f>
        <v>#DIV/0!</v>
      </c>
      <c r="AV66" s="59" t="e">
        <f>AV35</f>
        <v>#DIV/0!</v>
      </c>
    </row>
    <row r="67" spans="2:48" x14ac:dyDescent="0.25">
      <c r="B67" s="75" t="s">
        <v>617</v>
      </c>
      <c r="C67" s="58">
        <f>C38</f>
        <v>0.5</v>
      </c>
      <c r="D67" s="58">
        <f>D38</f>
        <v>0.33333333333333331</v>
      </c>
      <c r="E67" s="58">
        <f>E38</f>
        <v>0.16666666666666666</v>
      </c>
      <c r="F67" s="59">
        <f>F38</f>
        <v>0</v>
      </c>
      <c r="I67" s="75" t="s">
        <v>617</v>
      </c>
      <c r="J67" s="58">
        <f>J38</f>
        <v>0.5</v>
      </c>
      <c r="K67" s="58">
        <f>K38</f>
        <v>0.5</v>
      </c>
      <c r="L67" s="58">
        <f>L38</f>
        <v>0</v>
      </c>
      <c r="M67" s="59">
        <f>M38</f>
        <v>0</v>
      </c>
      <c r="P67" s="75" t="s">
        <v>617</v>
      </c>
      <c r="Q67" s="58">
        <f>Q38</f>
        <v>0.33333333333333331</v>
      </c>
      <c r="R67" s="58">
        <f>R38</f>
        <v>0.33333333333333331</v>
      </c>
      <c r="S67" s="58">
        <f>S38</f>
        <v>0.33333333333333331</v>
      </c>
      <c r="T67" s="59">
        <f>T38</f>
        <v>0</v>
      </c>
      <c r="W67" s="75" t="s">
        <v>617</v>
      </c>
      <c r="X67" s="58">
        <f>X38</f>
        <v>1</v>
      </c>
      <c r="Y67" s="58">
        <f>Y38</f>
        <v>0</v>
      </c>
      <c r="Z67" s="58">
        <f>Z38</f>
        <v>0</v>
      </c>
      <c r="AA67" s="59">
        <f>AA38</f>
        <v>0</v>
      </c>
      <c r="AD67" s="75" t="s">
        <v>617</v>
      </c>
      <c r="AE67" s="58" t="e">
        <f>AE38</f>
        <v>#DIV/0!</v>
      </c>
      <c r="AF67" s="58" t="e">
        <f>AF38</f>
        <v>#DIV/0!</v>
      </c>
      <c r="AG67" s="58" t="e">
        <f>AG38</f>
        <v>#DIV/0!</v>
      </c>
      <c r="AH67" s="59" t="e">
        <f>AH38</f>
        <v>#DIV/0!</v>
      </c>
      <c r="AK67" s="75" t="s">
        <v>617</v>
      </c>
      <c r="AL67" s="58">
        <f>AL38</f>
        <v>0.5</v>
      </c>
      <c r="AM67" s="58">
        <f>AM38</f>
        <v>0.5</v>
      </c>
      <c r="AN67" s="58">
        <f>AN38</f>
        <v>0</v>
      </c>
      <c r="AO67" s="59">
        <f>AO38</f>
        <v>0</v>
      </c>
      <c r="AR67" s="75" t="s">
        <v>617</v>
      </c>
      <c r="AS67" s="58" t="e">
        <f>AS38</f>
        <v>#DIV/0!</v>
      </c>
      <c r="AT67" s="58" t="e">
        <f>AT38</f>
        <v>#DIV/0!</v>
      </c>
      <c r="AU67" s="58" t="e">
        <f>AU38</f>
        <v>#DIV/0!</v>
      </c>
      <c r="AV67" s="59" t="e">
        <f>AV38</f>
        <v>#DIV/0!</v>
      </c>
    </row>
    <row r="68" spans="2:48" x14ac:dyDescent="0.25">
      <c r="B68" s="75" t="s">
        <v>330</v>
      </c>
      <c r="C68" s="58">
        <f>C43</f>
        <v>0.33333333333333331</v>
      </c>
      <c r="D68" s="58">
        <f>D43</f>
        <v>0.625</v>
      </c>
      <c r="E68" s="58">
        <f>E43</f>
        <v>4.1666666666666664E-2</v>
      </c>
      <c r="F68" s="59">
        <f>F43</f>
        <v>0</v>
      </c>
      <c r="I68" s="75" t="s">
        <v>330</v>
      </c>
      <c r="J68" s="58">
        <f>J43</f>
        <v>0.25</v>
      </c>
      <c r="K68" s="58">
        <f>K43</f>
        <v>0.75</v>
      </c>
      <c r="L68" s="58">
        <f>L43</f>
        <v>0</v>
      </c>
      <c r="M68" s="59">
        <f>M43</f>
        <v>0</v>
      </c>
      <c r="P68" s="75" t="s">
        <v>330</v>
      </c>
      <c r="Q68" s="58">
        <f>Q43</f>
        <v>0.41666666666666663</v>
      </c>
      <c r="R68" s="58">
        <f>R43</f>
        <v>0.58333333333333326</v>
      </c>
      <c r="S68" s="58">
        <f>S43</f>
        <v>0</v>
      </c>
      <c r="T68" s="59">
        <f>T43</f>
        <v>0</v>
      </c>
      <c r="W68" s="75" t="s">
        <v>330</v>
      </c>
      <c r="X68" s="58">
        <f>X43</f>
        <v>0</v>
      </c>
      <c r="Y68" s="58">
        <f>Y43</f>
        <v>1</v>
      </c>
      <c r="Z68" s="58">
        <f>Z43</f>
        <v>0</v>
      </c>
      <c r="AA68" s="59">
        <f>AA43</f>
        <v>0</v>
      </c>
      <c r="AD68" s="75" t="s">
        <v>330</v>
      </c>
      <c r="AE68" s="58" t="e">
        <f>AE43</f>
        <v>#DIV/0!</v>
      </c>
      <c r="AF68" s="58" t="e">
        <f>AF43</f>
        <v>#DIV/0!</v>
      </c>
      <c r="AG68" s="58" t="e">
        <f>AG43</f>
        <v>#DIV/0!</v>
      </c>
      <c r="AH68" s="59" t="e">
        <f>AH43</f>
        <v>#DIV/0!</v>
      </c>
      <c r="AK68" s="75" t="s">
        <v>330</v>
      </c>
      <c r="AL68" s="58">
        <f>AL43</f>
        <v>0.25</v>
      </c>
      <c r="AM68" s="58">
        <f>AM43</f>
        <v>0.75</v>
      </c>
      <c r="AN68" s="58">
        <f>AN43</f>
        <v>0</v>
      </c>
      <c r="AO68" s="59">
        <f>AO43</f>
        <v>0</v>
      </c>
      <c r="AR68" s="75" t="s">
        <v>330</v>
      </c>
      <c r="AS68" s="58" t="e">
        <f>AS43</f>
        <v>#DIV/0!</v>
      </c>
      <c r="AT68" s="58" t="e">
        <f>AT43</f>
        <v>#DIV/0!</v>
      </c>
      <c r="AU68" s="58" t="e">
        <f>AU43</f>
        <v>#DIV/0!</v>
      </c>
      <c r="AV68" s="59" t="e">
        <f>AV43</f>
        <v>#DIV/0!</v>
      </c>
    </row>
    <row r="69" spans="2:48" x14ac:dyDescent="0.25">
      <c r="B69" s="75" t="s">
        <v>68</v>
      </c>
      <c r="C69" s="58">
        <f>C49</f>
        <v>0.13333333333333333</v>
      </c>
      <c r="D69" s="58">
        <f>D49</f>
        <v>0.86666666666666681</v>
      </c>
      <c r="E69" s="58">
        <f>E49</f>
        <v>0</v>
      </c>
      <c r="F69" s="59">
        <f>F49</f>
        <v>0</v>
      </c>
      <c r="I69" s="75" t="s">
        <v>68</v>
      </c>
      <c r="J69" s="58">
        <f>J49</f>
        <v>0</v>
      </c>
      <c r="K69" s="58">
        <f>K49</f>
        <v>1</v>
      </c>
      <c r="L69" s="58">
        <f>L49</f>
        <v>0</v>
      </c>
      <c r="M69" s="59">
        <f>M49</f>
        <v>0</v>
      </c>
      <c r="P69" s="75" t="s">
        <v>68</v>
      </c>
      <c r="Q69" s="58">
        <f>Q49</f>
        <v>0</v>
      </c>
      <c r="R69" s="58">
        <f>R49</f>
        <v>1</v>
      </c>
      <c r="S69" s="58">
        <f>S49</f>
        <v>0</v>
      </c>
      <c r="T69" s="59">
        <f>T49</f>
        <v>0</v>
      </c>
      <c r="W69" s="75" t="s">
        <v>68</v>
      </c>
      <c r="X69" s="58">
        <f>X49</f>
        <v>0</v>
      </c>
      <c r="Y69" s="58">
        <f>Y49</f>
        <v>1</v>
      </c>
      <c r="Z69" s="58">
        <f>Z49</f>
        <v>0</v>
      </c>
      <c r="AA69" s="59">
        <f>AA49</f>
        <v>0</v>
      </c>
      <c r="AD69" s="75" t="s">
        <v>68</v>
      </c>
      <c r="AE69" s="58" t="e">
        <f>AE49</f>
        <v>#DIV/0!</v>
      </c>
      <c r="AF69" s="58" t="e">
        <f>AF49</f>
        <v>#DIV/0!</v>
      </c>
      <c r="AG69" s="58" t="e">
        <f>AG49</f>
        <v>#DIV/0!</v>
      </c>
      <c r="AH69" s="59" t="e">
        <f>AH49</f>
        <v>#DIV/0!</v>
      </c>
      <c r="AK69" s="75" t="s">
        <v>68</v>
      </c>
      <c r="AL69" s="58">
        <f>AL49</f>
        <v>0.8</v>
      </c>
      <c r="AM69" s="58">
        <f>AM49</f>
        <v>0.2</v>
      </c>
      <c r="AN69" s="58">
        <f>AN49</f>
        <v>0</v>
      </c>
      <c r="AO69" s="59">
        <f>AO49</f>
        <v>0</v>
      </c>
      <c r="AR69" s="75" t="s">
        <v>68</v>
      </c>
      <c r="AS69" s="58" t="e">
        <f>AS49</f>
        <v>#DIV/0!</v>
      </c>
      <c r="AT69" s="58" t="e">
        <f>AT49</f>
        <v>#DIV/0!</v>
      </c>
      <c r="AU69" s="58" t="e">
        <f>AU49</f>
        <v>#DIV/0!</v>
      </c>
      <c r="AV69" s="59" t="e">
        <f>AV49</f>
        <v>#DIV/0!</v>
      </c>
    </row>
    <row r="70" spans="2:48" ht="15.75" thickBot="1" x14ac:dyDescent="0.3">
      <c r="B70" s="76" t="s">
        <v>68</v>
      </c>
      <c r="C70" s="77">
        <f>C54</f>
        <v>0.125</v>
      </c>
      <c r="D70" s="77">
        <f>D54</f>
        <v>0.79166666666666674</v>
      </c>
      <c r="E70" s="77">
        <f>E54</f>
        <v>8.3333333333333329E-2</v>
      </c>
      <c r="F70" s="78">
        <f>F54</f>
        <v>0</v>
      </c>
      <c r="I70" s="76" t="s">
        <v>68</v>
      </c>
      <c r="J70" s="77">
        <f>J54</f>
        <v>0</v>
      </c>
      <c r="K70" s="77">
        <f>K54</f>
        <v>1</v>
      </c>
      <c r="L70" s="77">
        <f>L54</f>
        <v>0</v>
      </c>
      <c r="M70" s="78">
        <f>M54</f>
        <v>0</v>
      </c>
      <c r="P70" s="76" t="s">
        <v>68</v>
      </c>
      <c r="Q70" s="77">
        <f>Q54</f>
        <v>0.16666666666666666</v>
      </c>
      <c r="R70" s="77">
        <f>R54</f>
        <v>0.66666666666666663</v>
      </c>
      <c r="S70" s="77">
        <f>S54</f>
        <v>0.16666666666666666</v>
      </c>
      <c r="T70" s="78">
        <f>T54</f>
        <v>0</v>
      </c>
      <c r="W70" s="76" t="s">
        <v>68</v>
      </c>
      <c r="X70" s="77">
        <f>X54</f>
        <v>0</v>
      </c>
      <c r="Y70" s="77">
        <f>Y54</f>
        <v>1</v>
      </c>
      <c r="Z70" s="77">
        <f>Z54</f>
        <v>0</v>
      </c>
      <c r="AA70" s="78">
        <f>AA54</f>
        <v>0</v>
      </c>
      <c r="AD70" s="76" t="s">
        <v>68</v>
      </c>
      <c r="AE70" s="77" t="e">
        <f>AE54</f>
        <v>#DIV/0!</v>
      </c>
      <c r="AF70" s="77" t="e">
        <f>AF54</f>
        <v>#DIV/0!</v>
      </c>
      <c r="AG70" s="77" t="e">
        <f>AG54</f>
        <v>#DIV/0!</v>
      </c>
      <c r="AH70" s="78" t="e">
        <f>AH54</f>
        <v>#DIV/0!</v>
      </c>
      <c r="AK70" s="76" t="s">
        <v>68</v>
      </c>
      <c r="AL70" s="77">
        <f>AL54</f>
        <v>0.25</v>
      </c>
      <c r="AM70" s="77">
        <f>AM54</f>
        <v>0.75</v>
      </c>
      <c r="AN70" s="77">
        <f>AN54</f>
        <v>0</v>
      </c>
      <c r="AO70" s="78">
        <f>AO54</f>
        <v>0</v>
      </c>
      <c r="AR70" s="76" t="s">
        <v>68</v>
      </c>
      <c r="AS70" s="77" t="e">
        <f>AS54</f>
        <v>#DIV/0!</v>
      </c>
      <c r="AT70" s="77" t="e">
        <f>AT54</f>
        <v>#DIV/0!</v>
      </c>
      <c r="AU70" s="77" t="e">
        <f>AU54</f>
        <v>#DIV/0!</v>
      </c>
      <c r="AV70" s="78" t="e">
        <f>AV54</f>
        <v>#DIV/0!</v>
      </c>
    </row>
    <row r="71" spans="2:48" x14ac:dyDescent="0.25">
      <c r="B71" s="79" t="s">
        <v>669</v>
      </c>
      <c r="C71" s="81">
        <f>SUM(C62:C70)</f>
        <v>3.1194444444444445</v>
      </c>
      <c r="D71" s="81">
        <f>SUM(D62:D70)</f>
        <v>5.1888888888888891</v>
      </c>
      <c r="E71" s="81">
        <f>SUM(E62:E70)</f>
        <v>0.69166666666666665</v>
      </c>
      <c r="F71" s="84">
        <f>SUM(F62:F70)</f>
        <v>0</v>
      </c>
      <c r="I71" s="79" t="s">
        <v>669</v>
      </c>
      <c r="J71" s="81">
        <f>SUM(J62:J70)</f>
        <v>3.3833333333333333</v>
      </c>
      <c r="K71" s="81">
        <f>SUM(K62:K70)</f>
        <v>4.6166666666666671</v>
      </c>
      <c r="L71" s="81">
        <f>SUM(L62:L70)</f>
        <v>1</v>
      </c>
      <c r="M71" s="84">
        <f>SUM(M62:M70)</f>
        <v>0</v>
      </c>
      <c r="P71" s="79" t="s">
        <v>669</v>
      </c>
      <c r="Q71" s="81">
        <f>SUM(Q62:Q70)</f>
        <v>2.65</v>
      </c>
      <c r="R71" s="81">
        <f>SUM(R62:R70)</f>
        <v>5.3833333333333337</v>
      </c>
      <c r="S71" s="81">
        <f>SUM(S62:S70)</f>
        <v>0.96666666666666667</v>
      </c>
      <c r="T71" s="84">
        <f>SUM(T62:T70)</f>
        <v>0</v>
      </c>
      <c r="W71" s="79" t="s">
        <v>669</v>
      </c>
      <c r="X71" s="81">
        <f>SUM(X62:X70)</f>
        <v>2.2000000000000002</v>
      </c>
      <c r="Y71" s="81">
        <f>SUM(Y62:Y70)</f>
        <v>6.8</v>
      </c>
      <c r="Z71" s="81">
        <f>SUM(Z62:Z70)</f>
        <v>0</v>
      </c>
      <c r="AA71" s="84">
        <f>SUM(AA62:AA70)</f>
        <v>0</v>
      </c>
      <c r="AD71" s="79" t="s">
        <v>669</v>
      </c>
      <c r="AE71" s="81" t="e">
        <f>SUM(AE62:AE70)</f>
        <v>#DIV/0!</v>
      </c>
      <c r="AF71" s="81" t="e">
        <f>SUM(AF62:AF70)</f>
        <v>#DIV/0!</v>
      </c>
      <c r="AG71" s="81" t="e">
        <f>SUM(AG62:AG70)</f>
        <v>#DIV/0!</v>
      </c>
      <c r="AH71" s="84" t="e">
        <f>SUM(AH62:AH70)</f>
        <v>#DIV/0!</v>
      </c>
      <c r="AK71" s="79" t="s">
        <v>669</v>
      </c>
      <c r="AL71" s="81">
        <f>SUM(AL62:AL70)</f>
        <v>4.9333333333333336</v>
      </c>
      <c r="AM71" s="81">
        <f>SUM(AM62:AM70)</f>
        <v>4.0666666666666664</v>
      </c>
      <c r="AN71" s="81">
        <f>SUM(AN62:AN70)</f>
        <v>0</v>
      </c>
      <c r="AO71" s="84">
        <f>SUM(AO62:AO70)</f>
        <v>0</v>
      </c>
      <c r="AR71" s="79" t="s">
        <v>669</v>
      </c>
      <c r="AS71" s="81" t="e">
        <f>SUM(AS62:AS70)</f>
        <v>#DIV/0!</v>
      </c>
      <c r="AT71" s="81" t="e">
        <f>SUM(AT62:AT70)</f>
        <v>#DIV/0!</v>
      </c>
      <c r="AU71" s="81" t="e">
        <f>SUM(AU62:AU70)</f>
        <v>#DIV/0!</v>
      </c>
      <c r="AV71" s="84" t="e">
        <f>SUM(AV62:AV70)</f>
        <v>#DIV/0!</v>
      </c>
    </row>
    <row r="72" spans="2:48" ht="15.75" thickBot="1" x14ac:dyDescent="0.3">
      <c r="B72" s="80" t="s">
        <v>670</v>
      </c>
      <c r="C72" s="82">
        <f>AVERAGE(C62:C70)</f>
        <v>0.34660493827160493</v>
      </c>
      <c r="D72" s="82">
        <f>AVERAGE(D62:D70)</f>
        <v>0.57654320987654328</v>
      </c>
      <c r="E72" s="82">
        <f>AVERAGE(E62:E70)</f>
        <v>7.6851851851851852E-2</v>
      </c>
      <c r="F72" s="85">
        <f>AVERAGE(F62:F70)</f>
        <v>0</v>
      </c>
      <c r="I72" s="80" t="s">
        <v>670</v>
      </c>
      <c r="J72" s="82">
        <f>AVERAGE(J62:J70)</f>
        <v>0.37592592592592594</v>
      </c>
      <c r="K72" s="82">
        <f>AVERAGE(K62:K70)</f>
        <v>0.51296296296296306</v>
      </c>
      <c r="L72" s="82">
        <f>AVERAGE(L62:L70)</f>
        <v>0.1111111111111111</v>
      </c>
      <c r="M72" s="85">
        <f>AVERAGE(M62:M70)</f>
        <v>0</v>
      </c>
      <c r="P72" s="80" t="s">
        <v>670</v>
      </c>
      <c r="Q72" s="82">
        <f>AVERAGE(Q62:Q70)</f>
        <v>0.29444444444444445</v>
      </c>
      <c r="R72" s="82">
        <f>AVERAGE(R62:R70)</f>
        <v>0.59814814814814821</v>
      </c>
      <c r="S72" s="82">
        <f>AVERAGE(S62:S70)</f>
        <v>0.10740740740740741</v>
      </c>
      <c r="T72" s="85">
        <f>AVERAGE(T62:T70)</f>
        <v>0</v>
      </c>
      <c r="W72" s="80" t="s">
        <v>670</v>
      </c>
      <c r="X72" s="82">
        <f>AVERAGE(X62:X70)</f>
        <v>0.24444444444444446</v>
      </c>
      <c r="Y72" s="82">
        <f>AVERAGE(Y62:Y70)</f>
        <v>0.75555555555555554</v>
      </c>
      <c r="Z72" s="82">
        <f>AVERAGE(Z62:Z70)</f>
        <v>0</v>
      </c>
      <c r="AA72" s="85">
        <f>AVERAGE(AA62:AA70)</f>
        <v>0</v>
      </c>
      <c r="AD72" s="80" t="s">
        <v>670</v>
      </c>
      <c r="AE72" s="82" t="e">
        <f>AVERAGE(AE62:AE70)</f>
        <v>#DIV/0!</v>
      </c>
      <c r="AF72" s="82" t="e">
        <f>AVERAGE(AF62:AF70)</f>
        <v>#DIV/0!</v>
      </c>
      <c r="AG72" s="82" t="e">
        <f>AVERAGE(AG62:AG70)</f>
        <v>#DIV/0!</v>
      </c>
      <c r="AH72" s="85" t="e">
        <f>AVERAGE(AH62:AH70)</f>
        <v>#DIV/0!</v>
      </c>
      <c r="AK72" s="80" t="s">
        <v>670</v>
      </c>
      <c r="AL72" s="82">
        <f>AVERAGE(AL62:AL70)</f>
        <v>0.54814814814814816</v>
      </c>
      <c r="AM72" s="82">
        <f>AVERAGE(AM62:AM70)</f>
        <v>0.45185185185185184</v>
      </c>
      <c r="AN72" s="82">
        <f>AVERAGE(AN62:AN70)</f>
        <v>0</v>
      </c>
      <c r="AO72" s="85">
        <f>AVERAGE(AO62:AO70)</f>
        <v>0</v>
      </c>
      <c r="AR72" s="80" t="s">
        <v>670</v>
      </c>
      <c r="AS72" s="82" t="e">
        <f>AVERAGE(AS62:AS70)</f>
        <v>#DIV/0!</v>
      </c>
      <c r="AT72" s="82" t="e">
        <f>AVERAGE(AT62:AT70)</f>
        <v>#DIV/0!</v>
      </c>
      <c r="AU72" s="82" t="e">
        <f>AVERAGE(AU62:AU70)</f>
        <v>#DIV/0!</v>
      </c>
      <c r="AV72" s="85" t="e">
        <f>AVERAGE(AV62:AV70)</f>
        <v>#DIV/0!</v>
      </c>
    </row>
    <row r="74" spans="2:48" ht="23.25" x14ac:dyDescent="0.35">
      <c r="B74" s="63" t="s">
        <v>674</v>
      </c>
    </row>
    <row r="75" spans="2:48" ht="15.75" thickBot="1" x14ac:dyDescent="0.3"/>
    <row r="76" spans="2:48" ht="17.25" thickBot="1" x14ac:dyDescent="0.3">
      <c r="B76" s="64" t="s">
        <v>66</v>
      </c>
      <c r="C76" s="86" t="s">
        <v>141</v>
      </c>
    </row>
    <row r="77" spans="2:48" ht="17.25" thickBot="1" x14ac:dyDescent="0.3">
      <c r="B77" s="64" t="s">
        <v>647</v>
      </c>
      <c r="C77" s="65">
        <v>2018</v>
      </c>
    </row>
    <row r="78" spans="2:48" ht="17.25" thickBot="1" x14ac:dyDescent="0.3">
      <c r="B78" s="64" t="s">
        <v>646</v>
      </c>
      <c r="C78" s="65">
        <f>COUNTIFS(TblUniv2018[th lulus],C77,TblUniv2018[Program Pendidikan],C76)</f>
        <v>4</v>
      </c>
    </row>
    <row r="79" spans="2:48" ht="16.5" x14ac:dyDescent="0.3">
      <c r="B79" s="55"/>
      <c r="C79" s="56" t="s">
        <v>69</v>
      </c>
      <c r="D79" s="56" t="s">
        <v>1</v>
      </c>
      <c r="E79" s="56" t="s">
        <v>75</v>
      </c>
      <c r="F79" s="56" t="s">
        <v>168</v>
      </c>
      <c r="G79" s="56"/>
    </row>
    <row r="80" spans="2:48" ht="16.5" x14ac:dyDescent="0.3">
      <c r="B80" s="57" t="s">
        <v>26</v>
      </c>
      <c r="C80" s="66">
        <f>COUNTIFS(TblUniv2018[B1],C$16,TblUniv2018[Program Pendidikan],$C$76)/$C$78*100%</f>
        <v>0.75</v>
      </c>
      <c r="D80" s="66">
        <f>COUNTIFS(TblUniv2018[B1],D$16,TblUniv2018[Program Pendidikan],$C$76)/$C$78*100%</f>
        <v>0</v>
      </c>
      <c r="E80" s="66">
        <f>COUNTIFS(TblUniv2018[B1],E$16,TblUniv2018[Program Pendidikan],$C$76)/$C$78*100%</f>
        <v>0.25</v>
      </c>
      <c r="F80" s="66">
        <f>COUNTIFS(TblUniv2018[B1],F$16,TblUniv2018[Program Pendidikan],$C$76)/$C$78*100%</f>
        <v>0</v>
      </c>
      <c r="G80" s="62">
        <f t="shared" ref="G80:G117" si="7">SUM(C80:F80)</f>
        <v>1</v>
      </c>
    </row>
    <row r="81" spans="2:7" ht="16.5" x14ac:dyDescent="0.3">
      <c r="B81" s="57" t="s">
        <v>27</v>
      </c>
      <c r="C81" s="66">
        <f>COUNTIFS(TblUniv2018[B2],C$16,TblUniv2018[Program Pendidikan],$C$76)/$C$78*100%</f>
        <v>0.5</v>
      </c>
      <c r="D81" s="66">
        <f>COUNTIFS(TblUniv2018[B2],D$16,TblUniv2018[Program Pendidikan],$C$76)/$C$78*100%</f>
        <v>0.5</v>
      </c>
      <c r="E81" s="66">
        <f>COUNTIFS(TblUniv2018[B2],E$16,TblUniv2018[Program Pendidikan],$C$76)/$C$78*100%</f>
        <v>0</v>
      </c>
      <c r="F81" s="66">
        <f>COUNTIFS(TblUniv2018[B2],F$16,TblUniv2018[Program Pendidikan],$C$76)/$C$78*100%</f>
        <v>0</v>
      </c>
      <c r="G81" s="62">
        <f t="shared" si="7"/>
        <v>1</v>
      </c>
    </row>
    <row r="82" spans="2:7" ht="16.5" x14ac:dyDescent="0.3">
      <c r="B82" s="57" t="s">
        <v>28</v>
      </c>
      <c r="C82" s="66">
        <f>COUNTIFS(TblUniv2018[B3],C$16,TblUniv2018[Program Pendidikan],$C$76)/$C$78*100%</f>
        <v>0.25</v>
      </c>
      <c r="D82" s="66">
        <f>COUNTIFS(TblUniv2018[B3],D$16,TblUniv2018[Program Pendidikan],$C$76)/$C$78*100%</f>
        <v>0.5</v>
      </c>
      <c r="E82" s="66">
        <f>COUNTIFS(TblUniv2018[B3],E$16,TblUniv2018[Program Pendidikan],$C$76)/$C$78*100%</f>
        <v>0.25</v>
      </c>
      <c r="F82" s="66">
        <f>COUNTIFS(TblUniv2018[B3],F$16,TblUniv2018[Program Pendidikan],$C$76)/$C$78*100%</f>
        <v>0</v>
      </c>
      <c r="G82" s="62">
        <f t="shared" si="7"/>
        <v>1</v>
      </c>
    </row>
    <row r="83" spans="2:7" ht="16.5" x14ac:dyDescent="0.3">
      <c r="B83" s="57" t="s">
        <v>29</v>
      </c>
      <c r="C83" s="66">
        <f>COUNTIFS(TblUniv2018[B4],C$16,TblUniv2018[Program Pendidikan],$C$76)/$C$78*100%</f>
        <v>0.5</v>
      </c>
      <c r="D83" s="66">
        <f>COUNTIFS(TblUniv2018[B4],D$16,TblUniv2018[Program Pendidikan],$C$76)/$C$78*100%</f>
        <v>0.5</v>
      </c>
      <c r="E83" s="66">
        <f>COUNTIFS(TblUniv2018[B4],E$16,TblUniv2018[Program Pendidikan],$C$76)/$C$78*100%</f>
        <v>0</v>
      </c>
      <c r="F83" s="66">
        <f>COUNTIFS(TblUniv2018[B4],F$16,TblUniv2018[Program Pendidikan],$C$76)/$C$78*100%</f>
        <v>0</v>
      </c>
      <c r="G83" s="62">
        <f t="shared" si="7"/>
        <v>1</v>
      </c>
    </row>
    <row r="84" spans="2:7" ht="16.5" x14ac:dyDescent="0.3">
      <c r="B84" s="57" t="s">
        <v>30</v>
      </c>
      <c r="C84" s="66">
        <f>COUNTIFS(TblUniv2018[B5],C$16,TblUniv2018[Program Pendidikan],$C$76)/$C$78*100%</f>
        <v>0.5</v>
      </c>
      <c r="D84" s="66">
        <f>COUNTIFS(TblUniv2018[B5],D$16,TblUniv2018[Program Pendidikan],$C$76)/$C$78*100%</f>
        <v>0.5</v>
      </c>
      <c r="E84" s="66">
        <f>COUNTIFS(TblUniv2018[B5],E$16,TblUniv2018[Program Pendidikan],$C$76)/$C$78*100%</f>
        <v>0</v>
      </c>
      <c r="F84" s="66">
        <f>COUNTIFS(TblUniv2018[B5],F$16,TblUniv2018[Program Pendidikan],$C$76)/$C$78*100%</f>
        <v>0</v>
      </c>
      <c r="G84" s="62">
        <f t="shared" si="7"/>
        <v>1</v>
      </c>
    </row>
    <row r="85" spans="2:7" ht="16.5" x14ac:dyDescent="0.3">
      <c r="B85" s="60"/>
      <c r="C85" s="61">
        <f>AVERAGE(C80:C84)</f>
        <v>0.5</v>
      </c>
      <c r="D85" s="61">
        <f>AVERAGE(D80:D84)</f>
        <v>0.4</v>
      </c>
      <c r="E85" s="61">
        <f>AVERAGE(E80:E84)</f>
        <v>0.1</v>
      </c>
      <c r="F85" s="61">
        <f>AVERAGE(F80:F84)</f>
        <v>0</v>
      </c>
      <c r="G85" s="62">
        <f t="shared" si="7"/>
        <v>1</v>
      </c>
    </row>
    <row r="86" spans="2:7" ht="16.5" x14ac:dyDescent="0.3">
      <c r="B86" s="57" t="s">
        <v>31</v>
      </c>
      <c r="C86" s="66">
        <f>COUNTIFS(TblUniv2018[C1],C$16,TblUniv2018[Program Pendidikan],$C$76)/$C$78*100%</f>
        <v>0.75</v>
      </c>
      <c r="D86" s="66">
        <f>COUNTIFS(TblUniv2018[C1],D$16,TblUniv2018[Program Pendidikan],$C$76)/$C$78*100%</f>
        <v>0.25</v>
      </c>
      <c r="E86" s="66">
        <f>COUNTIFS(TblUniv2018[C1],E$16,TblUniv2018[Program Pendidikan],$C$76)/$C$78*100%</f>
        <v>0</v>
      </c>
      <c r="F86" s="66">
        <f>COUNTIFS(TblUniv2018[C1],F$16,TblUniv2018[Program Pendidikan],$C$76)/$C$78*100%</f>
        <v>0</v>
      </c>
      <c r="G86" s="62">
        <f t="shared" si="7"/>
        <v>1</v>
      </c>
    </row>
    <row r="87" spans="2:7" ht="16.5" x14ac:dyDescent="0.3">
      <c r="B87" s="57" t="s">
        <v>32</v>
      </c>
      <c r="C87" s="66">
        <f>COUNTIFS(TblUniv2018[C2],C$16,TblUniv2018[Program Pendidikan],$C$76)/$C$78*100%</f>
        <v>0.5</v>
      </c>
      <c r="D87" s="66">
        <f>COUNTIFS(TblUniv2018[C2],D$16,TblUniv2018[Program Pendidikan],$C$76)/$C$78*100%</f>
        <v>0.5</v>
      </c>
      <c r="E87" s="66">
        <f>COUNTIFS(TblUniv2018[C2],E$16,TblUniv2018[Program Pendidikan],$C$76)/$C$78*100%</f>
        <v>0</v>
      </c>
      <c r="F87" s="66">
        <f>COUNTIFS(TblUniv2018[C2],F$16,TblUniv2018[Program Pendidikan],$C$76)/$C$78*100%</f>
        <v>0</v>
      </c>
      <c r="G87" s="62">
        <f t="shared" si="7"/>
        <v>1</v>
      </c>
    </row>
    <row r="88" spans="2:7" ht="16.5" x14ac:dyDescent="0.3">
      <c r="B88" s="60"/>
      <c r="C88" s="61">
        <f>AVERAGE(C86:C87)</f>
        <v>0.625</v>
      </c>
      <c r="D88" s="61">
        <f>AVERAGE(D86:D87)</f>
        <v>0.375</v>
      </c>
      <c r="E88" s="61">
        <f>AVERAGE(E86:E87)</f>
        <v>0</v>
      </c>
      <c r="F88" s="61">
        <f>AVERAGE(F86:F87)</f>
        <v>0</v>
      </c>
      <c r="G88" s="62">
        <f t="shared" si="7"/>
        <v>1</v>
      </c>
    </row>
    <row r="89" spans="2:7" ht="16.5" x14ac:dyDescent="0.3">
      <c r="B89" s="57" t="s">
        <v>33</v>
      </c>
      <c r="C89" s="66">
        <f>COUNTIFS(TblUniv2018[D1],C$16,TblUniv2018[Program Pendidikan],$C$76)/$C$78*100%</f>
        <v>0</v>
      </c>
      <c r="D89" s="66">
        <f>COUNTIFS(TblUniv2018[D1],D$16,TblUniv2018[Program Pendidikan],$C$76)/$C$78*100%</f>
        <v>0.5</v>
      </c>
      <c r="E89" s="66">
        <f>COUNTIFS(TblUniv2018[D1],E$16,TblUniv2018[Program Pendidikan],$C$76)/$C$78*100%</f>
        <v>0.5</v>
      </c>
      <c r="F89" s="66">
        <f>COUNTIFS(TblUniv2018[D1],F$16,TblUniv2018[Program Pendidikan],$C$76)/$C$78*100%</f>
        <v>0</v>
      </c>
      <c r="G89" s="62">
        <f t="shared" si="7"/>
        <v>1</v>
      </c>
    </row>
    <row r="90" spans="2:7" ht="16.5" x14ac:dyDescent="0.3">
      <c r="B90" s="57" t="s">
        <v>34</v>
      </c>
      <c r="C90" s="66">
        <f>COUNTIFS(TblUniv2018[D2],C$16,TblUniv2018[Program Pendidikan],$C$76)/$C$78*100%</f>
        <v>0</v>
      </c>
      <c r="D90" s="66">
        <f>COUNTIFS(TblUniv2018[D2],D$16,TblUniv2018[Program Pendidikan],$C$76)/$C$78*100%</f>
        <v>0.5</v>
      </c>
      <c r="E90" s="66">
        <f>COUNTIFS(TblUniv2018[D2],E$16,TblUniv2018[Program Pendidikan],$C$76)/$C$78*100%</f>
        <v>0.5</v>
      </c>
      <c r="F90" s="66">
        <f>COUNTIFS(TblUniv2018[D2],F$16,TblUniv2018[Program Pendidikan],$C$76)/$C$78*100%</f>
        <v>0</v>
      </c>
      <c r="G90" s="62">
        <f t="shared" si="7"/>
        <v>1</v>
      </c>
    </row>
    <row r="91" spans="2:7" ht="16.5" x14ac:dyDescent="0.3">
      <c r="B91" s="60"/>
      <c r="C91" s="61">
        <f>AVERAGE(C89:C90)</f>
        <v>0</v>
      </c>
      <c r="D91" s="61">
        <f>AVERAGE(D89:D90)</f>
        <v>0.5</v>
      </c>
      <c r="E91" s="61">
        <f>AVERAGE(E89:E90)</f>
        <v>0.5</v>
      </c>
      <c r="F91" s="61">
        <f>AVERAGE(F89:F90)</f>
        <v>0</v>
      </c>
      <c r="G91" s="62">
        <f t="shared" si="7"/>
        <v>1</v>
      </c>
    </row>
    <row r="92" spans="2:7" ht="16.5" x14ac:dyDescent="0.3">
      <c r="B92" s="57" t="s">
        <v>35</v>
      </c>
      <c r="C92" s="66">
        <f>COUNTIFS(TblUniv2018[E1],C$16,TblUniv2018[Program Pendidikan],$C$76)/$C$78*100%</f>
        <v>0.75</v>
      </c>
      <c r="D92" s="66">
        <f>COUNTIFS(TblUniv2018[E1],D$16,TblUniv2018[Program Pendidikan],$C$76)/$C$78*100%</f>
        <v>0.25</v>
      </c>
      <c r="E92" s="66">
        <f>COUNTIFS(TblUniv2018[E1],E$16,TblUniv2018[Program Pendidikan],$C$76)/$C$78*100%</f>
        <v>0</v>
      </c>
      <c r="F92" s="66">
        <f>COUNTIFS(TblUniv2018[E1],F$16,TblUniv2018[Program Pendidikan],$C$76)/$C$78*100%</f>
        <v>0</v>
      </c>
      <c r="G92" s="62">
        <f t="shared" si="7"/>
        <v>1</v>
      </c>
    </row>
    <row r="93" spans="2:7" ht="16.5" x14ac:dyDescent="0.3">
      <c r="B93" s="57" t="s">
        <v>36</v>
      </c>
      <c r="C93" s="66">
        <f>COUNTIFS(TblUniv2018[E2],C$16,TblUniv2018[Program Pendidikan],$C$76)/$C$78*100%</f>
        <v>0.75</v>
      </c>
      <c r="D93" s="66">
        <f>COUNTIFS(TblUniv2018[E2],D$16,TblUniv2018[Program Pendidikan],$C$76)/$C$78*100%</f>
        <v>0.25</v>
      </c>
      <c r="E93" s="66">
        <f>COUNTIFS(TblUniv2018[E2],E$16,TblUniv2018[Program Pendidikan],$C$76)/$C$78*100%</f>
        <v>0</v>
      </c>
      <c r="F93" s="66">
        <f>COUNTIFS(TblUniv2018[E2],F$16,TblUniv2018[Program Pendidikan],$C$76)/$C$78*100%</f>
        <v>0</v>
      </c>
      <c r="G93" s="62">
        <f t="shared" si="7"/>
        <v>1</v>
      </c>
    </row>
    <row r="94" spans="2:7" ht="16.5" x14ac:dyDescent="0.3">
      <c r="B94" s="60"/>
      <c r="C94" s="61">
        <f>AVERAGE(C92:C93)</f>
        <v>0.75</v>
      </c>
      <c r="D94" s="61">
        <f>AVERAGE(D92:D93)</f>
        <v>0.25</v>
      </c>
      <c r="E94" s="61">
        <f>AVERAGE(E92:E93)</f>
        <v>0</v>
      </c>
      <c r="F94" s="61">
        <f>AVERAGE(F92:F93)</f>
        <v>0</v>
      </c>
      <c r="G94" s="62">
        <f t="shared" si="7"/>
        <v>1</v>
      </c>
    </row>
    <row r="95" spans="2:7" ht="16.5" x14ac:dyDescent="0.3">
      <c r="B95" s="57" t="s">
        <v>37</v>
      </c>
      <c r="C95" s="66">
        <f>COUNTIFS(TblUniv2018[F1],C$16,TblUniv2018[Program Pendidikan],$C$76)/$C$78*100%</f>
        <v>0.25</v>
      </c>
      <c r="D95" s="66">
        <f>COUNTIFS(TblUniv2018[F1],D$16,TblUniv2018[Program Pendidikan],$C$76)/$C$78*100%</f>
        <v>0.75</v>
      </c>
      <c r="E95" s="66">
        <f>COUNTIFS(TblUniv2018[F1],E$16,TblUniv2018[Program Pendidikan],$C$76)/$C$78*100%</f>
        <v>0</v>
      </c>
      <c r="F95" s="66">
        <f>COUNTIFS(TblUniv2018[F1],F$16,TblUniv2018[Program Pendidikan],$C$76)/$C$78*100%</f>
        <v>0</v>
      </c>
      <c r="G95" s="62">
        <f t="shared" si="7"/>
        <v>1</v>
      </c>
    </row>
    <row r="96" spans="2:7" ht="16.5" x14ac:dyDescent="0.3">
      <c r="B96" s="57" t="s">
        <v>38</v>
      </c>
      <c r="C96" s="66">
        <f>COUNTIFS(TblUniv2018[F2],C$16,TblUniv2018[Program Pendidikan],$C$76)/$C$78*100%</f>
        <v>0</v>
      </c>
      <c r="D96" s="66">
        <f>COUNTIFS(TblUniv2018[F2],D$16,TblUniv2018[Program Pendidikan],$C$76)/$C$78*100%</f>
        <v>1</v>
      </c>
      <c r="E96" s="66">
        <f>COUNTIFS(TblUniv2018[F2],E$16,TblUniv2018[Program Pendidikan],$C$76)/$C$78*100%</f>
        <v>0</v>
      </c>
      <c r="F96" s="66">
        <f>COUNTIFS(TblUniv2018[F2],F$16,TblUniv2018[Program Pendidikan],$C$76)/$C$78*100%</f>
        <v>0</v>
      </c>
      <c r="G96" s="62">
        <f t="shared" si="7"/>
        <v>1</v>
      </c>
    </row>
    <row r="97" spans="2:7" ht="16.5" x14ac:dyDescent="0.3">
      <c r="B97" s="57" t="s">
        <v>39</v>
      </c>
      <c r="C97" s="66">
        <f>COUNTIFS(TblUniv2018[F3],C$16,TblUniv2018[Program Pendidikan],$C$76)/$C$78*100%</f>
        <v>0</v>
      </c>
      <c r="D97" s="66">
        <f>COUNTIFS(TblUniv2018[F3],D$16,TblUniv2018[Program Pendidikan],$C$76)/$C$78*100%</f>
        <v>1</v>
      </c>
      <c r="E97" s="66">
        <f>COUNTIFS(TblUniv2018[F3],E$16,TblUniv2018[Program Pendidikan],$C$76)/$C$78*100%</f>
        <v>0</v>
      </c>
      <c r="F97" s="66">
        <f>COUNTIFS(TblUniv2018[F3],F$16,TblUniv2018[Program Pendidikan],$C$76)/$C$78*100%</f>
        <v>0</v>
      </c>
      <c r="G97" s="62">
        <f t="shared" si="7"/>
        <v>1</v>
      </c>
    </row>
    <row r="98" spans="2:7" ht="16.5" x14ac:dyDescent="0.3">
      <c r="B98" s="60"/>
      <c r="C98" s="61">
        <f>AVERAGE(C95:C97)</f>
        <v>8.3333333333333329E-2</v>
      </c>
      <c r="D98" s="61">
        <f>AVERAGE(D95:D97)</f>
        <v>0.91666666666666663</v>
      </c>
      <c r="E98" s="61">
        <f>AVERAGE(E95:E97)</f>
        <v>0</v>
      </c>
      <c r="F98" s="61">
        <f>AVERAGE(F95:F97)</f>
        <v>0</v>
      </c>
      <c r="G98" s="62">
        <f t="shared" si="7"/>
        <v>1</v>
      </c>
    </row>
    <row r="99" spans="2:7" ht="16.5" x14ac:dyDescent="0.3">
      <c r="B99" s="57" t="s">
        <v>40</v>
      </c>
      <c r="C99" s="66">
        <f>COUNTIFS(TblUniv2018[G1],C$16,TblUniv2018[Program Pendidikan],$C$76)/$C$78*100%</f>
        <v>0.5</v>
      </c>
      <c r="D99" s="66">
        <f>COUNTIFS(TblUniv2018[G1],D$16,TblUniv2018[Program Pendidikan],$C$76)/$C$78*100%</f>
        <v>0.25</v>
      </c>
      <c r="E99" s="66">
        <f>COUNTIFS(TblUniv2018[G1],E$16,TblUniv2018[Program Pendidikan],$C$76)/$C$78*100%</f>
        <v>0.25</v>
      </c>
      <c r="F99" s="66">
        <f>COUNTIFS(TblUniv2018[G1],F$16,TblUniv2018[Program Pendidikan],$C$76)/$C$78*100%</f>
        <v>0</v>
      </c>
      <c r="G99" s="62">
        <f t="shared" si="7"/>
        <v>1</v>
      </c>
    </row>
    <row r="100" spans="2:7" ht="16.5" x14ac:dyDescent="0.3">
      <c r="B100" s="57" t="s">
        <v>41</v>
      </c>
      <c r="C100" s="66">
        <f>COUNTIFS(TblUniv2018[G2],C$16,TblUniv2018[Program Pendidikan],$C$76)/$C$78*100%</f>
        <v>0.25</v>
      </c>
      <c r="D100" s="66">
        <f>COUNTIFS(TblUniv2018[G2],D$16,TblUniv2018[Program Pendidikan],$C$76)/$C$78*100%</f>
        <v>0.5</v>
      </c>
      <c r="E100" s="66">
        <f>COUNTIFS(TblUniv2018[G2],E$16,TblUniv2018[Program Pendidikan],$C$76)/$C$78*100%</f>
        <v>0.25</v>
      </c>
      <c r="F100" s="66">
        <f>COUNTIFS(TblUniv2018[G2],F$16,TblUniv2018[Program Pendidikan],$C$76)/$C$78*100%</f>
        <v>0</v>
      </c>
      <c r="G100" s="62">
        <f t="shared" si="7"/>
        <v>1</v>
      </c>
    </row>
    <row r="101" spans="2:7" ht="16.5" x14ac:dyDescent="0.3">
      <c r="B101" s="60"/>
      <c r="C101" s="61">
        <f>AVERAGE(C99:C100)</f>
        <v>0.375</v>
      </c>
      <c r="D101" s="61">
        <f>AVERAGE(D99:D100)</f>
        <v>0.375</v>
      </c>
      <c r="E101" s="61">
        <f>AVERAGE(E99:E100)</f>
        <v>0.25</v>
      </c>
      <c r="F101" s="61">
        <f>AVERAGE(F99:F100)</f>
        <v>0</v>
      </c>
      <c r="G101" s="62">
        <f t="shared" si="7"/>
        <v>1</v>
      </c>
    </row>
    <row r="102" spans="2:7" ht="16.5" x14ac:dyDescent="0.3">
      <c r="B102" s="57" t="s">
        <v>42</v>
      </c>
      <c r="C102" s="66">
        <f>COUNTIFS(TblUniv2018[H1],C$16,TblUniv2018[Program Pendidikan],$C$76)/$C$78*100%</f>
        <v>0.25</v>
      </c>
      <c r="D102" s="66">
        <f>COUNTIFS(TblUniv2018[H1],D$16,TblUniv2018[Program Pendidikan],$C$76)/$C$78*100%</f>
        <v>0.75</v>
      </c>
      <c r="E102" s="66">
        <f>COUNTIFS(TblUniv2018[H1],E$16,TblUniv2018[Program Pendidikan],$C$76)/$C$78*100%</f>
        <v>0</v>
      </c>
      <c r="F102" s="66">
        <f>COUNTIFS(TblUniv2018[H1],F$16,TblUniv2018[Program Pendidikan],$C$76)/$C$78*100%</f>
        <v>0</v>
      </c>
      <c r="G102" s="62">
        <f t="shared" si="7"/>
        <v>1</v>
      </c>
    </row>
    <row r="103" spans="2:7" ht="16.5" x14ac:dyDescent="0.3">
      <c r="B103" s="57" t="s">
        <v>43</v>
      </c>
      <c r="C103" s="66">
        <f>COUNTIFS(TblUniv2018[H1],C$16,TblUniv2018[Program Pendidikan],$C$76)/$C$78*100%</f>
        <v>0.25</v>
      </c>
      <c r="D103" s="66">
        <f>COUNTIFS(TblUniv2018[H1],D$16,TblUniv2018[Program Pendidikan],$C$76)/$C$78*100%</f>
        <v>0.75</v>
      </c>
      <c r="E103" s="66">
        <f>COUNTIFS(TblUniv2018[H1],E$16,TblUniv2018[Program Pendidikan],$C$76)/$C$78*100%</f>
        <v>0</v>
      </c>
      <c r="F103" s="66">
        <f>COUNTIFS(TblUniv2018[H1],F$16,TblUniv2018[Program Pendidikan],$C$76)/$C$78*100%</f>
        <v>0</v>
      </c>
      <c r="G103" s="62">
        <f t="shared" si="7"/>
        <v>1</v>
      </c>
    </row>
    <row r="104" spans="2:7" ht="16.5" x14ac:dyDescent="0.3">
      <c r="B104" s="57" t="s">
        <v>44</v>
      </c>
      <c r="C104" s="66">
        <f>COUNTIFS(TblUniv2018[H3],C$16,TblUniv2018[Program Pendidikan],$C$76)/$C$78*100%</f>
        <v>0.75</v>
      </c>
      <c r="D104" s="66">
        <f>COUNTIFS(TblUniv2018[H3],D$16,TblUniv2018[Program Pendidikan],$C$76)/$C$78*100%</f>
        <v>0.25</v>
      </c>
      <c r="E104" s="66">
        <f>COUNTIFS(TblUniv2018[H3],E$16,TblUniv2018[Program Pendidikan],$C$76)/$C$78*100%</f>
        <v>0</v>
      </c>
      <c r="F104" s="66">
        <f>COUNTIFS(TblUniv2018[H3],F$16,TblUniv2018[Program Pendidikan],$C$76)/$C$78*100%</f>
        <v>0</v>
      </c>
      <c r="G104" s="62">
        <f t="shared" si="7"/>
        <v>1</v>
      </c>
    </row>
    <row r="105" spans="2:7" ht="16.5" x14ac:dyDescent="0.3">
      <c r="B105" s="57" t="s">
        <v>45</v>
      </c>
      <c r="C105" s="66">
        <f>COUNTIFS(TblUniv2018[H4],C$16,TblUniv2018[Program Pendidikan],$C$76)/$C$78*100%</f>
        <v>0.25</v>
      </c>
      <c r="D105" s="66">
        <f>COUNTIFS(TblUniv2018[H4],D$16,TblUniv2018[Program Pendidikan],$C$76)/$C$78*100%</f>
        <v>0.75</v>
      </c>
      <c r="E105" s="66">
        <f>COUNTIFS(TblUniv2018[H4],E$16,TblUniv2018[Program Pendidikan],$C$76)/$C$78*100%</f>
        <v>0</v>
      </c>
      <c r="F105" s="66">
        <f>COUNTIFS(TblUniv2018[H4],F$16,TblUniv2018[Program Pendidikan],$C$76)/$C$78*100%</f>
        <v>0</v>
      </c>
      <c r="G105" s="62">
        <f t="shared" si="7"/>
        <v>1</v>
      </c>
    </row>
    <row r="106" spans="2:7" ht="16.5" x14ac:dyDescent="0.3">
      <c r="B106" s="60"/>
      <c r="C106" s="61">
        <f>AVERAGE(C102:C105)</f>
        <v>0.375</v>
      </c>
      <c r="D106" s="61">
        <f>AVERAGE(D102:D105)</f>
        <v>0.625</v>
      </c>
      <c r="E106" s="61">
        <f>AVERAGE(E102:E105)</f>
        <v>0</v>
      </c>
      <c r="F106" s="61">
        <f>AVERAGE(F102:F105)</f>
        <v>0</v>
      </c>
      <c r="G106" s="62">
        <f t="shared" si="7"/>
        <v>1</v>
      </c>
    </row>
    <row r="107" spans="2:7" ht="16.5" x14ac:dyDescent="0.3">
      <c r="B107" s="57" t="s">
        <v>648</v>
      </c>
      <c r="C107" s="66">
        <f>COUNTIFS(TblUniv2018[I. a1],C$16,TblUniv2018[Program Pendidikan],$C$76)/$C$78*100%</f>
        <v>0</v>
      </c>
      <c r="D107" s="66">
        <f>COUNTIFS(TblUniv2018[I. a1],D$16,TblUniv2018[Program Pendidikan],$C$76)/$C$78*100%</f>
        <v>1</v>
      </c>
      <c r="E107" s="66">
        <f>COUNTIFS(TblUniv2018[I. a1],E$16,TblUniv2018[Program Pendidikan],$C$76)/$C$78*100%</f>
        <v>0</v>
      </c>
      <c r="F107" s="66">
        <f>COUNTIFS(TblUniv2018[I. a1],F$16,TblUniv2018[Program Pendidikan],$C$76)/$C$78*100%</f>
        <v>0</v>
      </c>
      <c r="G107" s="62">
        <f t="shared" si="7"/>
        <v>1</v>
      </c>
    </row>
    <row r="108" spans="2:7" ht="16.5" x14ac:dyDescent="0.3">
      <c r="B108" s="57" t="s">
        <v>649</v>
      </c>
      <c r="C108" s="66">
        <f>COUNTIFS(TblUniv2018[I. a2],C$16,TblUniv2018[Program Pendidikan],$C$76)/$C$78*100%</f>
        <v>0</v>
      </c>
      <c r="D108" s="66">
        <f>COUNTIFS(TblUniv2018[I. a2],D$16,TblUniv2018[Program Pendidikan],$C$76)/$C$78*100%</f>
        <v>1</v>
      </c>
      <c r="E108" s="66">
        <f>COUNTIFS(TblUniv2018[I. a2],E$16,TblUniv2018[Program Pendidikan],$C$76)/$C$78*100%</f>
        <v>0</v>
      </c>
      <c r="F108" s="66">
        <f>COUNTIFS(TblUniv2018[I. a2],F$16,TblUniv2018[Program Pendidikan],$C$76)/$C$78*100%</f>
        <v>0</v>
      </c>
      <c r="G108" s="62">
        <f t="shared" si="7"/>
        <v>1</v>
      </c>
    </row>
    <row r="109" spans="2:7" ht="16.5" x14ac:dyDescent="0.3">
      <c r="B109" s="57" t="s">
        <v>650</v>
      </c>
      <c r="C109" s="66">
        <f>COUNTIFS(TblUniv2018[I. a3],C$16,TblUniv2018[Program Pendidikan],$C$76)/$C$78*100%</f>
        <v>0</v>
      </c>
      <c r="D109" s="66">
        <f>COUNTIFS(TblUniv2018[I. a3],D$16,TblUniv2018[Program Pendidikan],$C$76)/$C$78*100%</f>
        <v>1</v>
      </c>
      <c r="E109" s="66">
        <f>COUNTIFS(TblUniv2018[I. a3],E$16,TblUniv2018[Program Pendidikan],$C$76)/$C$78*100%</f>
        <v>0</v>
      </c>
      <c r="F109" s="66">
        <f>COUNTIFS(TblUniv2018[I. a3],F$16,TblUniv2018[Program Pendidikan],$C$76)/$C$78*100%</f>
        <v>0</v>
      </c>
      <c r="G109" s="62">
        <f t="shared" si="7"/>
        <v>1</v>
      </c>
    </row>
    <row r="110" spans="2:7" ht="16.5" x14ac:dyDescent="0.3">
      <c r="B110" s="57" t="s">
        <v>651</v>
      </c>
      <c r="C110" s="66">
        <f>COUNTIFS(TblUniv2018[I. a4],C$16,TblUniv2018[Program Pendidikan],$C$76)/$C$78*100%</f>
        <v>0</v>
      </c>
      <c r="D110" s="66">
        <f>COUNTIFS(TblUniv2018[I. a4],D$16,TblUniv2018[Program Pendidikan],$C$76)/$C$78*100%</f>
        <v>1</v>
      </c>
      <c r="E110" s="66">
        <f>COUNTIFS(TblUniv2018[I. a4],E$16,TblUniv2018[Program Pendidikan],$C$76)/$C$78*100%</f>
        <v>0</v>
      </c>
      <c r="F110" s="66">
        <f>COUNTIFS(TblUniv2018[I. a4],F$16,TblUniv2018[Program Pendidikan],$C$76)/$C$78*100%</f>
        <v>0</v>
      </c>
      <c r="G110" s="62">
        <f t="shared" si="7"/>
        <v>1</v>
      </c>
    </row>
    <row r="111" spans="2:7" ht="16.5" x14ac:dyDescent="0.3">
      <c r="B111" s="57" t="s">
        <v>652</v>
      </c>
      <c r="C111" s="66">
        <f>COUNTIFS(TblUniv2018[I. a5],C$16,TblUniv2018[Program Pendidikan],$C$76)/$C$78*100%</f>
        <v>0</v>
      </c>
      <c r="D111" s="66">
        <f>COUNTIFS(TblUniv2018[I. a5],D$16,TblUniv2018[Program Pendidikan],$C$76)/$C$78*100%</f>
        <v>1</v>
      </c>
      <c r="E111" s="66">
        <f>COUNTIFS(TblUniv2018[I. a5],E$16,TblUniv2018[Program Pendidikan],$C$76)/$C$78*100%</f>
        <v>0</v>
      </c>
      <c r="F111" s="66">
        <f>COUNTIFS(TblUniv2018[I. a5],F$16,TblUniv2018[Program Pendidikan],$C$76)/$C$78*100%</f>
        <v>0</v>
      </c>
      <c r="G111" s="62">
        <f t="shared" si="7"/>
        <v>1</v>
      </c>
    </row>
    <row r="112" spans="2:7" ht="16.5" x14ac:dyDescent="0.3">
      <c r="B112" s="60"/>
      <c r="C112" s="61">
        <f>AVERAGE(C107:C111)</f>
        <v>0</v>
      </c>
      <c r="D112" s="61">
        <f>AVERAGE(D107:D111)</f>
        <v>1</v>
      </c>
      <c r="E112" s="61">
        <f>AVERAGE(E107:E111)</f>
        <v>0</v>
      </c>
      <c r="F112" s="61">
        <f>AVERAGE(F107:F111)</f>
        <v>0</v>
      </c>
      <c r="G112" s="62">
        <f t="shared" si="7"/>
        <v>1</v>
      </c>
    </row>
    <row r="113" spans="2:7" ht="16.5" x14ac:dyDescent="0.3">
      <c r="B113" s="57" t="s">
        <v>653</v>
      </c>
      <c r="C113" s="66">
        <f>COUNTIFS(TblUniv2018[I. b1],C$16,TblUniv2018[Program Pendidikan],$C$76)/$C$78*100%</f>
        <v>0</v>
      </c>
      <c r="D113" s="66">
        <f>COUNTIFS(TblUniv2018[I. b1],D$16,TblUniv2018[Program Pendidikan],$C$76)/$C$78*100%</f>
        <v>0.75</v>
      </c>
      <c r="E113" s="66">
        <f>COUNTIFS(TblUniv2018[I. b1],E$16,TblUniv2018[Program Pendidikan],$C$76)/$C$78*100%</f>
        <v>0.25</v>
      </c>
      <c r="F113" s="66">
        <f>COUNTIFS(TblUniv2018[I. b1],F$16,TblUniv2018[Program Pendidikan],$C$76)/$C$78*100%</f>
        <v>0</v>
      </c>
      <c r="G113" s="62">
        <f t="shared" si="7"/>
        <v>1</v>
      </c>
    </row>
    <row r="114" spans="2:7" ht="16.5" x14ac:dyDescent="0.3">
      <c r="B114" s="57" t="s">
        <v>654</v>
      </c>
      <c r="C114" s="66">
        <f>COUNTIFS(TblUniv2018[I. b2],C$16,TblUniv2018[Program Pendidikan],$C$76)/$C$78*100%</f>
        <v>0.25</v>
      </c>
      <c r="D114" s="66">
        <f>COUNTIFS(TblUniv2018[I. b2],D$16,TblUniv2018[Program Pendidikan],$C$76)/$C$78*100%</f>
        <v>0.75</v>
      </c>
      <c r="E114" s="66">
        <f>COUNTIFS(TblUniv2018[I. b2],E$16,TblUniv2018[Program Pendidikan],$C$76)/$C$78*100%</f>
        <v>0</v>
      </c>
      <c r="F114" s="66">
        <f>COUNTIFS(TblUniv2018[I. b2],F$16,TblUniv2018[Program Pendidikan],$C$76)/$C$78*100%</f>
        <v>0</v>
      </c>
      <c r="G114" s="62">
        <f t="shared" si="7"/>
        <v>1</v>
      </c>
    </row>
    <row r="115" spans="2:7" ht="16.5" x14ac:dyDescent="0.3">
      <c r="B115" s="57" t="s">
        <v>655</v>
      </c>
      <c r="C115" s="66">
        <f>COUNTIFS(TblUniv2018[I. b3],C$16,TblUniv2018[Program Pendidikan],$C$76)/$C$78*100%</f>
        <v>0</v>
      </c>
      <c r="D115" s="66">
        <f>COUNTIFS(TblUniv2018[I. b3],D$16,TblUniv2018[Program Pendidikan],$C$76)/$C$78*100%</f>
        <v>0.75</v>
      </c>
      <c r="E115" s="66">
        <f>COUNTIFS(TblUniv2018[I. b3],E$16,TblUniv2018[Program Pendidikan],$C$76)/$C$78*100%</f>
        <v>0.25</v>
      </c>
      <c r="F115" s="66">
        <f>COUNTIFS(TblUniv2018[I. b3],F$16,TblUniv2018[Program Pendidikan],$C$76)/$C$78*100%</f>
        <v>0</v>
      </c>
      <c r="G115" s="62">
        <f t="shared" si="7"/>
        <v>1</v>
      </c>
    </row>
    <row r="116" spans="2:7" ht="16.5" x14ac:dyDescent="0.3">
      <c r="B116" s="57" t="s">
        <v>656</v>
      </c>
      <c r="C116" s="66">
        <f>COUNTIFS(TblUniv2018[I. b4],C$16,TblUniv2018[Program Pendidikan],$C$76)/$C$78*100%</f>
        <v>0.25</v>
      </c>
      <c r="D116" s="66">
        <f>COUNTIFS(TblUniv2018[I. b4],D$16,TblUniv2018[Program Pendidikan],$C$76)/$C$78*100%</f>
        <v>0.75</v>
      </c>
      <c r="E116" s="66">
        <f>COUNTIFS(TblUniv2018[I. b4],E$16,TblUniv2018[Program Pendidikan],$C$76)/$C$78*100%</f>
        <v>0</v>
      </c>
      <c r="F116" s="66">
        <f>COUNTIFS(TblUniv2018[I. b4],F$16,TblUniv2018[Program Pendidikan],$C$76)/$C$78*100%</f>
        <v>0</v>
      </c>
      <c r="G116" s="62">
        <f t="shared" si="7"/>
        <v>1</v>
      </c>
    </row>
    <row r="117" spans="2:7" ht="17.25" thickBot="1" x14ac:dyDescent="0.35">
      <c r="B117" s="67"/>
      <c r="C117" s="68">
        <f>AVERAGE(C113:C116)</f>
        <v>0.125</v>
      </c>
      <c r="D117" s="68">
        <f>AVERAGE(D113:D116)</f>
        <v>0.75</v>
      </c>
      <c r="E117" s="68">
        <f>AVERAGE(E113:E116)</f>
        <v>0.125</v>
      </c>
      <c r="F117" s="68">
        <f>AVERAGE(F113:F116)</f>
        <v>0</v>
      </c>
      <c r="G117" s="62">
        <f t="shared" si="7"/>
        <v>1</v>
      </c>
    </row>
    <row r="118" spans="2:7" ht="15.75" thickBot="1" x14ac:dyDescent="0.3"/>
    <row r="119" spans="2:7" ht="17.25" thickBot="1" x14ac:dyDescent="0.3">
      <c r="B119" s="64" t="s">
        <v>14</v>
      </c>
      <c r="C119" s="65" t="str">
        <f>C76</f>
        <v>Sarjana</v>
      </c>
    </row>
    <row r="120" spans="2:7" ht="17.25" thickBot="1" x14ac:dyDescent="0.3">
      <c r="B120" s="64" t="s">
        <v>647</v>
      </c>
      <c r="C120" s="65">
        <f>C77</f>
        <v>2018</v>
      </c>
    </row>
    <row r="121" spans="2:7" ht="17.25" thickBot="1" x14ac:dyDescent="0.3">
      <c r="B121" s="64" t="s">
        <v>646</v>
      </c>
      <c r="C121" s="65">
        <f>C78</f>
        <v>4</v>
      </c>
    </row>
    <row r="122" spans="2:7" ht="15.75" thickBot="1" x14ac:dyDescent="0.3">
      <c r="B122" s="222" t="s">
        <v>658</v>
      </c>
      <c r="C122" s="223" t="s">
        <v>664</v>
      </c>
      <c r="D122" s="223"/>
      <c r="E122" s="223"/>
      <c r="F122" s="223"/>
    </row>
    <row r="123" spans="2:7" ht="15.75" thickBot="1" x14ac:dyDescent="0.3">
      <c r="B123" s="222"/>
      <c r="C123" s="72" t="s">
        <v>645</v>
      </c>
      <c r="D123" s="72" t="s">
        <v>665</v>
      </c>
      <c r="E123" s="72" t="s">
        <v>666</v>
      </c>
      <c r="F123" s="72" t="s">
        <v>667</v>
      </c>
    </row>
    <row r="124" spans="2:7" x14ac:dyDescent="0.25">
      <c r="B124" s="73">
        <v>2</v>
      </c>
      <c r="C124" s="71">
        <v>3</v>
      </c>
      <c r="D124" s="71">
        <v>4</v>
      </c>
      <c r="E124" s="71">
        <v>5</v>
      </c>
      <c r="F124" s="74">
        <v>6</v>
      </c>
    </row>
    <row r="125" spans="2:7" x14ac:dyDescent="0.25">
      <c r="B125" s="75" t="s">
        <v>659</v>
      </c>
      <c r="C125" s="58">
        <f>C85</f>
        <v>0.5</v>
      </c>
      <c r="D125" s="58">
        <f>D85</f>
        <v>0.4</v>
      </c>
      <c r="E125" s="58">
        <f>E85</f>
        <v>0.1</v>
      </c>
      <c r="F125" s="59">
        <f>F85</f>
        <v>0</v>
      </c>
    </row>
    <row r="126" spans="2:7" x14ac:dyDescent="0.25">
      <c r="B126" s="75" t="s">
        <v>660</v>
      </c>
      <c r="C126" s="58">
        <f>C88</f>
        <v>0.625</v>
      </c>
      <c r="D126" s="58">
        <f>D88</f>
        <v>0.375</v>
      </c>
      <c r="E126" s="58">
        <f>E88</f>
        <v>0</v>
      </c>
      <c r="F126" s="59">
        <f>F88</f>
        <v>0</v>
      </c>
    </row>
    <row r="127" spans="2:7" x14ac:dyDescent="0.25">
      <c r="B127" s="75" t="s">
        <v>661</v>
      </c>
      <c r="C127" s="58">
        <f>C91</f>
        <v>0</v>
      </c>
      <c r="D127" s="58">
        <f>D91</f>
        <v>0.5</v>
      </c>
      <c r="E127" s="58">
        <f>E91</f>
        <v>0.5</v>
      </c>
      <c r="F127" s="59">
        <f>F91</f>
        <v>0</v>
      </c>
    </row>
    <row r="128" spans="2:7" x14ac:dyDescent="0.25">
      <c r="B128" s="75" t="s">
        <v>662</v>
      </c>
      <c r="C128" s="58">
        <f>C94</f>
        <v>0.75</v>
      </c>
      <c r="D128" s="58">
        <f>D94</f>
        <v>0.25</v>
      </c>
      <c r="E128" s="58">
        <f>E94</f>
        <v>0</v>
      </c>
      <c r="F128" s="59">
        <f>F94</f>
        <v>0</v>
      </c>
    </row>
    <row r="129" spans="2:7" x14ac:dyDescent="0.25">
      <c r="B129" s="75" t="s">
        <v>663</v>
      </c>
      <c r="C129" s="58">
        <f>C98</f>
        <v>8.3333333333333329E-2</v>
      </c>
      <c r="D129" s="58">
        <f>D98</f>
        <v>0.91666666666666663</v>
      </c>
      <c r="E129" s="58">
        <f>E98</f>
        <v>0</v>
      </c>
      <c r="F129" s="59">
        <f>F98</f>
        <v>0</v>
      </c>
    </row>
    <row r="130" spans="2:7" x14ac:dyDescent="0.25">
      <c r="B130" s="75" t="s">
        <v>617</v>
      </c>
      <c r="C130" s="58">
        <f>C101</f>
        <v>0.375</v>
      </c>
      <c r="D130" s="58">
        <f>D101</f>
        <v>0.375</v>
      </c>
      <c r="E130" s="58">
        <f>E101</f>
        <v>0.25</v>
      </c>
      <c r="F130" s="59">
        <f>F101</f>
        <v>0</v>
      </c>
    </row>
    <row r="131" spans="2:7" x14ac:dyDescent="0.25">
      <c r="B131" s="75" t="s">
        <v>330</v>
      </c>
      <c r="C131" s="58">
        <f>C106</f>
        <v>0.375</v>
      </c>
      <c r="D131" s="58">
        <f>D106</f>
        <v>0.625</v>
      </c>
      <c r="E131" s="58">
        <f>E106</f>
        <v>0</v>
      </c>
      <c r="F131" s="59">
        <f>F106</f>
        <v>0</v>
      </c>
    </row>
    <row r="132" spans="2:7" x14ac:dyDescent="0.25">
      <c r="B132" s="75" t="s">
        <v>68</v>
      </c>
      <c r="C132" s="58">
        <f>C112</f>
        <v>0</v>
      </c>
      <c r="D132" s="58">
        <f>D112</f>
        <v>1</v>
      </c>
      <c r="E132" s="58">
        <f>E112</f>
        <v>0</v>
      </c>
      <c r="F132" s="59">
        <f>F112</f>
        <v>0</v>
      </c>
    </row>
    <row r="133" spans="2:7" ht="15.75" thickBot="1" x14ac:dyDescent="0.3">
      <c r="B133" s="76" t="s">
        <v>68</v>
      </c>
      <c r="C133" s="77">
        <f>C117</f>
        <v>0.125</v>
      </c>
      <c r="D133" s="77">
        <f>D117</f>
        <v>0.75</v>
      </c>
      <c r="E133" s="77">
        <f>E117</f>
        <v>0.125</v>
      </c>
      <c r="F133" s="78">
        <f>F117</f>
        <v>0</v>
      </c>
    </row>
    <row r="134" spans="2:7" x14ac:dyDescent="0.25">
      <c r="B134" s="79" t="s">
        <v>669</v>
      </c>
      <c r="C134" s="81">
        <f>SUM(C125:C133)</f>
        <v>2.833333333333333</v>
      </c>
      <c r="D134" s="81">
        <f>SUM(D125:D133)</f>
        <v>5.1916666666666664</v>
      </c>
      <c r="E134" s="81">
        <f>SUM(E125:E133)</f>
        <v>0.97499999999999998</v>
      </c>
      <c r="F134" s="84">
        <f>SUM(F125:F133)</f>
        <v>0</v>
      </c>
    </row>
    <row r="135" spans="2:7" ht="15.75" thickBot="1" x14ac:dyDescent="0.3">
      <c r="B135" s="80" t="s">
        <v>670</v>
      </c>
      <c r="C135" s="82">
        <f>AVERAGE(C125:C133)</f>
        <v>0.31481481481481477</v>
      </c>
      <c r="D135" s="82">
        <f>AVERAGE(D125:D133)</f>
        <v>0.57685185185185184</v>
      </c>
      <c r="E135" s="82">
        <f>AVERAGE(E125:E133)</f>
        <v>0.10833333333333334</v>
      </c>
      <c r="F135" s="85">
        <f>AVERAGE(F125:F133)</f>
        <v>0</v>
      </c>
    </row>
    <row r="137" spans="2:7" ht="15.75" thickBot="1" x14ac:dyDescent="0.3"/>
    <row r="138" spans="2:7" ht="17.25" thickBot="1" x14ac:dyDescent="0.3">
      <c r="B138" s="64" t="s">
        <v>66</v>
      </c>
      <c r="C138" s="86" t="s">
        <v>128</v>
      </c>
    </row>
    <row r="139" spans="2:7" ht="17.25" thickBot="1" x14ac:dyDescent="0.3">
      <c r="B139" s="64" t="s">
        <v>647</v>
      </c>
      <c r="C139" s="65">
        <v>2018</v>
      </c>
    </row>
    <row r="140" spans="2:7" ht="17.25" thickBot="1" x14ac:dyDescent="0.3">
      <c r="B140" s="64" t="s">
        <v>646</v>
      </c>
      <c r="C140" s="65">
        <f>COUNTIFS(TblUniv2018[th lulus],C139,TblUniv2018[Program Pendidikan],C138)</f>
        <v>1</v>
      </c>
    </row>
    <row r="141" spans="2:7" ht="16.5" x14ac:dyDescent="0.3">
      <c r="B141" s="55"/>
      <c r="C141" s="56" t="s">
        <v>69</v>
      </c>
      <c r="D141" s="56" t="s">
        <v>1</v>
      </c>
      <c r="E141" s="56" t="s">
        <v>75</v>
      </c>
      <c r="F141" s="56" t="s">
        <v>168</v>
      </c>
      <c r="G141" s="56"/>
    </row>
    <row r="142" spans="2:7" ht="16.5" x14ac:dyDescent="0.3">
      <c r="B142" s="57" t="s">
        <v>26</v>
      </c>
      <c r="C142" s="66">
        <f>COUNTIFS(TblUniv2018[B1],C$16,TblUniv2018[Program Pendidikan],$C$138)/$C$140*100%</f>
        <v>1</v>
      </c>
      <c r="D142" s="66">
        <f>COUNTIFS(TblUniv2018[B1],D$16,TblUniv2018[Program Pendidikan],$C$138)/$C$140*100%</f>
        <v>0</v>
      </c>
      <c r="E142" s="66">
        <f>COUNTIFS(TblUniv2018[B1],E$16,TblUniv2018[Program Pendidikan],$C$138)/$C$140*100%</f>
        <v>0</v>
      </c>
      <c r="F142" s="66">
        <f>COUNTIFS(TblUniv2018[B1],F$16,TblUniv2018[Program Pendidikan],$C$138)/$C$140*100%</f>
        <v>0</v>
      </c>
      <c r="G142" s="62">
        <f t="shared" ref="G142:G179" si="8">SUM(C142:F142)</f>
        <v>1</v>
      </c>
    </row>
    <row r="143" spans="2:7" ht="16.5" x14ac:dyDescent="0.3">
      <c r="B143" s="57" t="s">
        <v>27</v>
      </c>
      <c r="C143" s="66">
        <f>COUNTIFS(TblUniv2018[B2],C$16,TblUniv2018[Program Pendidikan],$C$138)/$C$140*100%</f>
        <v>1</v>
      </c>
      <c r="D143" s="66">
        <f>COUNTIFS(TblUniv2018[B2],D$16,TblUniv2018[Program Pendidikan],$C$138)/$C$140*100%</f>
        <v>0</v>
      </c>
      <c r="E143" s="66">
        <f>COUNTIFS(TblUniv2018[B2],E$16,TblUniv2018[Program Pendidikan],$C$138)/$C$140*100%</f>
        <v>0</v>
      </c>
      <c r="F143" s="66">
        <f>COUNTIFS(TblUniv2018[B2],F$16,TblUniv2018[Program Pendidikan],$C$138)/$C$140*100%</f>
        <v>0</v>
      </c>
      <c r="G143" s="62">
        <f t="shared" si="8"/>
        <v>1</v>
      </c>
    </row>
    <row r="144" spans="2:7" ht="16.5" x14ac:dyDescent="0.3">
      <c r="B144" s="57" t="s">
        <v>28</v>
      </c>
      <c r="C144" s="66">
        <f>COUNTIFS(TblUniv2018[B3],C$16,TblUniv2018[Program Pendidikan],$C$138)/$C$140*100%</f>
        <v>0</v>
      </c>
      <c r="D144" s="66">
        <f>COUNTIFS(TblUniv2018[B3],D$16,TblUniv2018[Program Pendidikan],$C$138)/$C$140*100%</f>
        <v>1</v>
      </c>
      <c r="E144" s="66">
        <f>COUNTIFS(TblUniv2018[B3],E$16,TblUniv2018[Program Pendidikan],$C$138)/$C$140*100%</f>
        <v>0</v>
      </c>
      <c r="F144" s="66">
        <f>COUNTIFS(TblUniv2018[B3],F$16,TblUniv2018[Program Pendidikan],$C$138)/$C$140*100%</f>
        <v>0</v>
      </c>
      <c r="G144" s="62">
        <f t="shared" si="8"/>
        <v>1</v>
      </c>
    </row>
    <row r="145" spans="2:7" ht="16.5" x14ac:dyDescent="0.3">
      <c r="B145" s="57" t="s">
        <v>29</v>
      </c>
      <c r="C145" s="66">
        <f>COUNTIFS(TblUniv2018[B4],C$16,TblUniv2018[Program Pendidikan],$C$138)/$C$140*100%</f>
        <v>1</v>
      </c>
      <c r="D145" s="66">
        <f>COUNTIFS(TblUniv2018[B4],D$16,TblUniv2018[Program Pendidikan],$C$138)/$C$140*100%</f>
        <v>0</v>
      </c>
      <c r="E145" s="66">
        <f>COUNTIFS(TblUniv2018[B4],E$16,TblUniv2018[Program Pendidikan],$C$138)/$C$140*100%</f>
        <v>0</v>
      </c>
      <c r="F145" s="66">
        <f>COUNTIFS(TblUniv2018[B4],F$16,TblUniv2018[Program Pendidikan],$C$138)/$C$140*100%</f>
        <v>0</v>
      </c>
      <c r="G145" s="62">
        <f t="shared" si="8"/>
        <v>1</v>
      </c>
    </row>
    <row r="146" spans="2:7" ht="16.5" x14ac:dyDescent="0.3">
      <c r="B146" s="57" t="s">
        <v>30</v>
      </c>
      <c r="C146" s="66">
        <f>COUNTIFS(TblUniv2018[B5],C$16,TblUniv2018[Program Pendidikan],$C$138)/$C$140*100%</f>
        <v>1</v>
      </c>
      <c r="D146" s="66">
        <f>COUNTIFS(TblUniv2018[B5],D$16,TblUniv2018[Program Pendidikan],$C$138)/$C$140*100%</f>
        <v>0</v>
      </c>
      <c r="E146" s="66">
        <f>COUNTIFS(TblUniv2018[B5],E$16,TblUniv2018[Program Pendidikan],$C$138)/$C$140*100%</f>
        <v>0</v>
      </c>
      <c r="F146" s="66">
        <f>COUNTIFS(TblUniv2018[B5],F$16,TblUniv2018[Program Pendidikan],$C$138)/$C$140*100%</f>
        <v>0</v>
      </c>
      <c r="G146" s="62">
        <f t="shared" si="8"/>
        <v>1</v>
      </c>
    </row>
    <row r="147" spans="2:7" ht="16.5" x14ac:dyDescent="0.3">
      <c r="B147" s="60"/>
      <c r="C147" s="61">
        <f>AVERAGE(C142:C146)</f>
        <v>0.8</v>
      </c>
      <c r="D147" s="61">
        <f>AVERAGE(D142:D146)</f>
        <v>0.2</v>
      </c>
      <c r="E147" s="61">
        <f>AVERAGE(E142:E146)</f>
        <v>0</v>
      </c>
      <c r="F147" s="61">
        <f>AVERAGE(F142:F146)</f>
        <v>0</v>
      </c>
      <c r="G147" s="62">
        <f t="shared" si="8"/>
        <v>1</v>
      </c>
    </row>
    <row r="148" spans="2:7" ht="16.5" x14ac:dyDescent="0.3">
      <c r="B148" s="57" t="s">
        <v>31</v>
      </c>
      <c r="C148" s="66">
        <f>COUNTIFS(TblUniv2018[C1],C$16,TblUniv2018[Program Pendidikan],$C$138)/$C$140*100%</f>
        <v>1</v>
      </c>
      <c r="D148" s="66">
        <f>COUNTIFS(TblUniv2018[C1],D$16,TblUniv2018[Program Pendidikan],$C$138)/$C$140*100%</f>
        <v>0</v>
      </c>
      <c r="E148" s="66">
        <f>COUNTIFS(TblUniv2018[C1],E$16,TblUniv2018[Program Pendidikan],$C$138)/$C$140*100%</f>
        <v>0</v>
      </c>
      <c r="F148" s="66">
        <f>COUNTIFS(TblUniv2018[C1],F$16,TblUniv2018[Program Pendidikan],$C$138)/$C$140*100%</f>
        <v>0</v>
      </c>
      <c r="G148" s="62">
        <f t="shared" si="8"/>
        <v>1</v>
      </c>
    </row>
    <row r="149" spans="2:7" ht="16.5" x14ac:dyDescent="0.3">
      <c r="B149" s="57" t="s">
        <v>32</v>
      </c>
      <c r="C149" s="66">
        <f>COUNTIFS(TblUniv2018[C2],C$16,TblUniv2018[Program Pendidikan],$C$138)/$C$140*100%</f>
        <v>1</v>
      </c>
      <c r="D149" s="66">
        <f>COUNTIFS(TblUniv2018[C2],D$16,TblUniv2018[Program Pendidikan],$C$138)/$C$140*100%</f>
        <v>0</v>
      </c>
      <c r="E149" s="66">
        <f>COUNTIFS(TblUniv2018[C2],E$16,TblUniv2018[Program Pendidikan],$C$138)/$C$140*100%</f>
        <v>0</v>
      </c>
      <c r="F149" s="66">
        <f>COUNTIFS(TblUniv2018[C2],F$16,TblUniv2018[Program Pendidikan],$C$138)/$C$140*100%</f>
        <v>0</v>
      </c>
      <c r="G149" s="62">
        <f t="shared" si="8"/>
        <v>1</v>
      </c>
    </row>
    <row r="150" spans="2:7" ht="16.5" x14ac:dyDescent="0.3">
      <c r="B150" s="60"/>
      <c r="C150" s="61">
        <f>AVERAGE(C148:C149)</f>
        <v>1</v>
      </c>
      <c r="D150" s="61">
        <f>AVERAGE(D148:D149)</f>
        <v>0</v>
      </c>
      <c r="E150" s="61">
        <f>AVERAGE(E148:E149)</f>
        <v>0</v>
      </c>
      <c r="F150" s="61">
        <f>AVERAGE(F148:F149)</f>
        <v>0</v>
      </c>
      <c r="G150" s="62">
        <f t="shared" si="8"/>
        <v>1</v>
      </c>
    </row>
    <row r="151" spans="2:7" ht="16.5" x14ac:dyDescent="0.3">
      <c r="B151" s="57" t="s">
        <v>33</v>
      </c>
      <c r="C151" s="66">
        <f>COUNTIFS(TblUniv2018[D1],C$16,TblUniv2018[Program Pendidikan],$C$138)/$C$140*100%</f>
        <v>0</v>
      </c>
      <c r="D151" s="66">
        <f>COUNTIFS(TblUniv2018[D1],D$16,TblUniv2018[Program Pendidikan],$C$138)/$C$140*100%</f>
        <v>1</v>
      </c>
      <c r="E151" s="66">
        <f>COUNTIFS(TblUniv2018[D1],E$16,TblUniv2018[Program Pendidikan],$C$138)/$C$140*100%</f>
        <v>0</v>
      </c>
      <c r="F151" s="66">
        <f>COUNTIFS(TblUniv2018[D1],F$16,TblUniv2018[Program Pendidikan],$C$138)/$C$140*100%</f>
        <v>0</v>
      </c>
      <c r="G151" s="62">
        <f t="shared" si="8"/>
        <v>1</v>
      </c>
    </row>
    <row r="152" spans="2:7" ht="16.5" x14ac:dyDescent="0.3">
      <c r="B152" s="57" t="s">
        <v>34</v>
      </c>
      <c r="C152" s="66">
        <f>COUNTIFS(TblUniv2018[D2],C$16,TblUniv2018[Program Pendidikan],$C$138)/$C$140*100%</f>
        <v>0</v>
      </c>
      <c r="D152" s="66">
        <f>COUNTIFS(TblUniv2018[D2],D$16,TblUniv2018[Program Pendidikan],$C$138)/$C$140*100%</f>
        <v>1</v>
      </c>
      <c r="E152" s="66">
        <f>COUNTIFS(TblUniv2018[D2],E$16,TblUniv2018[Program Pendidikan],$C$138)/$C$140*100%</f>
        <v>0</v>
      </c>
      <c r="F152" s="66">
        <f>COUNTIFS(TblUniv2018[D2],F$16,TblUniv2018[Program Pendidikan],$C$138)/$C$140*100%</f>
        <v>0</v>
      </c>
      <c r="G152" s="62">
        <f t="shared" si="8"/>
        <v>1</v>
      </c>
    </row>
    <row r="153" spans="2:7" ht="16.5" x14ac:dyDescent="0.3">
      <c r="B153" s="60"/>
      <c r="C153" s="61">
        <f>AVERAGE(C151:C152)</f>
        <v>0</v>
      </c>
      <c r="D153" s="61">
        <f>AVERAGE(D151:D152)</f>
        <v>1</v>
      </c>
      <c r="E153" s="61">
        <f>AVERAGE(E151:E152)</f>
        <v>0</v>
      </c>
      <c r="F153" s="61">
        <f>AVERAGE(F151:F152)</f>
        <v>0</v>
      </c>
      <c r="G153" s="62">
        <f t="shared" si="8"/>
        <v>1</v>
      </c>
    </row>
    <row r="154" spans="2:7" ht="16.5" x14ac:dyDescent="0.3">
      <c r="B154" s="57" t="s">
        <v>35</v>
      </c>
      <c r="C154" s="66">
        <f>COUNTIFS(TblUniv2018[E1],C$16,TblUniv2018[Program Pendidikan],$C$138)/$C$140*100%</f>
        <v>1</v>
      </c>
      <c r="D154" s="66">
        <f>COUNTIFS(TblUniv2018[E1],D$16,TblUniv2018[Program Pendidikan],$C$138)/$C$140*100%</f>
        <v>0</v>
      </c>
      <c r="E154" s="66">
        <f>COUNTIFS(TblUniv2018[E1],E$16,TblUniv2018[Program Pendidikan],$C$138)/$C$140*100%</f>
        <v>0</v>
      </c>
      <c r="F154" s="66">
        <f>COUNTIFS(TblUniv2018[E1],F$16,TblUniv2018[Program Pendidikan],$C$138)/$C$140*100%</f>
        <v>0</v>
      </c>
      <c r="G154" s="62">
        <f t="shared" si="8"/>
        <v>1</v>
      </c>
    </row>
    <row r="155" spans="2:7" ht="16.5" x14ac:dyDescent="0.3">
      <c r="B155" s="57" t="s">
        <v>36</v>
      </c>
      <c r="C155" s="66">
        <f>COUNTIFS(TblUniv2018[E2],C$16,TblUniv2018[Program Pendidikan],$C$138)/$C$140*100%</f>
        <v>1</v>
      </c>
      <c r="D155" s="66">
        <f>COUNTIFS(TblUniv2018[E2],D$16,TblUniv2018[Program Pendidikan],$C$138)/$C$140*100%</f>
        <v>0</v>
      </c>
      <c r="E155" s="66">
        <f>COUNTIFS(TblUniv2018[E2],E$16,TblUniv2018[Program Pendidikan],$C$138)/$C$140*100%</f>
        <v>0</v>
      </c>
      <c r="F155" s="66">
        <f>COUNTIFS(TblUniv2018[E2],F$16,TblUniv2018[Program Pendidikan],$C$138)/$C$140*100%</f>
        <v>0</v>
      </c>
      <c r="G155" s="62">
        <f t="shared" si="8"/>
        <v>1</v>
      </c>
    </row>
    <row r="156" spans="2:7" ht="16.5" x14ac:dyDescent="0.3">
      <c r="B156" s="60"/>
      <c r="C156" s="61">
        <f>AVERAGE(C154:C155)</f>
        <v>1</v>
      </c>
      <c r="D156" s="61">
        <f>AVERAGE(D154:D155)</f>
        <v>0</v>
      </c>
      <c r="E156" s="61">
        <f>AVERAGE(E154:E155)</f>
        <v>0</v>
      </c>
      <c r="F156" s="61">
        <f>AVERAGE(F154:F155)</f>
        <v>0</v>
      </c>
      <c r="G156" s="62">
        <f t="shared" si="8"/>
        <v>1</v>
      </c>
    </row>
    <row r="157" spans="2:7" ht="16.5" x14ac:dyDescent="0.3">
      <c r="B157" s="57" t="s">
        <v>37</v>
      </c>
      <c r="C157" s="66">
        <f>COUNTIFS(TblUniv2018[F1],C$16,TblUniv2018[Program Pendidikan],$C$138)/$C$140*100%</f>
        <v>1</v>
      </c>
      <c r="D157" s="66">
        <f>COUNTIFS(TblUniv2018[F1],D$16,TblUniv2018[Program Pendidikan],$C$138)/$C$140*100%</f>
        <v>0</v>
      </c>
      <c r="E157" s="66">
        <f>COUNTIFS(TblUniv2018[F1],E$16,TblUniv2018[Program Pendidikan],$C$138)/$C$140*100%</f>
        <v>0</v>
      </c>
      <c r="F157" s="66">
        <f>COUNTIFS(TblUniv2018[F1],F$16,TblUniv2018[Program Pendidikan],$C$138)/$C$140*100%</f>
        <v>0</v>
      </c>
      <c r="G157" s="62">
        <f t="shared" si="8"/>
        <v>1</v>
      </c>
    </row>
    <row r="158" spans="2:7" ht="16.5" x14ac:dyDescent="0.3">
      <c r="B158" s="57" t="s">
        <v>38</v>
      </c>
      <c r="C158" s="66">
        <f>COUNTIFS(TblUniv2018[F2],C$16,TblUniv2018[Program Pendidikan],$C$138)/$C$140*100%</f>
        <v>0</v>
      </c>
      <c r="D158" s="66">
        <f>COUNTIFS(TblUniv2018[F2],D$16,TblUniv2018[Program Pendidikan],$C$138)/$C$140*100%</f>
        <v>1</v>
      </c>
      <c r="E158" s="66">
        <f>COUNTIFS(TblUniv2018[F2],E$16,TblUniv2018[Program Pendidikan],$C$138)/$C$140*100%</f>
        <v>0</v>
      </c>
      <c r="F158" s="66">
        <f>COUNTIFS(TblUniv2018[F2],F$16,TblUniv2018[Program Pendidikan],$C$138)/$C$140*100%</f>
        <v>0</v>
      </c>
      <c r="G158" s="62">
        <f t="shared" si="8"/>
        <v>1</v>
      </c>
    </row>
    <row r="159" spans="2:7" ht="16.5" x14ac:dyDescent="0.3">
      <c r="B159" s="57" t="s">
        <v>39</v>
      </c>
      <c r="C159" s="66">
        <f>COUNTIFS(TblUniv2018[F3],C$16,TblUniv2018[Program Pendidikan],$C$138)/$C$140*100%</f>
        <v>0</v>
      </c>
      <c r="D159" s="66">
        <f>COUNTIFS(TblUniv2018[F3],D$16,TblUniv2018[Program Pendidikan],$C$138)/$C$140*100%</f>
        <v>1</v>
      </c>
      <c r="E159" s="66">
        <f>COUNTIFS(TblUniv2018[F3],E$16,TblUniv2018[Program Pendidikan],$C$138)/$C$140*100%</f>
        <v>0</v>
      </c>
      <c r="F159" s="66">
        <f>COUNTIFS(TblUniv2018[F3],F$16,TblUniv2018[Program Pendidikan],$C$138)/$C$140*100%</f>
        <v>0</v>
      </c>
      <c r="G159" s="62">
        <f t="shared" si="8"/>
        <v>1</v>
      </c>
    </row>
    <row r="160" spans="2:7" ht="16.5" x14ac:dyDescent="0.3">
      <c r="B160" s="60"/>
      <c r="C160" s="61">
        <f>AVERAGE(C157:C159)</f>
        <v>0.33333333333333331</v>
      </c>
      <c r="D160" s="61">
        <f>AVERAGE(D157:D159)</f>
        <v>0.66666666666666663</v>
      </c>
      <c r="E160" s="61">
        <f>AVERAGE(E157:E159)</f>
        <v>0</v>
      </c>
      <c r="F160" s="61">
        <f>AVERAGE(F157:F159)</f>
        <v>0</v>
      </c>
      <c r="G160" s="62">
        <f t="shared" si="8"/>
        <v>1</v>
      </c>
    </row>
    <row r="161" spans="2:7" ht="16.5" x14ac:dyDescent="0.3">
      <c r="B161" s="57" t="s">
        <v>40</v>
      </c>
      <c r="C161" s="66">
        <f>COUNTIFS(TblUniv2018[G1],C$16,TblUniv2018[Program Pendidikan],$C$138)/$C$140*100%</f>
        <v>1</v>
      </c>
      <c r="D161" s="66">
        <f>COUNTIFS(TblUniv2018[G1],D$16,TblUniv2018[Program Pendidikan],$C$138)/$C$140*100%</f>
        <v>0</v>
      </c>
      <c r="E161" s="66">
        <f>COUNTIFS(TblUniv2018[G1],E$16,TblUniv2018[Program Pendidikan],$C$138)/$C$140*100%</f>
        <v>0</v>
      </c>
      <c r="F161" s="66">
        <f>COUNTIFS(TblUniv2018[G1],F$16,TblUniv2018[Program Pendidikan],$C$138)/$C$140*100%</f>
        <v>0</v>
      </c>
      <c r="G161" s="62">
        <f t="shared" si="8"/>
        <v>1</v>
      </c>
    </row>
    <row r="162" spans="2:7" ht="16.5" x14ac:dyDescent="0.3">
      <c r="B162" s="57" t="s">
        <v>41</v>
      </c>
      <c r="C162" s="66">
        <f>COUNTIFS(TblUniv2018[G2],C$16,TblUniv2018[Program Pendidikan],$C$138)/$C$140*100%</f>
        <v>0</v>
      </c>
      <c r="D162" s="66">
        <f>COUNTIFS(TblUniv2018[G2],D$16,TblUniv2018[Program Pendidikan],$C$138)/$C$140*100%</f>
        <v>1</v>
      </c>
      <c r="E162" s="66">
        <f>COUNTIFS(TblUniv2018[G2],E$16,TblUniv2018[Program Pendidikan],$C$138)/$C$140*100%</f>
        <v>0</v>
      </c>
      <c r="F162" s="66">
        <f>COUNTIFS(TblUniv2018[G2],F$16,TblUniv2018[Program Pendidikan],$C$138)/$C$140*100%</f>
        <v>0</v>
      </c>
      <c r="G162" s="62">
        <f t="shared" si="8"/>
        <v>1</v>
      </c>
    </row>
    <row r="163" spans="2:7" ht="16.5" x14ac:dyDescent="0.3">
      <c r="B163" s="60"/>
      <c r="C163" s="61">
        <f>AVERAGE(C161:C162)</f>
        <v>0.5</v>
      </c>
      <c r="D163" s="61">
        <f>AVERAGE(D161:D162)</f>
        <v>0.5</v>
      </c>
      <c r="E163" s="61">
        <f>AVERAGE(E161:E162)</f>
        <v>0</v>
      </c>
      <c r="F163" s="61">
        <f>AVERAGE(F161:F162)</f>
        <v>0</v>
      </c>
      <c r="G163" s="62">
        <f t="shared" si="8"/>
        <v>1</v>
      </c>
    </row>
    <row r="164" spans="2:7" ht="16.5" x14ac:dyDescent="0.3">
      <c r="B164" s="57" t="s">
        <v>42</v>
      </c>
      <c r="C164" s="66">
        <f>COUNTIFS(TblUniv2018[H1],C$16,TblUniv2018[Program Pendidikan],$C$138)/$C$140*100%</f>
        <v>0</v>
      </c>
      <c r="D164" s="66">
        <f>COUNTIFS(TblUniv2018[H1],D$16,TblUniv2018[Program Pendidikan],$C$138)/$C$140*100%</f>
        <v>1</v>
      </c>
      <c r="E164" s="66">
        <f>COUNTIFS(TblUniv2018[H1],E$16,TblUniv2018[Program Pendidikan],$C$138)/$C$140*100%</f>
        <v>0</v>
      </c>
      <c r="F164" s="66">
        <f>COUNTIFS(TblUniv2018[H1],F$16,TblUniv2018[Program Pendidikan],$C$138)/$C$140*100%</f>
        <v>0</v>
      </c>
      <c r="G164" s="62">
        <f t="shared" si="8"/>
        <v>1</v>
      </c>
    </row>
    <row r="165" spans="2:7" ht="16.5" x14ac:dyDescent="0.3">
      <c r="B165" s="57" t="s">
        <v>43</v>
      </c>
      <c r="C165" s="66">
        <f>COUNTIFS(TblUniv2018[H1],C$16,TblUniv2018[Program Pendidikan],$C$138)/$C$140*100%</f>
        <v>0</v>
      </c>
      <c r="D165" s="66">
        <f>COUNTIFS(TblUniv2018[H1],D$16,TblUniv2018[Program Pendidikan],$C$138)/$C$140*100%</f>
        <v>1</v>
      </c>
      <c r="E165" s="66">
        <f>COUNTIFS(TblUniv2018[H1],E$16,TblUniv2018[Program Pendidikan],$C$138)/$C$140*100%</f>
        <v>0</v>
      </c>
      <c r="F165" s="66">
        <f>COUNTIFS(TblUniv2018[H1],F$16,TblUniv2018[Program Pendidikan],$C$138)/$C$140*100%</f>
        <v>0</v>
      </c>
      <c r="G165" s="62">
        <f t="shared" si="8"/>
        <v>1</v>
      </c>
    </row>
    <row r="166" spans="2:7" ht="16.5" x14ac:dyDescent="0.3">
      <c r="B166" s="57" t="s">
        <v>44</v>
      </c>
      <c r="C166" s="66">
        <f>COUNTIFS(TblUniv2018[H3],C$16,TblUniv2018[Program Pendidikan],$C$138)/$C$140*100%</f>
        <v>1</v>
      </c>
      <c r="D166" s="66">
        <f>COUNTIFS(TblUniv2018[H3],D$16,TblUniv2018[Program Pendidikan],$C$138)/$C$140*100%</f>
        <v>0</v>
      </c>
      <c r="E166" s="66">
        <f>COUNTIFS(TblUniv2018[H3],E$16,TblUniv2018[Program Pendidikan],$C$138)/$C$140*100%</f>
        <v>0</v>
      </c>
      <c r="F166" s="66">
        <f>COUNTIFS(TblUniv2018[H3],F$16,TblUniv2018[Program Pendidikan],$C$138)/$C$140*100%</f>
        <v>0</v>
      </c>
      <c r="G166" s="62">
        <f t="shared" si="8"/>
        <v>1</v>
      </c>
    </row>
    <row r="167" spans="2:7" ht="16.5" x14ac:dyDescent="0.3">
      <c r="B167" s="57" t="s">
        <v>45</v>
      </c>
      <c r="C167" s="66">
        <f>COUNTIFS(TblUniv2018[H4],C$16,TblUniv2018[Program Pendidikan],$C$138)/$C$140*100%</f>
        <v>0</v>
      </c>
      <c r="D167" s="66">
        <f>COUNTIFS(TblUniv2018[H4],D$16,TblUniv2018[Program Pendidikan],$C$138)/$C$140*100%</f>
        <v>1</v>
      </c>
      <c r="E167" s="66">
        <f>COUNTIFS(TblUniv2018[H4],E$16,TblUniv2018[Program Pendidikan],$C$138)/$C$140*100%</f>
        <v>0</v>
      </c>
      <c r="F167" s="66">
        <f>COUNTIFS(TblUniv2018[H4],F$16,TblUniv2018[Program Pendidikan],$C$138)/$C$140*100%</f>
        <v>0</v>
      </c>
      <c r="G167" s="62">
        <f t="shared" si="8"/>
        <v>1</v>
      </c>
    </row>
    <row r="168" spans="2:7" ht="16.5" x14ac:dyDescent="0.3">
      <c r="B168" s="60"/>
      <c r="C168" s="61">
        <f>AVERAGE(C164:C167)</f>
        <v>0.25</v>
      </c>
      <c r="D168" s="61">
        <f>AVERAGE(D164:D167)</f>
        <v>0.75</v>
      </c>
      <c r="E168" s="61">
        <f>AVERAGE(E164:E167)</f>
        <v>0</v>
      </c>
      <c r="F168" s="61">
        <f>AVERAGE(F164:F167)</f>
        <v>0</v>
      </c>
      <c r="G168" s="62">
        <f t="shared" si="8"/>
        <v>1</v>
      </c>
    </row>
    <row r="169" spans="2:7" ht="16.5" x14ac:dyDescent="0.3">
      <c r="B169" s="57" t="s">
        <v>648</v>
      </c>
      <c r="C169" s="66">
        <f>COUNTIFS(TblUniv2018[I. a1],C$16,TblUniv2018[Program Pendidikan],$C$138)/$C$140*100%</f>
        <v>1</v>
      </c>
      <c r="D169" s="66">
        <f>COUNTIFS(TblUniv2018[I. a1],D$16,TblUniv2018[Program Pendidikan],$C$138)/$C$140*100%</f>
        <v>0</v>
      </c>
      <c r="E169" s="66">
        <f>COUNTIFS(TblUniv2018[I. a1],E$16,TblUniv2018[Program Pendidikan],$C$138)/$C$140*100%</f>
        <v>0</v>
      </c>
      <c r="F169" s="66">
        <f>COUNTIFS(TblUniv2018[I. a1],F$16,TblUniv2018[Program Pendidikan],$C$138)/$C$140*100%</f>
        <v>0</v>
      </c>
      <c r="G169" s="62">
        <f t="shared" si="8"/>
        <v>1</v>
      </c>
    </row>
    <row r="170" spans="2:7" ht="16.5" x14ac:dyDescent="0.3">
      <c r="B170" s="57" t="s">
        <v>649</v>
      </c>
      <c r="C170" s="66">
        <f>COUNTIFS(TblUniv2018[I. a2],C$16,TblUniv2018[Program Pendidikan],$C$138)/$C$140*100%</f>
        <v>0</v>
      </c>
      <c r="D170" s="66">
        <f>COUNTIFS(TblUniv2018[I. a2],D$16,TblUniv2018[Program Pendidikan],$C$138)/$C$140*100%</f>
        <v>1</v>
      </c>
      <c r="E170" s="66">
        <f>COUNTIFS(TblUniv2018[I. a2],E$16,TblUniv2018[Program Pendidikan],$C$138)/$C$140*100%</f>
        <v>0</v>
      </c>
      <c r="F170" s="66">
        <f>COUNTIFS(TblUniv2018[I. a2],F$16,TblUniv2018[Program Pendidikan],$C$138)/$C$140*100%</f>
        <v>0</v>
      </c>
      <c r="G170" s="62">
        <f t="shared" si="8"/>
        <v>1</v>
      </c>
    </row>
    <row r="171" spans="2:7" ht="16.5" x14ac:dyDescent="0.3">
      <c r="B171" s="57" t="s">
        <v>650</v>
      </c>
      <c r="C171" s="66">
        <f>COUNTIFS(TblUniv2018[I. a3],C$16,TblUniv2018[Program Pendidikan],$C$138)/$C$140*100%</f>
        <v>1</v>
      </c>
      <c r="D171" s="66">
        <f>COUNTIFS(TblUniv2018[I. a3],D$16,TblUniv2018[Program Pendidikan],$C$138)/$C$140*100%</f>
        <v>0</v>
      </c>
      <c r="E171" s="66">
        <f>COUNTIFS(TblUniv2018[I. a3],E$16,TblUniv2018[Program Pendidikan],$C$138)/$C$140*100%</f>
        <v>0</v>
      </c>
      <c r="F171" s="66">
        <f>COUNTIFS(TblUniv2018[I. a3],F$16,TblUniv2018[Program Pendidikan],$C$138)/$C$140*100%</f>
        <v>0</v>
      </c>
      <c r="G171" s="62">
        <f t="shared" si="8"/>
        <v>1</v>
      </c>
    </row>
    <row r="172" spans="2:7" ht="16.5" x14ac:dyDescent="0.3">
      <c r="B172" s="57" t="s">
        <v>651</v>
      </c>
      <c r="C172" s="66">
        <f>COUNTIFS(TblUniv2018[I. a4],C$16,TblUniv2018[Program Pendidikan],$C$138)/$C$140*100%</f>
        <v>1</v>
      </c>
      <c r="D172" s="66">
        <f>COUNTIFS(TblUniv2018[I. a4],D$16,TblUniv2018[Program Pendidikan],$C$138)/$C$140*100%</f>
        <v>0</v>
      </c>
      <c r="E172" s="66">
        <f>COUNTIFS(TblUniv2018[I. a4],E$16,TblUniv2018[Program Pendidikan],$C$138)/$C$140*100%</f>
        <v>0</v>
      </c>
      <c r="F172" s="66">
        <f>COUNTIFS(TblUniv2018[I. a4],F$16,TblUniv2018[Program Pendidikan],$C$138)/$C$140*100%</f>
        <v>0</v>
      </c>
      <c r="G172" s="62">
        <f t="shared" si="8"/>
        <v>1</v>
      </c>
    </row>
    <row r="173" spans="2:7" ht="16.5" x14ac:dyDescent="0.3">
      <c r="B173" s="57" t="s">
        <v>652</v>
      </c>
      <c r="C173" s="66">
        <f>COUNTIFS(TblUniv2018[I. a5],C$16,TblUniv2018[Program Pendidikan],$C$138)/$C$140*100%</f>
        <v>1</v>
      </c>
      <c r="D173" s="66">
        <f>COUNTIFS(TblUniv2018[I. a5],D$16,TblUniv2018[Program Pendidikan],$C$138)/$C$140*100%</f>
        <v>0</v>
      </c>
      <c r="E173" s="66">
        <f>COUNTIFS(TblUniv2018[I. a5],E$16,TblUniv2018[Program Pendidikan],$C$138)/$C$140*100%</f>
        <v>0</v>
      </c>
      <c r="F173" s="66">
        <f>COUNTIFS(TblUniv2018[I. a5],F$16,TblUniv2018[Program Pendidikan],$C$138)/$C$140*100%</f>
        <v>0</v>
      </c>
      <c r="G173" s="62">
        <f t="shared" si="8"/>
        <v>1</v>
      </c>
    </row>
    <row r="174" spans="2:7" ht="16.5" x14ac:dyDescent="0.3">
      <c r="B174" s="60"/>
      <c r="C174" s="61">
        <f>AVERAGE(C169:C173)</f>
        <v>0.8</v>
      </c>
      <c r="D174" s="61">
        <f>AVERAGE(D169:D173)</f>
        <v>0.2</v>
      </c>
      <c r="E174" s="61">
        <f>AVERAGE(E169:E173)</f>
        <v>0</v>
      </c>
      <c r="F174" s="61">
        <f>AVERAGE(F169:F173)</f>
        <v>0</v>
      </c>
      <c r="G174" s="62">
        <f t="shared" si="8"/>
        <v>1</v>
      </c>
    </row>
    <row r="175" spans="2:7" ht="16.5" x14ac:dyDescent="0.3">
      <c r="B175" s="57" t="s">
        <v>653</v>
      </c>
      <c r="C175" s="66">
        <f>COUNTIFS(TblUniv2018[I. b1],C$16,TblUniv2018[Program Pendidikan],$C$138)/$C$140*100%</f>
        <v>0</v>
      </c>
      <c r="D175" s="66">
        <f>COUNTIFS(TblUniv2018[I. b1],D$16,TblUniv2018[Program Pendidikan],$C$138)/$C$140*100%</f>
        <v>1</v>
      </c>
      <c r="E175" s="66">
        <f>COUNTIFS(TblUniv2018[I. b1],E$16,TblUniv2018[Program Pendidikan],$C$138)/$C$140*100%</f>
        <v>0</v>
      </c>
      <c r="F175" s="66">
        <f>COUNTIFS(TblUniv2018[I. b1],F$16,TblUniv2018[Program Pendidikan],$C$138)/$C$140*100%</f>
        <v>0</v>
      </c>
      <c r="G175" s="62">
        <f t="shared" si="8"/>
        <v>1</v>
      </c>
    </row>
    <row r="176" spans="2:7" ht="16.5" x14ac:dyDescent="0.3">
      <c r="B176" s="57" t="s">
        <v>654</v>
      </c>
      <c r="C176" s="66">
        <f>COUNTIFS(TblUniv2018[I. b2],C$16,TblUniv2018[Program Pendidikan],$C$138)/$C$140*100%</f>
        <v>1</v>
      </c>
      <c r="D176" s="66">
        <f>COUNTIFS(TblUniv2018[I. b2],D$16,TblUniv2018[Program Pendidikan],$C$138)/$C$140*100%</f>
        <v>0</v>
      </c>
      <c r="E176" s="66">
        <f>COUNTIFS(TblUniv2018[I. b2],E$16,TblUniv2018[Program Pendidikan],$C$138)/$C$140*100%</f>
        <v>0</v>
      </c>
      <c r="F176" s="66">
        <f>COUNTIFS(TblUniv2018[I. b2],F$16,TblUniv2018[Program Pendidikan],$C$138)/$C$140*100%</f>
        <v>0</v>
      </c>
      <c r="G176" s="62">
        <f t="shared" si="8"/>
        <v>1</v>
      </c>
    </row>
    <row r="177" spans="2:7" ht="16.5" x14ac:dyDescent="0.3">
      <c r="B177" s="57" t="s">
        <v>655</v>
      </c>
      <c r="C177" s="66">
        <f>COUNTIFS(TblUniv2018[I. b3],C$16,TblUniv2018[Program Pendidikan],$C$138)/$C$140*100%</f>
        <v>0</v>
      </c>
      <c r="D177" s="66">
        <f>COUNTIFS(TblUniv2018[I. b3],D$16,TblUniv2018[Program Pendidikan],$C$138)/$C$140*100%</f>
        <v>1</v>
      </c>
      <c r="E177" s="66">
        <f>COUNTIFS(TblUniv2018[I. b3],E$16,TblUniv2018[Program Pendidikan],$C$138)/$C$140*100%</f>
        <v>0</v>
      </c>
      <c r="F177" s="66">
        <f>COUNTIFS(TblUniv2018[I. b3],F$16,TblUniv2018[Program Pendidikan],$C$138)/$C$140*100%</f>
        <v>0</v>
      </c>
      <c r="G177" s="62">
        <f t="shared" si="8"/>
        <v>1</v>
      </c>
    </row>
    <row r="178" spans="2:7" ht="16.5" x14ac:dyDescent="0.3">
      <c r="B178" s="57" t="s">
        <v>656</v>
      </c>
      <c r="C178" s="66">
        <f>COUNTIFS(TblUniv2018[I. b4],C$16,TblUniv2018[Program Pendidikan],$C$138)/$C$140*100%</f>
        <v>0</v>
      </c>
      <c r="D178" s="66">
        <f>COUNTIFS(TblUniv2018[I. b4],D$16,TblUniv2018[Program Pendidikan],$C$138)/$C$140*100%</f>
        <v>1</v>
      </c>
      <c r="E178" s="66">
        <f>COUNTIFS(TblUniv2018[I. b4],E$16,TblUniv2018[Program Pendidikan],$C$138)/$C$140*100%</f>
        <v>0</v>
      </c>
      <c r="F178" s="66">
        <f>COUNTIFS(TblUniv2018[I. b4],F$16,TblUniv2018[Program Pendidikan],$C$138)/$C$140*100%</f>
        <v>0</v>
      </c>
      <c r="G178" s="62">
        <f t="shared" si="8"/>
        <v>1</v>
      </c>
    </row>
    <row r="179" spans="2:7" ht="17.25" thickBot="1" x14ac:dyDescent="0.35">
      <c r="B179" s="67"/>
      <c r="C179" s="68">
        <f>AVERAGE(C175:C178)</f>
        <v>0.25</v>
      </c>
      <c r="D179" s="68">
        <f>AVERAGE(D175:D178)</f>
        <v>0.75</v>
      </c>
      <c r="E179" s="68">
        <f>AVERAGE(E175:E178)</f>
        <v>0</v>
      </c>
      <c r="F179" s="68">
        <f>AVERAGE(F175:F178)</f>
        <v>0</v>
      </c>
      <c r="G179" s="62">
        <f t="shared" si="8"/>
        <v>1</v>
      </c>
    </row>
    <row r="180" spans="2:7" ht="15.75" thickBot="1" x14ac:dyDescent="0.3"/>
    <row r="181" spans="2:7" ht="17.25" thickBot="1" x14ac:dyDescent="0.3">
      <c r="B181" s="64" t="s">
        <v>14</v>
      </c>
      <c r="C181" s="65" t="str">
        <f>C138</f>
        <v>Diploma Empat/ Sarjana Terapan</v>
      </c>
      <c r="G181" s="1" t="s">
        <v>73</v>
      </c>
    </row>
    <row r="182" spans="2:7" ht="33.75" thickBot="1" x14ac:dyDescent="0.3">
      <c r="B182" s="64" t="s">
        <v>647</v>
      </c>
      <c r="C182" s="65">
        <f>C139</f>
        <v>2018</v>
      </c>
      <c r="G182" s="83" t="s">
        <v>128</v>
      </c>
    </row>
    <row r="183" spans="2:7" ht="17.25" thickBot="1" x14ac:dyDescent="0.3">
      <c r="B183" s="64" t="s">
        <v>646</v>
      </c>
      <c r="C183" s="65">
        <f>C140</f>
        <v>1</v>
      </c>
    </row>
    <row r="184" spans="2:7" ht="15.75" thickBot="1" x14ac:dyDescent="0.3">
      <c r="B184" s="222" t="s">
        <v>658</v>
      </c>
      <c r="C184" s="223" t="s">
        <v>664</v>
      </c>
      <c r="D184" s="223"/>
      <c r="E184" s="223"/>
      <c r="F184" s="223"/>
    </row>
    <row r="185" spans="2:7" ht="15.75" thickBot="1" x14ac:dyDescent="0.3">
      <c r="B185" s="222"/>
      <c r="C185" s="72" t="s">
        <v>645</v>
      </c>
      <c r="D185" s="72" t="s">
        <v>665</v>
      </c>
      <c r="E185" s="72" t="s">
        <v>666</v>
      </c>
      <c r="F185" s="72" t="s">
        <v>667</v>
      </c>
    </row>
    <row r="186" spans="2:7" x14ac:dyDescent="0.25">
      <c r="B186" s="73">
        <v>2</v>
      </c>
      <c r="C186" s="71">
        <v>3</v>
      </c>
      <c r="D186" s="71">
        <v>4</v>
      </c>
      <c r="E186" s="71">
        <v>5</v>
      </c>
      <c r="F186" s="74">
        <v>6</v>
      </c>
    </row>
    <row r="187" spans="2:7" x14ac:dyDescent="0.25">
      <c r="B187" s="75" t="s">
        <v>659</v>
      </c>
      <c r="C187" s="58">
        <f>C147</f>
        <v>0.8</v>
      </c>
      <c r="D187" s="58">
        <f>D147</f>
        <v>0.2</v>
      </c>
      <c r="E187" s="58">
        <f>E147</f>
        <v>0</v>
      </c>
      <c r="F187" s="59">
        <f>F147</f>
        <v>0</v>
      </c>
    </row>
    <row r="188" spans="2:7" x14ac:dyDescent="0.25">
      <c r="B188" s="75" t="s">
        <v>660</v>
      </c>
      <c r="C188" s="58">
        <f>C150</f>
        <v>1</v>
      </c>
      <c r="D188" s="58">
        <f>D150</f>
        <v>0</v>
      </c>
      <c r="E188" s="58">
        <f>E150</f>
        <v>0</v>
      </c>
      <c r="F188" s="59">
        <f>F150</f>
        <v>0</v>
      </c>
    </row>
    <row r="189" spans="2:7" x14ac:dyDescent="0.25">
      <c r="B189" s="75" t="s">
        <v>661</v>
      </c>
      <c r="C189" s="58">
        <f>C153</f>
        <v>0</v>
      </c>
      <c r="D189" s="58">
        <f>D153</f>
        <v>1</v>
      </c>
      <c r="E189" s="58">
        <f>E153</f>
        <v>0</v>
      </c>
      <c r="F189" s="59">
        <f>F153</f>
        <v>0</v>
      </c>
    </row>
    <row r="190" spans="2:7" x14ac:dyDescent="0.25">
      <c r="B190" s="75" t="s">
        <v>662</v>
      </c>
      <c r="C190" s="58">
        <f>C156</f>
        <v>1</v>
      </c>
      <c r="D190" s="58">
        <f>D156</f>
        <v>0</v>
      </c>
      <c r="E190" s="58">
        <f>E156</f>
        <v>0</v>
      </c>
      <c r="F190" s="59">
        <f>F156</f>
        <v>0</v>
      </c>
    </row>
    <row r="191" spans="2:7" x14ac:dyDescent="0.25">
      <c r="B191" s="75" t="s">
        <v>663</v>
      </c>
      <c r="C191" s="58">
        <f>C160</f>
        <v>0.33333333333333331</v>
      </c>
      <c r="D191" s="58">
        <f>D160</f>
        <v>0.66666666666666663</v>
      </c>
      <c r="E191" s="58">
        <f>E160</f>
        <v>0</v>
      </c>
      <c r="F191" s="59">
        <f>F160</f>
        <v>0</v>
      </c>
    </row>
    <row r="192" spans="2:7" x14ac:dyDescent="0.25">
      <c r="B192" s="75" t="s">
        <v>617</v>
      </c>
      <c r="C192" s="58">
        <f>C163</f>
        <v>0.5</v>
      </c>
      <c r="D192" s="58">
        <f>D163</f>
        <v>0.5</v>
      </c>
      <c r="E192" s="58">
        <f>E163</f>
        <v>0</v>
      </c>
      <c r="F192" s="59">
        <f>F163</f>
        <v>0</v>
      </c>
    </row>
    <row r="193" spans="2:7" x14ac:dyDescent="0.25">
      <c r="B193" s="75" t="s">
        <v>330</v>
      </c>
      <c r="C193" s="58">
        <f>C168</f>
        <v>0.25</v>
      </c>
      <c r="D193" s="58">
        <f>D168</f>
        <v>0.75</v>
      </c>
      <c r="E193" s="58">
        <f>E168</f>
        <v>0</v>
      </c>
      <c r="F193" s="59">
        <f>F168</f>
        <v>0</v>
      </c>
    </row>
    <row r="194" spans="2:7" x14ac:dyDescent="0.25">
      <c r="B194" s="75" t="s">
        <v>68</v>
      </c>
      <c r="C194" s="58">
        <f>C174</f>
        <v>0.8</v>
      </c>
      <c r="D194" s="58">
        <f>D174</f>
        <v>0.2</v>
      </c>
      <c r="E194" s="58">
        <f>E174</f>
        <v>0</v>
      </c>
      <c r="F194" s="59">
        <f>F174</f>
        <v>0</v>
      </c>
    </row>
    <row r="195" spans="2:7" ht="15.75" thickBot="1" x14ac:dyDescent="0.3">
      <c r="B195" s="76" t="s">
        <v>68</v>
      </c>
      <c r="C195" s="77">
        <f>C179</f>
        <v>0.25</v>
      </c>
      <c r="D195" s="77">
        <f>D179</f>
        <v>0.75</v>
      </c>
      <c r="E195" s="77">
        <f>E179</f>
        <v>0</v>
      </c>
      <c r="F195" s="78">
        <f>F179</f>
        <v>0</v>
      </c>
    </row>
    <row r="196" spans="2:7" x14ac:dyDescent="0.25">
      <c r="B196" s="79" t="s">
        <v>669</v>
      </c>
      <c r="C196" s="81">
        <f>SUM(C187:C195)</f>
        <v>4.9333333333333336</v>
      </c>
      <c r="D196" s="81">
        <f>SUM(D187:D195)</f>
        <v>4.0666666666666664</v>
      </c>
      <c r="E196" s="81">
        <f>SUM(E187:E195)</f>
        <v>0</v>
      </c>
      <c r="F196" s="84">
        <f>SUM(F187:F195)</f>
        <v>0</v>
      </c>
    </row>
    <row r="197" spans="2:7" ht="15.75" thickBot="1" x14ac:dyDescent="0.3">
      <c r="B197" s="80" t="s">
        <v>670</v>
      </c>
      <c r="C197" s="82">
        <f>AVERAGE(C187:C195)</f>
        <v>0.54814814814814816</v>
      </c>
      <c r="D197" s="82">
        <f>AVERAGE(D187:D195)</f>
        <v>0.45185185185185184</v>
      </c>
      <c r="E197" s="82">
        <f>AVERAGE(E187:E195)</f>
        <v>0</v>
      </c>
      <c r="F197" s="85">
        <f>AVERAGE(F187:F195)</f>
        <v>0</v>
      </c>
    </row>
    <row r="199" spans="2:7" ht="15.75" thickBot="1" x14ac:dyDescent="0.3"/>
    <row r="200" spans="2:7" ht="17.25" thickBot="1" x14ac:dyDescent="0.3">
      <c r="B200" s="64" t="s">
        <v>66</v>
      </c>
      <c r="C200" s="86" t="s">
        <v>73</v>
      </c>
    </row>
    <row r="201" spans="2:7" ht="17.25" thickBot="1" x14ac:dyDescent="0.3">
      <c r="B201" s="64" t="s">
        <v>647</v>
      </c>
      <c r="C201" s="65">
        <v>2018</v>
      </c>
    </row>
    <row r="202" spans="2:7" ht="17.25" thickBot="1" x14ac:dyDescent="0.3">
      <c r="B202" s="64" t="s">
        <v>646</v>
      </c>
      <c r="C202" s="65">
        <f>COUNTIFS(TblUniv2018[th lulus],C201,TblUniv2018[Program Pendidikan],C200)</f>
        <v>0</v>
      </c>
    </row>
    <row r="203" spans="2:7" ht="16.5" x14ac:dyDescent="0.3">
      <c r="B203" s="55"/>
      <c r="C203" s="56" t="s">
        <v>69</v>
      </c>
      <c r="D203" s="56" t="s">
        <v>1</v>
      </c>
      <c r="E203" s="56" t="s">
        <v>75</v>
      </c>
      <c r="F203" s="56" t="s">
        <v>168</v>
      </c>
      <c r="G203" s="56"/>
    </row>
    <row r="204" spans="2:7" ht="16.5" x14ac:dyDescent="0.3">
      <c r="B204" s="57" t="s">
        <v>26</v>
      </c>
      <c r="C204" s="66" t="e">
        <f>COUNTIFS(TblUniv2018[B1],C$16,TblUniv2018[Program Pendidikan],$C$200)/$C$202*100%</f>
        <v>#DIV/0!</v>
      </c>
      <c r="D204" s="66" t="e">
        <f>COUNTIFS(TblUniv2018[B1],D$16,TblUniv2018[Program Pendidikan],$C$200)/$C$202*100%</f>
        <v>#DIV/0!</v>
      </c>
      <c r="E204" s="66" t="e">
        <f>COUNTIFS(TblUniv2018[B1],E$16,TblUniv2018[Program Pendidikan],$C$200)/$C$202*100%</f>
        <v>#DIV/0!</v>
      </c>
      <c r="F204" s="66" t="e">
        <f>COUNTIFS(TblUniv2018[B1],F$16,TblUniv2018[Program Pendidikan],$C$200)/$C$202*100%</f>
        <v>#DIV/0!</v>
      </c>
      <c r="G204" s="62" t="e">
        <f t="shared" ref="G204:G241" si="9">SUM(C204:F204)</f>
        <v>#DIV/0!</v>
      </c>
    </row>
    <row r="205" spans="2:7" ht="16.5" x14ac:dyDescent="0.3">
      <c r="B205" s="57" t="s">
        <v>27</v>
      </c>
      <c r="C205" s="66" t="e">
        <f>COUNTIFS(TblUniv2018[B2],C$16,TblUniv2018[Program Pendidikan],$C$200)/$C$202*100%</f>
        <v>#DIV/0!</v>
      </c>
      <c r="D205" s="66" t="e">
        <f>COUNTIFS(TblUniv2018[B2],D$16,TblUniv2018[Program Pendidikan],$C$200)/$C$202*100%</f>
        <v>#DIV/0!</v>
      </c>
      <c r="E205" s="66" t="e">
        <f>COUNTIFS(TblUniv2018[B2],E$16,TblUniv2018[Program Pendidikan],$C$200)/$C$202*100%</f>
        <v>#DIV/0!</v>
      </c>
      <c r="F205" s="66" t="e">
        <f>COUNTIFS(TblUniv2018[B2],F$16,TblUniv2018[Program Pendidikan],$C$200)/$C$202*100%</f>
        <v>#DIV/0!</v>
      </c>
      <c r="G205" s="62" t="e">
        <f t="shared" si="9"/>
        <v>#DIV/0!</v>
      </c>
    </row>
    <row r="206" spans="2:7" ht="16.5" x14ac:dyDescent="0.3">
      <c r="B206" s="57" t="s">
        <v>28</v>
      </c>
      <c r="C206" s="66" t="e">
        <f>COUNTIFS(TblUniv2018[B3],C$16,TblUniv2018[Program Pendidikan],$C$200)/$C$202*100%</f>
        <v>#DIV/0!</v>
      </c>
      <c r="D206" s="66" t="e">
        <f>COUNTIFS(TblUniv2018[B3],D$16,TblUniv2018[Program Pendidikan],$C$200)/$C$202*100%</f>
        <v>#DIV/0!</v>
      </c>
      <c r="E206" s="66" t="e">
        <f>COUNTIFS(TblUniv2018[B3],E$16,TblUniv2018[Program Pendidikan],$C$200)/$C$202*100%</f>
        <v>#DIV/0!</v>
      </c>
      <c r="F206" s="66" t="e">
        <f>COUNTIFS(TblUniv2018[B3],F$16,TblUniv2018[Program Pendidikan],$C$200)/$C$202*100%</f>
        <v>#DIV/0!</v>
      </c>
      <c r="G206" s="62" t="e">
        <f t="shared" si="9"/>
        <v>#DIV/0!</v>
      </c>
    </row>
    <row r="207" spans="2:7" ht="16.5" x14ac:dyDescent="0.3">
      <c r="B207" s="57" t="s">
        <v>29</v>
      </c>
      <c r="C207" s="66" t="e">
        <f>COUNTIFS(TblUniv2018[B4],C$16,TblUniv2018[Program Pendidikan],$C$200)/$C$202*100%</f>
        <v>#DIV/0!</v>
      </c>
      <c r="D207" s="66" t="e">
        <f>COUNTIFS(TblUniv2018[B4],D$16,TblUniv2018[Program Pendidikan],$C$200)/$C$202*100%</f>
        <v>#DIV/0!</v>
      </c>
      <c r="E207" s="66" t="e">
        <f>COUNTIFS(TblUniv2018[B4],E$16,TblUniv2018[Program Pendidikan],$C$200)/$C$202*100%</f>
        <v>#DIV/0!</v>
      </c>
      <c r="F207" s="66" t="e">
        <f>COUNTIFS(TblUniv2018[B4],F$16,TblUniv2018[Program Pendidikan],$C$200)/$C$202*100%</f>
        <v>#DIV/0!</v>
      </c>
      <c r="G207" s="62" t="e">
        <f t="shared" si="9"/>
        <v>#DIV/0!</v>
      </c>
    </row>
    <row r="208" spans="2:7" ht="16.5" x14ac:dyDescent="0.3">
      <c r="B208" s="57" t="s">
        <v>30</v>
      </c>
      <c r="C208" s="66" t="e">
        <f>COUNTIFS(TblUniv2018[B5],C$16,TblUniv2018[Program Pendidikan],$C$200)/$C$202*100%</f>
        <v>#DIV/0!</v>
      </c>
      <c r="D208" s="66" t="e">
        <f>COUNTIFS(TblUniv2018[B5],D$16,TblUniv2018[Program Pendidikan],$C$200)/$C$202*100%</f>
        <v>#DIV/0!</v>
      </c>
      <c r="E208" s="66" t="e">
        <f>COUNTIFS(TblUniv2018[B5],E$16,TblUniv2018[Program Pendidikan],$C$200)/$C$202*100%</f>
        <v>#DIV/0!</v>
      </c>
      <c r="F208" s="66" t="e">
        <f>COUNTIFS(TblUniv2018[B5],F$16,TblUniv2018[Program Pendidikan],$C$200)/$C$202*100%</f>
        <v>#DIV/0!</v>
      </c>
      <c r="G208" s="62" t="e">
        <f t="shared" si="9"/>
        <v>#DIV/0!</v>
      </c>
    </row>
    <row r="209" spans="2:7" ht="16.5" x14ac:dyDescent="0.3">
      <c r="B209" s="60"/>
      <c r="C209" s="61" t="e">
        <f>AVERAGE(C204:C208)</f>
        <v>#DIV/0!</v>
      </c>
      <c r="D209" s="61" t="e">
        <f>AVERAGE(D204:D208)</f>
        <v>#DIV/0!</v>
      </c>
      <c r="E209" s="61" t="e">
        <f>AVERAGE(E204:E208)</f>
        <v>#DIV/0!</v>
      </c>
      <c r="F209" s="61" t="e">
        <f>AVERAGE(F204:F208)</f>
        <v>#DIV/0!</v>
      </c>
      <c r="G209" s="62" t="e">
        <f t="shared" si="9"/>
        <v>#DIV/0!</v>
      </c>
    </row>
    <row r="210" spans="2:7" ht="16.5" x14ac:dyDescent="0.3">
      <c r="B210" s="57" t="s">
        <v>31</v>
      </c>
      <c r="C210" s="66" t="e">
        <f>COUNTIFS(TblUniv2018[C1],C$16,TblUniv2018[Program Pendidikan],$C$200)/$C$202*100%</f>
        <v>#DIV/0!</v>
      </c>
      <c r="D210" s="66" t="e">
        <f>COUNTIFS(TblUniv2018[C1],D$16,TblUniv2018[Program Pendidikan],$C$200)/$C$202*100%</f>
        <v>#DIV/0!</v>
      </c>
      <c r="E210" s="66" t="e">
        <f>COUNTIFS(TblUniv2018[C1],E$16,TblUniv2018[Program Pendidikan],$C$200)/$C$202*100%</f>
        <v>#DIV/0!</v>
      </c>
      <c r="F210" s="66" t="e">
        <f>COUNTIFS(TblUniv2018[C1],F$16,TblUniv2018[Program Pendidikan],$C$200)/$C$202*100%</f>
        <v>#DIV/0!</v>
      </c>
      <c r="G210" s="62" t="e">
        <f t="shared" si="9"/>
        <v>#DIV/0!</v>
      </c>
    </row>
    <row r="211" spans="2:7" ht="16.5" x14ac:dyDescent="0.3">
      <c r="B211" s="57" t="s">
        <v>32</v>
      </c>
      <c r="C211" s="66" t="e">
        <f>COUNTIFS(TblUniv2018[C2],C$16,TblUniv2018[Program Pendidikan],$C$200)/$C$202*100%</f>
        <v>#DIV/0!</v>
      </c>
      <c r="D211" s="66" t="e">
        <f>COUNTIFS(TblUniv2018[C2],D$16,TblUniv2018[Program Pendidikan],$C$200)/$C$202*100%</f>
        <v>#DIV/0!</v>
      </c>
      <c r="E211" s="66" t="e">
        <f>COUNTIFS(TblUniv2018[C2],E$16,TblUniv2018[Program Pendidikan],$C$200)/$C$202*100%</f>
        <v>#DIV/0!</v>
      </c>
      <c r="F211" s="66" t="e">
        <f>COUNTIFS(TblUniv2018[C2],F$16,TblUniv2018[Program Pendidikan],$C$200)/$C$202*100%</f>
        <v>#DIV/0!</v>
      </c>
      <c r="G211" s="62" t="e">
        <f t="shared" si="9"/>
        <v>#DIV/0!</v>
      </c>
    </row>
    <row r="212" spans="2:7" ht="16.5" x14ac:dyDescent="0.3">
      <c r="B212" s="60"/>
      <c r="C212" s="61" t="e">
        <f>AVERAGE(C210:C211)</f>
        <v>#DIV/0!</v>
      </c>
      <c r="D212" s="61" t="e">
        <f>AVERAGE(D210:D211)</f>
        <v>#DIV/0!</v>
      </c>
      <c r="E212" s="61" t="e">
        <f>AVERAGE(E210:E211)</f>
        <v>#DIV/0!</v>
      </c>
      <c r="F212" s="61" t="e">
        <f>AVERAGE(F210:F211)</f>
        <v>#DIV/0!</v>
      </c>
      <c r="G212" s="62" t="e">
        <f t="shared" si="9"/>
        <v>#DIV/0!</v>
      </c>
    </row>
    <row r="213" spans="2:7" ht="16.5" x14ac:dyDescent="0.3">
      <c r="B213" s="57" t="s">
        <v>33</v>
      </c>
      <c r="C213" s="66" t="e">
        <f>COUNTIFS(TblUniv2018[D1],C$16,TblUniv2018[Program Pendidikan],$C$200)/$C$202*100%</f>
        <v>#DIV/0!</v>
      </c>
      <c r="D213" s="66" t="e">
        <f>COUNTIFS(TblUniv2018[D1],D$16,TblUniv2018[Program Pendidikan],$C$200)/$C$202*100%</f>
        <v>#DIV/0!</v>
      </c>
      <c r="E213" s="66" t="e">
        <f>COUNTIFS(TblUniv2018[D1],E$16,TblUniv2018[Program Pendidikan],$C$200)/$C$202*100%</f>
        <v>#DIV/0!</v>
      </c>
      <c r="F213" s="66" t="e">
        <f>COUNTIFS(TblUniv2018[D1],F$16,TblUniv2018[Program Pendidikan],$C$200)/$C$202*100%</f>
        <v>#DIV/0!</v>
      </c>
      <c r="G213" s="62" t="e">
        <f t="shared" si="9"/>
        <v>#DIV/0!</v>
      </c>
    </row>
    <row r="214" spans="2:7" ht="16.5" x14ac:dyDescent="0.3">
      <c r="B214" s="57" t="s">
        <v>34</v>
      </c>
      <c r="C214" s="66" t="e">
        <f>COUNTIFS(TblUniv2018[D2],C$16,TblUniv2018[Program Pendidikan],$C$200)/$C$202*100%</f>
        <v>#DIV/0!</v>
      </c>
      <c r="D214" s="66" t="e">
        <f>COUNTIFS(TblUniv2018[D2],D$16,TblUniv2018[Program Pendidikan],$C$200)/$C$202*100%</f>
        <v>#DIV/0!</v>
      </c>
      <c r="E214" s="66" t="e">
        <f>COUNTIFS(TblUniv2018[D2],E$16,TblUniv2018[Program Pendidikan],$C$200)/$C$202*100%</f>
        <v>#DIV/0!</v>
      </c>
      <c r="F214" s="66" t="e">
        <f>COUNTIFS(TblUniv2018[D2],F$16,TblUniv2018[Program Pendidikan],$C$200)/$C$202*100%</f>
        <v>#DIV/0!</v>
      </c>
      <c r="G214" s="62" t="e">
        <f t="shared" si="9"/>
        <v>#DIV/0!</v>
      </c>
    </row>
    <row r="215" spans="2:7" ht="16.5" x14ac:dyDescent="0.3">
      <c r="B215" s="60"/>
      <c r="C215" s="61" t="e">
        <f>AVERAGE(C213:C214)</f>
        <v>#DIV/0!</v>
      </c>
      <c r="D215" s="61" t="e">
        <f>AVERAGE(D213:D214)</f>
        <v>#DIV/0!</v>
      </c>
      <c r="E215" s="61" t="e">
        <f>AVERAGE(E213:E214)</f>
        <v>#DIV/0!</v>
      </c>
      <c r="F215" s="61" t="e">
        <f>AVERAGE(F213:F214)</f>
        <v>#DIV/0!</v>
      </c>
      <c r="G215" s="62" t="e">
        <f t="shared" si="9"/>
        <v>#DIV/0!</v>
      </c>
    </row>
    <row r="216" spans="2:7" ht="16.5" x14ac:dyDescent="0.3">
      <c r="B216" s="57" t="s">
        <v>35</v>
      </c>
      <c r="C216" s="66" t="e">
        <f>COUNTIFS(TblUniv2018[E1],C$16,TblUniv2018[Program Pendidikan],$C$200)/$C$202*100%</f>
        <v>#DIV/0!</v>
      </c>
      <c r="D216" s="66" t="e">
        <f>COUNTIFS(TblUniv2018[E1],D$16,TblUniv2018[Program Pendidikan],$C$200)/$C$202*100%</f>
        <v>#DIV/0!</v>
      </c>
      <c r="E216" s="66" t="e">
        <f>COUNTIFS(TblUniv2018[E1],E$16,TblUniv2018[Program Pendidikan],$C$200)/$C$202*100%</f>
        <v>#DIV/0!</v>
      </c>
      <c r="F216" s="66" t="e">
        <f>COUNTIFS(TblUniv2018[E1],F$16,TblUniv2018[Program Pendidikan],$C$200)/$C$202*100%</f>
        <v>#DIV/0!</v>
      </c>
      <c r="G216" s="62" t="e">
        <f t="shared" si="9"/>
        <v>#DIV/0!</v>
      </c>
    </row>
    <row r="217" spans="2:7" ht="16.5" x14ac:dyDescent="0.3">
      <c r="B217" s="57" t="s">
        <v>36</v>
      </c>
      <c r="C217" s="66" t="e">
        <f>COUNTIFS(TblUniv2018[E2],C$16,TblUniv2018[Program Pendidikan],$C$200)/$C$202*100%</f>
        <v>#DIV/0!</v>
      </c>
      <c r="D217" s="66" t="e">
        <f>COUNTIFS(TblUniv2018[E2],D$16,TblUniv2018[Program Pendidikan],$C$200)/$C$202*100%</f>
        <v>#DIV/0!</v>
      </c>
      <c r="E217" s="66" t="e">
        <f>COUNTIFS(TblUniv2018[E2],E$16,TblUniv2018[Program Pendidikan],$C$200)/$C$202*100%</f>
        <v>#DIV/0!</v>
      </c>
      <c r="F217" s="66" t="e">
        <f>COUNTIFS(TblUniv2018[E2],F$16,TblUniv2018[Program Pendidikan],$C$200)/$C$202*100%</f>
        <v>#DIV/0!</v>
      </c>
      <c r="G217" s="62" t="e">
        <f t="shared" si="9"/>
        <v>#DIV/0!</v>
      </c>
    </row>
    <row r="218" spans="2:7" ht="16.5" x14ac:dyDescent="0.3">
      <c r="B218" s="60"/>
      <c r="C218" s="61" t="e">
        <f>AVERAGE(C216:C217)</f>
        <v>#DIV/0!</v>
      </c>
      <c r="D218" s="61" t="e">
        <f>AVERAGE(D216:D217)</f>
        <v>#DIV/0!</v>
      </c>
      <c r="E218" s="61" t="e">
        <f>AVERAGE(E216:E217)</f>
        <v>#DIV/0!</v>
      </c>
      <c r="F218" s="61" t="e">
        <f>AVERAGE(F216:F217)</f>
        <v>#DIV/0!</v>
      </c>
      <c r="G218" s="62" t="e">
        <f t="shared" si="9"/>
        <v>#DIV/0!</v>
      </c>
    </row>
    <row r="219" spans="2:7" ht="16.5" x14ac:dyDescent="0.3">
      <c r="B219" s="57" t="s">
        <v>37</v>
      </c>
      <c r="C219" s="66" t="e">
        <f>COUNTIFS(TblUniv2018[F1],C$16,TblUniv2018[Program Pendidikan],$C$200)/$C$202*100%</f>
        <v>#DIV/0!</v>
      </c>
      <c r="D219" s="66" t="e">
        <f>COUNTIFS(TblUniv2018[F1],D$16,TblUniv2018[Program Pendidikan],$C$200)/$C$202*100%</f>
        <v>#DIV/0!</v>
      </c>
      <c r="E219" s="66" t="e">
        <f>COUNTIFS(TblUniv2018[F1],E$16,TblUniv2018[Program Pendidikan],$C$200)/$C$202*100%</f>
        <v>#DIV/0!</v>
      </c>
      <c r="F219" s="66" t="e">
        <f>COUNTIFS(TblUniv2018[F1],F$16,TblUniv2018[Program Pendidikan],$C$200)/$C$202*100%</f>
        <v>#DIV/0!</v>
      </c>
      <c r="G219" s="62" t="e">
        <f t="shared" si="9"/>
        <v>#DIV/0!</v>
      </c>
    </row>
    <row r="220" spans="2:7" ht="16.5" x14ac:dyDescent="0.3">
      <c r="B220" s="57" t="s">
        <v>38</v>
      </c>
      <c r="C220" s="66" t="e">
        <f>COUNTIFS(TblUniv2018[F2],C$16,TblUniv2018[Program Pendidikan],$C$200)/$C$202*100%</f>
        <v>#DIV/0!</v>
      </c>
      <c r="D220" s="66" t="e">
        <f>COUNTIFS(TblUniv2018[F2],D$16,TblUniv2018[Program Pendidikan],$C$200)/$C$202*100%</f>
        <v>#DIV/0!</v>
      </c>
      <c r="E220" s="66" t="e">
        <f>COUNTIFS(TblUniv2018[F2],E$16,TblUniv2018[Program Pendidikan],$C$200)/$C$202*100%</f>
        <v>#DIV/0!</v>
      </c>
      <c r="F220" s="66" t="e">
        <f>COUNTIFS(TblUniv2018[F2],F$16,TblUniv2018[Program Pendidikan],$C$200)/$C$202*100%</f>
        <v>#DIV/0!</v>
      </c>
      <c r="G220" s="62" t="e">
        <f t="shared" si="9"/>
        <v>#DIV/0!</v>
      </c>
    </row>
    <row r="221" spans="2:7" ht="16.5" x14ac:dyDescent="0.3">
      <c r="B221" s="57" t="s">
        <v>39</v>
      </c>
      <c r="C221" s="66" t="e">
        <f>COUNTIFS(TblUniv2018[F3],C$16,TblUniv2018[Program Pendidikan],$C$200)/$C$202*100%</f>
        <v>#DIV/0!</v>
      </c>
      <c r="D221" s="66" t="e">
        <f>COUNTIFS(TblUniv2018[F3],D$16,TblUniv2018[Program Pendidikan],$C$200)/$C$202*100%</f>
        <v>#DIV/0!</v>
      </c>
      <c r="E221" s="66" t="e">
        <f>COUNTIFS(TblUniv2018[F3],E$16,TblUniv2018[Program Pendidikan],$C$200)/$C$202*100%</f>
        <v>#DIV/0!</v>
      </c>
      <c r="F221" s="66" t="e">
        <f>COUNTIFS(TblUniv2018[F3],F$16,TblUniv2018[Program Pendidikan],$C$200)/$C$202*100%</f>
        <v>#DIV/0!</v>
      </c>
      <c r="G221" s="62" t="e">
        <f t="shared" si="9"/>
        <v>#DIV/0!</v>
      </c>
    </row>
    <row r="222" spans="2:7" ht="16.5" x14ac:dyDescent="0.3">
      <c r="B222" s="60"/>
      <c r="C222" s="61" t="e">
        <f>AVERAGE(C219:C221)</f>
        <v>#DIV/0!</v>
      </c>
      <c r="D222" s="61" t="e">
        <f>AVERAGE(D219:D221)</f>
        <v>#DIV/0!</v>
      </c>
      <c r="E222" s="61" t="e">
        <f>AVERAGE(E219:E221)</f>
        <v>#DIV/0!</v>
      </c>
      <c r="F222" s="61" t="e">
        <f>AVERAGE(F219:F221)</f>
        <v>#DIV/0!</v>
      </c>
      <c r="G222" s="62" t="e">
        <f t="shared" si="9"/>
        <v>#DIV/0!</v>
      </c>
    </row>
    <row r="223" spans="2:7" ht="16.5" x14ac:dyDescent="0.3">
      <c r="B223" s="57" t="s">
        <v>40</v>
      </c>
      <c r="C223" s="66" t="e">
        <f>COUNTIFS(TblUniv2018[G1],C$16,TblUniv2018[Program Pendidikan],$C$200)/$C$202*100%</f>
        <v>#DIV/0!</v>
      </c>
      <c r="D223" s="66" t="e">
        <f>COUNTIFS(TblUniv2018[G1],D$16,TblUniv2018[Program Pendidikan],$C$200)/$C$202*100%</f>
        <v>#DIV/0!</v>
      </c>
      <c r="E223" s="66" t="e">
        <f>COUNTIFS(TblUniv2018[G1],E$16,TblUniv2018[Program Pendidikan],$C$200)/$C$202*100%</f>
        <v>#DIV/0!</v>
      </c>
      <c r="F223" s="66" t="e">
        <f>COUNTIFS(TblUniv2018[G1],F$16,TblUniv2018[Program Pendidikan],$C$200)/$C$202*100%</f>
        <v>#DIV/0!</v>
      </c>
      <c r="G223" s="62" t="e">
        <f t="shared" si="9"/>
        <v>#DIV/0!</v>
      </c>
    </row>
    <row r="224" spans="2:7" ht="16.5" x14ac:dyDescent="0.3">
      <c r="B224" s="57" t="s">
        <v>41</v>
      </c>
      <c r="C224" s="66" t="e">
        <f>COUNTIFS(TblUniv2018[G2],C$16,TblUniv2018[Program Pendidikan],$C$200)/$C$202*100%</f>
        <v>#DIV/0!</v>
      </c>
      <c r="D224" s="66" t="e">
        <f>COUNTIFS(TblUniv2018[G2],D$16,TblUniv2018[Program Pendidikan],$C$200)/$C$202*100%</f>
        <v>#DIV/0!</v>
      </c>
      <c r="E224" s="66" t="e">
        <f>COUNTIFS(TblUniv2018[G2],E$16,TblUniv2018[Program Pendidikan],$C$200)/$C$202*100%</f>
        <v>#DIV/0!</v>
      </c>
      <c r="F224" s="66" t="e">
        <f>COUNTIFS(TblUniv2018[G2],F$16,TblUniv2018[Program Pendidikan],$C$200)/$C$202*100%</f>
        <v>#DIV/0!</v>
      </c>
      <c r="G224" s="62" t="e">
        <f t="shared" si="9"/>
        <v>#DIV/0!</v>
      </c>
    </row>
    <row r="225" spans="2:7" ht="16.5" x14ac:dyDescent="0.3">
      <c r="B225" s="60"/>
      <c r="C225" s="61" t="e">
        <f>AVERAGE(C223:C224)</f>
        <v>#DIV/0!</v>
      </c>
      <c r="D225" s="61" t="e">
        <f>AVERAGE(D223:D224)</f>
        <v>#DIV/0!</v>
      </c>
      <c r="E225" s="61" t="e">
        <f>AVERAGE(E223:E224)</f>
        <v>#DIV/0!</v>
      </c>
      <c r="F225" s="61" t="e">
        <f>AVERAGE(F223:F224)</f>
        <v>#DIV/0!</v>
      </c>
      <c r="G225" s="62" t="e">
        <f t="shared" si="9"/>
        <v>#DIV/0!</v>
      </c>
    </row>
    <row r="226" spans="2:7" ht="16.5" x14ac:dyDescent="0.3">
      <c r="B226" s="57" t="s">
        <v>42</v>
      </c>
      <c r="C226" s="66" t="e">
        <f>COUNTIFS(TblUniv2018[H1],C$16,TblUniv2018[Program Pendidikan],$C$200)/$C$202*100%</f>
        <v>#DIV/0!</v>
      </c>
      <c r="D226" s="66" t="e">
        <f>COUNTIFS(TblUniv2018[H1],D$16,TblUniv2018[Program Pendidikan],$C$200)/$C$202*100%</f>
        <v>#DIV/0!</v>
      </c>
      <c r="E226" s="66" t="e">
        <f>COUNTIFS(TblUniv2018[H1],E$16,TblUniv2018[Program Pendidikan],$C$200)/$C$202*100%</f>
        <v>#DIV/0!</v>
      </c>
      <c r="F226" s="66" t="e">
        <f>COUNTIFS(TblUniv2018[H1],F$16,TblUniv2018[Program Pendidikan],$C$200)/$C$202*100%</f>
        <v>#DIV/0!</v>
      </c>
      <c r="G226" s="62" t="e">
        <f t="shared" si="9"/>
        <v>#DIV/0!</v>
      </c>
    </row>
    <row r="227" spans="2:7" ht="16.5" x14ac:dyDescent="0.3">
      <c r="B227" s="57" t="s">
        <v>43</v>
      </c>
      <c r="C227" s="66" t="e">
        <f>COUNTIFS(TblUniv2018[H1],C$16,TblUniv2018[Program Pendidikan],$C$200)/$C$202*100%</f>
        <v>#DIV/0!</v>
      </c>
      <c r="D227" s="66" t="e">
        <f>COUNTIFS(TblUniv2018[H1],D$16,TblUniv2018[Program Pendidikan],$C$200)/$C$202*100%</f>
        <v>#DIV/0!</v>
      </c>
      <c r="E227" s="66" t="e">
        <f>COUNTIFS(TblUniv2018[H1],E$16,TblUniv2018[Program Pendidikan],$C$200)/$C$202*100%</f>
        <v>#DIV/0!</v>
      </c>
      <c r="F227" s="66" t="e">
        <f>COUNTIFS(TblUniv2018[H1],F$16,TblUniv2018[Program Pendidikan],$C$200)/$C$202*100%</f>
        <v>#DIV/0!</v>
      </c>
      <c r="G227" s="62" t="e">
        <f t="shared" si="9"/>
        <v>#DIV/0!</v>
      </c>
    </row>
    <row r="228" spans="2:7" ht="16.5" x14ac:dyDescent="0.3">
      <c r="B228" s="57" t="s">
        <v>44</v>
      </c>
      <c r="C228" s="66" t="e">
        <f>COUNTIFS(TblUniv2018[H3],C$16,TblUniv2018[Program Pendidikan],$C$200)/$C$202*100%</f>
        <v>#DIV/0!</v>
      </c>
      <c r="D228" s="66" t="e">
        <f>COUNTIFS(TblUniv2018[H3],D$16,TblUniv2018[Program Pendidikan],$C$200)/$C$202*100%</f>
        <v>#DIV/0!</v>
      </c>
      <c r="E228" s="66" t="e">
        <f>COUNTIFS(TblUniv2018[H3],E$16,TblUniv2018[Program Pendidikan],$C$200)/$C$202*100%</f>
        <v>#DIV/0!</v>
      </c>
      <c r="F228" s="66" t="e">
        <f>COUNTIFS(TblUniv2018[H3],F$16,TblUniv2018[Program Pendidikan],$C$200)/$C$202*100%</f>
        <v>#DIV/0!</v>
      </c>
      <c r="G228" s="62" t="e">
        <f t="shared" si="9"/>
        <v>#DIV/0!</v>
      </c>
    </row>
    <row r="229" spans="2:7" ht="16.5" x14ac:dyDescent="0.3">
      <c r="B229" s="57" t="s">
        <v>45</v>
      </c>
      <c r="C229" s="66" t="e">
        <f>COUNTIFS(TblUniv2018[H4],C$16,TblUniv2018[Program Pendidikan],$C$200)/$C$202*100%</f>
        <v>#DIV/0!</v>
      </c>
      <c r="D229" s="66" t="e">
        <f>COUNTIFS(TblUniv2018[H4],D$16,TblUniv2018[Program Pendidikan],$C$200)/$C$202*100%</f>
        <v>#DIV/0!</v>
      </c>
      <c r="E229" s="66" t="e">
        <f>COUNTIFS(TblUniv2018[H4],E$16,TblUniv2018[Program Pendidikan],$C$200)/$C$202*100%</f>
        <v>#DIV/0!</v>
      </c>
      <c r="F229" s="66" t="e">
        <f>COUNTIFS(TblUniv2018[H4],F$16,TblUniv2018[Program Pendidikan],$C$200)/$C$202*100%</f>
        <v>#DIV/0!</v>
      </c>
      <c r="G229" s="62" t="e">
        <f t="shared" si="9"/>
        <v>#DIV/0!</v>
      </c>
    </row>
    <row r="230" spans="2:7" ht="16.5" x14ac:dyDescent="0.3">
      <c r="B230" s="60"/>
      <c r="C230" s="61" t="e">
        <f>AVERAGE(C226:C229)</f>
        <v>#DIV/0!</v>
      </c>
      <c r="D230" s="61" t="e">
        <f>AVERAGE(D226:D229)</f>
        <v>#DIV/0!</v>
      </c>
      <c r="E230" s="61" t="e">
        <f>AVERAGE(E226:E229)</f>
        <v>#DIV/0!</v>
      </c>
      <c r="F230" s="61" t="e">
        <f>AVERAGE(F226:F229)</f>
        <v>#DIV/0!</v>
      </c>
      <c r="G230" s="62" t="e">
        <f t="shared" si="9"/>
        <v>#DIV/0!</v>
      </c>
    </row>
    <row r="231" spans="2:7" ht="16.5" x14ac:dyDescent="0.3">
      <c r="B231" s="57" t="s">
        <v>648</v>
      </c>
      <c r="C231" s="66" t="e">
        <f>COUNTIFS(TblUniv2018[I. a1],C$16,TblUniv2018[Program Pendidikan],$C$200)/$C$202*100%</f>
        <v>#DIV/0!</v>
      </c>
      <c r="D231" s="66" t="e">
        <f>COUNTIFS(TblUniv2018[I. a1],D$16,TblUniv2018[Program Pendidikan],$C$200)/$C$202*100%</f>
        <v>#DIV/0!</v>
      </c>
      <c r="E231" s="66" t="e">
        <f>COUNTIFS(TblUniv2018[I. a1],E$16,TblUniv2018[Program Pendidikan],$C$200)/$C$202*100%</f>
        <v>#DIV/0!</v>
      </c>
      <c r="F231" s="66" t="e">
        <f>COUNTIFS(TblUniv2018[I. a1],F$16,TblUniv2018[Program Pendidikan],$C$200)/$C$202*100%</f>
        <v>#DIV/0!</v>
      </c>
      <c r="G231" s="62" t="e">
        <f t="shared" si="9"/>
        <v>#DIV/0!</v>
      </c>
    </row>
    <row r="232" spans="2:7" ht="16.5" x14ac:dyDescent="0.3">
      <c r="B232" s="57" t="s">
        <v>649</v>
      </c>
      <c r="C232" s="66" t="e">
        <f>COUNTIFS(TblUniv2018[I. a2],C$16,TblUniv2018[Program Pendidikan],$C$200)/$C$202*100%</f>
        <v>#DIV/0!</v>
      </c>
      <c r="D232" s="66" t="e">
        <f>COUNTIFS(TblUniv2018[I. a2],D$16,TblUniv2018[Program Pendidikan],$C$200)/$C$202*100%</f>
        <v>#DIV/0!</v>
      </c>
      <c r="E232" s="66" t="e">
        <f>COUNTIFS(TblUniv2018[I. a2],E$16,TblUniv2018[Program Pendidikan],$C$200)/$C$202*100%</f>
        <v>#DIV/0!</v>
      </c>
      <c r="F232" s="66" t="e">
        <f>COUNTIFS(TblUniv2018[I. a2],F$16,TblUniv2018[Program Pendidikan],$C$200)/$C$202*100%</f>
        <v>#DIV/0!</v>
      </c>
      <c r="G232" s="62" t="e">
        <f t="shared" si="9"/>
        <v>#DIV/0!</v>
      </c>
    </row>
    <row r="233" spans="2:7" ht="16.5" x14ac:dyDescent="0.3">
      <c r="B233" s="57" t="s">
        <v>650</v>
      </c>
      <c r="C233" s="66" t="e">
        <f>COUNTIFS(TblUniv2018[I. a3],C$16,TblUniv2018[Program Pendidikan],$C$200)/$C$202*100%</f>
        <v>#DIV/0!</v>
      </c>
      <c r="D233" s="66" t="e">
        <f>COUNTIFS(TblUniv2018[I. a3],D$16,TblUniv2018[Program Pendidikan],$C$200)/$C$202*100%</f>
        <v>#DIV/0!</v>
      </c>
      <c r="E233" s="66" t="e">
        <f>COUNTIFS(TblUniv2018[I. a3],E$16,TblUniv2018[Program Pendidikan],$C$200)/$C$202*100%</f>
        <v>#DIV/0!</v>
      </c>
      <c r="F233" s="66" t="e">
        <f>COUNTIFS(TblUniv2018[I. a3],F$16,TblUniv2018[Program Pendidikan],$C$200)/$C$202*100%</f>
        <v>#DIV/0!</v>
      </c>
      <c r="G233" s="62" t="e">
        <f t="shared" si="9"/>
        <v>#DIV/0!</v>
      </c>
    </row>
    <row r="234" spans="2:7" ht="16.5" x14ac:dyDescent="0.3">
      <c r="B234" s="57" t="s">
        <v>651</v>
      </c>
      <c r="C234" s="66" t="e">
        <f>COUNTIFS(TblUniv2018[I. a4],C$16,TblUniv2018[Program Pendidikan],$C$200)/$C$202*100%</f>
        <v>#DIV/0!</v>
      </c>
      <c r="D234" s="66" t="e">
        <f>COUNTIFS(TblUniv2018[I. a4],D$16,TblUniv2018[Program Pendidikan],$C$200)/$C$202*100%</f>
        <v>#DIV/0!</v>
      </c>
      <c r="E234" s="66" t="e">
        <f>COUNTIFS(TblUniv2018[I. a4],E$16,TblUniv2018[Program Pendidikan],$C$200)/$C$202*100%</f>
        <v>#DIV/0!</v>
      </c>
      <c r="F234" s="66" t="e">
        <f>COUNTIFS(TblUniv2018[I. a4],F$16,TblUniv2018[Program Pendidikan],$C$200)/$C$202*100%</f>
        <v>#DIV/0!</v>
      </c>
      <c r="G234" s="62" t="e">
        <f t="shared" si="9"/>
        <v>#DIV/0!</v>
      </c>
    </row>
    <row r="235" spans="2:7" ht="16.5" x14ac:dyDescent="0.3">
      <c r="B235" s="57" t="s">
        <v>652</v>
      </c>
      <c r="C235" s="66" t="e">
        <f>COUNTIFS(TblUniv2018[I. a5],C$16,TblUniv2018[Program Pendidikan],$C$200)/$C$202*100%</f>
        <v>#DIV/0!</v>
      </c>
      <c r="D235" s="66" t="e">
        <f>COUNTIFS(TblUniv2018[I. a5],D$16,TblUniv2018[Program Pendidikan],$C$200)/$C$202*100%</f>
        <v>#DIV/0!</v>
      </c>
      <c r="E235" s="66" t="e">
        <f>COUNTIFS(TblUniv2018[I. a5],E$16,TblUniv2018[Program Pendidikan],$C$200)/$C$202*100%</f>
        <v>#DIV/0!</v>
      </c>
      <c r="F235" s="66" t="e">
        <f>COUNTIFS(TblUniv2018[I. a5],F$16,TblUniv2018[Program Pendidikan],$C$200)/$C$202*100%</f>
        <v>#DIV/0!</v>
      </c>
      <c r="G235" s="62" t="e">
        <f t="shared" si="9"/>
        <v>#DIV/0!</v>
      </c>
    </row>
    <row r="236" spans="2:7" ht="16.5" x14ac:dyDescent="0.3">
      <c r="B236" s="60"/>
      <c r="C236" s="61" t="e">
        <f>AVERAGE(C231:C235)</f>
        <v>#DIV/0!</v>
      </c>
      <c r="D236" s="61" t="e">
        <f>AVERAGE(D231:D235)</f>
        <v>#DIV/0!</v>
      </c>
      <c r="E236" s="61" t="e">
        <f>AVERAGE(E231:E235)</f>
        <v>#DIV/0!</v>
      </c>
      <c r="F236" s="61" t="e">
        <f>AVERAGE(F231:F235)</f>
        <v>#DIV/0!</v>
      </c>
      <c r="G236" s="62" t="e">
        <f t="shared" si="9"/>
        <v>#DIV/0!</v>
      </c>
    </row>
    <row r="237" spans="2:7" ht="16.5" x14ac:dyDescent="0.3">
      <c r="B237" s="57" t="s">
        <v>653</v>
      </c>
      <c r="C237" s="66" t="e">
        <f>COUNTIFS(TblUniv2018[I. b1],C$16,TblUniv2018[Program Pendidikan],$C$200)/$C$202*100%</f>
        <v>#DIV/0!</v>
      </c>
      <c r="D237" s="66" t="e">
        <f>COUNTIFS(TblUniv2018[I. b1],D$16,TblUniv2018[Program Pendidikan],$C$200)/$C$202*100%</f>
        <v>#DIV/0!</v>
      </c>
      <c r="E237" s="66" t="e">
        <f>COUNTIFS(TblUniv2018[I. b1],E$16,TblUniv2018[Program Pendidikan],$C$200)/$C$202*100%</f>
        <v>#DIV/0!</v>
      </c>
      <c r="F237" s="66" t="e">
        <f>COUNTIFS(TblUniv2018[I. b1],F$16,TblUniv2018[Program Pendidikan],$C$200)/$C$202*100%</f>
        <v>#DIV/0!</v>
      </c>
      <c r="G237" s="62" t="e">
        <f t="shared" si="9"/>
        <v>#DIV/0!</v>
      </c>
    </row>
    <row r="238" spans="2:7" ht="16.5" x14ac:dyDescent="0.3">
      <c r="B238" s="57" t="s">
        <v>654</v>
      </c>
      <c r="C238" s="66" t="e">
        <f>COUNTIFS(TblUniv2018[I. b2],C$16,TblUniv2018[Program Pendidikan],$C$200)/$C$202*100%</f>
        <v>#DIV/0!</v>
      </c>
      <c r="D238" s="66" t="e">
        <f>COUNTIFS(TblUniv2018[I. b2],D$16,TblUniv2018[Program Pendidikan],$C$200)/$C$202*100%</f>
        <v>#DIV/0!</v>
      </c>
      <c r="E238" s="66" t="e">
        <f>COUNTIFS(TblUniv2018[I. b2],E$16,TblUniv2018[Program Pendidikan],$C$200)/$C$202*100%</f>
        <v>#DIV/0!</v>
      </c>
      <c r="F238" s="66" t="e">
        <f>COUNTIFS(TblUniv2018[I. b2],F$16,TblUniv2018[Program Pendidikan],$C$200)/$C$202*100%</f>
        <v>#DIV/0!</v>
      </c>
      <c r="G238" s="62" t="e">
        <f t="shared" si="9"/>
        <v>#DIV/0!</v>
      </c>
    </row>
    <row r="239" spans="2:7" ht="16.5" x14ac:dyDescent="0.3">
      <c r="B239" s="57" t="s">
        <v>655</v>
      </c>
      <c r="C239" s="66" t="e">
        <f>COUNTIFS(TblUniv2018[I. b3],C$16,TblUniv2018[Program Pendidikan],$C$200)/$C$202*100%</f>
        <v>#DIV/0!</v>
      </c>
      <c r="D239" s="66" t="e">
        <f>COUNTIFS(TblUniv2018[I. b3],D$16,TblUniv2018[Program Pendidikan],$C$200)/$C$202*100%</f>
        <v>#DIV/0!</v>
      </c>
      <c r="E239" s="66" t="e">
        <f>COUNTIFS(TblUniv2018[I. b3],E$16,TblUniv2018[Program Pendidikan],$C$200)/$C$202*100%</f>
        <v>#DIV/0!</v>
      </c>
      <c r="F239" s="66" t="e">
        <f>COUNTIFS(TblUniv2018[I. b3],F$16,TblUniv2018[Program Pendidikan],$C$200)/$C$202*100%</f>
        <v>#DIV/0!</v>
      </c>
      <c r="G239" s="62" t="e">
        <f t="shared" si="9"/>
        <v>#DIV/0!</v>
      </c>
    </row>
    <row r="240" spans="2:7" ht="16.5" x14ac:dyDescent="0.3">
      <c r="B240" s="57" t="s">
        <v>656</v>
      </c>
      <c r="C240" s="66" t="e">
        <f>COUNTIFS(TblUniv2018[I. b4],C$16,TblUniv2018[Program Pendidikan],$C$200)/$C$202*100%</f>
        <v>#DIV/0!</v>
      </c>
      <c r="D240" s="66" t="e">
        <f>COUNTIFS(TblUniv2018[I. b4],D$16,TblUniv2018[Program Pendidikan],$C$200)/$C$202*100%</f>
        <v>#DIV/0!</v>
      </c>
      <c r="E240" s="66" t="e">
        <f>COUNTIFS(TblUniv2018[I. b4],E$16,TblUniv2018[Program Pendidikan],$C$200)/$C$202*100%</f>
        <v>#DIV/0!</v>
      </c>
      <c r="F240" s="66" t="e">
        <f>COUNTIFS(TblUniv2018[I. b4],F$16,TblUniv2018[Program Pendidikan],$C$200)/$C$202*100%</f>
        <v>#DIV/0!</v>
      </c>
      <c r="G240" s="62" t="e">
        <f t="shared" si="9"/>
        <v>#DIV/0!</v>
      </c>
    </row>
    <row r="241" spans="2:7" ht="17.25" thickBot="1" x14ac:dyDescent="0.35">
      <c r="B241" s="67"/>
      <c r="C241" s="68" t="e">
        <f>AVERAGE(C237:C240)</f>
        <v>#DIV/0!</v>
      </c>
      <c r="D241" s="68" t="e">
        <f>AVERAGE(D237:D240)</f>
        <v>#DIV/0!</v>
      </c>
      <c r="E241" s="68" t="e">
        <f>AVERAGE(E237:E240)</f>
        <v>#DIV/0!</v>
      </c>
      <c r="F241" s="68" t="e">
        <f>AVERAGE(F237:F240)</f>
        <v>#DIV/0!</v>
      </c>
      <c r="G241" s="62" t="e">
        <f t="shared" si="9"/>
        <v>#DIV/0!</v>
      </c>
    </row>
    <row r="242" spans="2:7" ht="15.75" thickBot="1" x14ac:dyDescent="0.3"/>
    <row r="243" spans="2:7" ht="17.25" thickBot="1" x14ac:dyDescent="0.3">
      <c r="B243" s="64" t="s">
        <v>14</v>
      </c>
      <c r="C243" s="65" t="str">
        <f>C200</f>
        <v>Diploma Tiga</v>
      </c>
      <c r="G243" s="1" t="s">
        <v>73</v>
      </c>
    </row>
    <row r="244" spans="2:7" ht="33.75" thickBot="1" x14ac:dyDescent="0.3">
      <c r="B244" s="64" t="s">
        <v>647</v>
      </c>
      <c r="C244" s="65">
        <f>C201</f>
        <v>2018</v>
      </c>
      <c r="G244" s="83" t="s">
        <v>128</v>
      </c>
    </row>
    <row r="245" spans="2:7" ht="17.25" thickBot="1" x14ac:dyDescent="0.3">
      <c r="B245" s="64" t="s">
        <v>646</v>
      </c>
      <c r="C245" s="65">
        <f>C202</f>
        <v>0</v>
      </c>
    </row>
    <row r="246" spans="2:7" ht="15.75" thickBot="1" x14ac:dyDescent="0.3">
      <c r="B246" s="222" t="s">
        <v>658</v>
      </c>
      <c r="C246" s="223" t="s">
        <v>664</v>
      </c>
      <c r="D246" s="223"/>
      <c r="E246" s="223"/>
      <c r="F246" s="223"/>
    </row>
    <row r="247" spans="2:7" ht="15.75" thickBot="1" x14ac:dyDescent="0.3">
      <c r="B247" s="222"/>
      <c r="C247" s="72" t="s">
        <v>645</v>
      </c>
      <c r="D247" s="72" t="s">
        <v>665</v>
      </c>
      <c r="E247" s="72" t="s">
        <v>666</v>
      </c>
      <c r="F247" s="72" t="s">
        <v>667</v>
      </c>
    </row>
    <row r="248" spans="2:7" x14ac:dyDescent="0.25">
      <c r="B248" s="73">
        <v>2</v>
      </c>
      <c r="C248" s="71">
        <v>3</v>
      </c>
      <c r="D248" s="71">
        <v>4</v>
      </c>
      <c r="E248" s="71">
        <v>5</v>
      </c>
      <c r="F248" s="74">
        <v>6</v>
      </c>
    </row>
    <row r="249" spans="2:7" x14ac:dyDescent="0.25">
      <c r="B249" s="75" t="s">
        <v>659</v>
      </c>
      <c r="C249" s="58" t="e">
        <f>C209</f>
        <v>#DIV/0!</v>
      </c>
      <c r="D249" s="58" t="e">
        <f>D209</f>
        <v>#DIV/0!</v>
      </c>
      <c r="E249" s="58" t="e">
        <f>E209</f>
        <v>#DIV/0!</v>
      </c>
      <c r="F249" s="59" t="e">
        <f>F209</f>
        <v>#DIV/0!</v>
      </c>
    </row>
    <row r="250" spans="2:7" x14ac:dyDescent="0.25">
      <c r="B250" s="75" t="s">
        <v>660</v>
      </c>
      <c r="C250" s="58" t="e">
        <f>C212</f>
        <v>#DIV/0!</v>
      </c>
      <c r="D250" s="58" t="e">
        <f>D212</f>
        <v>#DIV/0!</v>
      </c>
      <c r="E250" s="58" t="e">
        <f>E212</f>
        <v>#DIV/0!</v>
      </c>
      <c r="F250" s="59" t="e">
        <f>F212</f>
        <v>#DIV/0!</v>
      </c>
    </row>
    <row r="251" spans="2:7" x14ac:dyDescent="0.25">
      <c r="B251" s="75" t="s">
        <v>661</v>
      </c>
      <c r="C251" s="58" t="e">
        <f>C215</f>
        <v>#DIV/0!</v>
      </c>
      <c r="D251" s="58" t="e">
        <f>D215</f>
        <v>#DIV/0!</v>
      </c>
      <c r="E251" s="58" t="e">
        <f>E215</f>
        <v>#DIV/0!</v>
      </c>
      <c r="F251" s="59" t="e">
        <f>F215</f>
        <v>#DIV/0!</v>
      </c>
    </row>
    <row r="252" spans="2:7" x14ac:dyDescent="0.25">
      <c r="B252" s="75" t="s">
        <v>662</v>
      </c>
      <c r="C252" s="58" t="e">
        <f>C218</f>
        <v>#DIV/0!</v>
      </c>
      <c r="D252" s="58" t="e">
        <f>D218</f>
        <v>#DIV/0!</v>
      </c>
      <c r="E252" s="58" t="e">
        <f>E218</f>
        <v>#DIV/0!</v>
      </c>
      <c r="F252" s="59" t="e">
        <f>F218</f>
        <v>#DIV/0!</v>
      </c>
    </row>
    <row r="253" spans="2:7" x14ac:dyDescent="0.25">
      <c r="B253" s="75" t="s">
        <v>663</v>
      </c>
      <c r="C253" s="58" t="e">
        <f>C222</f>
        <v>#DIV/0!</v>
      </c>
      <c r="D253" s="58" t="e">
        <f>D222</f>
        <v>#DIV/0!</v>
      </c>
      <c r="E253" s="58" t="e">
        <f>E222</f>
        <v>#DIV/0!</v>
      </c>
      <c r="F253" s="59" t="e">
        <f>F222</f>
        <v>#DIV/0!</v>
      </c>
    </row>
    <row r="254" spans="2:7" x14ac:dyDescent="0.25">
      <c r="B254" s="75" t="s">
        <v>617</v>
      </c>
      <c r="C254" s="58" t="e">
        <f>C225</f>
        <v>#DIV/0!</v>
      </c>
      <c r="D254" s="58" t="e">
        <f>D225</f>
        <v>#DIV/0!</v>
      </c>
      <c r="E254" s="58" t="e">
        <f>E225</f>
        <v>#DIV/0!</v>
      </c>
      <c r="F254" s="59" t="e">
        <f>F225</f>
        <v>#DIV/0!</v>
      </c>
    </row>
    <row r="255" spans="2:7" x14ac:dyDescent="0.25">
      <c r="B255" s="75" t="s">
        <v>330</v>
      </c>
      <c r="C255" s="58" t="e">
        <f>C230</f>
        <v>#DIV/0!</v>
      </c>
      <c r="D255" s="58" t="e">
        <f>D230</f>
        <v>#DIV/0!</v>
      </c>
      <c r="E255" s="58" t="e">
        <f>E230</f>
        <v>#DIV/0!</v>
      </c>
      <c r="F255" s="59" t="e">
        <f>F230</f>
        <v>#DIV/0!</v>
      </c>
    </row>
    <row r="256" spans="2:7" x14ac:dyDescent="0.25">
      <c r="B256" s="75" t="s">
        <v>68</v>
      </c>
      <c r="C256" s="58" t="e">
        <f>C236</f>
        <v>#DIV/0!</v>
      </c>
      <c r="D256" s="58" t="e">
        <f>D236</f>
        <v>#DIV/0!</v>
      </c>
      <c r="E256" s="58" t="e">
        <f>E236</f>
        <v>#DIV/0!</v>
      </c>
      <c r="F256" s="59" t="e">
        <f>F236</f>
        <v>#DIV/0!</v>
      </c>
    </row>
    <row r="257" spans="2:6" ht="15.75" thickBot="1" x14ac:dyDescent="0.3">
      <c r="B257" s="76" t="s">
        <v>68</v>
      </c>
      <c r="C257" s="77" t="e">
        <f>C241</f>
        <v>#DIV/0!</v>
      </c>
      <c r="D257" s="77" t="e">
        <f>D241</f>
        <v>#DIV/0!</v>
      </c>
      <c r="E257" s="77" t="e">
        <f>E241</f>
        <v>#DIV/0!</v>
      </c>
      <c r="F257" s="78" t="e">
        <f>F241</f>
        <v>#DIV/0!</v>
      </c>
    </row>
    <row r="258" spans="2:6" x14ac:dyDescent="0.25">
      <c r="B258" s="79" t="s">
        <v>669</v>
      </c>
      <c r="C258" s="81" t="e">
        <f>SUM(C249:C257)</f>
        <v>#DIV/0!</v>
      </c>
      <c r="D258" s="81" t="e">
        <f>SUM(D249:D257)</f>
        <v>#DIV/0!</v>
      </c>
      <c r="E258" s="81" t="e">
        <f>SUM(E249:E257)</f>
        <v>#DIV/0!</v>
      </c>
      <c r="F258" s="84" t="e">
        <f>SUM(F249:F257)</f>
        <v>#DIV/0!</v>
      </c>
    </row>
    <row r="259" spans="2:6" ht="15.75" thickBot="1" x14ac:dyDescent="0.3">
      <c r="B259" s="80" t="s">
        <v>670</v>
      </c>
      <c r="C259" s="82" t="e">
        <f>AVERAGE(C249:C257)</f>
        <v>#DIV/0!</v>
      </c>
      <c r="D259" s="82" t="e">
        <f>AVERAGE(D249:D257)</f>
        <v>#DIV/0!</v>
      </c>
      <c r="E259" s="82" t="e">
        <f>AVERAGE(E249:E257)</f>
        <v>#DIV/0!</v>
      </c>
      <c r="F259" s="85" t="e">
        <f>AVERAGE(F249:F257)</f>
        <v>#DIV/0!</v>
      </c>
    </row>
  </sheetData>
  <mergeCells count="33">
    <mergeCell ref="AA1:AC1"/>
    <mergeCell ref="G1:O1"/>
    <mergeCell ref="P1:T1"/>
    <mergeCell ref="U1:V1"/>
    <mergeCell ref="W1:X1"/>
    <mergeCell ref="Y1:Z1"/>
    <mergeCell ref="BC1:BE1"/>
    <mergeCell ref="B59:B60"/>
    <mergeCell ref="C59:F59"/>
    <mergeCell ref="I59:I60"/>
    <mergeCell ref="J59:M59"/>
    <mergeCell ref="P59:P60"/>
    <mergeCell ref="Q59:T59"/>
    <mergeCell ref="W59:W60"/>
    <mergeCell ref="X59:AA59"/>
    <mergeCell ref="AD59:AD60"/>
    <mergeCell ref="AD1:AE1"/>
    <mergeCell ref="AF1:AI1"/>
    <mergeCell ref="AJ1:AN1"/>
    <mergeCell ref="AO1:AR1"/>
    <mergeCell ref="AS1:AV1"/>
    <mergeCell ref="AW1:BB1"/>
    <mergeCell ref="AK59:AK60"/>
    <mergeCell ref="AL59:AO59"/>
    <mergeCell ref="AR59:AR60"/>
    <mergeCell ref="AS59:AV59"/>
    <mergeCell ref="B122:B123"/>
    <mergeCell ref="C122:F122"/>
    <mergeCell ref="B184:B185"/>
    <mergeCell ref="C184:F184"/>
    <mergeCell ref="B246:B247"/>
    <mergeCell ref="C246:F246"/>
    <mergeCell ref="AE59:AH59"/>
  </mergeCells>
  <conditionalFormatting sqref="E2">
    <cfRule type="duplicateValues" dxfId="50" priority="16"/>
  </conditionalFormatting>
  <conditionalFormatting sqref="E3 E6:E8">
    <cfRule type="duplicateValues" dxfId="49" priority="11"/>
  </conditionalFormatting>
  <conditionalFormatting sqref="E4">
    <cfRule type="duplicateValues" dxfId="48" priority="4"/>
    <cfRule type="duplicateValues" dxfId="47" priority="5"/>
  </conditionalFormatting>
  <conditionalFormatting sqref="E5">
    <cfRule type="duplicateValues" dxfId="46" priority="9"/>
    <cfRule type="duplicateValues" dxfId="45" priority="10"/>
  </conditionalFormatting>
  <conditionalFormatting sqref="E6:E8">
    <cfRule type="duplicateValues" dxfId="44" priority="12"/>
    <cfRule type="duplicateValues" dxfId="43" priority="13"/>
  </conditionalFormatting>
  <conditionalFormatting sqref="F4">
    <cfRule type="duplicateValues" dxfId="42" priority="1"/>
    <cfRule type="duplicateValues" dxfId="41" priority="2"/>
    <cfRule type="duplicateValues" dxfId="40" priority="3"/>
  </conditionalFormatting>
  <conditionalFormatting sqref="F5">
    <cfRule type="duplicateValues" dxfId="39" priority="6"/>
    <cfRule type="duplicateValues" dxfId="38" priority="7"/>
    <cfRule type="duplicateValues" dxfId="37" priority="8"/>
  </conditionalFormatting>
  <hyperlinks>
    <hyperlink ref="I3" r:id="rId1"/>
    <hyperlink ref="I7" r:id="rId2"/>
    <hyperlink ref="I5" r:id="rId3"/>
    <hyperlink ref="I4" r:id="rId4"/>
  </hyperlink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K285"/>
  <sheetViews>
    <sheetView topLeftCell="A232" zoomScale="70" zoomScaleNormal="70" workbookViewId="0">
      <selection activeCell="I280" sqref="I280"/>
    </sheetView>
  </sheetViews>
  <sheetFormatPr defaultRowHeight="15" x14ac:dyDescent="0.25"/>
  <cols>
    <col min="1" max="1" width="2.5703125" customWidth="1"/>
    <col min="2" max="2" width="24.42578125" customWidth="1"/>
    <col min="3" max="3" width="20.5703125" customWidth="1"/>
    <col min="4" max="4" width="25" bestFit="1" customWidth="1"/>
    <col min="5" max="5" width="22.7109375" customWidth="1"/>
    <col min="6" max="6" width="31.7109375" bestFit="1" customWidth="1"/>
    <col min="7" max="7" width="26.140625" bestFit="1" customWidth="1"/>
    <col min="8" max="8" width="4.5703125" customWidth="1"/>
    <col min="9" max="9" width="46.7109375" bestFit="1" customWidth="1"/>
    <col min="10" max="10" width="40.5703125" customWidth="1"/>
    <col min="11" max="11" width="20.140625" customWidth="1"/>
    <col min="12" max="12" width="15.28515625" customWidth="1"/>
    <col min="13" max="13" width="26" customWidth="1"/>
    <col min="14" max="14" width="14" customWidth="1"/>
    <col min="15" max="15" width="6.28515625" customWidth="1"/>
    <col min="16" max="16" width="46.7109375" bestFit="1" customWidth="1"/>
    <col min="17" max="17" width="16.85546875" bestFit="1" customWidth="1"/>
    <col min="18" max="18" width="10.5703125" customWidth="1"/>
    <col min="19" max="19" width="8.7109375" customWidth="1"/>
    <col min="20" max="20" width="11.855468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10.5703125"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7.5703125" bestFit="1" customWidth="1"/>
    <col min="48" max="48" width="30.7109375" customWidth="1"/>
    <col min="49" max="49" width="30" customWidth="1"/>
    <col min="50" max="50" width="7.85546875" bestFit="1" customWidth="1"/>
    <col min="51" max="51" width="46" bestFit="1" customWidth="1"/>
    <col min="52" max="52" width="23.28515625" customWidth="1"/>
    <col min="53" max="53" width="7.85546875" bestFit="1" customWidth="1"/>
    <col min="54" max="54" width="39.28515625" customWidth="1"/>
    <col min="55" max="55" width="10.42578125" bestFit="1" customWidth="1"/>
    <col min="56" max="56" width="73.7109375" customWidth="1"/>
    <col min="57" max="57" width="16.85546875" customWidth="1"/>
    <col min="58" max="58" width="46" bestFit="1" customWidth="1"/>
    <col min="59" max="59" width="24.28515625" customWidth="1"/>
    <col min="60" max="60" width="15.85546875" customWidth="1"/>
    <col min="61" max="61" width="14.5703125" customWidth="1"/>
    <col min="62" max="62" width="15.42578125" customWidth="1"/>
  </cols>
  <sheetData>
    <row r="1" spans="2:57"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7" ht="33" x14ac:dyDescent="0.25">
      <c r="B2" s="1" t="s">
        <v>13</v>
      </c>
      <c r="C2" s="1" t="s">
        <v>66</v>
      </c>
      <c r="D2" s="1" t="s">
        <v>14</v>
      </c>
      <c r="E2" s="1" t="s">
        <v>15</v>
      </c>
      <c r="F2" s="1" t="s">
        <v>16</v>
      </c>
      <c r="G2" s="40" t="s">
        <v>17</v>
      </c>
      <c r="H2" s="40" t="s">
        <v>18</v>
      </c>
      <c r="I2" s="40" t="s">
        <v>19</v>
      </c>
      <c r="J2" s="40" t="s">
        <v>20</v>
      </c>
      <c r="K2" s="40" t="s">
        <v>21</v>
      </c>
      <c r="L2" s="40" t="s">
        <v>22</v>
      </c>
      <c r="M2" s="40" t="s">
        <v>23</v>
      </c>
      <c r="N2" s="40" t="s">
        <v>24</v>
      </c>
      <c r="O2" s="40" t="s">
        <v>25</v>
      </c>
      <c r="P2" s="41" t="s">
        <v>26</v>
      </c>
      <c r="Q2" s="41" t="s">
        <v>27</v>
      </c>
      <c r="R2" s="41" t="s">
        <v>28</v>
      </c>
      <c r="S2" s="41" t="s">
        <v>29</v>
      </c>
      <c r="T2" s="41" t="s">
        <v>30</v>
      </c>
      <c r="U2" s="42" t="s">
        <v>31</v>
      </c>
      <c r="V2" s="42" t="s">
        <v>32</v>
      </c>
      <c r="W2" s="43" t="s">
        <v>33</v>
      </c>
      <c r="X2" s="43" t="s">
        <v>34</v>
      </c>
      <c r="Y2" s="44" t="s">
        <v>35</v>
      </c>
      <c r="Z2" s="44" t="s">
        <v>36</v>
      </c>
      <c r="AA2" s="45" t="s">
        <v>37</v>
      </c>
      <c r="AB2" s="45" t="s">
        <v>38</v>
      </c>
      <c r="AC2" s="45" t="s">
        <v>39</v>
      </c>
      <c r="AD2" s="46" t="s">
        <v>40</v>
      </c>
      <c r="AE2" s="46" t="s">
        <v>41</v>
      </c>
      <c r="AF2" s="47" t="s">
        <v>42</v>
      </c>
      <c r="AG2" s="47" t="s">
        <v>43</v>
      </c>
      <c r="AH2" s="47" t="s">
        <v>44</v>
      </c>
      <c r="AI2" s="47" t="s">
        <v>45</v>
      </c>
      <c r="AJ2" s="48" t="s">
        <v>46</v>
      </c>
      <c r="AK2" s="48" t="s">
        <v>47</v>
      </c>
      <c r="AL2" s="48" t="s">
        <v>48</v>
      </c>
      <c r="AM2" s="48" t="s">
        <v>49</v>
      </c>
      <c r="AN2" s="48" t="s">
        <v>50</v>
      </c>
      <c r="AO2" s="49" t="s">
        <v>51</v>
      </c>
      <c r="AP2" s="49" t="s">
        <v>52</v>
      </c>
      <c r="AQ2" s="49" t="s">
        <v>53</v>
      </c>
      <c r="AR2" s="49" t="s">
        <v>54</v>
      </c>
      <c r="AS2" s="50" t="s">
        <v>55</v>
      </c>
      <c r="AT2" s="50" t="s">
        <v>56</v>
      </c>
      <c r="AU2" s="50" t="s">
        <v>57</v>
      </c>
      <c r="AV2" s="50" t="s">
        <v>58</v>
      </c>
      <c r="AW2" s="51" t="s">
        <v>11</v>
      </c>
      <c r="AX2" s="51" t="s">
        <v>59</v>
      </c>
      <c r="AY2" s="51" t="s">
        <v>60</v>
      </c>
      <c r="AZ2" s="51" t="s">
        <v>61</v>
      </c>
      <c r="BA2" s="51" t="s">
        <v>62</v>
      </c>
      <c r="BB2" s="51" t="s">
        <v>63</v>
      </c>
      <c r="BC2" s="52" t="s">
        <v>12</v>
      </c>
      <c r="BD2" s="52" t="s">
        <v>64</v>
      </c>
      <c r="BE2" s="53" t="s">
        <v>65</v>
      </c>
    </row>
    <row r="3" spans="2:57" ht="33" x14ac:dyDescent="0.25">
      <c r="B3" s="87">
        <v>2019</v>
      </c>
      <c r="C3" s="91" t="s">
        <v>1240</v>
      </c>
      <c r="D3" s="91" t="s">
        <v>90</v>
      </c>
      <c r="E3" s="124">
        <v>14390100029</v>
      </c>
      <c r="F3" s="91" t="s">
        <v>1243</v>
      </c>
      <c r="G3" s="3" t="s">
        <v>422</v>
      </c>
      <c r="H3" s="6" t="s">
        <v>68</v>
      </c>
      <c r="I3" s="5" t="s">
        <v>68</v>
      </c>
      <c r="J3" s="3" t="s">
        <v>1241</v>
      </c>
      <c r="K3" s="6" t="s">
        <v>1242</v>
      </c>
      <c r="L3" s="4" t="s">
        <v>1244</v>
      </c>
      <c r="M3" s="6" t="s">
        <v>1245</v>
      </c>
      <c r="N3" s="6">
        <v>4</v>
      </c>
      <c r="O3" s="6">
        <v>12</v>
      </c>
      <c r="P3" s="7" t="s">
        <v>1</v>
      </c>
      <c r="Q3" s="7" t="s">
        <v>69</v>
      </c>
      <c r="R3" s="7" t="s">
        <v>1</v>
      </c>
      <c r="S3" s="7" t="s">
        <v>1</v>
      </c>
      <c r="T3" s="7" t="s">
        <v>1</v>
      </c>
      <c r="U3" s="8" t="s">
        <v>69</v>
      </c>
      <c r="V3" s="8" t="s">
        <v>1</v>
      </c>
      <c r="W3" s="9" t="s">
        <v>1</v>
      </c>
      <c r="X3" s="9" t="s">
        <v>1</v>
      </c>
      <c r="Y3" s="10" t="s">
        <v>1</v>
      </c>
      <c r="Z3" s="10" t="s">
        <v>1</v>
      </c>
      <c r="AA3" s="11" t="s">
        <v>1</v>
      </c>
      <c r="AB3" s="11" t="s">
        <v>1</v>
      </c>
      <c r="AC3" s="11" t="s">
        <v>1</v>
      </c>
      <c r="AD3" s="12" t="s">
        <v>1</v>
      </c>
      <c r="AE3" s="12" t="s">
        <v>1</v>
      </c>
      <c r="AF3" s="13" t="s">
        <v>1</v>
      </c>
      <c r="AG3" s="13" t="s">
        <v>1</v>
      </c>
      <c r="AH3" s="13" t="s">
        <v>1</v>
      </c>
      <c r="AI3" s="13" t="s">
        <v>1</v>
      </c>
      <c r="AJ3" s="14" t="s">
        <v>69</v>
      </c>
      <c r="AK3" s="14" t="s">
        <v>1</v>
      </c>
      <c r="AL3" s="14" t="s">
        <v>69</v>
      </c>
      <c r="AM3" s="14" t="s">
        <v>1</v>
      </c>
      <c r="AN3" s="14" t="s">
        <v>1</v>
      </c>
      <c r="AO3" s="15" t="s">
        <v>1</v>
      </c>
      <c r="AP3" s="15" t="s">
        <v>1</v>
      </c>
      <c r="AQ3" s="15" t="s">
        <v>1</v>
      </c>
      <c r="AR3" s="15" t="s">
        <v>1</v>
      </c>
      <c r="AS3" s="16" t="s">
        <v>71</v>
      </c>
      <c r="AT3" s="16" t="s">
        <v>1246</v>
      </c>
      <c r="AU3" s="16" t="s">
        <v>71</v>
      </c>
      <c r="AV3" s="16" t="s">
        <v>68</v>
      </c>
      <c r="AW3" s="17" t="s">
        <v>71</v>
      </c>
      <c r="AX3" s="17" t="s">
        <v>71</v>
      </c>
      <c r="AY3" s="17" t="s">
        <v>71</v>
      </c>
      <c r="AZ3" s="17" t="s">
        <v>71</v>
      </c>
      <c r="BA3" s="17" t="s">
        <v>72</v>
      </c>
      <c r="BB3" s="17" t="s">
        <v>68</v>
      </c>
      <c r="BC3" s="18" t="s">
        <v>69</v>
      </c>
      <c r="BD3" s="19" t="s">
        <v>68</v>
      </c>
      <c r="BE3" s="20" t="s">
        <v>1247</v>
      </c>
    </row>
    <row r="4" spans="2:57" ht="33" hidden="1" x14ac:dyDescent="0.25">
      <c r="B4" s="87">
        <v>2019</v>
      </c>
      <c r="C4" s="91" t="s">
        <v>141</v>
      </c>
      <c r="D4" s="91" t="s">
        <v>197</v>
      </c>
      <c r="E4" s="91">
        <v>15410100074</v>
      </c>
      <c r="F4" s="91" t="s">
        <v>1248</v>
      </c>
      <c r="G4" s="3" t="s">
        <v>1249</v>
      </c>
      <c r="H4" s="6" t="s">
        <v>68</v>
      </c>
      <c r="I4" s="5" t="s">
        <v>68</v>
      </c>
      <c r="J4" s="3" t="s">
        <v>1250</v>
      </c>
      <c r="K4" s="6" t="s">
        <v>1251</v>
      </c>
      <c r="L4" s="4" t="s">
        <v>1252</v>
      </c>
      <c r="M4" s="6" t="s">
        <v>1253</v>
      </c>
      <c r="N4" s="6">
        <v>3</v>
      </c>
      <c r="O4" s="6">
        <v>24</v>
      </c>
      <c r="P4" s="24" t="s">
        <v>69</v>
      </c>
      <c r="Q4" s="24" t="s">
        <v>1</v>
      </c>
      <c r="R4" s="24" t="s">
        <v>1</v>
      </c>
      <c r="S4" s="24" t="s">
        <v>1</v>
      </c>
      <c r="T4" s="24" t="s">
        <v>1</v>
      </c>
      <c r="U4" s="25" t="s">
        <v>69</v>
      </c>
      <c r="V4" s="25" t="s">
        <v>1</v>
      </c>
      <c r="W4" s="26" t="s">
        <v>75</v>
      </c>
      <c r="X4" s="26" t="s">
        <v>75</v>
      </c>
      <c r="Y4" s="27" t="s">
        <v>69</v>
      </c>
      <c r="Z4" s="27" t="s">
        <v>69</v>
      </c>
      <c r="AA4" s="28" t="s">
        <v>1</v>
      </c>
      <c r="AB4" s="28" t="s">
        <v>1</v>
      </c>
      <c r="AC4" s="28" t="s">
        <v>1</v>
      </c>
      <c r="AD4" s="29" t="s">
        <v>69</v>
      </c>
      <c r="AE4" s="29" t="s">
        <v>1</v>
      </c>
      <c r="AF4" s="30" t="s">
        <v>1</v>
      </c>
      <c r="AG4" s="30" t="s">
        <v>1</v>
      </c>
      <c r="AH4" s="30" t="s">
        <v>1</v>
      </c>
      <c r="AI4" s="30" t="s">
        <v>1</v>
      </c>
      <c r="AJ4" s="31" t="s">
        <v>1</v>
      </c>
      <c r="AK4" s="31" t="s">
        <v>1</v>
      </c>
      <c r="AL4" s="31" t="s">
        <v>1</v>
      </c>
      <c r="AM4" s="31" t="s">
        <v>1</v>
      </c>
      <c r="AN4" s="31" t="s">
        <v>1</v>
      </c>
      <c r="AO4" s="32" t="s">
        <v>1</v>
      </c>
      <c r="AP4" s="32" t="s">
        <v>1</v>
      </c>
      <c r="AQ4" s="32" t="s">
        <v>1</v>
      </c>
      <c r="AR4" s="32" t="s">
        <v>1</v>
      </c>
      <c r="AS4" s="33" t="s">
        <v>70</v>
      </c>
      <c r="AT4" s="33" t="s">
        <v>1255</v>
      </c>
      <c r="AU4" s="33" t="s">
        <v>71</v>
      </c>
      <c r="AV4" s="33" t="s">
        <v>1254</v>
      </c>
      <c r="AW4" s="34" t="s">
        <v>203</v>
      </c>
      <c r="AX4" s="34" t="s">
        <v>71</v>
      </c>
      <c r="AY4" s="34" t="s">
        <v>71</v>
      </c>
      <c r="AZ4" s="34" t="s">
        <v>72</v>
      </c>
      <c r="BA4" s="34" t="s">
        <v>71</v>
      </c>
      <c r="BB4" s="17" t="s">
        <v>1256</v>
      </c>
      <c r="BC4" s="18" t="s">
        <v>69</v>
      </c>
      <c r="BD4" s="19" t="s">
        <v>1257</v>
      </c>
      <c r="BE4" s="20" t="s">
        <v>1258</v>
      </c>
    </row>
    <row r="5" spans="2:57" ht="49.5" hidden="1" x14ac:dyDescent="0.25">
      <c r="B5" s="87">
        <v>2019</v>
      </c>
      <c r="C5" s="91" t="s">
        <v>141</v>
      </c>
      <c r="D5" s="91" t="s">
        <v>618</v>
      </c>
      <c r="E5" s="129">
        <v>15410200009</v>
      </c>
      <c r="F5" s="128" t="s">
        <v>1259</v>
      </c>
      <c r="G5" s="3" t="s">
        <v>1260</v>
      </c>
      <c r="H5" s="6" t="s">
        <v>68</v>
      </c>
      <c r="I5" s="5" t="s">
        <v>1263</v>
      </c>
      <c r="J5" s="3" t="s">
        <v>1261</v>
      </c>
      <c r="K5" s="6" t="s">
        <v>1262</v>
      </c>
      <c r="L5" s="4" t="s">
        <v>68</v>
      </c>
      <c r="M5" s="6" t="s">
        <v>1264</v>
      </c>
      <c r="N5" s="6">
        <v>2</v>
      </c>
      <c r="O5" s="6">
        <v>12</v>
      </c>
      <c r="P5" s="7" t="s">
        <v>69</v>
      </c>
      <c r="Q5" s="7" t="s">
        <v>69</v>
      </c>
      <c r="R5" s="7" t="s">
        <v>69</v>
      </c>
      <c r="S5" s="7" t="s">
        <v>69</v>
      </c>
      <c r="T5" s="7" t="s">
        <v>69</v>
      </c>
      <c r="U5" s="8" t="s">
        <v>1</v>
      </c>
      <c r="V5" s="8" t="s">
        <v>69</v>
      </c>
      <c r="W5" s="9" t="s">
        <v>1</v>
      </c>
      <c r="X5" s="9" t="s">
        <v>1</v>
      </c>
      <c r="Y5" s="10" t="s">
        <v>1</v>
      </c>
      <c r="Z5" s="10" t="s">
        <v>1</v>
      </c>
      <c r="AA5" s="11" t="s">
        <v>1</v>
      </c>
      <c r="AB5" s="11" t="s">
        <v>1</v>
      </c>
      <c r="AC5" s="11" t="s">
        <v>1</v>
      </c>
      <c r="AD5" s="12" t="s">
        <v>1</v>
      </c>
      <c r="AE5" s="12" t="s">
        <v>1</v>
      </c>
      <c r="AF5" s="13" t="s">
        <v>1</v>
      </c>
      <c r="AG5" s="13" t="s">
        <v>1</v>
      </c>
      <c r="AH5" s="13" t="s">
        <v>1</v>
      </c>
      <c r="AI5" s="13" t="s">
        <v>1</v>
      </c>
      <c r="AJ5" s="14" t="s">
        <v>1</v>
      </c>
      <c r="AK5" s="14" t="s">
        <v>1</v>
      </c>
      <c r="AL5" s="14" t="s">
        <v>1</v>
      </c>
      <c r="AM5" s="14" t="s">
        <v>1</v>
      </c>
      <c r="AN5" s="14" t="s">
        <v>1</v>
      </c>
      <c r="AO5" s="15" t="s">
        <v>1</v>
      </c>
      <c r="AP5" s="15" t="s">
        <v>1</v>
      </c>
      <c r="AQ5" s="15" t="s">
        <v>1</v>
      </c>
      <c r="AR5" s="15" t="s">
        <v>1</v>
      </c>
      <c r="AS5" s="16" t="s">
        <v>70</v>
      </c>
      <c r="AT5" s="16" t="s">
        <v>68</v>
      </c>
      <c r="AU5" s="16" t="s">
        <v>71</v>
      </c>
      <c r="AV5" s="16" t="s">
        <v>1035</v>
      </c>
      <c r="AW5" s="17" t="s">
        <v>72</v>
      </c>
      <c r="AX5" s="17" t="s">
        <v>72</v>
      </c>
      <c r="AY5" s="17" t="s">
        <v>71</v>
      </c>
      <c r="AZ5" s="17" t="s">
        <v>71</v>
      </c>
      <c r="BA5" s="17" t="s">
        <v>72</v>
      </c>
      <c r="BB5" s="17" t="s">
        <v>68</v>
      </c>
      <c r="BC5" s="18" t="s">
        <v>1</v>
      </c>
      <c r="BD5" s="19" t="s">
        <v>68</v>
      </c>
      <c r="BE5" s="109" t="s">
        <v>1265</v>
      </c>
    </row>
    <row r="6" spans="2:57" ht="66" hidden="1" x14ac:dyDescent="0.25">
      <c r="B6" s="87">
        <v>2019</v>
      </c>
      <c r="C6" s="91" t="s">
        <v>141</v>
      </c>
      <c r="D6" s="91" t="s">
        <v>1108</v>
      </c>
      <c r="E6" s="91">
        <v>15430200001</v>
      </c>
      <c r="F6" s="91" t="s">
        <v>1109</v>
      </c>
      <c r="G6" s="3" t="s">
        <v>1110</v>
      </c>
      <c r="H6" s="4" t="s">
        <v>1111</v>
      </c>
      <c r="I6" s="88" t="s">
        <v>1112</v>
      </c>
      <c r="J6" s="3" t="s">
        <v>1113</v>
      </c>
      <c r="K6" s="6" t="s">
        <v>1114</v>
      </c>
      <c r="L6" s="4" t="s">
        <v>1115</v>
      </c>
      <c r="M6" s="6" t="s">
        <v>1116</v>
      </c>
      <c r="N6" s="6">
        <v>2</v>
      </c>
      <c r="O6" s="6">
        <v>12</v>
      </c>
      <c r="P6" s="7" t="s">
        <v>1</v>
      </c>
      <c r="Q6" s="7" t="s">
        <v>69</v>
      </c>
      <c r="R6" s="7" t="s">
        <v>1</v>
      </c>
      <c r="S6" s="7" t="s">
        <v>69</v>
      </c>
      <c r="T6" s="7" t="s">
        <v>69</v>
      </c>
      <c r="U6" s="8" t="s">
        <v>1</v>
      </c>
      <c r="V6" s="8" t="s">
        <v>1</v>
      </c>
      <c r="W6" s="9" t="s">
        <v>1</v>
      </c>
      <c r="X6" s="9" t="s">
        <v>1</v>
      </c>
      <c r="Y6" s="10" t="s">
        <v>69</v>
      </c>
      <c r="Z6" s="10" t="s">
        <v>69</v>
      </c>
      <c r="AA6" s="11" t="s">
        <v>1</v>
      </c>
      <c r="AB6" s="11" t="s">
        <v>1</v>
      </c>
      <c r="AC6" s="11" t="s">
        <v>1</v>
      </c>
      <c r="AD6" s="12" t="s">
        <v>1</v>
      </c>
      <c r="AE6" s="12" t="s">
        <v>1</v>
      </c>
      <c r="AF6" s="13" t="s">
        <v>1</v>
      </c>
      <c r="AG6" s="13" t="s">
        <v>1</v>
      </c>
      <c r="AH6" s="13" t="s">
        <v>1</v>
      </c>
      <c r="AI6" s="13" t="s">
        <v>1</v>
      </c>
      <c r="AJ6" s="14" t="s">
        <v>69</v>
      </c>
      <c r="AK6" s="14" t="s">
        <v>1</v>
      </c>
      <c r="AL6" s="14" t="s">
        <v>69</v>
      </c>
      <c r="AM6" s="14" t="s">
        <v>1</v>
      </c>
      <c r="AN6" s="14" t="s">
        <v>1</v>
      </c>
      <c r="AO6" s="15" t="s">
        <v>1</v>
      </c>
      <c r="AP6" s="15" t="s">
        <v>1</v>
      </c>
      <c r="AQ6" s="15" t="s">
        <v>1</v>
      </c>
      <c r="AR6" s="15" t="s">
        <v>1</v>
      </c>
      <c r="AS6" s="16" t="s">
        <v>76</v>
      </c>
      <c r="AT6" s="16" t="s">
        <v>68</v>
      </c>
      <c r="AU6" s="16" t="s">
        <v>71</v>
      </c>
      <c r="AV6" s="16" t="s">
        <v>68</v>
      </c>
      <c r="AW6" s="17" t="s">
        <v>71</v>
      </c>
      <c r="AX6" s="17" t="s">
        <v>71</v>
      </c>
      <c r="AY6" s="17" t="s">
        <v>71</v>
      </c>
      <c r="AZ6" s="17" t="s">
        <v>71</v>
      </c>
      <c r="BA6" s="17" t="s">
        <v>72</v>
      </c>
      <c r="BB6" s="17" t="s">
        <v>1117</v>
      </c>
      <c r="BC6" s="18" t="s">
        <v>1</v>
      </c>
      <c r="BD6" s="19" t="s">
        <v>1118</v>
      </c>
      <c r="BE6" s="20" t="s">
        <v>1119</v>
      </c>
    </row>
    <row r="7" spans="2:57" ht="132" hidden="1" x14ac:dyDescent="0.25">
      <c r="B7" s="87">
        <v>2019</v>
      </c>
      <c r="C7" s="91" t="s">
        <v>141</v>
      </c>
      <c r="D7" s="91" t="s">
        <v>1108</v>
      </c>
      <c r="E7" s="91">
        <v>15430200006</v>
      </c>
      <c r="F7" s="91" t="s">
        <v>1120</v>
      </c>
      <c r="G7" s="3" t="s">
        <v>1121</v>
      </c>
      <c r="H7" s="4">
        <v>8123198976</v>
      </c>
      <c r="I7" s="88" t="s">
        <v>1122</v>
      </c>
      <c r="J7" s="3" t="s">
        <v>1123</v>
      </c>
      <c r="K7" s="6" t="s">
        <v>1124</v>
      </c>
      <c r="L7" s="4" t="s">
        <v>68</v>
      </c>
      <c r="M7" s="6" t="s">
        <v>1125</v>
      </c>
      <c r="N7" s="6">
        <v>2</v>
      </c>
      <c r="O7" s="6">
        <v>36</v>
      </c>
      <c r="P7" s="7" t="s">
        <v>1</v>
      </c>
      <c r="Q7" s="7" t="s">
        <v>1</v>
      </c>
      <c r="R7" s="7" t="s">
        <v>1</v>
      </c>
      <c r="S7" s="7" t="s">
        <v>69</v>
      </c>
      <c r="T7" s="7" t="s">
        <v>1</v>
      </c>
      <c r="U7" s="8" t="s">
        <v>1</v>
      </c>
      <c r="V7" s="8" t="s">
        <v>1</v>
      </c>
      <c r="W7" s="9" t="s">
        <v>75</v>
      </c>
      <c r="X7" s="9" t="s">
        <v>75</v>
      </c>
      <c r="Y7" s="10" t="s">
        <v>69</v>
      </c>
      <c r="Z7" s="10" t="s">
        <v>69</v>
      </c>
      <c r="AA7" s="11" t="s">
        <v>69</v>
      </c>
      <c r="AB7" s="11" t="s">
        <v>69</v>
      </c>
      <c r="AC7" s="11" t="s">
        <v>1</v>
      </c>
      <c r="AD7" s="12" t="s">
        <v>1</v>
      </c>
      <c r="AE7" s="12" t="s">
        <v>1</v>
      </c>
      <c r="AF7" s="13" t="s">
        <v>69</v>
      </c>
      <c r="AG7" s="13" t="s">
        <v>1</v>
      </c>
      <c r="AH7" s="13" t="s">
        <v>1</v>
      </c>
      <c r="AI7" s="13" t="s">
        <v>1</v>
      </c>
      <c r="AJ7" s="14" t="s">
        <v>1</v>
      </c>
      <c r="AK7" s="14" t="s">
        <v>1</v>
      </c>
      <c r="AL7" s="14" t="s">
        <v>1</v>
      </c>
      <c r="AM7" s="14" t="s">
        <v>1</v>
      </c>
      <c r="AN7" s="14" t="s">
        <v>1</v>
      </c>
      <c r="AO7" s="15" t="s">
        <v>1</v>
      </c>
      <c r="AP7" s="15" t="s">
        <v>1</v>
      </c>
      <c r="AQ7" s="15" t="s">
        <v>75</v>
      </c>
      <c r="AR7" s="15" t="s">
        <v>1</v>
      </c>
      <c r="AS7" s="16" t="s">
        <v>71</v>
      </c>
      <c r="AT7" s="16" t="s">
        <v>94</v>
      </c>
      <c r="AU7" s="16" t="s">
        <v>71</v>
      </c>
      <c r="AV7" s="16" t="s">
        <v>68</v>
      </c>
      <c r="AW7" s="17" t="s">
        <v>71</v>
      </c>
      <c r="AX7" s="17" t="s">
        <v>72</v>
      </c>
      <c r="AY7" s="17" t="s">
        <v>71</v>
      </c>
      <c r="AZ7" s="17" t="s">
        <v>71</v>
      </c>
      <c r="BA7" s="17" t="s">
        <v>72</v>
      </c>
      <c r="BB7" s="17" t="s">
        <v>68</v>
      </c>
      <c r="BC7" s="18" t="s">
        <v>1</v>
      </c>
      <c r="BD7" s="19" t="s">
        <v>1126</v>
      </c>
      <c r="BE7" s="20" t="s">
        <v>1127</v>
      </c>
    </row>
    <row r="8" spans="2:57" ht="132" hidden="1" x14ac:dyDescent="0.25">
      <c r="B8" s="87">
        <v>2019</v>
      </c>
      <c r="C8" s="91" t="s">
        <v>141</v>
      </c>
      <c r="D8" s="91" t="s">
        <v>1108</v>
      </c>
      <c r="E8" s="91">
        <v>15430200009</v>
      </c>
      <c r="F8" s="91" t="s">
        <v>1128</v>
      </c>
      <c r="G8" s="3" t="s">
        <v>1121</v>
      </c>
      <c r="H8" s="4">
        <v>8123198976</v>
      </c>
      <c r="I8" s="88" t="s">
        <v>1122</v>
      </c>
      <c r="J8" s="3" t="s">
        <v>1123</v>
      </c>
      <c r="K8" s="6" t="s">
        <v>1124</v>
      </c>
      <c r="L8" s="4" t="s">
        <v>68</v>
      </c>
      <c r="M8" s="6" t="s">
        <v>1125</v>
      </c>
      <c r="N8" s="6">
        <v>2</v>
      </c>
      <c r="O8" s="6">
        <v>36</v>
      </c>
      <c r="P8" s="7" t="s">
        <v>1</v>
      </c>
      <c r="Q8" s="7" t="s">
        <v>1</v>
      </c>
      <c r="R8" s="7" t="s">
        <v>1</v>
      </c>
      <c r="S8" s="7" t="s">
        <v>69</v>
      </c>
      <c r="T8" s="7" t="s">
        <v>1</v>
      </c>
      <c r="U8" s="8" t="s">
        <v>1</v>
      </c>
      <c r="V8" s="8" t="s">
        <v>1</v>
      </c>
      <c r="W8" s="9" t="s">
        <v>75</v>
      </c>
      <c r="X8" s="9" t="s">
        <v>75</v>
      </c>
      <c r="Y8" s="10" t="s">
        <v>69</v>
      </c>
      <c r="Z8" s="10" t="s">
        <v>69</v>
      </c>
      <c r="AA8" s="11" t="s">
        <v>69</v>
      </c>
      <c r="AB8" s="11" t="s">
        <v>69</v>
      </c>
      <c r="AC8" s="11" t="s">
        <v>1</v>
      </c>
      <c r="AD8" s="12" t="s">
        <v>1</v>
      </c>
      <c r="AE8" s="12" t="s">
        <v>1</v>
      </c>
      <c r="AF8" s="13" t="s">
        <v>69</v>
      </c>
      <c r="AG8" s="13" t="s">
        <v>1</v>
      </c>
      <c r="AH8" s="13" t="s">
        <v>1</v>
      </c>
      <c r="AI8" s="13" t="s">
        <v>1</v>
      </c>
      <c r="AJ8" s="14" t="s">
        <v>1</v>
      </c>
      <c r="AK8" s="14" t="s">
        <v>1</v>
      </c>
      <c r="AL8" s="14" t="s">
        <v>1</v>
      </c>
      <c r="AM8" s="14" t="s">
        <v>1</v>
      </c>
      <c r="AN8" s="14" t="s">
        <v>1</v>
      </c>
      <c r="AO8" s="15" t="s">
        <v>1</v>
      </c>
      <c r="AP8" s="15" t="s">
        <v>1</v>
      </c>
      <c r="AQ8" s="15" t="s">
        <v>75</v>
      </c>
      <c r="AR8" s="15" t="s">
        <v>1</v>
      </c>
      <c r="AS8" s="16" t="s">
        <v>71</v>
      </c>
      <c r="AT8" s="16" t="s">
        <v>94</v>
      </c>
      <c r="AU8" s="16" t="s">
        <v>71</v>
      </c>
      <c r="AV8" s="16" t="s">
        <v>68</v>
      </c>
      <c r="AW8" s="17" t="s">
        <v>71</v>
      </c>
      <c r="AX8" s="17" t="s">
        <v>72</v>
      </c>
      <c r="AY8" s="17" t="s">
        <v>71</v>
      </c>
      <c r="AZ8" s="17" t="s">
        <v>71</v>
      </c>
      <c r="BA8" s="17" t="s">
        <v>72</v>
      </c>
      <c r="BB8" s="17" t="s">
        <v>68</v>
      </c>
      <c r="BC8" s="18" t="s">
        <v>1</v>
      </c>
      <c r="BD8" s="19" t="s">
        <v>1126</v>
      </c>
      <c r="BE8" s="20" t="s">
        <v>1127</v>
      </c>
    </row>
    <row r="9" spans="2:57" ht="49.5" hidden="1" x14ac:dyDescent="0.25">
      <c r="B9" s="87">
        <v>2019</v>
      </c>
      <c r="C9" s="91" t="s">
        <v>141</v>
      </c>
      <c r="D9" s="91" t="s">
        <v>142</v>
      </c>
      <c r="E9" s="91">
        <v>15420100045</v>
      </c>
      <c r="F9" s="91" t="s">
        <v>1129</v>
      </c>
      <c r="G9" s="3" t="s">
        <v>1130</v>
      </c>
      <c r="H9" s="6">
        <v>89518638877</v>
      </c>
      <c r="I9" s="5" t="s">
        <v>1131</v>
      </c>
      <c r="J9" s="3" t="s">
        <v>1132</v>
      </c>
      <c r="K9" s="6" t="s">
        <v>1133</v>
      </c>
      <c r="L9" s="6">
        <v>89518638877</v>
      </c>
      <c r="M9" s="6" t="s">
        <v>74</v>
      </c>
      <c r="N9" s="6">
        <v>2</v>
      </c>
      <c r="O9" s="6">
        <v>24</v>
      </c>
      <c r="P9" s="7" t="s">
        <v>1</v>
      </c>
      <c r="Q9" s="7" t="s">
        <v>1</v>
      </c>
      <c r="R9" s="7" t="s">
        <v>75</v>
      </c>
      <c r="S9" s="7" t="s">
        <v>1</v>
      </c>
      <c r="T9" s="7" t="s">
        <v>1</v>
      </c>
      <c r="U9" s="8" t="s">
        <v>1</v>
      </c>
      <c r="V9" s="8" t="s">
        <v>1</v>
      </c>
      <c r="W9" s="9" t="s">
        <v>75</v>
      </c>
      <c r="X9" s="9" t="s">
        <v>75</v>
      </c>
      <c r="Y9" s="10" t="s">
        <v>69</v>
      </c>
      <c r="Z9" s="10" t="s">
        <v>69</v>
      </c>
      <c r="AA9" s="11" t="s">
        <v>1</v>
      </c>
      <c r="AB9" s="11" t="s">
        <v>1</v>
      </c>
      <c r="AC9" s="11" t="s">
        <v>1</v>
      </c>
      <c r="AD9" s="12" t="s">
        <v>1</v>
      </c>
      <c r="AE9" s="12" t="s">
        <v>1</v>
      </c>
      <c r="AF9" s="13" t="s">
        <v>1</v>
      </c>
      <c r="AG9" s="13" t="s">
        <v>1</v>
      </c>
      <c r="AH9" s="13" t="s">
        <v>75</v>
      </c>
      <c r="AI9" s="13" t="s">
        <v>75</v>
      </c>
      <c r="AJ9" s="14" t="s">
        <v>1</v>
      </c>
      <c r="AK9" s="14" t="s">
        <v>1</v>
      </c>
      <c r="AL9" s="14" t="s">
        <v>1</v>
      </c>
      <c r="AM9" s="14" t="s">
        <v>1</v>
      </c>
      <c r="AN9" s="14" t="s">
        <v>69</v>
      </c>
      <c r="AO9" s="15" t="s">
        <v>75</v>
      </c>
      <c r="AP9" s="15" t="s">
        <v>1</v>
      </c>
      <c r="AQ9" s="15" t="s">
        <v>1</v>
      </c>
      <c r="AR9" s="15" t="s">
        <v>1</v>
      </c>
      <c r="AS9" s="16"/>
      <c r="AT9" s="16" t="s">
        <v>1134</v>
      </c>
      <c r="AU9" s="16" t="s">
        <v>1135</v>
      </c>
      <c r="AV9" s="16"/>
      <c r="AW9" s="17" t="s">
        <v>71</v>
      </c>
      <c r="AX9" s="17" t="s">
        <v>71</v>
      </c>
      <c r="AY9" s="17" t="s">
        <v>71</v>
      </c>
      <c r="AZ9" s="17" t="s">
        <v>71</v>
      </c>
      <c r="BA9" s="17" t="s">
        <v>71</v>
      </c>
      <c r="BB9" s="17" t="s">
        <v>1136</v>
      </c>
      <c r="BC9" s="18" t="s">
        <v>1</v>
      </c>
      <c r="BD9" s="19" t="s">
        <v>140</v>
      </c>
      <c r="BE9" s="20" t="s">
        <v>1137</v>
      </c>
    </row>
    <row r="10" spans="2:57" ht="165" hidden="1" x14ac:dyDescent="0.25">
      <c r="B10" s="87">
        <v>2019</v>
      </c>
      <c r="C10" s="91" t="s">
        <v>141</v>
      </c>
      <c r="D10" s="91" t="s">
        <v>1138</v>
      </c>
      <c r="E10" s="91">
        <v>15430100022</v>
      </c>
      <c r="F10" s="91" t="s">
        <v>1139</v>
      </c>
      <c r="G10" s="3" t="s">
        <v>1140</v>
      </c>
      <c r="H10" s="4" t="s">
        <v>1141</v>
      </c>
      <c r="I10" s="88" t="s">
        <v>1142</v>
      </c>
      <c r="J10" s="3" t="s">
        <v>1143</v>
      </c>
      <c r="K10" s="6" t="s">
        <v>1144</v>
      </c>
      <c r="L10" s="4" t="s">
        <v>1145</v>
      </c>
      <c r="M10" s="6" t="s">
        <v>1146</v>
      </c>
      <c r="N10" s="6">
        <v>1</v>
      </c>
      <c r="O10" s="6">
        <v>1</v>
      </c>
      <c r="P10" s="7" t="s">
        <v>1</v>
      </c>
      <c r="Q10" s="7" t="s">
        <v>1</v>
      </c>
      <c r="R10" s="7" t="s">
        <v>1</v>
      </c>
      <c r="S10" s="7" t="s">
        <v>1</v>
      </c>
      <c r="T10" s="7" t="s">
        <v>1</v>
      </c>
      <c r="U10" s="8" t="s">
        <v>1</v>
      </c>
      <c r="V10" s="8" t="s">
        <v>1</v>
      </c>
      <c r="W10" s="9" t="s">
        <v>75</v>
      </c>
      <c r="X10" s="9" t="s">
        <v>1</v>
      </c>
      <c r="Y10" s="10" t="s">
        <v>1</v>
      </c>
      <c r="Z10" s="10" t="s">
        <v>1</v>
      </c>
      <c r="AA10" s="11" t="s">
        <v>1</v>
      </c>
      <c r="AB10" s="11" t="s">
        <v>1</v>
      </c>
      <c r="AC10" s="11" t="s">
        <v>1</v>
      </c>
      <c r="AD10" s="12" t="s">
        <v>1</v>
      </c>
      <c r="AE10" s="12" t="s">
        <v>1</v>
      </c>
      <c r="AF10" s="13" t="s">
        <v>1</v>
      </c>
      <c r="AG10" s="13" t="s">
        <v>1</v>
      </c>
      <c r="AH10" s="13" t="s">
        <v>1</v>
      </c>
      <c r="AI10" s="13" t="s">
        <v>1</v>
      </c>
      <c r="AJ10" s="14" t="s">
        <v>1</v>
      </c>
      <c r="AK10" s="14" t="s">
        <v>1</v>
      </c>
      <c r="AL10" s="14" t="s">
        <v>1</v>
      </c>
      <c r="AM10" s="14" t="s">
        <v>1</v>
      </c>
      <c r="AN10" s="14" t="s">
        <v>1</v>
      </c>
      <c r="AO10" s="15" t="s">
        <v>75</v>
      </c>
      <c r="AP10" s="15" t="s">
        <v>1</v>
      </c>
      <c r="AQ10" s="15" t="s">
        <v>1</v>
      </c>
      <c r="AR10" s="15" t="s">
        <v>1</v>
      </c>
      <c r="AS10" s="16" t="s">
        <v>71</v>
      </c>
      <c r="AT10" s="16" t="s">
        <v>1147</v>
      </c>
      <c r="AU10" s="16" t="s">
        <v>71</v>
      </c>
      <c r="AV10" s="16" t="s">
        <v>1148</v>
      </c>
      <c r="AW10" s="17" t="s">
        <v>71</v>
      </c>
      <c r="AX10" s="17" t="s">
        <v>71</v>
      </c>
      <c r="AY10" s="17" t="s">
        <v>71</v>
      </c>
      <c r="AZ10" s="17" t="s">
        <v>71</v>
      </c>
      <c r="BA10" s="17" t="s">
        <v>71</v>
      </c>
      <c r="BB10" s="17" t="s">
        <v>68</v>
      </c>
      <c r="BC10" s="18" t="s">
        <v>69</v>
      </c>
      <c r="BD10" s="19" t="s">
        <v>1149</v>
      </c>
      <c r="BE10" s="20" t="s">
        <v>1150</v>
      </c>
    </row>
    <row r="11" spans="2:57" ht="33" hidden="1" x14ac:dyDescent="0.25">
      <c r="B11" s="87">
        <v>2019</v>
      </c>
      <c r="C11" s="91" t="s">
        <v>141</v>
      </c>
      <c r="D11" s="91" t="s">
        <v>1138</v>
      </c>
      <c r="E11" s="91">
        <v>15430100004</v>
      </c>
      <c r="F11" s="91" t="s">
        <v>1151</v>
      </c>
      <c r="G11" s="3" t="s">
        <v>1152</v>
      </c>
      <c r="H11" s="6">
        <v>0</v>
      </c>
      <c r="I11" s="5">
        <v>0</v>
      </c>
      <c r="J11" s="3" t="s">
        <v>1153</v>
      </c>
      <c r="K11" s="6" t="s">
        <v>1154</v>
      </c>
      <c r="L11" s="4">
        <v>0</v>
      </c>
      <c r="M11" s="6" t="s">
        <v>888</v>
      </c>
      <c r="N11" s="6">
        <v>1</v>
      </c>
      <c r="O11" s="6">
        <v>12</v>
      </c>
      <c r="P11" s="7" t="s">
        <v>1</v>
      </c>
      <c r="Q11" s="7" t="s">
        <v>69</v>
      </c>
      <c r="R11" s="7" t="s">
        <v>1</v>
      </c>
      <c r="S11" s="7" t="s">
        <v>1</v>
      </c>
      <c r="T11" s="7" t="s">
        <v>1</v>
      </c>
      <c r="U11" s="8" t="s">
        <v>69</v>
      </c>
      <c r="V11" s="8" t="s">
        <v>1</v>
      </c>
      <c r="W11" s="9" t="s">
        <v>1</v>
      </c>
      <c r="X11" s="9" t="s">
        <v>1</v>
      </c>
      <c r="Y11" s="10" t="s">
        <v>1</v>
      </c>
      <c r="Z11" s="10" t="s">
        <v>1</v>
      </c>
      <c r="AA11" s="11" t="s">
        <v>1</v>
      </c>
      <c r="AB11" s="11" t="s">
        <v>1</v>
      </c>
      <c r="AC11" s="11" t="s">
        <v>1</v>
      </c>
      <c r="AD11" s="12" t="s">
        <v>1</v>
      </c>
      <c r="AE11" s="12" t="s">
        <v>69</v>
      </c>
      <c r="AF11" s="13" t="s">
        <v>1</v>
      </c>
      <c r="AG11" s="13" t="s">
        <v>1</v>
      </c>
      <c r="AH11" s="13" t="s">
        <v>69</v>
      </c>
      <c r="AI11" s="13" t="s">
        <v>1</v>
      </c>
      <c r="AJ11" s="14" t="s">
        <v>69</v>
      </c>
      <c r="AK11" s="14" t="s">
        <v>1</v>
      </c>
      <c r="AL11" s="14" t="s">
        <v>69</v>
      </c>
      <c r="AM11" s="14" t="s">
        <v>1</v>
      </c>
      <c r="AN11" s="14" t="s">
        <v>69</v>
      </c>
      <c r="AO11" s="15" t="s">
        <v>69</v>
      </c>
      <c r="AP11" s="15" t="s">
        <v>1</v>
      </c>
      <c r="AQ11" s="15" t="s">
        <v>1</v>
      </c>
      <c r="AR11" s="15" t="s">
        <v>69</v>
      </c>
      <c r="AS11" s="16" t="s">
        <v>76</v>
      </c>
      <c r="AT11" s="16" t="s">
        <v>76</v>
      </c>
      <c r="AU11" s="16" t="s">
        <v>72</v>
      </c>
      <c r="AV11" s="16" t="s">
        <v>72</v>
      </c>
      <c r="AW11" s="17" t="s">
        <v>72</v>
      </c>
      <c r="AX11" s="17" t="s">
        <v>72</v>
      </c>
      <c r="AY11" s="17" t="s">
        <v>72</v>
      </c>
      <c r="AZ11" s="17" t="s">
        <v>68</v>
      </c>
      <c r="BA11" s="17" t="s">
        <v>69</v>
      </c>
      <c r="BB11" s="17" t="s">
        <v>750</v>
      </c>
      <c r="BC11" s="18" t="s">
        <v>68</v>
      </c>
      <c r="BD11" s="19"/>
      <c r="BE11" s="20"/>
    </row>
    <row r="12" spans="2:57" ht="33" hidden="1" x14ac:dyDescent="0.25">
      <c r="B12" s="87">
        <v>2019</v>
      </c>
      <c r="C12" s="91" t="s">
        <v>141</v>
      </c>
      <c r="D12" s="91" t="s">
        <v>1108</v>
      </c>
      <c r="E12" s="91">
        <v>15430200013</v>
      </c>
      <c r="F12" s="91" t="s">
        <v>1155</v>
      </c>
      <c r="G12" s="3" t="s">
        <v>1156</v>
      </c>
      <c r="H12" s="6">
        <v>89695140290</v>
      </c>
      <c r="I12" s="5" t="s">
        <v>1157</v>
      </c>
      <c r="J12" s="3" t="s">
        <v>1158</v>
      </c>
      <c r="K12" s="6" t="s">
        <v>1159</v>
      </c>
      <c r="L12" s="4">
        <v>89695140290</v>
      </c>
      <c r="M12" s="6" t="s">
        <v>1160</v>
      </c>
      <c r="N12" s="6">
        <v>1</v>
      </c>
      <c r="O12" s="6">
        <v>7</v>
      </c>
      <c r="P12" s="7" t="s">
        <v>1</v>
      </c>
      <c r="Q12" s="7" t="s">
        <v>1</v>
      </c>
      <c r="R12" s="7" t="s">
        <v>1</v>
      </c>
      <c r="S12" s="7" t="s">
        <v>1</v>
      </c>
      <c r="T12" s="7" t="s">
        <v>1</v>
      </c>
      <c r="U12" s="8" t="s">
        <v>1</v>
      </c>
      <c r="V12" s="8" t="s">
        <v>1</v>
      </c>
      <c r="W12" s="9" t="s">
        <v>1</v>
      </c>
      <c r="X12" s="9" t="s">
        <v>1</v>
      </c>
      <c r="Y12" s="10" t="s">
        <v>1</v>
      </c>
      <c r="Z12" s="10" t="s">
        <v>1</v>
      </c>
      <c r="AA12" s="11" t="s">
        <v>69</v>
      </c>
      <c r="AB12" s="11" t="s">
        <v>1</v>
      </c>
      <c r="AC12" s="11" t="s">
        <v>69</v>
      </c>
      <c r="AD12" s="12" t="s">
        <v>1</v>
      </c>
      <c r="AE12" s="12" t="s">
        <v>1</v>
      </c>
      <c r="AF12" s="13" t="s">
        <v>1</v>
      </c>
      <c r="AG12" s="13" t="s">
        <v>1</v>
      </c>
      <c r="AH12" s="13" t="s">
        <v>1</v>
      </c>
      <c r="AI12" s="13" t="s">
        <v>1</v>
      </c>
      <c r="AJ12" s="14" t="s">
        <v>1</v>
      </c>
      <c r="AK12" s="14" t="s">
        <v>1</v>
      </c>
      <c r="AL12" s="14" t="s">
        <v>1</v>
      </c>
      <c r="AM12" s="14" t="s">
        <v>1</v>
      </c>
      <c r="AN12" s="14" t="s">
        <v>1</v>
      </c>
      <c r="AO12" s="15" t="s">
        <v>1</v>
      </c>
      <c r="AP12" s="15" t="s">
        <v>1</v>
      </c>
      <c r="AQ12" s="15" t="s">
        <v>1</v>
      </c>
      <c r="AR12" s="15" t="s">
        <v>1</v>
      </c>
      <c r="AS12" s="16" t="s">
        <v>76</v>
      </c>
      <c r="AT12" s="16" t="s">
        <v>71</v>
      </c>
      <c r="AU12" s="16" t="s">
        <v>72</v>
      </c>
      <c r="AV12" s="16" t="s">
        <v>72</v>
      </c>
      <c r="AW12" s="17" t="s">
        <v>72</v>
      </c>
      <c r="AX12" s="17" t="s">
        <v>72</v>
      </c>
      <c r="AY12" s="17" t="s">
        <v>72</v>
      </c>
      <c r="AZ12" s="17" t="s">
        <v>68</v>
      </c>
      <c r="BA12" s="17" t="s">
        <v>1</v>
      </c>
      <c r="BB12" s="17" t="s">
        <v>750</v>
      </c>
      <c r="BC12" s="18" t="s">
        <v>68</v>
      </c>
      <c r="BD12" s="19"/>
      <c r="BE12" s="20"/>
    </row>
    <row r="13" spans="2:57" ht="33" hidden="1" x14ac:dyDescent="0.25">
      <c r="B13" s="133">
        <v>2019</v>
      </c>
      <c r="C13" s="134" t="s">
        <v>1240</v>
      </c>
      <c r="D13" s="134" t="s">
        <v>127</v>
      </c>
      <c r="E13">
        <v>15510160005</v>
      </c>
      <c r="F13" t="s">
        <v>1291</v>
      </c>
      <c r="G13" s="135" t="s">
        <v>1200</v>
      </c>
      <c r="H13" s="136" t="s">
        <v>68</v>
      </c>
      <c r="I13" s="137" t="s">
        <v>68</v>
      </c>
      <c r="J13" s="135" t="s">
        <v>1292</v>
      </c>
      <c r="K13" s="136" t="s">
        <v>1293</v>
      </c>
      <c r="L13" s="136" t="s">
        <v>68</v>
      </c>
      <c r="M13" s="136" t="s">
        <v>1294</v>
      </c>
      <c r="N13" s="136">
        <v>1</v>
      </c>
      <c r="O13" s="136">
        <v>6</v>
      </c>
      <c r="P13" s="7" t="s">
        <v>1</v>
      </c>
      <c r="Q13" s="7" t="s">
        <v>69</v>
      </c>
      <c r="R13" s="7" t="s">
        <v>1</v>
      </c>
      <c r="S13" s="7" t="s">
        <v>1</v>
      </c>
      <c r="T13" s="7" t="s">
        <v>1</v>
      </c>
      <c r="U13" s="8" t="s">
        <v>69</v>
      </c>
      <c r="V13" s="8" t="s">
        <v>1</v>
      </c>
      <c r="W13" s="9" t="s">
        <v>1</v>
      </c>
      <c r="X13" s="9" t="s">
        <v>1</v>
      </c>
      <c r="Y13" s="10" t="s">
        <v>1</v>
      </c>
      <c r="Z13" s="10" t="s">
        <v>1</v>
      </c>
      <c r="AA13" s="11" t="s">
        <v>1</v>
      </c>
      <c r="AB13" s="11" t="s">
        <v>1</v>
      </c>
      <c r="AC13" s="11" t="s">
        <v>1</v>
      </c>
      <c r="AD13" s="12" t="s">
        <v>1</v>
      </c>
      <c r="AE13" s="12" t="s">
        <v>69</v>
      </c>
      <c r="AF13" s="13" t="s">
        <v>1</v>
      </c>
      <c r="AG13" s="13" t="s">
        <v>1</v>
      </c>
      <c r="AH13" s="13" t="s">
        <v>69</v>
      </c>
      <c r="AI13" s="13" t="s">
        <v>1</v>
      </c>
      <c r="AJ13" s="14" t="s">
        <v>69</v>
      </c>
      <c r="AK13" s="14" t="s">
        <v>1</v>
      </c>
      <c r="AL13" s="14" t="s">
        <v>69</v>
      </c>
      <c r="AM13" s="14" t="s">
        <v>1</v>
      </c>
      <c r="AN13" s="14" t="s">
        <v>69</v>
      </c>
      <c r="AO13" s="15" t="s">
        <v>69</v>
      </c>
      <c r="AP13" s="15" t="s">
        <v>1</v>
      </c>
      <c r="AQ13" s="15" t="s">
        <v>1</v>
      </c>
      <c r="AR13" s="15" t="s">
        <v>69</v>
      </c>
      <c r="AS13" s="16" t="s">
        <v>76</v>
      </c>
      <c r="AT13" s="16" t="s">
        <v>76</v>
      </c>
      <c r="AU13" s="16" t="s">
        <v>72</v>
      </c>
      <c r="AV13" s="16" t="s">
        <v>72</v>
      </c>
      <c r="AW13" s="17" t="s">
        <v>72</v>
      </c>
      <c r="AX13" s="17" t="s">
        <v>72</v>
      </c>
      <c r="AY13" s="17" t="s">
        <v>72</v>
      </c>
      <c r="AZ13" s="17" t="s">
        <v>68</v>
      </c>
      <c r="BA13" s="17" t="s">
        <v>69</v>
      </c>
      <c r="BB13" s="17" t="s">
        <v>750</v>
      </c>
      <c r="BC13" s="18" t="s">
        <v>68</v>
      </c>
      <c r="BD13" s="19"/>
      <c r="BE13" s="20"/>
    </row>
    <row r="14" spans="2:57" ht="16.5" hidden="1" x14ac:dyDescent="0.25">
      <c r="B14" s="133">
        <v>2019</v>
      </c>
      <c r="C14" s="134" t="s">
        <v>1240</v>
      </c>
      <c r="D14" s="134" t="s">
        <v>127</v>
      </c>
      <c r="E14" s="134">
        <v>16510160022</v>
      </c>
      <c r="F14" s="134" t="s">
        <v>1295</v>
      </c>
      <c r="G14" s="135" t="s">
        <v>1200</v>
      </c>
      <c r="H14" s="136" t="s">
        <v>68</v>
      </c>
      <c r="I14" s="137" t="s">
        <v>68</v>
      </c>
      <c r="J14" s="135" t="s">
        <v>1300</v>
      </c>
      <c r="K14" s="136" t="s">
        <v>1298</v>
      </c>
      <c r="L14" s="136" t="s">
        <v>68</v>
      </c>
      <c r="M14" s="136" t="s">
        <v>1303</v>
      </c>
      <c r="N14" s="136">
        <v>1</v>
      </c>
      <c r="O14" s="136">
        <v>3</v>
      </c>
      <c r="P14" s="7" t="s">
        <v>1</v>
      </c>
      <c r="Q14" s="7" t="s">
        <v>1</v>
      </c>
      <c r="R14" s="7" t="s">
        <v>1</v>
      </c>
      <c r="S14" s="7" t="s">
        <v>69</v>
      </c>
      <c r="T14" s="7" t="s">
        <v>1</v>
      </c>
      <c r="U14" s="8" t="s">
        <v>1</v>
      </c>
      <c r="V14" s="8" t="s">
        <v>1</v>
      </c>
      <c r="W14" s="9" t="s">
        <v>75</v>
      </c>
      <c r="X14" s="9" t="s">
        <v>75</v>
      </c>
      <c r="Y14" s="10" t="s">
        <v>69</v>
      </c>
      <c r="Z14" s="10" t="s">
        <v>69</v>
      </c>
      <c r="AA14" s="11" t="s">
        <v>69</v>
      </c>
      <c r="AB14" s="11" t="s">
        <v>69</v>
      </c>
      <c r="AC14" s="11" t="s">
        <v>1</v>
      </c>
      <c r="AD14" s="12" t="s">
        <v>1</v>
      </c>
      <c r="AE14" s="12" t="s">
        <v>1</v>
      </c>
      <c r="AF14" s="13" t="s">
        <v>69</v>
      </c>
      <c r="AG14" s="13" t="s">
        <v>1</v>
      </c>
      <c r="AH14" s="13" t="s">
        <v>1</v>
      </c>
      <c r="AI14" s="13" t="s">
        <v>1</v>
      </c>
      <c r="AJ14" s="14" t="s">
        <v>1</v>
      </c>
      <c r="AK14" s="14" t="s">
        <v>1</v>
      </c>
      <c r="AL14" s="14" t="s">
        <v>1</v>
      </c>
      <c r="AM14" s="14" t="s">
        <v>1</v>
      </c>
      <c r="AN14" s="14" t="s">
        <v>1</v>
      </c>
      <c r="AO14" s="15" t="s">
        <v>1</v>
      </c>
      <c r="AP14" s="15" t="s">
        <v>1</v>
      </c>
      <c r="AQ14" s="15" t="s">
        <v>75</v>
      </c>
      <c r="AR14" s="15" t="s">
        <v>1</v>
      </c>
      <c r="AS14" s="16" t="s">
        <v>71</v>
      </c>
      <c r="AT14" s="16" t="s">
        <v>94</v>
      </c>
      <c r="AU14" s="16" t="s">
        <v>71</v>
      </c>
      <c r="AV14" s="16" t="s">
        <v>68</v>
      </c>
      <c r="AW14" s="17" t="s">
        <v>71</v>
      </c>
      <c r="AX14" s="17" t="s">
        <v>72</v>
      </c>
      <c r="AY14" s="17" t="s">
        <v>71</v>
      </c>
      <c r="AZ14" s="17" t="s">
        <v>71</v>
      </c>
      <c r="BA14" s="17" t="s">
        <v>72</v>
      </c>
      <c r="BB14" s="17" t="s">
        <v>68</v>
      </c>
      <c r="BC14" s="18" t="s">
        <v>1</v>
      </c>
      <c r="BD14" s="19" t="s">
        <v>1126</v>
      </c>
      <c r="BE14" s="20"/>
    </row>
    <row r="15" spans="2:57" ht="33" hidden="1" x14ac:dyDescent="0.25">
      <c r="B15" s="133">
        <v>2019</v>
      </c>
      <c r="C15" s="134" t="s">
        <v>1240</v>
      </c>
      <c r="D15" s="134" t="s">
        <v>127</v>
      </c>
      <c r="E15" s="91">
        <v>15510160033</v>
      </c>
      <c r="F15" s="91" t="s">
        <v>1296</v>
      </c>
      <c r="G15" s="135" t="s">
        <v>1200</v>
      </c>
      <c r="H15" s="6" t="s">
        <v>68</v>
      </c>
      <c r="I15" s="5" t="s">
        <v>68</v>
      </c>
      <c r="J15" s="3" t="s">
        <v>1301</v>
      </c>
      <c r="K15" s="6" t="s">
        <v>1299</v>
      </c>
      <c r="L15" s="6"/>
      <c r="M15" s="6" t="s">
        <v>1304</v>
      </c>
      <c r="N15" s="6">
        <v>1</v>
      </c>
      <c r="O15" s="6">
        <v>2</v>
      </c>
      <c r="P15" s="7" t="s">
        <v>1</v>
      </c>
      <c r="Q15" s="7" t="s">
        <v>1</v>
      </c>
      <c r="R15" s="7" t="s">
        <v>75</v>
      </c>
      <c r="S15" s="7" t="s">
        <v>1</v>
      </c>
      <c r="T15" s="7" t="s">
        <v>1</v>
      </c>
      <c r="U15" s="8" t="s">
        <v>1</v>
      </c>
      <c r="V15" s="8" t="s">
        <v>1</v>
      </c>
      <c r="W15" s="9" t="s">
        <v>75</v>
      </c>
      <c r="X15" s="9" t="s">
        <v>75</v>
      </c>
      <c r="Y15" s="10" t="s">
        <v>69</v>
      </c>
      <c r="Z15" s="10" t="s">
        <v>69</v>
      </c>
      <c r="AA15" s="11" t="s">
        <v>1</v>
      </c>
      <c r="AB15" s="11" t="s">
        <v>1</v>
      </c>
      <c r="AC15" s="11" t="s">
        <v>1</v>
      </c>
      <c r="AD15" s="12" t="s">
        <v>1</v>
      </c>
      <c r="AE15" s="12" t="s">
        <v>1</v>
      </c>
      <c r="AF15" s="13" t="s">
        <v>1</v>
      </c>
      <c r="AG15" s="13" t="s">
        <v>1</v>
      </c>
      <c r="AH15" s="13" t="s">
        <v>75</v>
      </c>
      <c r="AI15" s="13" t="s">
        <v>75</v>
      </c>
      <c r="AJ15" s="14" t="s">
        <v>1</v>
      </c>
      <c r="AK15" s="14" t="s">
        <v>1</v>
      </c>
      <c r="AL15" s="14" t="s">
        <v>1</v>
      </c>
      <c r="AM15" s="14" t="s">
        <v>1</v>
      </c>
      <c r="AN15" s="14" t="s">
        <v>69</v>
      </c>
      <c r="AO15" s="15" t="s">
        <v>75</v>
      </c>
      <c r="AP15" s="15" t="s">
        <v>1</v>
      </c>
      <c r="AQ15" s="15" t="s">
        <v>1</v>
      </c>
      <c r="AR15" s="15" t="s">
        <v>1</v>
      </c>
      <c r="AS15" s="16"/>
      <c r="AT15" s="16" t="s">
        <v>1134</v>
      </c>
      <c r="AU15" s="16" t="s">
        <v>1135</v>
      </c>
      <c r="AV15" s="16"/>
      <c r="AW15" s="17" t="s">
        <v>71</v>
      </c>
      <c r="AX15" s="17" t="s">
        <v>71</v>
      </c>
      <c r="AY15" s="17" t="s">
        <v>71</v>
      </c>
      <c r="AZ15" s="17" t="s">
        <v>71</v>
      </c>
      <c r="BA15" s="17" t="s">
        <v>71</v>
      </c>
      <c r="BB15" s="17" t="s">
        <v>1136</v>
      </c>
      <c r="BC15" s="18" t="s">
        <v>1</v>
      </c>
      <c r="BD15" s="19" t="s">
        <v>140</v>
      </c>
      <c r="BE15" s="20"/>
    </row>
    <row r="16" spans="2:57" ht="33" hidden="1" x14ac:dyDescent="0.25">
      <c r="B16" s="133">
        <v>2019</v>
      </c>
      <c r="C16" s="134" t="s">
        <v>1240</v>
      </c>
      <c r="D16" s="134" t="s">
        <v>127</v>
      </c>
      <c r="E16" s="134">
        <v>15510160034</v>
      </c>
      <c r="F16" s="134" t="s">
        <v>1297</v>
      </c>
      <c r="G16" s="135" t="s">
        <v>1200</v>
      </c>
      <c r="H16" s="136" t="s">
        <v>68</v>
      </c>
      <c r="I16" s="137" t="s">
        <v>68</v>
      </c>
      <c r="J16" s="135" t="s">
        <v>1302</v>
      </c>
      <c r="K16" s="136" t="s">
        <v>1298</v>
      </c>
      <c r="L16" s="136"/>
      <c r="M16" s="136" t="s">
        <v>1305</v>
      </c>
      <c r="N16" s="136">
        <v>1</v>
      </c>
      <c r="O16" s="136">
        <v>4</v>
      </c>
      <c r="P16" s="7" t="s">
        <v>1</v>
      </c>
      <c r="Q16" s="7" t="s">
        <v>1</v>
      </c>
      <c r="R16" s="7" t="s">
        <v>1</v>
      </c>
      <c r="S16" s="7" t="s">
        <v>1</v>
      </c>
      <c r="T16" s="7" t="s">
        <v>1</v>
      </c>
      <c r="U16" s="8" t="s">
        <v>1</v>
      </c>
      <c r="V16" s="8" t="s">
        <v>1</v>
      </c>
      <c r="W16" s="9" t="s">
        <v>75</v>
      </c>
      <c r="X16" s="9" t="s">
        <v>1</v>
      </c>
      <c r="Y16" s="10" t="s">
        <v>1</v>
      </c>
      <c r="Z16" s="10" t="s">
        <v>1</v>
      </c>
      <c r="AA16" s="11" t="s">
        <v>1</v>
      </c>
      <c r="AB16" s="11" t="s">
        <v>1</v>
      </c>
      <c r="AC16" s="11" t="s">
        <v>1</v>
      </c>
      <c r="AD16" s="12" t="s">
        <v>1</v>
      </c>
      <c r="AE16" s="12" t="s">
        <v>1</v>
      </c>
      <c r="AF16" s="13" t="s">
        <v>1</v>
      </c>
      <c r="AG16" s="13" t="s">
        <v>1</v>
      </c>
      <c r="AH16" s="13" t="s">
        <v>1</v>
      </c>
      <c r="AI16" s="13" t="s">
        <v>1</v>
      </c>
      <c r="AJ16" s="14" t="s">
        <v>1</v>
      </c>
      <c r="AK16" s="14" t="s">
        <v>1</v>
      </c>
      <c r="AL16" s="14" t="s">
        <v>1</v>
      </c>
      <c r="AM16" s="14" t="s">
        <v>1</v>
      </c>
      <c r="AN16" s="14" t="s">
        <v>1</v>
      </c>
      <c r="AO16" s="15" t="s">
        <v>75</v>
      </c>
      <c r="AP16" s="15" t="s">
        <v>1</v>
      </c>
      <c r="AQ16" s="15" t="s">
        <v>1</v>
      </c>
      <c r="AR16" s="15" t="s">
        <v>1</v>
      </c>
      <c r="AS16" s="16" t="s">
        <v>71</v>
      </c>
      <c r="AT16" s="16" t="s">
        <v>1147</v>
      </c>
      <c r="AU16" s="16" t="s">
        <v>71</v>
      </c>
      <c r="AV16" s="16" t="s">
        <v>1148</v>
      </c>
      <c r="AW16" s="17" t="s">
        <v>71</v>
      </c>
      <c r="AX16" s="17" t="s">
        <v>71</v>
      </c>
      <c r="AY16" s="17" t="s">
        <v>71</v>
      </c>
      <c r="AZ16" s="17" t="s">
        <v>71</v>
      </c>
      <c r="BA16" s="17" t="s">
        <v>71</v>
      </c>
      <c r="BB16" s="17" t="s">
        <v>68</v>
      </c>
      <c r="BC16" s="18" t="s">
        <v>69</v>
      </c>
      <c r="BD16" s="19" t="s">
        <v>1149</v>
      </c>
      <c r="BE16" s="20"/>
    </row>
    <row r="17" spans="2:57" ht="16.5" hidden="1" x14ac:dyDescent="0.25">
      <c r="B17" s="87">
        <v>2019</v>
      </c>
      <c r="C17" s="134" t="s">
        <v>1240</v>
      </c>
      <c r="D17" s="134" t="s">
        <v>127</v>
      </c>
      <c r="E17" s="134">
        <v>15510160012</v>
      </c>
      <c r="F17" s="134" t="s">
        <v>1306</v>
      </c>
      <c r="G17" s="135" t="s">
        <v>1200</v>
      </c>
      <c r="H17" s="136" t="s">
        <v>68</v>
      </c>
      <c r="I17" s="137" t="s">
        <v>68</v>
      </c>
      <c r="J17" s="135" t="s">
        <v>1308</v>
      </c>
      <c r="K17" s="136" t="s">
        <v>1310</v>
      </c>
      <c r="L17" s="136" t="s">
        <v>68</v>
      </c>
      <c r="M17" s="136" t="s">
        <v>1350</v>
      </c>
      <c r="N17" s="136">
        <v>1</v>
      </c>
      <c r="O17" s="136">
        <v>3</v>
      </c>
      <c r="P17" s="7" t="s">
        <v>1</v>
      </c>
      <c r="Q17" s="7" t="s">
        <v>69</v>
      </c>
      <c r="R17" s="7" t="s">
        <v>1</v>
      </c>
      <c r="S17" s="7" t="s">
        <v>1</v>
      </c>
      <c r="T17" s="7" t="s">
        <v>1</v>
      </c>
      <c r="U17" s="8" t="s">
        <v>69</v>
      </c>
      <c r="V17" s="8" t="s">
        <v>1</v>
      </c>
      <c r="W17" s="9" t="s">
        <v>1</v>
      </c>
      <c r="X17" s="9" t="s">
        <v>1</v>
      </c>
      <c r="Y17" s="10" t="s">
        <v>1</v>
      </c>
      <c r="Z17" s="10" t="s">
        <v>1</v>
      </c>
      <c r="AA17" s="11" t="s">
        <v>1</v>
      </c>
      <c r="AB17" s="11" t="s">
        <v>1</v>
      </c>
      <c r="AC17" s="11" t="s">
        <v>1</v>
      </c>
      <c r="AD17" s="12" t="s">
        <v>1</v>
      </c>
      <c r="AE17" s="12" t="s">
        <v>69</v>
      </c>
      <c r="AF17" s="13" t="s">
        <v>1</v>
      </c>
      <c r="AG17" s="13" t="s">
        <v>1</v>
      </c>
      <c r="AH17" s="13" t="s">
        <v>69</v>
      </c>
      <c r="AI17" s="13" t="s">
        <v>1</v>
      </c>
      <c r="AJ17" s="14" t="s">
        <v>69</v>
      </c>
      <c r="AK17" s="14" t="s">
        <v>1</v>
      </c>
      <c r="AL17" s="14" t="s">
        <v>69</v>
      </c>
      <c r="AM17" s="14" t="s">
        <v>1</v>
      </c>
      <c r="AN17" s="14" t="s">
        <v>69</v>
      </c>
      <c r="AO17" s="15" t="s">
        <v>69</v>
      </c>
      <c r="AP17" s="15" t="s">
        <v>1</v>
      </c>
      <c r="AQ17" s="15" t="s">
        <v>1</v>
      </c>
      <c r="AR17" s="15" t="s">
        <v>69</v>
      </c>
      <c r="AS17" s="16" t="s">
        <v>76</v>
      </c>
      <c r="AT17" s="16" t="s">
        <v>76</v>
      </c>
      <c r="AU17" s="16" t="s">
        <v>72</v>
      </c>
      <c r="AV17" s="16" t="s">
        <v>72</v>
      </c>
      <c r="AW17" s="17" t="s">
        <v>72</v>
      </c>
      <c r="AX17" s="17" t="s">
        <v>72</v>
      </c>
      <c r="AY17" s="17" t="s">
        <v>72</v>
      </c>
      <c r="AZ17" s="17" t="s">
        <v>68</v>
      </c>
      <c r="BA17" s="17" t="s">
        <v>69</v>
      </c>
      <c r="BB17" s="17" t="s">
        <v>750</v>
      </c>
      <c r="BC17" s="18" t="s">
        <v>68</v>
      </c>
      <c r="BD17" s="19"/>
      <c r="BE17" s="138"/>
    </row>
    <row r="18" spans="2:57" ht="16.5" hidden="1" x14ac:dyDescent="0.25">
      <c r="B18" s="133">
        <v>2019</v>
      </c>
      <c r="C18" s="134" t="s">
        <v>1240</v>
      </c>
      <c r="D18" s="134" t="s">
        <v>127</v>
      </c>
      <c r="E18" s="134">
        <v>15510160031</v>
      </c>
      <c r="F18" s="134" t="s">
        <v>1307</v>
      </c>
      <c r="G18" s="135" t="s">
        <v>1200</v>
      </c>
      <c r="H18" s="136" t="s">
        <v>68</v>
      </c>
      <c r="I18" s="137" t="s">
        <v>68</v>
      </c>
      <c r="J18" s="135" t="s">
        <v>1309</v>
      </c>
      <c r="K18" s="136" t="s">
        <v>1298</v>
      </c>
      <c r="L18" s="136" t="s">
        <v>68</v>
      </c>
      <c r="M18" s="136" t="s">
        <v>1351</v>
      </c>
      <c r="N18" s="136">
        <v>1</v>
      </c>
      <c r="O18" s="136">
        <v>4</v>
      </c>
      <c r="P18" s="7" t="s">
        <v>1</v>
      </c>
      <c r="Q18" s="7" t="s">
        <v>1</v>
      </c>
      <c r="R18" s="7" t="s">
        <v>1</v>
      </c>
      <c r="S18" s="7" t="s">
        <v>69</v>
      </c>
      <c r="T18" s="7" t="s">
        <v>1</v>
      </c>
      <c r="U18" s="8" t="s">
        <v>1</v>
      </c>
      <c r="V18" s="8" t="s">
        <v>1</v>
      </c>
      <c r="W18" s="9" t="s">
        <v>75</v>
      </c>
      <c r="X18" s="9" t="s">
        <v>75</v>
      </c>
      <c r="Y18" s="10" t="s">
        <v>69</v>
      </c>
      <c r="Z18" s="10" t="s">
        <v>69</v>
      </c>
      <c r="AA18" s="11" t="s">
        <v>69</v>
      </c>
      <c r="AB18" s="11" t="s">
        <v>69</v>
      </c>
      <c r="AC18" s="11" t="s">
        <v>1</v>
      </c>
      <c r="AD18" s="12" t="s">
        <v>1</v>
      </c>
      <c r="AE18" s="12" t="s">
        <v>1</v>
      </c>
      <c r="AF18" s="13" t="s">
        <v>69</v>
      </c>
      <c r="AG18" s="13" t="s">
        <v>1</v>
      </c>
      <c r="AH18" s="13" t="s">
        <v>1</v>
      </c>
      <c r="AI18" s="13" t="s">
        <v>1</v>
      </c>
      <c r="AJ18" s="14" t="s">
        <v>1</v>
      </c>
      <c r="AK18" s="14" t="s">
        <v>1</v>
      </c>
      <c r="AL18" s="14" t="s">
        <v>1</v>
      </c>
      <c r="AM18" s="14" t="s">
        <v>1</v>
      </c>
      <c r="AN18" s="14" t="s">
        <v>1</v>
      </c>
      <c r="AO18" s="15" t="s">
        <v>1</v>
      </c>
      <c r="AP18" s="15" t="s">
        <v>1</v>
      </c>
      <c r="AQ18" s="15" t="s">
        <v>75</v>
      </c>
      <c r="AR18" s="15" t="s">
        <v>1</v>
      </c>
      <c r="AS18" s="16" t="s">
        <v>71</v>
      </c>
      <c r="AT18" s="16" t="s">
        <v>94</v>
      </c>
      <c r="AU18" s="16" t="s">
        <v>71</v>
      </c>
      <c r="AV18" s="16" t="s">
        <v>68</v>
      </c>
      <c r="AW18" s="17" t="s">
        <v>71</v>
      </c>
      <c r="AX18" s="17" t="s">
        <v>72</v>
      </c>
      <c r="AY18" s="17" t="s">
        <v>71</v>
      </c>
      <c r="AZ18" s="17" t="s">
        <v>71</v>
      </c>
      <c r="BA18" s="17" t="s">
        <v>72</v>
      </c>
      <c r="BB18" s="17" t="s">
        <v>68</v>
      </c>
      <c r="BC18" s="18" t="s">
        <v>1</v>
      </c>
      <c r="BD18" s="19" t="s">
        <v>1126</v>
      </c>
      <c r="BE18" s="138"/>
    </row>
    <row r="19" spans="2:57" ht="16.5" x14ac:dyDescent="0.25">
      <c r="B19" s="87">
        <v>2019</v>
      </c>
      <c r="C19" s="134" t="s">
        <v>1240</v>
      </c>
      <c r="D19" s="91" t="s">
        <v>90</v>
      </c>
      <c r="E19" s="91">
        <v>16390100014</v>
      </c>
      <c r="F19" s="91" t="s">
        <v>1311</v>
      </c>
      <c r="G19" s="3" t="s">
        <v>1283</v>
      </c>
      <c r="H19" s="136" t="s">
        <v>68</v>
      </c>
      <c r="I19" s="137" t="s">
        <v>68</v>
      </c>
      <c r="J19" s="3" t="s">
        <v>1314</v>
      </c>
      <c r="K19" s="136" t="s">
        <v>1317</v>
      </c>
      <c r="L19" s="136" t="s">
        <v>68</v>
      </c>
      <c r="M19" s="136" t="s">
        <v>1338</v>
      </c>
      <c r="N19" s="6">
        <v>1</v>
      </c>
      <c r="O19" s="6">
        <v>3</v>
      </c>
      <c r="P19" s="7" t="s">
        <v>1</v>
      </c>
      <c r="Q19" s="7" t="s">
        <v>69</v>
      </c>
      <c r="R19" s="7" t="s">
        <v>1</v>
      </c>
      <c r="S19" s="7" t="s">
        <v>1</v>
      </c>
      <c r="T19" s="7" t="s">
        <v>1</v>
      </c>
      <c r="U19" s="8" t="s">
        <v>69</v>
      </c>
      <c r="V19" s="8" t="s">
        <v>1</v>
      </c>
      <c r="W19" s="9" t="s">
        <v>1</v>
      </c>
      <c r="X19" s="9" t="s">
        <v>1</v>
      </c>
      <c r="Y19" s="10" t="s">
        <v>1</v>
      </c>
      <c r="Z19" s="10" t="s">
        <v>1</v>
      </c>
      <c r="AA19" s="11" t="s">
        <v>1</v>
      </c>
      <c r="AB19" s="11" t="s">
        <v>1</v>
      </c>
      <c r="AC19" s="11" t="s">
        <v>1</v>
      </c>
      <c r="AD19" s="12" t="s">
        <v>1</v>
      </c>
      <c r="AE19" s="12" t="s">
        <v>1</v>
      </c>
      <c r="AF19" s="13" t="s">
        <v>1</v>
      </c>
      <c r="AG19" s="13" t="s">
        <v>1</v>
      </c>
      <c r="AH19" s="13" t="s">
        <v>1</v>
      </c>
      <c r="AI19" s="13" t="s">
        <v>1</v>
      </c>
      <c r="AJ19" s="14" t="s">
        <v>69</v>
      </c>
      <c r="AK19" s="14" t="s">
        <v>1</v>
      </c>
      <c r="AL19" s="14" t="s">
        <v>69</v>
      </c>
      <c r="AM19" s="14" t="s">
        <v>1</v>
      </c>
      <c r="AN19" s="14" t="s">
        <v>1</v>
      </c>
      <c r="AO19" s="15" t="s">
        <v>1</v>
      </c>
      <c r="AP19" s="15" t="s">
        <v>1</v>
      </c>
      <c r="AQ19" s="15" t="s">
        <v>1</v>
      </c>
      <c r="AR19" s="15" t="s">
        <v>1</v>
      </c>
      <c r="AS19" s="16" t="s">
        <v>71</v>
      </c>
      <c r="AT19" s="16" t="s">
        <v>1246</v>
      </c>
      <c r="AU19" s="16" t="s">
        <v>71</v>
      </c>
      <c r="AV19" s="16" t="s">
        <v>68</v>
      </c>
      <c r="AW19" s="17" t="s">
        <v>71</v>
      </c>
      <c r="AX19" s="17" t="s">
        <v>71</v>
      </c>
      <c r="AY19" s="17" t="s">
        <v>71</v>
      </c>
      <c r="AZ19" s="17" t="s">
        <v>71</v>
      </c>
      <c r="BA19" s="17" t="s">
        <v>72</v>
      </c>
      <c r="BB19" s="17" t="s">
        <v>68</v>
      </c>
      <c r="BC19" s="18" t="s">
        <v>69</v>
      </c>
      <c r="BD19" s="19" t="s">
        <v>68</v>
      </c>
      <c r="BE19" s="20" t="s">
        <v>1247</v>
      </c>
    </row>
    <row r="20" spans="2:57" ht="33" x14ac:dyDescent="0.25">
      <c r="B20" s="133">
        <v>2019</v>
      </c>
      <c r="C20" s="134" t="s">
        <v>1240</v>
      </c>
      <c r="D20" s="91" t="s">
        <v>90</v>
      </c>
      <c r="E20" s="134">
        <v>16390100001</v>
      </c>
      <c r="F20" s="134" t="s">
        <v>1312</v>
      </c>
      <c r="G20" s="135" t="s">
        <v>1283</v>
      </c>
      <c r="H20" s="136" t="s">
        <v>68</v>
      </c>
      <c r="I20" s="137" t="s">
        <v>68</v>
      </c>
      <c r="J20" s="135" t="s">
        <v>1315</v>
      </c>
      <c r="K20" s="136" t="s">
        <v>1318</v>
      </c>
      <c r="L20" s="136" t="s">
        <v>68</v>
      </c>
      <c r="M20" s="136" t="s">
        <v>1352</v>
      </c>
      <c r="N20" s="136">
        <v>1</v>
      </c>
      <c r="O20" s="136">
        <v>3</v>
      </c>
      <c r="P20" s="7" t="s">
        <v>1</v>
      </c>
      <c r="Q20" s="7" t="s">
        <v>69</v>
      </c>
      <c r="R20" s="7" t="s">
        <v>1</v>
      </c>
      <c r="S20" s="7" t="s">
        <v>1</v>
      </c>
      <c r="T20" s="7" t="s">
        <v>1</v>
      </c>
      <c r="U20" s="8" t="s">
        <v>69</v>
      </c>
      <c r="V20" s="8" t="s">
        <v>1</v>
      </c>
      <c r="W20" s="9" t="s">
        <v>1</v>
      </c>
      <c r="X20" s="9" t="s">
        <v>1</v>
      </c>
      <c r="Y20" s="10" t="s">
        <v>1</v>
      </c>
      <c r="Z20" s="10" t="s">
        <v>1</v>
      </c>
      <c r="AA20" s="11" t="s">
        <v>1</v>
      </c>
      <c r="AB20" s="11" t="s">
        <v>1</v>
      </c>
      <c r="AC20" s="11" t="s">
        <v>1</v>
      </c>
      <c r="AD20" s="12" t="s">
        <v>1</v>
      </c>
      <c r="AE20" s="12" t="s">
        <v>1</v>
      </c>
      <c r="AF20" s="13" t="s">
        <v>1</v>
      </c>
      <c r="AG20" s="13" t="s">
        <v>1</v>
      </c>
      <c r="AH20" s="13" t="s">
        <v>1</v>
      </c>
      <c r="AI20" s="13" t="s">
        <v>1</v>
      </c>
      <c r="AJ20" s="14" t="s">
        <v>69</v>
      </c>
      <c r="AK20" s="14" t="s">
        <v>1</v>
      </c>
      <c r="AL20" s="14" t="s">
        <v>69</v>
      </c>
      <c r="AM20" s="14" t="s">
        <v>1</v>
      </c>
      <c r="AN20" s="14" t="s">
        <v>1</v>
      </c>
      <c r="AO20" s="15" t="s">
        <v>1</v>
      </c>
      <c r="AP20" s="15" t="s">
        <v>1</v>
      </c>
      <c r="AQ20" s="15" t="s">
        <v>1</v>
      </c>
      <c r="AR20" s="15" t="s">
        <v>1</v>
      </c>
      <c r="AS20" s="16" t="s">
        <v>71</v>
      </c>
      <c r="AT20" s="16" t="s">
        <v>1246</v>
      </c>
      <c r="AU20" s="16" t="s">
        <v>71</v>
      </c>
      <c r="AV20" s="16" t="s">
        <v>68</v>
      </c>
      <c r="AW20" s="17" t="s">
        <v>71</v>
      </c>
      <c r="AX20" s="17" t="s">
        <v>71</v>
      </c>
      <c r="AY20" s="17" t="s">
        <v>71</v>
      </c>
      <c r="AZ20" s="17" t="s">
        <v>71</v>
      </c>
      <c r="BA20" s="17" t="s">
        <v>72</v>
      </c>
      <c r="BB20" s="17" t="s">
        <v>68</v>
      </c>
      <c r="BC20" s="18" t="s">
        <v>69</v>
      </c>
      <c r="BD20" s="19" t="s">
        <v>68</v>
      </c>
      <c r="BE20" s="20" t="s">
        <v>1247</v>
      </c>
    </row>
    <row r="21" spans="2:57" ht="33" x14ac:dyDescent="0.25">
      <c r="B21" s="133">
        <v>2019</v>
      </c>
      <c r="C21" s="134" t="s">
        <v>1240</v>
      </c>
      <c r="D21" s="91" t="s">
        <v>90</v>
      </c>
      <c r="E21" s="134">
        <v>16390100005</v>
      </c>
      <c r="F21" s="134" t="s">
        <v>1313</v>
      </c>
      <c r="G21" s="135" t="s">
        <v>1283</v>
      </c>
      <c r="H21" s="136" t="s">
        <v>68</v>
      </c>
      <c r="I21" s="137" t="s">
        <v>68</v>
      </c>
      <c r="J21" s="135" t="s">
        <v>1316</v>
      </c>
      <c r="K21" s="136" t="s">
        <v>1319</v>
      </c>
      <c r="L21" s="136" t="s">
        <v>68</v>
      </c>
      <c r="M21" s="136" t="s">
        <v>1338</v>
      </c>
      <c r="N21" s="136">
        <v>1</v>
      </c>
      <c r="O21" s="136">
        <v>3</v>
      </c>
      <c r="P21" s="7" t="s">
        <v>1</v>
      </c>
      <c r="Q21" s="7" t="s">
        <v>69</v>
      </c>
      <c r="R21" s="7" t="s">
        <v>1</v>
      </c>
      <c r="S21" s="7" t="s">
        <v>1</v>
      </c>
      <c r="T21" s="7" t="s">
        <v>1</v>
      </c>
      <c r="U21" s="8" t="s">
        <v>69</v>
      </c>
      <c r="V21" s="8" t="s">
        <v>1</v>
      </c>
      <c r="W21" s="9" t="s">
        <v>1</v>
      </c>
      <c r="X21" s="9" t="s">
        <v>1</v>
      </c>
      <c r="Y21" s="10" t="s">
        <v>1</v>
      </c>
      <c r="Z21" s="10" t="s">
        <v>1</v>
      </c>
      <c r="AA21" s="11" t="s">
        <v>1</v>
      </c>
      <c r="AB21" s="11" t="s">
        <v>1</v>
      </c>
      <c r="AC21" s="11" t="s">
        <v>1</v>
      </c>
      <c r="AD21" s="12" t="s">
        <v>1</v>
      </c>
      <c r="AE21" s="12" t="s">
        <v>1</v>
      </c>
      <c r="AF21" s="13" t="s">
        <v>1</v>
      </c>
      <c r="AG21" s="13" t="s">
        <v>1</v>
      </c>
      <c r="AH21" s="13" t="s">
        <v>1</v>
      </c>
      <c r="AI21" s="13" t="s">
        <v>1</v>
      </c>
      <c r="AJ21" s="14" t="s">
        <v>69</v>
      </c>
      <c r="AK21" s="14" t="s">
        <v>1</v>
      </c>
      <c r="AL21" s="14" t="s">
        <v>69</v>
      </c>
      <c r="AM21" s="14" t="s">
        <v>1</v>
      </c>
      <c r="AN21" s="14" t="s">
        <v>1</v>
      </c>
      <c r="AO21" s="15" t="s">
        <v>1</v>
      </c>
      <c r="AP21" s="15" t="s">
        <v>1</v>
      </c>
      <c r="AQ21" s="15" t="s">
        <v>1</v>
      </c>
      <c r="AR21" s="15" t="s">
        <v>1</v>
      </c>
      <c r="AS21" s="16" t="s">
        <v>71</v>
      </c>
      <c r="AT21" s="16" t="s">
        <v>1246</v>
      </c>
      <c r="AU21" s="16" t="s">
        <v>71</v>
      </c>
      <c r="AV21" s="16" t="s">
        <v>68</v>
      </c>
      <c r="AW21" s="17" t="s">
        <v>71</v>
      </c>
      <c r="AX21" s="17" t="s">
        <v>71</v>
      </c>
      <c r="AY21" s="17" t="s">
        <v>71</v>
      </c>
      <c r="AZ21" s="17" t="s">
        <v>71</v>
      </c>
      <c r="BA21" s="17" t="s">
        <v>72</v>
      </c>
      <c r="BB21" s="17" t="s">
        <v>68</v>
      </c>
      <c r="BC21" s="18" t="s">
        <v>69</v>
      </c>
      <c r="BD21" s="19" t="s">
        <v>68</v>
      </c>
      <c r="BE21" s="20" t="s">
        <v>1247</v>
      </c>
    </row>
    <row r="22" spans="2:57" ht="16.5" hidden="1" x14ac:dyDescent="0.25">
      <c r="B22" s="133">
        <v>2019</v>
      </c>
      <c r="C22" s="134" t="s">
        <v>141</v>
      </c>
      <c r="D22" s="134" t="s">
        <v>197</v>
      </c>
      <c r="E22" s="134">
        <v>11410100009</v>
      </c>
      <c r="F22" s="134" t="s">
        <v>1320</v>
      </c>
      <c r="G22" s="135" t="s">
        <v>1200</v>
      </c>
      <c r="H22" s="136" t="s">
        <v>68</v>
      </c>
      <c r="I22" s="137" t="s">
        <v>68</v>
      </c>
      <c r="J22" s="135" t="s">
        <v>1327</v>
      </c>
      <c r="K22" s="136" t="s">
        <v>1298</v>
      </c>
      <c r="L22" s="136" t="s">
        <v>68</v>
      </c>
      <c r="M22" s="136" t="s">
        <v>1014</v>
      </c>
      <c r="N22" s="136">
        <v>1</v>
      </c>
      <c r="O22" s="136">
        <v>4</v>
      </c>
      <c r="P22" s="7" t="s">
        <v>1</v>
      </c>
      <c r="Q22" s="7" t="s">
        <v>1</v>
      </c>
      <c r="R22" s="7" t="s">
        <v>75</v>
      </c>
      <c r="S22" s="7" t="s">
        <v>1</v>
      </c>
      <c r="T22" s="7" t="s">
        <v>1</v>
      </c>
      <c r="U22" s="8" t="s">
        <v>1</v>
      </c>
      <c r="V22" s="8" t="s">
        <v>1</v>
      </c>
      <c r="W22" s="9" t="s">
        <v>75</v>
      </c>
      <c r="X22" s="9" t="s">
        <v>75</v>
      </c>
      <c r="Y22" s="10" t="s">
        <v>69</v>
      </c>
      <c r="Z22" s="10" t="s">
        <v>69</v>
      </c>
      <c r="AA22" s="11" t="s">
        <v>1</v>
      </c>
      <c r="AB22" s="11" t="s">
        <v>1</v>
      </c>
      <c r="AC22" s="11" t="s">
        <v>1</v>
      </c>
      <c r="AD22" s="12" t="s">
        <v>1</v>
      </c>
      <c r="AE22" s="12" t="s">
        <v>1</v>
      </c>
      <c r="AF22" s="13" t="s">
        <v>1</v>
      </c>
      <c r="AG22" s="13" t="s">
        <v>1</v>
      </c>
      <c r="AH22" s="13" t="s">
        <v>75</v>
      </c>
      <c r="AI22" s="13" t="s">
        <v>75</v>
      </c>
      <c r="AJ22" s="14" t="s">
        <v>1</v>
      </c>
      <c r="AK22" s="14" t="s">
        <v>1</v>
      </c>
      <c r="AL22" s="14" t="s">
        <v>1</v>
      </c>
      <c r="AM22" s="14" t="s">
        <v>1</v>
      </c>
      <c r="AN22" s="14" t="s">
        <v>69</v>
      </c>
      <c r="AO22" s="15" t="s">
        <v>75</v>
      </c>
      <c r="AP22" s="15" t="s">
        <v>1</v>
      </c>
      <c r="AQ22" s="15" t="s">
        <v>1</v>
      </c>
      <c r="AR22" s="15" t="s">
        <v>1</v>
      </c>
      <c r="AS22" s="16"/>
      <c r="AT22" s="16" t="s">
        <v>76</v>
      </c>
      <c r="AU22" s="16" t="s">
        <v>1135</v>
      </c>
      <c r="AV22" s="16"/>
      <c r="AW22" s="17" t="s">
        <v>71</v>
      </c>
      <c r="AX22" s="17" t="s">
        <v>71</v>
      </c>
      <c r="AY22" s="17" t="s">
        <v>71</v>
      </c>
      <c r="AZ22" s="17" t="s">
        <v>71</v>
      </c>
      <c r="BA22" s="17" t="s">
        <v>71</v>
      </c>
      <c r="BB22" s="17" t="s">
        <v>1136</v>
      </c>
      <c r="BC22" s="18" t="s">
        <v>1</v>
      </c>
      <c r="BD22" s="19" t="s">
        <v>140</v>
      </c>
      <c r="BE22" s="138"/>
    </row>
    <row r="23" spans="2:57" ht="16.5" hidden="1" x14ac:dyDescent="0.25">
      <c r="B23" s="133">
        <v>2019</v>
      </c>
      <c r="C23" s="134" t="s">
        <v>141</v>
      </c>
      <c r="D23" s="134" t="s">
        <v>197</v>
      </c>
      <c r="E23" s="134">
        <v>15410100119</v>
      </c>
      <c r="F23" s="134" t="s">
        <v>1321</v>
      </c>
      <c r="G23" s="3" t="s">
        <v>1283</v>
      </c>
      <c r="H23" s="136" t="s">
        <v>68</v>
      </c>
      <c r="I23" s="137" t="s">
        <v>68</v>
      </c>
      <c r="J23" s="135" t="s">
        <v>1328</v>
      </c>
      <c r="K23" s="136" t="s">
        <v>1298</v>
      </c>
      <c r="L23" s="136" t="s">
        <v>68</v>
      </c>
      <c r="M23" s="136" t="s">
        <v>1336</v>
      </c>
      <c r="N23" s="136">
        <v>1</v>
      </c>
      <c r="O23" s="6">
        <v>3</v>
      </c>
      <c r="P23" s="7" t="s">
        <v>1</v>
      </c>
      <c r="Q23" s="7" t="s">
        <v>1</v>
      </c>
      <c r="R23" s="7" t="s">
        <v>1</v>
      </c>
      <c r="S23" s="7" t="s">
        <v>1</v>
      </c>
      <c r="T23" s="7" t="s">
        <v>1</v>
      </c>
      <c r="U23" s="8" t="s">
        <v>1</v>
      </c>
      <c r="V23" s="8" t="s">
        <v>1</v>
      </c>
      <c r="W23" s="9" t="s">
        <v>75</v>
      </c>
      <c r="X23" s="9" t="s">
        <v>1</v>
      </c>
      <c r="Y23" s="10" t="s">
        <v>1</v>
      </c>
      <c r="Z23" s="10" t="s">
        <v>1</v>
      </c>
      <c r="AA23" s="11" t="s">
        <v>1</v>
      </c>
      <c r="AB23" s="11" t="s">
        <v>1</v>
      </c>
      <c r="AC23" s="11" t="s">
        <v>1</v>
      </c>
      <c r="AD23" s="12" t="s">
        <v>1</v>
      </c>
      <c r="AE23" s="12" t="s">
        <v>1</v>
      </c>
      <c r="AF23" s="13" t="s">
        <v>1</v>
      </c>
      <c r="AG23" s="13" t="s">
        <v>1</v>
      </c>
      <c r="AH23" s="13" t="s">
        <v>1</v>
      </c>
      <c r="AI23" s="13" t="s">
        <v>1</v>
      </c>
      <c r="AJ23" s="14" t="s">
        <v>1</v>
      </c>
      <c r="AK23" s="14" t="s">
        <v>1</v>
      </c>
      <c r="AL23" s="14" t="s">
        <v>1</v>
      </c>
      <c r="AM23" s="14" t="s">
        <v>1</v>
      </c>
      <c r="AN23" s="14" t="s">
        <v>1</v>
      </c>
      <c r="AO23" s="15" t="s">
        <v>75</v>
      </c>
      <c r="AP23" s="15" t="s">
        <v>1</v>
      </c>
      <c r="AQ23" s="15" t="s">
        <v>1</v>
      </c>
      <c r="AR23" s="15" t="s">
        <v>1</v>
      </c>
      <c r="AS23" s="16" t="s">
        <v>71</v>
      </c>
      <c r="AT23" s="16" t="s">
        <v>76</v>
      </c>
      <c r="AU23" s="16" t="s">
        <v>71</v>
      </c>
      <c r="AV23" s="16" t="s">
        <v>76</v>
      </c>
      <c r="AW23" s="17" t="s">
        <v>71</v>
      </c>
      <c r="AX23" s="17" t="s">
        <v>71</v>
      </c>
      <c r="AY23" s="17" t="s">
        <v>71</v>
      </c>
      <c r="AZ23" s="17" t="s">
        <v>71</v>
      </c>
      <c r="BA23" s="17" t="s">
        <v>71</v>
      </c>
      <c r="BB23" s="17" t="s">
        <v>68</v>
      </c>
      <c r="BC23" s="18" t="s">
        <v>69</v>
      </c>
      <c r="BD23" s="19" t="s">
        <v>1149</v>
      </c>
      <c r="BE23" s="138"/>
    </row>
    <row r="24" spans="2:57" ht="16.5" hidden="1" x14ac:dyDescent="0.25">
      <c r="B24" s="133">
        <v>2019</v>
      </c>
      <c r="C24" s="134" t="s">
        <v>141</v>
      </c>
      <c r="D24" s="134" t="s">
        <v>197</v>
      </c>
      <c r="E24" s="134">
        <v>15410100183</v>
      </c>
      <c r="F24" s="134" t="s">
        <v>1322</v>
      </c>
      <c r="G24" s="135" t="s">
        <v>1283</v>
      </c>
      <c r="H24" s="136" t="s">
        <v>68</v>
      </c>
      <c r="I24" s="137" t="s">
        <v>68</v>
      </c>
      <c r="J24" s="135" t="s">
        <v>1329</v>
      </c>
      <c r="K24" s="136" t="s">
        <v>1334</v>
      </c>
      <c r="L24" s="136" t="s">
        <v>68</v>
      </c>
      <c r="M24" s="136" t="s">
        <v>534</v>
      </c>
      <c r="N24" s="136">
        <v>6</v>
      </c>
      <c r="O24" s="136">
        <v>3</v>
      </c>
      <c r="P24" s="7" t="s">
        <v>1</v>
      </c>
      <c r="Q24" s="7" t="s">
        <v>69</v>
      </c>
      <c r="R24" s="7" t="s">
        <v>1</v>
      </c>
      <c r="S24" s="7" t="s">
        <v>1</v>
      </c>
      <c r="T24" s="7" t="s">
        <v>1</v>
      </c>
      <c r="U24" s="8" t="s">
        <v>69</v>
      </c>
      <c r="V24" s="8" t="s">
        <v>1</v>
      </c>
      <c r="W24" s="9" t="s">
        <v>1</v>
      </c>
      <c r="X24" s="9" t="s">
        <v>1</v>
      </c>
      <c r="Y24" s="10" t="s">
        <v>1</v>
      </c>
      <c r="Z24" s="10" t="s">
        <v>1</v>
      </c>
      <c r="AA24" s="11" t="s">
        <v>1</v>
      </c>
      <c r="AB24" s="11" t="s">
        <v>1</v>
      </c>
      <c r="AC24" s="11" t="s">
        <v>1</v>
      </c>
      <c r="AD24" s="12" t="s">
        <v>1</v>
      </c>
      <c r="AE24" s="12" t="s">
        <v>69</v>
      </c>
      <c r="AF24" s="13" t="s">
        <v>1</v>
      </c>
      <c r="AG24" s="13" t="s">
        <v>1</v>
      </c>
      <c r="AH24" s="13" t="s">
        <v>69</v>
      </c>
      <c r="AI24" s="13" t="s">
        <v>1</v>
      </c>
      <c r="AJ24" s="14" t="s">
        <v>69</v>
      </c>
      <c r="AK24" s="14" t="s">
        <v>1</v>
      </c>
      <c r="AL24" s="14" t="s">
        <v>69</v>
      </c>
      <c r="AM24" s="14" t="s">
        <v>1</v>
      </c>
      <c r="AN24" s="14" t="s">
        <v>69</v>
      </c>
      <c r="AO24" s="15" t="s">
        <v>69</v>
      </c>
      <c r="AP24" s="15" t="s">
        <v>1</v>
      </c>
      <c r="AQ24" s="15" t="s">
        <v>1</v>
      </c>
      <c r="AR24" s="15" t="s">
        <v>69</v>
      </c>
      <c r="AS24" s="16" t="s">
        <v>76</v>
      </c>
      <c r="AT24" s="16" t="s">
        <v>76</v>
      </c>
      <c r="AU24" s="16" t="s">
        <v>72</v>
      </c>
      <c r="AV24" s="16" t="s">
        <v>72</v>
      </c>
      <c r="AW24" s="17" t="s">
        <v>72</v>
      </c>
      <c r="AX24" s="17" t="s">
        <v>72</v>
      </c>
      <c r="AY24" s="17" t="s">
        <v>72</v>
      </c>
      <c r="AZ24" s="17" t="s">
        <v>68</v>
      </c>
      <c r="BA24" s="17" t="s">
        <v>69</v>
      </c>
      <c r="BB24" s="17" t="s">
        <v>750</v>
      </c>
      <c r="BC24" s="18" t="s">
        <v>68</v>
      </c>
      <c r="BD24" s="19"/>
      <c r="BE24" s="138"/>
    </row>
    <row r="25" spans="2:57" ht="16.5" hidden="1" x14ac:dyDescent="0.25">
      <c r="B25" s="133">
        <v>2019</v>
      </c>
      <c r="C25" s="134" t="s">
        <v>141</v>
      </c>
      <c r="D25" s="134" t="s">
        <v>197</v>
      </c>
      <c r="E25" s="134">
        <v>14410100114</v>
      </c>
      <c r="F25" s="134" t="s">
        <v>1323</v>
      </c>
      <c r="G25" s="135" t="s">
        <v>1200</v>
      </c>
      <c r="H25" s="136" t="s">
        <v>68</v>
      </c>
      <c r="I25" s="137" t="s">
        <v>68</v>
      </c>
      <c r="J25" s="135" t="s">
        <v>1330</v>
      </c>
      <c r="K25" s="136" t="s">
        <v>1335</v>
      </c>
      <c r="L25" s="136" t="s">
        <v>68</v>
      </c>
      <c r="M25" s="136" t="s">
        <v>1217</v>
      </c>
      <c r="N25" s="136">
        <v>2</v>
      </c>
      <c r="O25" s="136">
        <v>3</v>
      </c>
      <c r="P25" s="7" t="s">
        <v>1</v>
      </c>
      <c r="Q25" s="7" t="s">
        <v>1</v>
      </c>
      <c r="R25" s="7" t="s">
        <v>1</v>
      </c>
      <c r="S25" s="7" t="s">
        <v>1</v>
      </c>
      <c r="T25" s="7" t="s">
        <v>1</v>
      </c>
      <c r="U25" s="8" t="s">
        <v>1</v>
      </c>
      <c r="V25" s="8" t="s">
        <v>1</v>
      </c>
      <c r="W25" s="9" t="s">
        <v>1</v>
      </c>
      <c r="X25" s="9" t="s">
        <v>1</v>
      </c>
      <c r="Y25" s="10" t="s">
        <v>1</v>
      </c>
      <c r="Z25" s="10" t="s">
        <v>1</v>
      </c>
      <c r="AA25" s="11" t="s">
        <v>69</v>
      </c>
      <c r="AB25" s="11" t="s">
        <v>1</v>
      </c>
      <c r="AC25" s="11" t="s">
        <v>69</v>
      </c>
      <c r="AD25" s="12" t="s">
        <v>1</v>
      </c>
      <c r="AE25" s="12" t="s">
        <v>1</v>
      </c>
      <c r="AF25" s="13" t="s">
        <v>1</v>
      </c>
      <c r="AG25" s="13" t="s">
        <v>1</v>
      </c>
      <c r="AH25" s="13" t="s">
        <v>1</v>
      </c>
      <c r="AI25" s="13" t="s">
        <v>1</v>
      </c>
      <c r="AJ25" s="14" t="s">
        <v>1</v>
      </c>
      <c r="AK25" s="14" t="s">
        <v>1</v>
      </c>
      <c r="AL25" s="14" t="s">
        <v>1</v>
      </c>
      <c r="AM25" s="14" t="s">
        <v>1</v>
      </c>
      <c r="AN25" s="14" t="s">
        <v>1</v>
      </c>
      <c r="AO25" s="15" t="s">
        <v>1</v>
      </c>
      <c r="AP25" s="15" t="s">
        <v>1</v>
      </c>
      <c r="AQ25" s="15" t="s">
        <v>1</v>
      </c>
      <c r="AR25" s="15" t="s">
        <v>1</v>
      </c>
      <c r="AS25" s="16" t="s">
        <v>76</v>
      </c>
      <c r="AT25" s="16" t="s">
        <v>71</v>
      </c>
      <c r="AU25" s="16" t="s">
        <v>72</v>
      </c>
      <c r="AV25" s="16" t="s">
        <v>72</v>
      </c>
      <c r="AW25" s="17" t="s">
        <v>72</v>
      </c>
      <c r="AX25" s="17" t="s">
        <v>72</v>
      </c>
      <c r="AY25" s="17" t="s">
        <v>72</v>
      </c>
      <c r="AZ25" s="17" t="s">
        <v>68</v>
      </c>
      <c r="BA25" s="17" t="s">
        <v>1</v>
      </c>
      <c r="BB25" s="17" t="s">
        <v>750</v>
      </c>
      <c r="BC25" s="18" t="s">
        <v>68</v>
      </c>
      <c r="BD25" s="19"/>
      <c r="BE25" s="138"/>
    </row>
    <row r="26" spans="2:57" ht="33" hidden="1" x14ac:dyDescent="0.25">
      <c r="B26" s="133">
        <v>2019</v>
      </c>
      <c r="C26" s="134" t="s">
        <v>141</v>
      </c>
      <c r="D26" s="134" t="s">
        <v>197</v>
      </c>
      <c r="E26" s="134">
        <v>15410100028</v>
      </c>
      <c r="F26" s="134" t="s">
        <v>1324</v>
      </c>
      <c r="G26" s="3" t="s">
        <v>1283</v>
      </c>
      <c r="H26" s="136" t="s">
        <v>68</v>
      </c>
      <c r="I26" s="137" t="s">
        <v>68</v>
      </c>
      <c r="J26" s="135" t="s">
        <v>1331</v>
      </c>
      <c r="K26" s="136" t="s">
        <v>1298</v>
      </c>
      <c r="L26" s="136" t="s">
        <v>68</v>
      </c>
      <c r="M26" s="136" t="s">
        <v>74</v>
      </c>
      <c r="N26" s="136">
        <v>2</v>
      </c>
      <c r="O26" s="136">
        <v>2</v>
      </c>
      <c r="P26" s="7" t="s">
        <v>1</v>
      </c>
      <c r="Q26" s="7" t="s">
        <v>69</v>
      </c>
      <c r="R26" s="7" t="s">
        <v>1</v>
      </c>
      <c r="S26" s="7" t="s">
        <v>1</v>
      </c>
      <c r="T26" s="7" t="s">
        <v>1</v>
      </c>
      <c r="U26" s="8" t="s">
        <v>69</v>
      </c>
      <c r="V26" s="8" t="s">
        <v>1</v>
      </c>
      <c r="W26" s="9" t="s">
        <v>1</v>
      </c>
      <c r="X26" s="9" t="s">
        <v>1</v>
      </c>
      <c r="Y26" s="10" t="s">
        <v>1</v>
      </c>
      <c r="Z26" s="10" t="s">
        <v>1</v>
      </c>
      <c r="AA26" s="11" t="s">
        <v>1</v>
      </c>
      <c r="AB26" s="11" t="s">
        <v>1</v>
      </c>
      <c r="AC26" s="11" t="s">
        <v>1</v>
      </c>
      <c r="AD26" s="12" t="s">
        <v>1</v>
      </c>
      <c r="AE26" s="12" t="s">
        <v>69</v>
      </c>
      <c r="AF26" s="13" t="s">
        <v>1</v>
      </c>
      <c r="AG26" s="13" t="s">
        <v>1</v>
      </c>
      <c r="AH26" s="13" t="s">
        <v>69</v>
      </c>
      <c r="AI26" s="13" t="s">
        <v>1</v>
      </c>
      <c r="AJ26" s="14" t="s">
        <v>69</v>
      </c>
      <c r="AK26" s="14" t="s">
        <v>1</v>
      </c>
      <c r="AL26" s="14" t="s">
        <v>69</v>
      </c>
      <c r="AM26" s="14" t="s">
        <v>1</v>
      </c>
      <c r="AN26" s="14" t="s">
        <v>69</v>
      </c>
      <c r="AO26" s="15" t="s">
        <v>69</v>
      </c>
      <c r="AP26" s="15" t="s">
        <v>1</v>
      </c>
      <c r="AQ26" s="15" t="s">
        <v>1</v>
      </c>
      <c r="AR26" s="15" t="s">
        <v>69</v>
      </c>
      <c r="AS26" s="16" t="s">
        <v>76</v>
      </c>
      <c r="AT26" s="16" t="s">
        <v>76</v>
      </c>
      <c r="AU26" s="16" t="s">
        <v>72</v>
      </c>
      <c r="AV26" s="16" t="s">
        <v>72</v>
      </c>
      <c r="AW26" s="17" t="s">
        <v>72</v>
      </c>
      <c r="AX26" s="17" t="s">
        <v>72</v>
      </c>
      <c r="AY26" s="17" t="s">
        <v>72</v>
      </c>
      <c r="AZ26" s="17" t="s">
        <v>68</v>
      </c>
      <c r="BA26" s="17" t="s">
        <v>69</v>
      </c>
      <c r="BB26" s="17" t="s">
        <v>750</v>
      </c>
      <c r="BC26" s="18" t="s">
        <v>68</v>
      </c>
      <c r="BD26" s="19"/>
      <c r="BE26" s="138"/>
    </row>
    <row r="27" spans="2:57" ht="16.5" hidden="1" x14ac:dyDescent="0.25">
      <c r="B27" s="133">
        <v>2019</v>
      </c>
      <c r="C27" s="134" t="s">
        <v>141</v>
      </c>
      <c r="D27" s="134" t="s">
        <v>197</v>
      </c>
      <c r="E27" s="134">
        <v>12410100211</v>
      </c>
      <c r="F27" s="134" t="s">
        <v>1325</v>
      </c>
      <c r="G27" s="135" t="s">
        <v>1283</v>
      </c>
      <c r="H27" s="136" t="s">
        <v>68</v>
      </c>
      <c r="I27" s="137" t="s">
        <v>68</v>
      </c>
      <c r="J27" s="135" t="s">
        <v>1332</v>
      </c>
      <c r="K27" s="136" t="s">
        <v>1310</v>
      </c>
      <c r="L27" s="136" t="s">
        <v>68</v>
      </c>
      <c r="M27" s="136" t="s">
        <v>1337</v>
      </c>
      <c r="N27" s="136">
        <v>1</v>
      </c>
      <c r="O27" s="136">
        <v>4</v>
      </c>
      <c r="P27" s="7" t="s">
        <v>1</v>
      </c>
      <c r="Q27" s="7" t="s">
        <v>1</v>
      </c>
      <c r="R27" s="7" t="s">
        <v>1</v>
      </c>
      <c r="S27" s="7" t="s">
        <v>69</v>
      </c>
      <c r="T27" s="7" t="s">
        <v>1</v>
      </c>
      <c r="U27" s="8" t="s">
        <v>1</v>
      </c>
      <c r="V27" s="8" t="s">
        <v>1</v>
      </c>
      <c r="W27" s="9" t="s">
        <v>75</v>
      </c>
      <c r="X27" s="9" t="s">
        <v>75</v>
      </c>
      <c r="Y27" s="10" t="s">
        <v>69</v>
      </c>
      <c r="Z27" s="10" t="s">
        <v>69</v>
      </c>
      <c r="AA27" s="11" t="s">
        <v>69</v>
      </c>
      <c r="AB27" s="11" t="s">
        <v>69</v>
      </c>
      <c r="AC27" s="11" t="s">
        <v>1</v>
      </c>
      <c r="AD27" s="12" t="s">
        <v>1</v>
      </c>
      <c r="AE27" s="12" t="s">
        <v>1</v>
      </c>
      <c r="AF27" s="13" t="s">
        <v>69</v>
      </c>
      <c r="AG27" s="13" t="s">
        <v>1</v>
      </c>
      <c r="AH27" s="13" t="s">
        <v>1</v>
      </c>
      <c r="AI27" s="13" t="s">
        <v>1</v>
      </c>
      <c r="AJ27" s="14" t="s">
        <v>1</v>
      </c>
      <c r="AK27" s="14" t="s">
        <v>1</v>
      </c>
      <c r="AL27" s="14" t="s">
        <v>1</v>
      </c>
      <c r="AM27" s="14" t="s">
        <v>1</v>
      </c>
      <c r="AN27" s="14" t="s">
        <v>1</v>
      </c>
      <c r="AO27" s="15" t="s">
        <v>1</v>
      </c>
      <c r="AP27" s="15" t="s">
        <v>1</v>
      </c>
      <c r="AQ27" s="15" t="s">
        <v>75</v>
      </c>
      <c r="AR27" s="15" t="s">
        <v>1</v>
      </c>
      <c r="AS27" s="16" t="s">
        <v>71</v>
      </c>
      <c r="AT27" s="16" t="s">
        <v>94</v>
      </c>
      <c r="AU27" s="16" t="s">
        <v>71</v>
      </c>
      <c r="AV27" s="16" t="s">
        <v>68</v>
      </c>
      <c r="AW27" s="17" t="s">
        <v>71</v>
      </c>
      <c r="AX27" s="17" t="s">
        <v>72</v>
      </c>
      <c r="AY27" s="17" t="s">
        <v>71</v>
      </c>
      <c r="AZ27" s="17" t="s">
        <v>71</v>
      </c>
      <c r="BA27" s="17" t="s">
        <v>72</v>
      </c>
      <c r="BB27" s="17" t="s">
        <v>68</v>
      </c>
      <c r="BC27" s="18" t="s">
        <v>1</v>
      </c>
      <c r="BD27" s="19" t="s">
        <v>1126</v>
      </c>
      <c r="BE27" s="138"/>
    </row>
    <row r="28" spans="2:57" ht="16.5" hidden="1" x14ac:dyDescent="0.25">
      <c r="B28" s="133">
        <v>2019</v>
      </c>
      <c r="C28" s="134" t="s">
        <v>141</v>
      </c>
      <c r="D28" s="134" t="s">
        <v>197</v>
      </c>
      <c r="E28" s="134">
        <v>13410100211</v>
      </c>
      <c r="F28" s="134" t="s">
        <v>1326</v>
      </c>
      <c r="G28" s="3" t="s">
        <v>1283</v>
      </c>
      <c r="H28" s="136" t="s">
        <v>68</v>
      </c>
      <c r="I28" s="137" t="s">
        <v>68</v>
      </c>
      <c r="J28" s="135" t="s">
        <v>1333</v>
      </c>
      <c r="K28" s="136" t="s">
        <v>1298</v>
      </c>
      <c r="L28" s="136" t="s">
        <v>68</v>
      </c>
      <c r="M28" s="136" t="s">
        <v>1338</v>
      </c>
      <c r="N28" s="136">
        <v>1</v>
      </c>
      <c r="O28" s="136">
        <v>2</v>
      </c>
      <c r="P28" s="7" t="s">
        <v>1</v>
      </c>
      <c r="Q28" s="7" t="s">
        <v>1</v>
      </c>
      <c r="R28" s="7" t="s">
        <v>75</v>
      </c>
      <c r="S28" s="7" t="s">
        <v>1</v>
      </c>
      <c r="T28" s="7" t="s">
        <v>1</v>
      </c>
      <c r="U28" s="8" t="s">
        <v>1</v>
      </c>
      <c r="V28" s="8" t="s">
        <v>1</v>
      </c>
      <c r="W28" s="9" t="s">
        <v>75</v>
      </c>
      <c r="X28" s="9" t="s">
        <v>75</v>
      </c>
      <c r="Y28" s="10" t="s">
        <v>69</v>
      </c>
      <c r="Z28" s="10" t="s">
        <v>69</v>
      </c>
      <c r="AA28" s="11" t="s">
        <v>1</v>
      </c>
      <c r="AB28" s="11" t="s">
        <v>1</v>
      </c>
      <c r="AC28" s="11" t="s">
        <v>1</v>
      </c>
      <c r="AD28" s="12" t="s">
        <v>1</v>
      </c>
      <c r="AE28" s="12" t="s">
        <v>1</v>
      </c>
      <c r="AF28" s="13" t="s">
        <v>1</v>
      </c>
      <c r="AG28" s="13" t="s">
        <v>1</v>
      </c>
      <c r="AH28" s="13" t="s">
        <v>75</v>
      </c>
      <c r="AI28" s="13" t="s">
        <v>75</v>
      </c>
      <c r="AJ28" s="14" t="s">
        <v>1</v>
      </c>
      <c r="AK28" s="14" t="s">
        <v>1</v>
      </c>
      <c r="AL28" s="14" t="s">
        <v>1</v>
      </c>
      <c r="AM28" s="14" t="s">
        <v>1</v>
      </c>
      <c r="AN28" s="14" t="s">
        <v>69</v>
      </c>
      <c r="AO28" s="15" t="s">
        <v>75</v>
      </c>
      <c r="AP28" s="15" t="s">
        <v>1</v>
      </c>
      <c r="AQ28" s="15" t="s">
        <v>1</v>
      </c>
      <c r="AR28" s="15" t="s">
        <v>1</v>
      </c>
      <c r="AS28" s="16"/>
      <c r="AT28" s="16" t="s">
        <v>76</v>
      </c>
      <c r="AU28" s="16" t="s">
        <v>1135</v>
      </c>
      <c r="AV28" s="16"/>
      <c r="AW28" s="17" t="s">
        <v>71</v>
      </c>
      <c r="AX28" s="17" t="s">
        <v>71</v>
      </c>
      <c r="AY28" s="17" t="s">
        <v>71</v>
      </c>
      <c r="AZ28" s="17" t="s">
        <v>71</v>
      </c>
      <c r="BA28" s="17" t="s">
        <v>71</v>
      </c>
      <c r="BB28" s="17" t="s">
        <v>1136</v>
      </c>
      <c r="BC28" s="18" t="s">
        <v>1</v>
      </c>
      <c r="BD28" s="19" t="s">
        <v>140</v>
      </c>
      <c r="BE28" s="138"/>
    </row>
    <row r="29" spans="2:57" ht="16.5" hidden="1" x14ac:dyDescent="0.25">
      <c r="B29" s="133">
        <v>2019</v>
      </c>
      <c r="C29" s="134" t="s">
        <v>141</v>
      </c>
      <c r="D29" s="134" t="s">
        <v>618</v>
      </c>
      <c r="E29" s="134">
        <v>15410200010</v>
      </c>
      <c r="F29" s="134" t="s">
        <v>1339</v>
      </c>
      <c r="G29" s="3" t="s">
        <v>1283</v>
      </c>
      <c r="H29" s="136" t="s">
        <v>68</v>
      </c>
      <c r="I29" s="137" t="s">
        <v>68</v>
      </c>
      <c r="J29" s="135" t="s">
        <v>1343</v>
      </c>
      <c r="K29" s="136" t="s">
        <v>1335</v>
      </c>
      <c r="L29" s="136" t="s">
        <v>68</v>
      </c>
      <c r="M29" s="136" t="s">
        <v>1338</v>
      </c>
      <c r="N29" s="136">
        <v>1</v>
      </c>
      <c r="O29" s="136">
        <v>2</v>
      </c>
      <c r="P29" s="7" t="s">
        <v>1</v>
      </c>
      <c r="Q29" s="7" t="s">
        <v>69</v>
      </c>
      <c r="R29" s="7" t="s">
        <v>1</v>
      </c>
      <c r="S29" s="7" t="s">
        <v>1</v>
      </c>
      <c r="T29" s="7" t="s">
        <v>1</v>
      </c>
      <c r="U29" s="8" t="s">
        <v>69</v>
      </c>
      <c r="V29" s="8" t="s">
        <v>1</v>
      </c>
      <c r="W29" s="9" t="s">
        <v>1</v>
      </c>
      <c r="X29" s="9" t="s">
        <v>1</v>
      </c>
      <c r="Y29" s="10" t="s">
        <v>1</v>
      </c>
      <c r="Z29" s="10" t="s">
        <v>1</v>
      </c>
      <c r="AA29" s="11" t="s">
        <v>1</v>
      </c>
      <c r="AB29" s="11" t="s">
        <v>1</v>
      </c>
      <c r="AC29" s="11" t="s">
        <v>1</v>
      </c>
      <c r="AD29" s="12" t="s">
        <v>1</v>
      </c>
      <c r="AE29" s="12" t="s">
        <v>69</v>
      </c>
      <c r="AF29" s="13" t="s">
        <v>1</v>
      </c>
      <c r="AG29" s="13" t="s">
        <v>1</v>
      </c>
      <c r="AH29" s="13" t="s">
        <v>69</v>
      </c>
      <c r="AI29" s="13" t="s">
        <v>1</v>
      </c>
      <c r="AJ29" s="14" t="s">
        <v>69</v>
      </c>
      <c r="AK29" s="14" t="s">
        <v>1</v>
      </c>
      <c r="AL29" s="14" t="s">
        <v>69</v>
      </c>
      <c r="AM29" s="14" t="s">
        <v>1</v>
      </c>
      <c r="AN29" s="14" t="s">
        <v>69</v>
      </c>
      <c r="AO29" s="15" t="s">
        <v>69</v>
      </c>
      <c r="AP29" s="15" t="s">
        <v>1</v>
      </c>
      <c r="AQ29" s="15" t="s">
        <v>1</v>
      </c>
      <c r="AR29" s="15" t="s">
        <v>69</v>
      </c>
      <c r="AS29" s="16" t="s">
        <v>76</v>
      </c>
      <c r="AT29" s="16" t="s">
        <v>76</v>
      </c>
      <c r="AU29" s="16" t="s">
        <v>72</v>
      </c>
      <c r="AV29" s="16" t="s">
        <v>72</v>
      </c>
      <c r="AW29" s="17" t="s">
        <v>72</v>
      </c>
      <c r="AX29" s="17" t="s">
        <v>72</v>
      </c>
      <c r="AY29" s="17" t="s">
        <v>72</v>
      </c>
      <c r="AZ29" s="17" t="s">
        <v>68</v>
      </c>
      <c r="BA29" s="17" t="s">
        <v>69</v>
      </c>
      <c r="BB29" s="17" t="s">
        <v>750</v>
      </c>
      <c r="BC29" s="18" t="s">
        <v>68</v>
      </c>
      <c r="BD29" s="19"/>
      <c r="BE29" s="138"/>
    </row>
    <row r="30" spans="2:57" ht="16.5" hidden="1" x14ac:dyDescent="0.25">
      <c r="B30" s="133">
        <v>2019</v>
      </c>
      <c r="C30" s="134" t="s">
        <v>141</v>
      </c>
      <c r="D30" s="134" t="s">
        <v>618</v>
      </c>
      <c r="E30" s="134">
        <v>15410200014</v>
      </c>
      <c r="F30" s="134" t="s">
        <v>1340</v>
      </c>
      <c r="G30" s="3" t="s">
        <v>1283</v>
      </c>
      <c r="H30" s="136" t="s">
        <v>68</v>
      </c>
      <c r="I30" s="137" t="s">
        <v>68</v>
      </c>
      <c r="J30" s="135" t="s">
        <v>1344</v>
      </c>
      <c r="K30" s="136" t="s">
        <v>1348</v>
      </c>
      <c r="L30" s="136" t="s">
        <v>68</v>
      </c>
      <c r="M30" s="136" t="s">
        <v>1338</v>
      </c>
      <c r="N30" s="136">
        <v>1</v>
      </c>
      <c r="O30" s="136">
        <v>3</v>
      </c>
      <c r="P30" s="7" t="s">
        <v>1</v>
      </c>
      <c r="Q30" s="7" t="s">
        <v>1</v>
      </c>
      <c r="R30" s="7" t="s">
        <v>1</v>
      </c>
      <c r="S30" s="7" t="s">
        <v>1</v>
      </c>
      <c r="T30" s="7" t="s">
        <v>1</v>
      </c>
      <c r="U30" s="8" t="s">
        <v>1</v>
      </c>
      <c r="V30" s="8" t="s">
        <v>1</v>
      </c>
      <c r="W30" s="9" t="s">
        <v>1</v>
      </c>
      <c r="X30" s="9" t="s">
        <v>1</v>
      </c>
      <c r="Y30" s="10" t="s">
        <v>1</v>
      </c>
      <c r="Z30" s="10" t="s">
        <v>1</v>
      </c>
      <c r="AA30" s="11" t="s">
        <v>69</v>
      </c>
      <c r="AB30" s="11" t="s">
        <v>1</v>
      </c>
      <c r="AC30" s="11" t="s">
        <v>69</v>
      </c>
      <c r="AD30" s="12" t="s">
        <v>1</v>
      </c>
      <c r="AE30" s="12" t="s">
        <v>1</v>
      </c>
      <c r="AF30" s="13" t="s">
        <v>1</v>
      </c>
      <c r="AG30" s="13" t="s">
        <v>1</v>
      </c>
      <c r="AH30" s="13" t="s">
        <v>1</v>
      </c>
      <c r="AI30" s="13" t="s">
        <v>1</v>
      </c>
      <c r="AJ30" s="14" t="s">
        <v>1</v>
      </c>
      <c r="AK30" s="14" t="s">
        <v>1</v>
      </c>
      <c r="AL30" s="14" t="s">
        <v>1</v>
      </c>
      <c r="AM30" s="14" t="s">
        <v>1</v>
      </c>
      <c r="AN30" s="14" t="s">
        <v>1</v>
      </c>
      <c r="AO30" s="15" t="s">
        <v>1</v>
      </c>
      <c r="AP30" s="15" t="s">
        <v>1</v>
      </c>
      <c r="AQ30" s="15" t="s">
        <v>1</v>
      </c>
      <c r="AR30" s="15" t="s">
        <v>1</v>
      </c>
      <c r="AS30" s="16" t="s">
        <v>76</v>
      </c>
      <c r="AT30" s="16" t="s">
        <v>71</v>
      </c>
      <c r="AU30" s="16" t="s">
        <v>72</v>
      </c>
      <c r="AV30" s="16" t="s">
        <v>72</v>
      </c>
      <c r="AW30" s="17" t="s">
        <v>72</v>
      </c>
      <c r="AX30" s="17" t="s">
        <v>72</v>
      </c>
      <c r="AY30" s="17" t="s">
        <v>72</v>
      </c>
      <c r="AZ30" s="17" t="s">
        <v>68</v>
      </c>
      <c r="BA30" s="17" t="s">
        <v>1</v>
      </c>
      <c r="BB30" s="17" t="s">
        <v>750</v>
      </c>
      <c r="BC30" s="18" t="s">
        <v>68</v>
      </c>
      <c r="BD30" s="19"/>
      <c r="BE30" s="138"/>
    </row>
    <row r="31" spans="2:57" ht="16.5" hidden="1" x14ac:dyDescent="0.25">
      <c r="B31" s="133">
        <v>2019</v>
      </c>
      <c r="C31" s="134" t="s">
        <v>141</v>
      </c>
      <c r="D31" s="134" t="s">
        <v>618</v>
      </c>
      <c r="E31" s="134">
        <v>15410200034</v>
      </c>
      <c r="F31" s="134" t="s">
        <v>1341</v>
      </c>
      <c r="G31" s="3" t="s">
        <v>1283</v>
      </c>
      <c r="H31" s="136" t="s">
        <v>68</v>
      </c>
      <c r="I31" s="137" t="s">
        <v>68</v>
      </c>
      <c r="J31" s="135" t="s">
        <v>1345</v>
      </c>
      <c r="K31" s="136" t="s">
        <v>1335</v>
      </c>
      <c r="L31" s="136" t="s">
        <v>68</v>
      </c>
      <c r="M31" s="136" t="s">
        <v>1338</v>
      </c>
      <c r="N31" s="136">
        <v>1</v>
      </c>
      <c r="O31" s="136">
        <v>4</v>
      </c>
      <c r="P31" s="7" t="s">
        <v>1</v>
      </c>
      <c r="Q31" s="7" t="s">
        <v>69</v>
      </c>
      <c r="R31" s="7" t="s">
        <v>1</v>
      </c>
      <c r="S31" s="7" t="s">
        <v>1</v>
      </c>
      <c r="T31" s="7" t="s">
        <v>1</v>
      </c>
      <c r="U31" s="8" t="s">
        <v>69</v>
      </c>
      <c r="V31" s="8" t="s">
        <v>1</v>
      </c>
      <c r="W31" s="9" t="s">
        <v>1</v>
      </c>
      <c r="X31" s="9" t="s">
        <v>1</v>
      </c>
      <c r="Y31" s="10" t="s">
        <v>1</v>
      </c>
      <c r="Z31" s="10" t="s">
        <v>1</v>
      </c>
      <c r="AA31" s="11" t="s">
        <v>1</v>
      </c>
      <c r="AB31" s="11" t="s">
        <v>1</v>
      </c>
      <c r="AC31" s="11" t="s">
        <v>1</v>
      </c>
      <c r="AD31" s="12" t="s">
        <v>1</v>
      </c>
      <c r="AE31" s="12" t="s">
        <v>69</v>
      </c>
      <c r="AF31" s="13" t="s">
        <v>1</v>
      </c>
      <c r="AG31" s="13" t="s">
        <v>1</v>
      </c>
      <c r="AH31" s="13" t="s">
        <v>69</v>
      </c>
      <c r="AI31" s="13" t="s">
        <v>1</v>
      </c>
      <c r="AJ31" s="14" t="s">
        <v>69</v>
      </c>
      <c r="AK31" s="14" t="s">
        <v>1</v>
      </c>
      <c r="AL31" s="14" t="s">
        <v>69</v>
      </c>
      <c r="AM31" s="14" t="s">
        <v>1</v>
      </c>
      <c r="AN31" s="14" t="s">
        <v>69</v>
      </c>
      <c r="AO31" s="15" t="s">
        <v>69</v>
      </c>
      <c r="AP31" s="15" t="s">
        <v>1</v>
      </c>
      <c r="AQ31" s="15" t="s">
        <v>1</v>
      </c>
      <c r="AR31" s="15" t="s">
        <v>69</v>
      </c>
      <c r="AS31" s="16" t="s">
        <v>76</v>
      </c>
      <c r="AT31" s="16" t="s">
        <v>76</v>
      </c>
      <c r="AU31" s="16" t="s">
        <v>72</v>
      </c>
      <c r="AV31" s="16" t="s">
        <v>72</v>
      </c>
      <c r="AW31" s="17" t="s">
        <v>72</v>
      </c>
      <c r="AX31" s="17" t="s">
        <v>72</v>
      </c>
      <c r="AY31" s="17" t="s">
        <v>72</v>
      </c>
      <c r="AZ31" s="17" t="s">
        <v>68</v>
      </c>
      <c r="BA31" s="17" t="s">
        <v>69</v>
      </c>
      <c r="BB31" s="17" t="s">
        <v>750</v>
      </c>
      <c r="BC31" s="18" t="s">
        <v>68</v>
      </c>
      <c r="BD31" s="19"/>
      <c r="BE31" s="138"/>
    </row>
    <row r="32" spans="2:57" ht="16.5" hidden="1" x14ac:dyDescent="0.25">
      <c r="B32" s="133">
        <v>2019</v>
      </c>
      <c r="C32" s="134" t="s">
        <v>141</v>
      </c>
      <c r="D32" s="134" t="s">
        <v>618</v>
      </c>
      <c r="E32" s="134">
        <v>15410200009</v>
      </c>
      <c r="F32" s="134" t="s">
        <v>1259</v>
      </c>
      <c r="G32" s="3" t="s">
        <v>1283</v>
      </c>
      <c r="H32" s="136" t="s">
        <v>68</v>
      </c>
      <c r="I32" s="137" t="s">
        <v>68</v>
      </c>
      <c r="J32" s="135" t="s">
        <v>1346</v>
      </c>
      <c r="K32" s="136" t="s">
        <v>1349</v>
      </c>
      <c r="L32" s="136" t="s">
        <v>68</v>
      </c>
      <c r="M32" s="136" t="s">
        <v>1338</v>
      </c>
      <c r="N32" s="136">
        <v>1</v>
      </c>
      <c r="O32" s="136">
        <v>1</v>
      </c>
      <c r="P32" s="7" t="s">
        <v>1</v>
      </c>
      <c r="Q32" s="7" t="s">
        <v>1</v>
      </c>
      <c r="R32" s="7" t="s">
        <v>1</v>
      </c>
      <c r="S32" s="7" t="s">
        <v>69</v>
      </c>
      <c r="T32" s="7" t="s">
        <v>1</v>
      </c>
      <c r="U32" s="8" t="s">
        <v>1</v>
      </c>
      <c r="V32" s="8" t="s">
        <v>1</v>
      </c>
      <c r="W32" s="9" t="s">
        <v>75</v>
      </c>
      <c r="X32" s="9" t="s">
        <v>75</v>
      </c>
      <c r="Y32" s="10" t="s">
        <v>69</v>
      </c>
      <c r="Z32" s="10" t="s">
        <v>69</v>
      </c>
      <c r="AA32" s="11" t="s">
        <v>69</v>
      </c>
      <c r="AB32" s="11" t="s">
        <v>69</v>
      </c>
      <c r="AC32" s="11" t="s">
        <v>1</v>
      </c>
      <c r="AD32" s="12" t="s">
        <v>1</v>
      </c>
      <c r="AE32" s="12" t="s">
        <v>1</v>
      </c>
      <c r="AF32" s="13" t="s">
        <v>69</v>
      </c>
      <c r="AG32" s="13" t="s">
        <v>1</v>
      </c>
      <c r="AH32" s="13" t="s">
        <v>1</v>
      </c>
      <c r="AI32" s="13" t="s">
        <v>1</v>
      </c>
      <c r="AJ32" s="14" t="s">
        <v>1</v>
      </c>
      <c r="AK32" s="14" t="s">
        <v>1</v>
      </c>
      <c r="AL32" s="14" t="s">
        <v>1</v>
      </c>
      <c r="AM32" s="14" t="s">
        <v>1</v>
      </c>
      <c r="AN32" s="14" t="s">
        <v>1</v>
      </c>
      <c r="AO32" s="15" t="s">
        <v>1</v>
      </c>
      <c r="AP32" s="15" t="s">
        <v>1</v>
      </c>
      <c r="AQ32" s="15" t="s">
        <v>75</v>
      </c>
      <c r="AR32" s="15" t="s">
        <v>1</v>
      </c>
      <c r="AS32" s="16" t="s">
        <v>71</v>
      </c>
      <c r="AT32" s="16" t="s">
        <v>94</v>
      </c>
      <c r="AU32" s="16" t="s">
        <v>71</v>
      </c>
      <c r="AV32" s="16" t="s">
        <v>68</v>
      </c>
      <c r="AW32" s="17" t="s">
        <v>71</v>
      </c>
      <c r="AX32" s="17" t="s">
        <v>72</v>
      </c>
      <c r="AY32" s="17" t="s">
        <v>71</v>
      </c>
      <c r="AZ32" s="17" t="s">
        <v>71</v>
      </c>
      <c r="BA32" s="17" t="s">
        <v>72</v>
      </c>
      <c r="BB32" s="17" t="s">
        <v>68</v>
      </c>
      <c r="BC32" s="18" t="s">
        <v>1</v>
      </c>
      <c r="BD32" s="19" t="s">
        <v>1126</v>
      </c>
      <c r="BE32" s="138"/>
    </row>
    <row r="33" spans="2:63" ht="33" hidden="1" x14ac:dyDescent="0.25">
      <c r="B33" s="133">
        <v>2019</v>
      </c>
      <c r="C33" s="134" t="s">
        <v>141</v>
      </c>
      <c r="D33" s="134" t="s">
        <v>618</v>
      </c>
      <c r="E33" s="134">
        <v>15410200051</v>
      </c>
      <c r="F33" s="134" t="s">
        <v>1342</v>
      </c>
      <c r="G33" s="3" t="s">
        <v>1283</v>
      </c>
      <c r="H33" s="136" t="s">
        <v>68</v>
      </c>
      <c r="I33" s="137" t="s">
        <v>68</v>
      </c>
      <c r="J33" s="135" t="s">
        <v>1347</v>
      </c>
      <c r="K33" s="136" t="s">
        <v>1298</v>
      </c>
      <c r="L33" s="136" t="s">
        <v>68</v>
      </c>
      <c r="M33" s="136" t="s">
        <v>888</v>
      </c>
      <c r="N33" s="136">
        <v>1</v>
      </c>
      <c r="O33" s="136">
        <v>2</v>
      </c>
      <c r="P33" s="7" t="s">
        <v>1</v>
      </c>
      <c r="Q33" s="7" t="s">
        <v>1</v>
      </c>
      <c r="R33" s="7" t="s">
        <v>75</v>
      </c>
      <c r="S33" s="7" t="s">
        <v>1</v>
      </c>
      <c r="T33" s="7" t="s">
        <v>1</v>
      </c>
      <c r="U33" s="8" t="s">
        <v>1</v>
      </c>
      <c r="V33" s="8" t="s">
        <v>1</v>
      </c>
      <c r="W33" s="9" t="s">
        <v>75</v>
      </c>
      <c r="X33" s="9" t="s">
        <v>75</v>
      </c>
      <c r="Y33" s="10" t="s">
        <v>69</v>
      </c>
      <c r="Z33" s="10" t="s">
        <v>69</v>
      </c>
      <c r="AA33" s="11" t="s">
        <v>1</v>
      </c>
      <c r="AB33" s="11" t="s">
        <v>1</v>
      </c>
      <c r="AC33" s="11" t="s">
        <v>1</v>
      </c>
      <c r="AD33" s="12" t="s">
        <v>1</v>
      </c>
      <c r="AE33" s="12" t="s">
        <v>1</v>
      </c>
      <c r="AF33" s="13" t="s">
        <v>1</v>
      </c>
      <c r="AG33" s="13" t="s">
        <v>1</v>
      </c>
      <c r="AH33" s="13" t="s">
        <v>75</v>
      </c>
      <c r="AI33" s="13" t="s">
        <v>75</v>
      </c>
      <c r="AJ33" s="14" t="s">
        <v>1</v>
      </c>
      <c r="AK33" s="14" t="s">
        <v>1</v>
      </c>
      <c r="AL33" s="14" t="s">
        <v>1</v>
      </c>
      <c r="AM33" s="14" t="s">
        <v>1</v>
      </c>
      <c r="AN33" s="14" t="s">
        <v>69</v>
      </c>
      <c r="AO33" s="15" t="s">
        <v>75</v>
      </c>
      <c r="AP33" s="15" t="s">
        <v>1</v>
      </c>
      <c r="AQ33" s="15" t="s">
        <v>1</v>
      </c>
      <c r="AR33" s="15" t="s">
        <v>1</v>
      </c>
      <c r="AS33" s="16"/>
      <c r="AT33" s="16" t="s">
        <v>76</v>
      </c>
      <c r="AU33" s="16" t="s">
        <v>76</v>
      </c>
      <c r="AV33" s="16"/>
      <c r="AW33" s="17" t="s">
        <v>71</v>
      </c>
      <c r="AX33" s="17" t="s">
        <v>71</v>
      </c>
      <c r="AY33" s="17" t="s">
        <v>71</v>
      </c>
      <c r="AZ33" s="17" t="s">
        <v>71</v>
      </c>
      <c r="BA33" s="17" t="s">
        <v>71</v>
      </c>
      <c r="BB33" s="17" t="s">
        <v>1136</v>
      </c>
      <c r="BC33" s="18" t="s">
        <v>1</v>
      </c>
      <c r="BD33" s="19" t="s">
        <v>140</v>
      </c>
      <c r="BE33" s="138"/>
    </row>
    <row r="34" spans="2:63" ht="16.5" x14ac:dyDescent="0.25">
      <c r="B34" s="139"/>
      <c r="C34" s="140"/>
      <c r="D34" s="140"/>
      <c r="E34" s="140"/>
      <c r="F34" s="140"/>
      <c r="G34" s="141"/>
      <c r="H34" s="142"/>
      <c r="I34" s="143"/>
      <c r="J34" s="141"/>
      <c r="K34" s="142"/>
      <c r="L34" s="142"/>
      <c r="M34" s="142"/>
      <c r="N34" s="142"/>
      <c r="O34" s="142"/>
      <c r="P34" s="144"/>
      <c r="Q34" s="144"/>
      <c r="R34" s="144"/>
      <c r="S34" s="144"/>
      <c r="T34" s="144"/>
      <c r="U34" s="145"/>
      <c r="V34" s="145"/>
      <c r="W34" s="146"/>
      <c r="X34" s="146"/>
      <c r="Y34" s="147"/>
      <c r="Z34" s="147"/>
      <c r="AA34" s="148"/>
      <c r="AB34" s="148"/>
      <c r="AC34" s="148"/>
      <c r="AD34" s="149"/>
      <c r="AE34" s="149"/>
      <c r="AF34" s="150"/>
      <c r="AG34" s="150"/>
      <c r="AH34" s="150"/>
      <c r="AI34" s="150"/>
      <c r="AJ34" s="151"/>
      <c r="AK34" s="151"/>
      <c r="AL34" s="151"/>
      <c r="AM34" s="151"/>
      <c r="AN34" s="151"/>
      <c r="AO34" s="152"/>
      <c r="AP34" s="152"/>
      <c r="AQ34" s="152"/>
      <c r="AR34" s="152"/>
      <c r="AS34" s="153"/>
      <c r="AT34" s="153"/>
      <c r="AU34" s="153"/>
      <c r="AV34" s="153"/>
      <c r="AW34" s="154"/>
      <c r="AX34" s="154"/>
      <c r="AY34" s="154"/>
      <c r="AZ34" s="154"/>
      <c r="BA34" s="154"/>
      <c r="BB34" s="154"/>
      <c r="BC34" s="155"/>
      <c r="BD34" s="54"/>
      <c r="BE34" s="54"/>
    </row>
    <row r="35" spans="2:63" ht="16.5" x14ac:dyDescent="0.25">
      <c r="B35" s="139"/>
      <c r="C35" s="140"/>
      <c r="D35" s="140"/>
      <c r="E35" s="140"/>
      <c r="F35" s="140"/>
      <c r="G35" s="141"/>
      <c r="H35" s="142"/>
      <c r="I35" s="143"/>
      <c r="J35" s="141"/>
      <c r="K35" s="142"/>
      <c r="L35" s="142"/>
      <c r="M35" s="142"/>
      <c r="N35" s="142"/>
      <c r="O35" s="142"/>
      <c r="P35" s="144"/>
      <c r="Q35" s="144"/>
      <c r="R35" s="144"/>
      <c r="S35" s="144"/>
      <c r="T35" s="144"/>
      <c r="U35" s="145"/>
      <c r="V35" s="145"/>
      <c r="W35" s="146"/>
      <c r="X35" s="146"/>
      <c r="Y35" s="147"/>
      <c r="Z35" s="147"/>
      <c r="AA35" s="148"/>
      <c r="AB35" s="148"/>
      <c r="AC35" s="148"/>
      <c r="AD35" s="149"/>
      <c r="AE35" s="149"/>
      <c r="AF35" s="150"/>
      <c r="AG35" s="150"/>
      <c r="AH35" s="150"/>
      <c r="AI35" s="150"/>
      <c r="AJ35" s="151"/>
      <c r="AK35" s="151"/>
      <c r="AL35" s="151"/>
      <c r="AM35" s="151"/>
      <c r="AN35" s="151"/>
      <c r="AO35" s="152"/>
      <c r="AP35" s="152"/>
      <c r="AQ35" s="152"/>
      <c r="AR35" s="152"/>
      <c r="AS35" s="153"/>
      <c r="AT35" s="153"/>
      <c r="AU35" s="153"/>
      <c r="AV35" s="153"/>
      <c r="AW35" s="154"/>
      <c r="AX35" s="154"/>
      <c r="AY35" s="154"/>
      <c r="AZ35" s="154"/>
      <c r="BA35" s="154"/>
      <c r="BB35" s="154"/>
      <c r="BC35" s="155"/>
      <c r="BD35" s="54"/>
      <c r="BE35" s="54"/>
    </row>
    <row r="36" spans="2:63" ht="16.5" x14ac:dyDescent="0.25">
      <c r="B36" s="139"/>
      <c r="C36" s="140"/>
      <c r="D36" s="140"/>
      <c r="E36" s="140"/>
      <c r="F36" s="140"/>
      <c r="G36" s="141"/>
      <c r="H36" s="142"/>
      <c r="I36" s="143"/>
      <c r="J36" s="141"/>
      <c r="K36" s="142"/>
      <c r="L36" s="142"/>
      <c r="M36" s="142"/>
      <c r="N36" s="142"/>
      <c r="O36" s="142"/>
      <c r="P36" s="144"/>
      <c r="Q36" s="144"/>
      <c r="R36" s="144"/>
      <c r="S36" s="144"/>
      <c r="T36" s="144"/>
      <c r="U36" s="145"/>
      <c r="V36" s="145"/>
      <c r="W36" s="146"/>
      <c r="X36" s="146"/>
      <c r="Y36" s="147"/>
      <c r="Z36" s="147"/>
      <c r="AA36" s="148"/>
      <c r="AB36" s="148"/>
      <c r="AC36" s="148"/>
      <c r="AD36" s="149"/>
      <c r="AE36" s="149"/>
      <c r="AF36" s="150"/>
      <c r="AG36" s="150"/>
      <c r="AH36" s="150"/>
      <c r="AI36" s="150"/>
      <c r="AJ36" s="151"/>
      <c r="AK36" s="151"/>
      <c r="AL36" s="151"/>
      <c r="AM36" s="151"/>
      <c r="AN36" s="151"/>
      <c r="AO36" s="152"/>
      <c r="AP36" s="152"/>
      <c r="AQ36" s="152"/>
      <c r="AR36" s="152"/>
      <c r="AS36" s="153"/>
      <c r="AT36" s="153"/>
      <c r="AU36" s="153"/>
      <c r="AV36" s="153"/>
      <c r="AW36" s="154"/>
      <c r="AX36" s="154"/>
      <c r="AY36" s="154"/>
      <c r="AZ36" s="154"/>
      <c r="BA36" s="154"/>
      <c r="BB36" s="154"/>
      <c r="BC36" s="155"/>
      <c r="BD36" s="54"/>
      <c r="BE36" s="54"/>
    </row>
    <row r="37" spans="2:63" ht="16.5" x14ac:dyDescent="0.25">
      <c r="B37" s="139"/>
      <c r="C37" s="140"/>
      <c r="D37" s="140"/>
      <c r="E37" s="140"/>
      <c r="F37" s="140"/>
      <c r="G37" s="141"/>
      <c r="H37" s="142"/>
      <c r="I37" s="143"/>
      <c r="J37" s="141"/>
      <c r="K37" s="142"/>
      <c r="L37" s="142"/>
      <c r="M37" s="142"/>
      <c r="N37" s="142"/>
      <c r="O37" s="142"/>
      <c r="P37" s="144"/>
      <c r="Q37" s="144"/>
      <c r="R37" s="144"/>
      <c r="S37" s="144"/>
      <c r="T37" s="144"/>
      <c r="U37" s="145"/>
      <c r="V37" s="145"/>
      <c r="W37" s="146"/>
      <c r="X37" s="146"/>
      <c r="Y37" s="147"/>
      <c r="Z37" s="147"/>
      <c r="AA37" s="148"/>
      <c r="AB37" s="148"/>
      <c r="AC37" s="148"/>
      <c r="AD37" s="149"/>
      <c r="AE37" s="149"/>
      <c r="AF37" s="150"/>
      <c r="AG37" s="150"/>
      <c r="AH37" s="150"/>
      <c r="AI37" s="150"/>
      <c r="AJ37" s="151"/>
      <c r="AK37" s="151"/>
      <c r="AL37" s="151"/>
      <c r="AM37" s="151"/>
      <c r="AN37" s="151"/>
      <c r="AO37" s="152"/>
      <c r="AP37" s="152"/>
      <c r="AQ37" s="152"/>
      <c r="AR37" s="152"/>
      <c r="AS37" s="153"/>
      <c r="AT37" s="153"/>
      <c r="AU37" s="153"/>
      <c r="AV37" s="153"/>
      <c r="AW37" s="154"/>
      <c r="AX37" s="154"/>
      <c r="AY37" s="154"/>
      <c r="AZ37" s="154"/>
      <c r="BA37" s="154"/>
      <c r="BB37" s="154"/>
      <c r="BC37" s="155"/>
      <c r="BD37" s="54"/>
      <c r="BE37" s="54"/>
    </row>
    <row r="39" spans="2:63" ht="23.25" x14ac:dyDescent="0.35">
      <c r="B39" s="63" t="s">
        <v>657</v>
      </c>
      <c r="I39" s="63" t="s">
        <v>668</v>
      </c>
      <c r="AD39" s="63" t="s">
        <v>671</v>
      </c>
      <c r="AR39" s="63" t="s">
        <v>672</v>
      </c>
    </row>
    <row r="40" spans="2:63" ht="24" thickBot="1" x14ac:dyDescent="0.4">
      <c r="B40" s="63"/>
      <c r="I40" s="63"/>
    </row>
    <row r="41" spans="2:63" ht="17.25" thickBot="1" x14ac:dyDescent="0.3">
      <c r="B41" s="64" t="s">
        <v>14</v>
      </c>
      <c r="C41" s="65" t="s">
        <v>673</v>
      </c>
      <c r="I41" s="64" t="s">
        <v>14</v>
      </c>
      <c r="J41" s="65" t="s">
        <v>618</v>
      </c>
      <c r="P41" s="64" t="s">
        <v>14</v>
      </c>
      <c r="Q41" s="1" t="s">
        <v>197</v>
      </c>
      <c r="W41" s="64" t="s">
        <v>14</v>
      </c>
      <c r="X41" s="1" t="s">
        <v>90</v>
      </c>
      <c r="AD41" s="64" t="s">
        <v>14</v>
      </c>
      <c r="AE41" s="65" t="s">
        <v>142</v>
      </c>
      <c r="AK41" s="64" t="s">
        <v>14</v>
      </c>
      <c r="AL41" s="86" t="s">
        <v>127</v>
      </c>
      <c r="AR41" s="64" t="s">
        <v>14</v>
      </c>
      <c r="AS41" s="86" t="s">
        <v>67</v>
      </c>
      <c r="AY41" s="64" t="s">
        <v>14</v>
      </c>
      <c r="AZ41" s="86" t="s">
        <v>1108</v>
      </c>
      <c r="BF41" s="64" t="s">
        <v>14</v>
      </c>
      <c r="BG41" s="86" t="s">
        <v>1138</v>
      </c>
    </row>
    <row r="42" spans="2:63" ht="17.25" thickBot="1" x14ac:dyDescent="0.3">
      <c r="B42" s="64" t="s">
        <v>647</v>
      </c>
      <c r="C42" s="65">
        <v>2019</v>
      </c>
      <c r="I42" s="64" t="s">
        <v>647</v>
      </c>
      <c r="J42" s="65">
        <v>2019</v>
      </c>
      <c r="P42" s="64" t="s">
        <v>647</v>
      </c>
      <c r="Q42" s="65">
        <v>2019</v>
      </c>
      <c r="W42" s="64" t="s">
        <v>647</v>
      </c>
      <c r="X42" s="65">
        <v>2019</v>
      </c>
      <c r="AD42" s="64" t="s">
        <v>647</v>
      </c>
      <c r="AE42" s="65">
        <v>2019</v>
      </c>
      <c r="AK42" s="64" t="s">
        <v>647</v>
      </c>
      <c r="AL42" s="65">
        <v>2019</v>
      </c>
      <c r="AR42" s="64" t="s">
        <v>647</v>
      </c>
      <c r="AS42" s="65">
        <v>2019</v>
      </c>
      <c r="AY42" s="64" t="s">
        <v>647</v>
      </c>
      <c r="AZ42" s="65">
        <v>2019</v>
      </c>
      <c r="BF42" s="64" t="s">
        <v>647</v>
      </c>
      <c r="BG42" s="65">
        <v>2019</v>
      </c>
    </row>
    <row r="43" spans="2:63" ht="17.25" thickBot="1" x14ac:dyDescent="0.3">
      <c r="B43" s="64" t="s">
        <v>646</v>
      </c>
      <c r="C43" s="65">
        <f>COUNTIF(TblUniv2019[th lulus],C42)</f>
        <v>31</v>
      </c>
      <c r="I43" s="64" t="s">
        <v>646</v>
      </c>
      <c r="J43" s="65">
        <f>COUNTIFS(TblUniv2019[th lulus],J42,TblUniv2019[Prodi],J41)</f>
        <v>6</v>
      </c>
      <c r="P43" s="64" t="s">
        <v>646</v>
      </c>
      <c r="Q43" s="65">
        <f>COUNTIFS(TblUniv2019[th lulus],Q42,TblUniv2019[Prodi],Q41)</f>
        <v>8</v>
      </c>
      <c r="W43" s="64" t="s">
        <v>646</v>
      </c>
      <c r="X43" s="65">
        <f>COUNTIFS(TblUniv2019[th lulus],X42,TblUniv2019[Prodi],X41)</f>
        <v>4</v>
      </c>
      <c r="AD43" s="64" t="s">
        <v>646</v>
      </c>
      <c r="AE43" s="65">
        <f>COUNTIFS(TblUniv2019[th lulus],AE42,TblUniv2019[Prodi],AE41)</f>
        <v>1</v>
      </c>
      <c r="AK43" s="64" t="s">
        <v>646</v>
      </c>
      <c r="AL43" s="65">
        <f>COUNTIFS(TblUniv2019[th lulus],AL42,TblUniv2019[Prodi],AL41)</f>
        <v>6</v>
      </c>
      <c r="AR43" s="64" t="s">
        <v>646</v>
      </c>
      <c r="AS43" s="65">
        <f>COUNTIFS(TblUniv2019[th lulus],AS42,TblUniv2019[Prodi],AS41)</f>
        <v>0</v>
      </c>
      <c r="AY43" s="64" t="s">
        <v>646</v>
      </c>
      <c r="AZ43" s="65">
        <f>COUNTIFS(TblUniv2019[th lulus],AZ42,TblUniv2019[Prodi],AZ41)</f>
        <v>4</v>
      </c>
      <c r="BF43" s="64" t="s">
        <v>646</v>
      </c>
      <c r="BG43" s="65">
        <f>COUNTIFS(TblUniv2019[th lulus],BG42,TblUniv2019[Prodi],BG41)</f>
        <v>2</v>
      </c>
    </row>
    <row r="44" spans="2:63" ht="16.5" x14ac:dyDescent="0.3">
      <c r="B44" s="55"/>
      <c r="C44" s="56" t="s">
        <v>69</v>
      </c>
      <c r="D44" s="56" t="s">
        <v>1</v>
      </c>
      <c r="E44" s="56" t="s">
        <v>75</v>
      </c>
      <c r="F44" s="56" t="s">
        <v>168</v>
      </c>
      <c r="G44" s="56"/>
      <c r="I44" s="55"/>
      <c r="J44" s="56" t="s">
        <v>69</v>
      </c>
      <c r="K44" s="56" t="s">
        <v>1</v>
      </c>
      <c r="L44" s="56" t="s">
        <v>75</v>
      </c>
      <c r="M44" s="56" t="s">
        <v>168</v>
      </c>
      <c r="N44" s="56"/>
      <c r="P44" s="55"/>
      <c r="Q44" s="56" t="s">
        <v>69</v>
      </c>
      <c r="R44" s="56" t="s">
        <v>1</v>
      </c>
      <c r="S44" s="56" t="s">
        <v>75</v>
      </c>
      <c r="T44" s="56" t="s">
        <v>168</v>
      </c>
      <c r="U44" s="56"/>
      <c r="W44" s="55"/>
      <c r="X44" s="56" t="s">
        <v>69</v>
      </c>
      <c r="Y44" s="56" t="s">
        <v>1</v>
      </c>
      <c r="Z44" s="56" t="s">
        <v>75</v>
      </c>
      <c r="AA44" s="56" t="s">
        <v>168</v>
      </c>
      <c r="AB44" s="56"/>
      <c r="AD44" s="55"/>
      <c r="AE44" s="56" t="s">
        <v>69</v>
      </c>
      <c r="AF44" s="56" t="s">
        <v>1</v>
      </c>
      <c r="AG44" s="56" t="s">
        <v>75</v>
      </c>
      <c r="AH44" s="56" t="s">
        <v>168</v>
      </c>
      <c r="AI44" s="56"/>
      <c r="AK44" s="55"/>
      <c r="AL44" s="56" t="s">
        <v>69</v>
      </c>
      <c r="AM44" s="56" t="s">
        <v>1</v>
      </c>
      <c r="AN44" s="56" t="s">
        <v>75</v>
      </c>
      <c r="AO44" s="56" t="s">
        <v>168</v>
      </c>
      <c r="AP44" s="56"/>
      <c r="AR44" s="55"/>
      <c r="AS44" s="56" t="s">
        <v>69</v>
      </c>
      <c r="AT44" s="56" t="s">
        <v>1</v>
      </c>
      <c r="AU44" s="56" t="s">
        <v>75</v>
      </c>
      <c r="AV44" s="56" t="s">
        <v>168</v>
      </c>
      <c r="AW44" s="56"/>
      <c r="AY44" s="55"/>
      <c r="AZ44" s="56" t="s">
        <v>69</v>
      </c>
      <c r="BA44" s="56" t="s">
        <v>1</v>
      </c>
      <c r="BB44" s="56" t="s">
        <v>75</v>
      </c>
      <c r="BC44" s="56" t="s">
        <v>168</v>
      </c>
      <c r="BD44" s="56"/>
      <c r="BF44" s="55"/>
      <c r="BG44" s="56" t="s">
        <v>69</v>
      </c>
      <c r="BH44" s="56" t="s">
        <v>1</v>
      </c>
      <c r="BI44" s="56" t="s">
        <v>75</v>
      </c>
      <c r="BJ44" s="56" t="s">
        <v>168</v>
      </c>
      <c r="BK44" s="56"/>
    </row>
    <row r="45" spans="2:63" ht="16.5" x14ac:dyDescent="0.3">
      <c r="B45" s="57" t="s">
        <v>26</v>
      </c>
      <c r="C45" s="66">
        <f>COUNTIFS(TblUniv2019[B1],$C$44)/$C$43*100%</f>
        <v>6.4516129032258063E-2</v>
      </c>
      <c r="D45" s="66">
        <f>COUNTIFS(TblUniv2019[B1],$D$44)/C43*100%</f>
        <v>0.93548387096774188</v>
      </c>
      <c r="E45" s="66">
        <f>COUNTIFS(TblUniv2019[B1],$E$44)/C43*100%</f>
        <v>0</v>
      </c>
      <c r="F45" s="66">
        <f>COUNTIFS(TblUniv2019[B1],$F$44)/C43*100%</f>
        <v>0</v>
      </c>
      <c r="G45" s="62">
        <f t="shared" ref="G45:G82" si="0">SUM(C45:F45)</f>
        <v>1</v>
      </c>
      <c r="I45" s="57" t="s">
        <v>26</v>
      </c>
      <c r="J45" s="66">
        <f>COUNTIFS(TblUniv2019[B1],J$44,TblUniv2019[Prodi],$J$41)/$J$43*100%</f>
        <v>0.16666666666666666</v>
      </c>
      <c r="K45" s="66">
        <f>COUNTIFS(TblUniv2019[B1],K$44,TblUniv2019[Prodi],$J$41)/$J$43*100%</f>
        <v>0.83333333333333337</v>
      </c>
      <c r="L45" s="66">
        <f>COUNTIFS(TblUniv2019[B1],L$44,TblUniv2019[Prodi],$J$41)/$J$43*100%</f>
        <v>0</v>
      </c>
      <c r="M45" s="66">
        <f>COUNTIFS(TblUniv2019[B1],M$44,TblUniv2019[Prodi],$J$41)/$J$43*100%</f>
        <v>0</v>
      </c>
      <c r="N45" s="62">
        <f t="shared" ref="N45:N82" si="1">SUM(J45:M45)</f>
        <v>1</v>
      </c>
      <c r="P45" s="57" t="s">
        <v>26</v>
      </c>
      <c r="Q45" s="66">
        <f>COUNTIFS(TblUniv2019[B1],Q$44,TblUniv2019[Prodi],$Q$41)/$Q$43*100%</f>
        <v>0.125</v>
      </c>
      <c r="R45" s="66">
        <f>COUNTIFS(TblUniv2019[B1],R$44,TblUniv2019[Prodi],$Q$41)/$Q$43*100%</f>
        <v>0.875</v>
      </c>
      <c r="S45" s="66">
        <f>COUNTIFS(TblUniv2019[B1],S$44,TblUniv2019[Prodi],$Q$41)/$Q$43*100%</f>
        <v>0</v>
      </c>
      <c r="T45" s="66">
        <f>COUNTIFS(TblUniv2019[B1],T$44,TblUniv2019[Prodi],$Q$41)/$Q$43*100%</f>
        <v>0</v>
      </c>
      <c r="U45" s="62">
        <f t="shared" ref="U45:U82" si="2">SUM(Q45:T45)</f>
        <v>1</v>
      </c>
      <c r="W45" s="57" t="s">
        <v>26</v>
      </c>
      <c r="X45" s="66">
        <f>COUNTIFS(TblUniv2019[B1],X$44,TblUniv2019[Prodi],$X$41)/$X$43*100%</f>
        <v>0</v>
      </c>
      <c r="Y45" s="66">
        <f>COUNTIFS(TblUniv2019[B1],Y$44,TblUniv2019[Prodi],$X$41)/$X$43*100%</f>
        <v>1</v>
      </c>
      <c r="Z45" s="66">
        <f>COUNTIFS(TblUniv2019[B1],Z$44,TblUniv2019[Prodi],$X$41)/$X$43*100%</f>
        <v>0</v>
      </c>
      <c r="AA45" s="66">
        <f>COUNTIFS(TblUniv2019[B1],AA$44,TblUniv2019[Prodi],$X$41)/$X$43*100%</f>
        <v>0</v>
      </c>
      <c r="AB45" s="62">
        <f t="shared" ref="AB45:AB82" si="3">SUM(X45:AA45)</f>
        <v>1</v>
      </c>
      <c r="AD45" s="57" t="s">
        <v>26</v>
      </c>
      <c r="AE45" s="66">
        <f>COUNTIFS(TblUniv2019[B1],AE$44,TblUniv2019[Prodi],$AE$41)/$AE$43*100%</f>
        <v>0</v>
      </c>
      <c r="AF45" s="66">
        <f>COUNTIFS(TblUniv2019[B1],AF$44,TblUniv2019[Prodi],$AE$41)/$AE$43*100%</f>
        <v>1</v>
      </c>
      <c r="AG45" s="66">
        <f>COUNTIFS(TblUniv2019[B1],AG$44,TblUniv2019[Prodi],$AE$41)/$AE$43*100%</f>
        <v>0</v>
      </c>
      <c r="AH45" s="66">
        <f>COUNTIFS(TblUniv2019[B1],AH$44,TblUniv2019[Prodi],$AE$41)/$AE$43*100%</f>
        <v>0</v>
      </c>
      <c r="AI45" s="62">
        <f t="shared" ref="AI45:AI82" si="4">SUM(AE45:AH45)</f>
        <v>1</v>
      </c>
      <c r="AK45" s="57" t="s">
        <v>26</v>
      </c>
      <c r="AL45" s="66">
        <f>COUNTIFS(TblUniv2019[B1],AL$44,TblUniv2019[Prodi],$AL$41)/$AL$43*100%</f>
        <v>0</v>
      </c>
      <c r="AM45" s="66">
        <f>COUNTIFS(TblUniv2019[B1],AM$44,TblUniv2019[Prodi],$AL$41)/$AL$43*100%</f>
        <v>1</v>
      </c>
      <c r="AN45" s="66">
        <f>COUNTIFS(TblUniv2019[B1],AN$44,TblUniv2019[Prodi],$AL$41)/$AL$43*100%</f>
        <v>0</v>
      </c>
      <c r="AO45" s="66">
        <f>COUNTIFS(TblUniv2019[B1],AO$44,TblUniv2019[Prodi],$AL$41)/$AL$43*100%</f>
        <v>0</v>
      </c>
      <c r="AP45" s="62">
        <f t="shared" ref="AP45:AP82" si="5">SUM(AL45:AO45)</f>
        <v>1</v>
      </c>
      <c r="AR45" s="57" t="s">
        <v>26</v>
      </c>
      <c r="AS45" s="66" t="e">
        <f>COUNTIFS(TblUniv2019[B1],AS$44,TblUniv2019[Prodi],$AS$41)/$AS$43*100%</f>
        <v>#DIV/0!</v>
      </c>
      <c r="AT45" s="66" t="e">
        <f>COUNTIFS(TblUniv2019[B1],AT$44,TblUniv2019[Prodi],$AS$41)/$AS$43*100%</f>
        <v>#DIV/0!</v>
      </c>
      <c r="AU45" s="66" t="e">
        <f>COUNTIFS(TblUniv2019[B1],AU$44,TblUniv2019[Prodi],$AS$41)/$AS$43*100%</f>
        <v>#DIV/0!</v>
      </c>
      <c r="AV45" s="66" t="e">
        <f>COUNTIFS(TblUniv2019[B1],AV$44,TblUniv2019[Prodi],$AS$41)/$AS$43*100%</f>
        <v>#DIV/0!</v>
      </c>
      <c r="AW45" s="62" t="e">
        <f t="shared" ref="AW45:AW82" si="6">SUM(AS45:AV45)</f>
        <v>#DIV/0!</v>
      </c>
      <c r="AY45" s="57" t="s">
        <v>26</v>
      </c>
      <c r="AZ45" s="66">
        <f>COUNTIFS(TblUniv2019[B1],AZ$44,TblUniv2019[Prodi],$AZ$41)/$AZ$43*100%</f>
        <v>0</v>
      </c>
      <c r="BA45" s="66">
        <f>COUNTIFS(TblUniv2019[B1],BA$44,TblUniv2019[Prodi],$AZ$41)/$AZ$43*100%</f>
        <v>1</v>
      </c>
      <c r="BB45" s="66">
        <f>COUNTIFS(TblUniv2019[B1],BB$44,TblUniv2019[Prodi],$AZ$41)/$AZ$43*100%</f>
        <v>0</v>
      </c>
      <c r="BC45" s="66">
        <f>COUNTIFS(TblUniv2019[B1],BC$44,TblUniv2019[Prodi],$AZ$41)/$AZ$43*100%</f>
        <v>0</v>
      </c>
      <c r="BD45" s="62">
        <f t="shared" ref="BD45:BD82" si="7">SUM(AZ45:BC45)</f>
        <v>1</v>
      </c>
      <c r="BF45" s="57" t="s">
        <v>26</v>
      </c>
      <c r="BG45" s="66">
        <f>COUNTIFS(TblUniv2019[B1],BG$44,TblUniv2019[Prodi],$BG$41)/$BG$43*100%</f>
        <v>0</v>
      </c>
      <c r="BH45" s="66">
        <f>COUNTIFS(TblUniv2019[B1],BH$44,TblUniv2019[Prodi],$BG$41)/$BG$43*100%</f>
        <v>1</v>
      </c>
      <c r="BI45" s="66">
        <f>COUNTIFS(TblUniv2019[B1],BI$44,TblUniv2019[Prodi],$BG$41)/$BG$43*100%</f>
        <v>0</v>
      </c>
      <c r="BJ45" s="66">
        <f>COUNTIFS(TblUniv2019[B1],BJ$44,TblUniv2019[Prodi],$BG$41)/$BG$43*100%</f>
        <v>0</v>
      </c>
      <c r="BK45" s="62">
        <f t="shared" ref="BK45:BK82" si="8">SUM(BG45:BJ45)</f>
        <v>1</v>
      </c>
    </row>
    <row r="46" spans="2:63" ht="16.5" x14ac:dyDescent="0.3">
      <c r="B46" s="57" t="s">
        <v>27</v>
      </c>
      <c r="C46" s="66">
        <f>COUNTIFS(TblUniv2019[B2],$C$44)/C43*100%</f>
        <v>0.41935483870967744</v>
      </c>
      <c r="D46" s="66">
        <f>COUNTIFS(TblUniv2019[B2],$D$44)/C43*100%</f>
        <v>0.58064516129032262</v>
      </c>
      <c r="E46" s="66">
        <f>COUNTIFS(TblUniv2019[B2],$E$44)/C43*100%</f>
        <v>0</v>
      </c>
      <c r="F46" s="66">
        <f>COUNTIFS(TblUniv2019[B2],$F$44)/C43*100%</f>
        <v>0</v>
      </c>
      <c r="G46" s="62">
        <f t="shared" si="0"/>
        <v>1</v>
      </c>
      <c r="I46" s="57" t="s">
        <v>27</v>
      </c>
      <c r="J46" s="66">
        <f>COUNTIFS(TblUniv2019[B2],J$44,TblUniv2019[Prodi],$J$41)/$J$43*100%</f>
        <v>0.5</v>
      </c>
      <c r="K46" s="66">
        <f>COUNTIFS(TblUniv2019[B2],K$44,TblUniv2019[Prodi],$J$41)/$J$43*100%</f>
        <v>0.5</v>
      </c>
      <c r="L46" s="66">
        <f>COUNTIFS(TblUniv2019[B2],L$44,TblUniv2019[Prodi],$J$41)/$J$43*100%</f>
        <v>0</v>
      </c>
      <c r="M46" s="66">
        <f>COUNTIFS(TblUniv2019[B2],M$44,TblUniv2019[Prodi],$J$41)/$J$43*100%</f>
        <v>0</v>
      </c>
      <c r="N46" s="62">
        <f t="shared" si="1"/>
        <v>1</v>
      </c>
      <c r="P46" s="57" t="s">
        <v>27</v>
      </c>
      <c r="Q46" s="66">
        <f>COUNTIFS(TblUniv2019[B2],Q$44,TblUniv2019[Prodi],$Q$41)/$Q$43*100%</f>
        <v>0.25</v>
      </c>
      <c r="R46" s="66">
        <f>COUNTIFS(TblUniv2019[B2],R$44,TblUniv2019[Prodi],$Q$41)/$Q$43*100%</f>
        <v>0.75</v>
      </c>
      <c r="S46" s="66">
        <f>COUNTIFS(TblUniv2019[B2],S$44,TblUniv2019[Prodi],$Q$41)/$Q$43*100%</f>
        <v>0</v>
      </c>
      <c r="T46" s="66">
        <f>COUNTIFS(TblUniv2019[B2],T$44,TblUniv2019[Prodi],$Q$41)/$Q$43*100%</f>
        <v>0</v>
      </c>
      <c r="U46" s="62">
        <f t="shared" si="2"/>
        <v>1</v>
      </c>
      <c r="W46" s="57" t="s">
        <v>27</v>
      </c>
      <c r="X46" s="66">
        <f>COUNTIFS(TblUniv2019[B2],X$44,TblUniv2019[Prodi],$X$41)/$X$43*100%</f>
        <v>1</v>
      </c>
      <c r="Y46" s="66">
        <f>COUNTIFS(TblUniv2019[B2],Y$44,TblUniv2019[Prodi],$X$41)/$X$43*100%</f>
        <v>0</v>
      </c>
      <c r="Z46" s="66">
        <f>COUNTIFS(TblUniv2019[B2],Z$44,TblUniv2019[Prodi],$X$41)/$X$43*100%</f>
        <v>0</v>
      </c>
      <c r="AA46" s="66">
        <f>COUNTIFS(TblUniv2019[B2],AA$44,TblUniv2019[Prodi],$X$41)/$X$43*100%</f>
        <v>0</v>
      </c>
      <c r="AB46" s="62">
        <f t="shared" si="3"/>
        <v>1</v>
      </c>
      <c r="AD46" s="57" t="s">
        <v>27</v>
      </c>
      <c r="AE46" s="66">
        <f>COUNTIFS(TblUniv2019[B2],AE$44,TblUniv2019[Prodi],$AE$41)/$AE$43*100%</f>
        <v>0</v>
      </c>
      <c r="AF46" s="66">
        <f>COUNTIFS(TblUniv2019[B2],AF$44,TblUniv2019[Prodi],$AE$41)/$AE$43*100%</f>
        <v>1</v>
      </c>
      <c r="AG46" s="66">
        <f>COUNTIFS(TblUniv2019[B2],AG$44,TblUniv2019[Prodi],$AE$41)/$AE$43*100%</f>
        <v>0</v>
      </c>
      <c r="AH46" s="66">
        <f>COUNTIFS(TblUniv2019[B2],AH$44,TblUniv2019[Prodi],$AE$41)/$AE$43*100%</f>
        <v>0</v>
      </c>
      <c r="AI46" s="62">
        <f t="shared" si="4"/>
        <v>1</v>
      </c>
      <c r="AK46" s="57" t="s">
        <v>27</v>
      </c>
      <c r="AL46" s="66">
        <f>COUNTIFS(TblUniv2019[B2],AL$44,TblUniv2019[Prodi],$AL$41)/$AL$43*100%</f>
        <v>0.33333333333333331</v>
      </c>
      <c r="AM46" s="66">
        <f>COUNTIFS(TblUniv2019[B2],AM$44,TblUniv2019[Prodi],$AL$41)/$AL$43*100%</f>
        <v>0.66666666666666663</v>
      </c>
      <c r="AN46" s="66">
        <f>COUNTIFS(TblUniv2019[B2],AN$44,TblUniv2019[Prodi],$AL$41)/$AL$43*100%</f>
        <v>0</v>
      </c>
      <c r="AO46" s="66">
        <f>COUNTIFS(TblUniv2019[B2],AO$44,TblUniv2019[Prodi],$AL$41)/$AL$43*100%</f>
        <v>0</v>
      </c>
      <c r="AP46" s="62">
        <f t="shared" si="5"/>
        <v>1</v>
      </c>
      <c r="AR46" s="57" t="s">
        <v>27</v>
      </c>
      <c r="AS46" s="66" t="e">
        <f>COUNTIFS(TblUniv2019[B2],AS$44,TblUniv2019[Prodi],$AS$41)/$AS$43*100%</f>
        <v>#DIV/0!</v>
      </c>
      <c r="AT46" s="66" t="e">
        <f>COUNTIFS(TblUniv2019[B2],AT$44,TblUniv2019[Prodi],$AS$41)/$AS$43*100%</f>
        <v>#DIV/0!</v>
      </c>
      <c r="AU46" s="66" t="e">
        <f>COUNTIFS(TblUniv2019[B2],AU$44,TblUniv2019[Prodi],$AS$41)/$AS$43*100%</f>
        <v>#DIV/0!</v>
      </c>
      <c r="AV46" s="66" t="e">
        <f>COUNTIFS(TblUniv2019[B2],AV$44,TblUniv2019[Prodi],$AS$41)/$AS$43*100%</f>
        <v>#DIV/0!</v>
      </c>
      <c r="AW46" s="62" t="e">
        <f t="shared" si="6"/>
        <v>#DIV/0!</v>
      </c>
      <c r="AY46" s="57" t="s">
        <v>27</v>
      </c>
      <c r="AZ46" s="66">
        <f>COUNTIFS(TblUniv2019[B2],AZ$44,TblUniv2019[Prodi],$AZ$41)/$AZ$43*100%</f>
        <v>0.25</v>
      </c>
      <c r="BA46" s="66">
        <f>COUNTIFS(TblUniv2019[B2],BA$44,TblUniv2019[Prodi],$AZ$41)/$AZ$43*100%</f>
        <v>0.75</v>
      </c>
      <c r="BB46" s="66">
        <f>COUNTIFS(TblUniv2019[B2],BB$44,TblUniv2019[Prodi],$AZ$41)/$AZ$43*100%</f>
        <v>0</v>
      </c>
      <c r="BC46" s="66">
        <f>COUNTIFS(TblUniv2019[B2],BC$44,TblUniv2019[Prodi],$AZ$41)/$AZ$43*100%</f>
        <v>0</v>
      </c>
      <c r="BD46" s="62">
        <f t="shared" si="7"/>
        <v>1</v>
      </c>
      <c r="BF46" s="57" t="s">
        <v>27</v>
      </c>
      <c r="BG46" s="66">
        <f>COUNTIFS(TblUniv2019[B2],BG$44,TblUniv2019[Prodi],$BG$41)/$BG$43*100%</f>
        <v>0.5</v>
      </c>
      <c r="BH46" s="66">
        <f>COUNTIFS(TblUniv2019[B2],BH$44,TblUniv2019[Prodi],$BG$41)/$BG$43*100%</f>
        <v>0.5</v>
      </c>
      <c r="BI46" s="66">
        <f>COUNTIFS(TblUniv2019[B2],BI$44,TblUniv2019[Prodi],$BG$41)/$BG$43*100%</f>
        <v>0</v>
      </c>
      <c r="BJ46" s="66">
        <f>COUNTIFS(TblUniv2019[B2],BJ$44,TblUniv2019[Prodi],$BG$41)/$BG$43*100%</f>
        <v>0</v>
      </c>
      <c r="BK46" s="62">
        <f t="shared" si="8"/>
        <v>1</v>
      </c>
    </row>
    <row r="47" spans="2:63" ht="16.5" x14ac:dyDescent="0.3">
      <c r="B47" s="57" t="s">
        <v>28</v>
      </c>
      <c r="C47" s="66">
        <f>COUNTIFS(TblUniv2019[B3],$C$44)/C43*100%</f>
        <v>3.2258064516129031E-2</v>
      </c>
      <c r="D47" s="66">
        <f>COUNTIFS(TblUniv2019[B3],$D$44)/C43*100%</f>
        <v>0.80645161290322576</v>
      </c>
      <c r="E47" s="66">
        <f>COUNTIFS(TblUniv2019[B3],$E$44)/C43*100%</f>
        <v>0.16129032258064516</v>
      </c>
      <c r="F47" s="66">
        <f>COUNTIFS(TblUniv2019[B3],$F$44)/C43*100%</f>
        <v>0</v>
      </c>
      <c r="G47" s="62">
        <f t="shared" si="0"/>
        <v>0.99999999999999989</v>
      </c>
      <c r="I47" s="57" t="s">
        <v>28</v>
      </c>
      <c r="J47" s="66">
        <f>COUNTIFS(TblUniv2019[B3],J$44,TblUniv2019[Prodi],$J$41)/$J$43*100%</f>
        <v>0.16666666666666666</v>
      </c>
      <c r="K47" s="66">
        <f>COUNTIFS(TblUniv2019[B3],K$44,TblUniv2019[Prodi],$J$41)/$J$43*100%</f>
        <v>0.66666666666666663</v>
      </c>
      <c r="L47" s="66">
        <f>COUNTIFS(TblUniv2019[B3],L$44,TblUniv2019[Prodi],$J$41)/$J$43*100%</f>
        <v>0.16666666666666666</v>
      </c>
      <c r="M47" s="66">
        <f>COUNTIFS(TblUniv2019[B3],M$44,TblUniv2019[Prodi],$J$41)/$J$43*100%</f>
        <v>0</v>
      </c>
      <c r="N47" s="62">
        <f t="shared" si="1"/>
        <v>0.99999999999999989</v>
      </c>
      <c r="P47" s="57" t="s">
        <v>28</v>
      </c>
      <c r="Q47" s="66">
        <f>COUNTIFS(TblUniv2019[B3],Q$44,TblUniv2019[Prodi],$Q$41)/$Q$43*100%</f>
        <v>0</v>
      </c>
      <c r="R47" s="66">
        <f>COUNTIFS(TblUniv2019[B3],R$44,TblUniv2019[Prodi],$Q$41)/$Q$43*100%</f>
        <v>0.75</v>
      </c>
      <c r="S47" s="66">
        <f>COUNTIFS(TblUniv2019[B3],S$44,TblUniv2019[Prodi],$Q$41)/$Q$43*100%</f>
        <v>0.25</v>
      </c>
      <c r="T47" s="66">
        <f>COUNTIFS(TblUniv2019[B3],T$44,TblUniv2019[Prodi],$Q$41)/$Q$43*100%</f>
        <v>0</v>
      </c>
      <c r="U47" s="62">
        <f t="shared" si="2"/>
        <v>1</v>
      </c>
      <c r="W47" s="57" t="s">
        <v>28</v>
      </c>
      <c r="X47" s="66">
        <f>COUNTIFS(TblUniv2019[B3],X$44,TblUniv2019[Prodi],$X$41)/$X$43*100%</f>
        <v>0</v>
      </c>
      <c r="Y47" s="66">
        <f>COUNTIFS(TblUniv2019[B3],Y$44,TblUniv2019[Prodi],$X$41)/$X$43*100%</f>
        <v>1</v>
      </c>
      <c r="Z47" s="66">
        <f>COUNTIFS(TblUniv2019[B3],Z$44,TblUniv2019[Prodi],$X$41)/$X$43*100%</f>
        <v>0</v>
      </c>
      <c r="AA47" s="66">
        <f>COUNTIFS(TblUniv2019[B3],AA$44,TblUniv2019[Prodi],$X$41)/$X$43*100%</f>
        <v>0</v>
      </c>
      <c r="AB47" s="62">
        <f t="shared" si="3"/>
        <v>1</v>
      </c>
      <c r="AD47" s="57" t="s">
        <v>28</v>
      </c>
      <c r="AE47" s="66">
        <f>COUNTIFS(TblUniv2019[B3],AE$44,TblUniv2019[Prodi],$AE$41)/$AE$43*100%</f>
        <v>0</v>
      </c>
      <c r="AF47" s="66">
        <f>COUNTIFS(TblUniv2019[B3],AF$44,TblUniv2019[Prodi],$AE$41)/$AE$43*100%</f>
        <v>0</v>
      </c>
      <c r="AG47" s="66">
        <f>COUNTIFS(TblUniv2019[B3],AG$44,TblUniv2019[Prodi],$AE$41)/$AE$43*100%</f>
        <v>1</v>
      </c>
      <c r="AH47" s="66">
        <f>COUNTIFS(TblUniv2019[B3],AH$44,TblUniv2019[Prodi],$AE$41)/$AE$43*100%</f>
        <v>0</v>
      </c>
      <c r="AI47" s="62">
        <f t="shared" si="4"/>
        <v>1</v>
      </c>
      <c r="AK47" s="57" t="s">
        <v>28</v>
      </c>
      <c r="AL47" s="66">
        <f>COUNTIFS(TblUniv2019[B3],AL$44,TblUniv2019[Prodi],$AL$41)/$AL$43*100%</f>
        <v>0</v>
      </c>
      <c r="AM47" s="66">
        <f>COUNTIFS(TblUniv2019[B3],AM$44,TblUniv2019[Prodi],$AL$41)/$AL$43*100%</f>
        <v>0.83333333333333337</v>
      </c>
      <c r="AN47" s="66">
        <f>COUNTIFS(TblUniv2019[B3],AN$44,TblUniv2019[Prodi],$AL$41)/$AL$43*100%</f>
        <v>0.16666666666666666</v>
      </c>
      <c r="AO47" s="66">
        <f>COUNTIFS(TblUniv2019[B3],AO$44,TblUniv2019[Prodi],$AL$41)/$AL$43*100%</f>
        <v>0</v>
      </c>
      <c r="AP47" s="62">
        <f t="shared" si="5"/>
        <v>1</v>
      </c>
      <c r="AR47" s="57" t="s">
        <v>28</v>
      </c>
      <c r="AS47" s="66" t="e">
        <f>COUNTIFS(TblUniv2019[B3],AS$44,TblUniv2019[Prodi],$AS$41)/$AS$43*100%</f>
        <v>#DIV/0!</v>
      </c>
      <c r="AT47" s="66" t="e">
        <f>COUNTIFS(TblUniv2019[B3],AT$44,TblUniv2019[Prodi],$AS$41)/$AS$43*100%</f>
        <v>#DIV/0!</v>
      </c>
      <c r="AU47" s="66" t="e">
        <f>COUNTIFS(TblUniv2019[B3],AU$44,TblUniv2019[Prodi],$AS$41)/$AS$43*100%</f>
        <v>#DIV/0!</v>
      </c>
      <c r="AV47" s="66" t="e">
        <f>COUNTIFS(TblUniv2019[B3],AV$44,TblUniv2019[Prodi],$AS$41)/$AS$43*100%</f>
        <v>#DIV/0!</v>
      </c>
      <c r="AW47" s="62" t="e">
        <f t="shared" si="6"/>
        <v>#DIV/0!</v>
      </c>
      <c r="AY47" s="57" t="s">
        <v>28</v>
      </c>
      <c r="AZ47" s="66">
        <f>COUNTIFS(TblUniv2019[B3],AZ$44,TblUniv2019[Prodi],$AZ$41)/$AZ$43*100%</f>
        <v>0</v>
      </c>
      <c r="BA47" s="66">
        <f>COUNTIFS(TblUniv2019[B3],BA$44,TblUniv2019[Prodi],$AZ$41)/$AZ$43*100%</f>
        <v>1</v>
      </c>
      <c r="BB47" s="66">
        <f>COUNTIFS(TblUniv2019[B3],BB$44,TblUniv2019[Prodi],$AZ$41)/$AZ$43*100%</f>
        <v>0</v>
      </c>
      <c r="BC47" s="66">
        <f>COUNTIFS(TblUniv2019[B3],BC$44,TblUniv2019[Prodi],$AZ$41)/$AZ$43*100%</f>
        <v>0</v>
      </c>
      <c r="BD47" s="62">
        <f t="shared" si="7"/>
        <v>1</v>
      </c>
      <c r="BF47" s="57" t="s">
        <v>28</v>
      </c>
      <c r="BG47" s="66">
        <f>COUNTIFS(TblUniv2019[B3],BG$44,TblUniv2019[Prodi],$BG$41)/$BG$43*100%</f>
        <v>0</v>
      </c>
      <c r="BH47" s="66">
        <f>COUNTIFS(TblUniv2019[B3],BH$44,TblUniv2019[Prodi],$BG$41)/$BG$43*100%</f>
        <v>1</v>
      </c>
      <c r="BI47" s="66">
        <f>COUNTIFS(TblUniv2019[B3],BI$44,TblUniv2019[Prodi],$BG$41)/$BG$43*100%</f>
        <v>0</v>
      </c>
      <c r="BJ47" s="66">
        <f>COUNTIFS(TblUniv2019[B3],BJ$44,TblUniv2019[Prodi],$BG$41)/$BG$43*100%</f>
        <v>0</v>
      </c>
      <c r="BK47" s="62">
        <f t="shared" si="8"/>
        <v>1</v>
      </c>
    </row>
    <row r="48" spans="2:63" ht="16.5" x14ac:dyDescent="0.3">
      <c r="B48" s="57" t="s">
        <v>29</v>
      </c>
      <c r="C48" s="66">
        <f>COUNTIFS(TblUniv2019[B4],$C$44)/C43*100%</f>
        <v>0.25806451612903225</v>
      </c>
      <c r="D48" s="66">
        <f>COUNTIFS(TblUniv2019[B4],$D$44)/C43*100%</f>
        <v>0.74193548387096775</v>
      </c>
      <c r="E48" s="66">
        <f>COUNTIFS(TblUniv2019[B4],$E$44)/C43*100%</f>
        <v>0</v>
      </c>
      <c r="F48" s="66">
        <f>COUNTIFS(TblUniv2019[B4],$F$44)/C43*100%</f>
        <v>0</v>
      </c>
      <c r="G48" s="62">
        <f t="shared" si="0"/>
        <v>1</v>
      </c>
      <c r="I48" s="57" t="s">
        <v>29</v>
      </c>
      <c r="J48" s="66">
        <f>COUNTIFS(TblUniv2019[B4],J$44,TblUniv2019[Prodi],$J$41)/$J$43*100%</f>
        <v>0.33333333333333331</v>
      </c>
      <c r="K48" s="66">
        <f>COUNTIFS(TblUniv2019[B4],K$44,TblUniv2019[Prodi],$J$41)/$J$43*100%</f>
        <v>0.66666666666666663</v>
      </c>
      <c r="L48" s="66">
        <f>COUNTIFS(TblUniv2019[B4],L$44,TblUniv2019[Prodi],$J$41)/$J$43*100%</f>
        <v>0</v>
      </c>
      <c r="M48" s="66">
        <f>COUNTIFS(TblUniv2019[B4],M$44,TblUniv2019[Prodi],$J$41)/$J$43*100%</f>
        <v>0</v>
      </c>
      <c r="N48" s="62">
        <f t="shared" si="1"/>
        <v>1</v>
      </c>
      <c r="P48" s="57" t="s">
        <v>29</v>
      </c>
      <c r="Q48" s="66">
        <f>COUNTIFS(TblUniv2019[B4],Q$44,TblUniv2019[Prodi],$Q$41)/$Q$43*100%</f>
        <v>0.125</v>
      </c>
      <c r="R48" s="66">
        <f>COUNTIFS(TblUniv2019[B4],R$44,TblUniv2019[Prodi],$Q$41)/$Q$43*100%</f>
        <v>0.875</v>
      </c>
      <c r="S48" s="66">
        <f>COUNTIFS(TblUniv2019[B4],S$44,TblUniv2019[Prodi],$Q$41)/$Q$43*100%</f>
        <v>0</v>
      </c>
      <c r="T48" s="66">
        <f>COUNTIFS(TblUniv2019[B4],T$44,TblUniv2019[Prodi],$Q$41)/$Q$43*100%</f>
        <v>0</v>
      </c>
      <c r="U48" s="62">
        <f t="shared" si="2"/>
        <v>1</v>
      </c>
      <c r="W48" s="57" t="s">
        <v>29</v>
      </c>
      <c r="X48" s="66">
        <f>COUNTIFS(TblUniv2019[B4],X$44,TblUniv2019[Prodi],$X$41)/$X$43*100%</f>
        <v>0</v>
      </c>
      <c r="Y48" s="66">
        <f>COUNTIFS(TblUniv2019[B4],Y$44,TblUniv2019[Prodi],$X$41)/$X$43*100%</f>
        <v>1</v>
      </c>
      <c r="Z48" s="66">
        <f>COUNTIFS(TblUniv2019[B4],Z$44,TblUniv2019[Prodi],$X$41)/$X$43*100%</f>
        <v>0</v>
      </c>
      <c r="AA48" s="66">
        <f>COUNTIFS(TblUniv2019[B4],AA$44,TblUniv2019[Prodi],$X$41)/$X$43*100%</f>
        <v>0</v>
      </c>
      <c r="AB48" s="62">
        <f t="shared" si="3"/>
        <v>1</v>
      </c>
      <c r="AD48" s="57" t="s">
        <v>29</v>
      </c>
      <c r="AE48" s="66">
        <f>COUNTIFS(TblUniv2019[B4],AE$44,TblUniv2019[Prodi],$AE$41)/$AE$43*100%</f>
        <v>0</v>
      </c>
      <c r="AF48" s="66">
        <f>COUNTIFS(TblUniv2019[B4],AF$44,TblUniv2019[Prodi],$AE$41)/$AE$43*100%</f>
        <v>1</v>
      </c>
      <c r="AG48" s="66">
        <f>COUNTIFS(TblUniv2019[B4],AG$44,TblUniv2019[Prodi],$AE$41)/$AE$43*100%</f>
        <v>0</v>
      </c>
      <c r="AH48" s="66">
        <f>COUNTIFS(TblUniv2019[B4],AH$44,TblUniv2019[Prodi],$AE$41)/$AE$43*100%</f>
        <v>0</v>
      </c>
      <c r="AI48" s="62">
        <f t="shared" si="4"/>
        <v>1</v>
      </c>
      <c r="AK48" s="57" t="s">
        <v>29</v>
      </c>
      <c r="AL48" s="66">
        <f>COUNTIFS(TblUniv2019[B4],AL$44,TblUniv2019[Prodi],$AL$41)/$AL$43*100%</f>
        <v>0.33333333333333331</v>
      </c>
      <c r="AM48" s="66">
        <f>COUNTIFS(TblUniv2019[B4],AM$44,TblUniv2019[Prodi],$AL$41)/$AL$43*100%</f>
        <v>0.66666666666666663</v>
      </c>
      <c r="AN48" s="66">
        <f>COUNTIFS(TblUniv2019[B4],AN$44,TblUniv2019[Prodi],$AL$41)/$AL$43*100%</f>
        <v>0</v>
      </c>
      <c r="AO48" s="66">
        <f>COUNTIFS(TblUniv2019[B4],AO$44,TblUniv2019[Prodi],$AL$41)/$AL$43*100%</f>
        <v>0</v>
      </c>
      <c r="AP48" s="62">
        <f t="shared" si="5"/>
        <v>1</v>
      </c>
      <c r="AR48" s="57" t="s">
        <v>29</v>
      </c>
      <c r="AS48" s="66" t="e">
        <f>COUNTIFS(TblUniv2019[B4],AS$44,TblUniv2019[Prodi],$AS$41)/$AS$43*100%</f>
        <v>#DIV/0!</v>
      </c>
      <c r="AT48" s="66" t="e">
        <f>COUNTIFS(TblUniv2019[B4],AT$44,TblUniv2019[Prodi],$AS$41)/$AS$43*100%</f>
        <v>#DIV/0!</v>
      </c>
      <c r="AU48" s="66" t="e">
        <f>COUNTIFS(TblUniv2019[B4],AU$44,TblUniv2019[Prodi],$AS$41)/$AS$43*100%</f>
        <v>#DIV/0!</v>
      </c>
      <c r="AV48" s="66" t="e">
        <f>COUNTIFS(TblUniv2019[B4],AV$44,TblUniv2019[Prodi],$AS$41)/$AS$43*100%</f>
        <v>#DIV/0!</v>
      </c>
      <c r="AW48" s="62" t="e">
        <f t="shared" si="6"/>
        <v>#DIV/0!</v>
      </c>
      <c r="AY48" s="57" t="s">
        <v>29</v>
      </c>
      <c r="AZ48" s="66">
        <f>COUNTIFS(TblUniv2019[B4],AZ$44,TblUniv2019[Prodi],$AZ$41)/$AZ$43*100%</f>
        <v>0.75</v>
      </c>
      <c r="BA48" s="66">
        <f>COUNTIFS(TblUniv2019[B4],BA$44,TblUniv2019[Prodi],$AZ$41)/$AZ$43*100%</f>
        <v>0.25</v>
      </c>
      <c r="BB48" s="66">
        <f>COUNTIFS(TblUniv2019[B4],BB$44,TblUniv2019[Prodi],$AZ$41)/$AZ$43*100%</f>
        <v>0</v>
      </c>
      <c r="BC48" s="66">
        <f>COUNTIFS(TblUniv2019[B4],BC$44,TblUniv2019[Prodi],$AZ$41)/$AZ$43*100%</f>
        <v>0</v>
      </c>
      <c r="BD48" s="62">
        <f t="shared" si="7"/>
        <v>1</v>
      </c>
      <c r="BF48" s="57" t="s">
        <v>29</v>
      </c>
      <c r="BG48" s="66">
        <f>COUNTIFS(TblUniv2019[B4],BG$44,TblUniv2019[Prodi],$BG$41)/$BG$43*100%</f>
        <v>0</v>
      </c>
      <c r="BH48" s="66">
        <f>COUNTIFS(TblUniv2019[B4],BH$44,TblUniv2019[Prodi],$BG$41)/$BG$43*100%</f>
        <v>1</v>
      </c>
      <c r="BI48" s="66">
        <f>COUNTIFS(TblUniv2019[B4],BI$44,TblUniv2019[Prodi],$BG$41)/$BG$43*100%</f>
        <v>0</v>
      </c>
      <c r="BJ48" s="66">
        <f>COUNTIFS(TblUniv2019[B4],BJ$44,TblUniv2019[Prodi],$BG$41)/$BG$43*100%</f>
        <v>0</v>
      </c>
      <c r="BK48" s="62">
        <f t="shared" si="8"/>
        <v>1</v>
      </c>
    </row>
    <row r="49" spans="2:63" ht="16.5" x14ac:dyDescent="0.3">
      <c r="B49" s="57" t="s">
        <v>30</v>
      </c>
      <c r="C49" s="66">
        <f>COUNTIFS(TblUniv2019[B5],$C$44)/C43*100%</f>
        <v>6.4516129032258063E-2</v>
      </c>
      <c r="D49" s="66">
        <f>COUNTIFS(TblUniv2019[B5],$D$44)/C43*100%</f>
        <v>0.93548387096774188</v>
      </c>
      <c r="E49" s="66">
        <f>COUNTIFS(TblUniv2019[B5],$E$44)/C43*100%</f>
        <v>0</v>
      </c>
      <c r="F49" s="66">
        <f>COUNTIFS(TblUniv2019[B5],$F$44)/C43*100%</f>
        <v>0</v>
      </c>
      <c r="G49" s="62">
        <f>SUM(C49:F49)</f>
        <v>1</v>
      </c>
      <c r="I49" s="57" t="s">
        <v>30</v>
      </c>
      <c r="J49" s="66">
        <f>COUNTIFS(TblUniv2019[B5],J$44,TblUniv2019[Prodi],$J$41)/$J$43*100%</f>
        <v>0.16666666666666666</v>
      </c>
      <c r="K49" s="66">
        <f>COUNTIFS(TblUniv2019[B5],K$44,TblUniv2019[Prodi],$J$41)/$J$43*100%</f>
        <v>0.83333333333333337</v>
      </c>
      <c r="L49" s="66">
        <f>COUNTIFS(TblUniv2019[B5],L$44,TblUniv2019[Prodi],$J$41)/$J$43*100%</f>
        <v>0</v>
      </c>
      <c r="M49" s="66">
        <f>COUNTIFS(TblUniv2019[B5],M$44,TblUniv2019[Prodi],$J$41)/$J$43*100%</f>
        <v>0</v>
      </c>
      <c r="N49" s="62">
        <f t="shared" si="1"/>
        <v>1</v>
      </c>
      <c r="P49" s="57" t="s">
        <v>30</v>
      </c>
      <c r="Q49" s="66">
        <f>COUNTIFS(TblUniv2019[B5],Q$44,TblUniv2019[Prodi],$Q$41)/$Q$43*100%</f>
        <v>0</v>
      </c>
      <c r="R49" s="66">
        <f>COUNTIFS(TblUniv2019[B5],R$44,TblUniv2019[Prodi],$Q$41)/$Q$43*100%</f>
        <v>1</v>
      </c>
      <c r="S49" s="66">
        <f>COUNTIFS(TblUniv2019[B5],S$44,TblUniv2019[Prodi],$Q$41)/$Q$43*100%</f>
        <v>0</v>
      </c>
      <c r="T49" s="66">
        <f>COUNTIFS(TblUniv2019[B5],T$44,TblUniv2019[Prodi],$Q$41)/$Q$43*100%</f>
        <v>0</v>
      </c>
      <c r="U49" s="62">
        <f t="shared" si="2"/>
        <v>1</v>
      </c>
      <c r="W49" s="57" t="s">
        <v>30</v>
      </c>
      <c r="X49" s="66">
        <f>COUNTIFS(TblUniv2019[B5],X$44,TblUniv2019[Prodi],$X$41)/$X$43*100%</f>
        <v>0</v>
      </c>
      <c r="Y49" s="66">
        <f>COUNTIFS(TblUniv2019[B5],Y$44,TblUniv2019[Prodi],$X$41)/$X$43*100%</f>
        <v>1</v>
      </c>
      <c r="Z49" s="66">
        <f>COUNTIFS(TblUniv2019[B5],Z$44,TblUniv2019[Prodi],$X$41)/$X$43*100%</f>
        <v>0</v>
      </c>
      <c r="AA49" s="66">
        <f>COUNTIFS(TblUniv2019[B5],AA$44,TblUniv2019[Prodi],$X$41)/$X$43*100%</f>
        <v>0</v>
      </c>
      <c r="AB49" s="62">
        <f t="shared" si="3"/>
        <v>1</v>
      </c>
      <c r="AD49" s="57" t="s">
        <v>30</v>
      </c>
      <c r="AE49" s="66">
        <f>COUNTIFS(TblUniv2019[B5],AE$44,TblUniv2019[Prodi],$AE$41)/$AE$43*100%</f>
        <v>0</v>
      </c>
      <c r="AF49" s="66">
        <f>COUNTIFS(TblUniv2019[B5],AF$44,TblUniv2019[Prodi],$AE$41)/$AE$43*100%</f>
        <v>1</v>
      </c>
      <c r="AG49" s="66">
        <f>COUNTIFS(TblUniv2019[B5],AG$44,TblUniv2019[Prodi],$AE$41)/$AE$43*100%</f>
        <v>0</v>
      </c>
      <c r="AH49" s="66">
        <f>COUNTIFS(TblUniv2019[B5],AH$44,TblUniv2019[Prodi],$AE$41)/$AE$43*100%</f>
        <v>0</v>
      </c>
      <c r="AI49" s="62">
        <f t="shared" si="4"/>
        <v>1</v>
      </c>
      <c r="AK49" s="57" t="s">
        <v>30</v>
      </c>
      <c r="AL49" s="66">
        <f>COUNTIFS(TblUniv2019[B5],AL$44,TblUniv2019[Prodi],$AL$41)/$AL$43*100%</f>
        <v>0</v>
      </c>
      <c r="AM49" s="66">
        <f>COUNTIFS(TblUniv2019[B5],AM$44,TblUniv2019[Prodi],$AL$41)/$AL$43*100%</f>
        <v>1</v>
      </c>
      <c r="AN49" s="66">
        <f>COUNTIFS(TblUniv2019[B5],AN$44,TblUniv2019[Prodi],$AL$41)/$AL$43*100%</f>
        <v>0</v>
      </c>
      <c r="AO49" s="66">
        <f>COUNTIFS(TblUniv2019[B5],AO$44,TblUniv2019[Prodi],$AL$41)/$AL$43*100%</f>
        <v>0</v>
      </c>
      <c r="AP49" s="62">
        <f t="shared" si="5"/>
        <v>1</v>
      </c>
      <c r="AR49" s="57" t="s">
        <v>30</v>
      </c>
      <c r="AS49" s="66" t="e">
        <f>COUNTIFS(TblUniv2019[B5],AS$44,TblUniv2019[Prodi],$AS$41)/$AS$43*100%</f>
        <v>#DIV/0!</v>
      </c>
      <c r="AT49" s="66" t="e">
        <f>COUNTIFS(TblUniv2019[B5],AT$44,TblUniv2019[Prodi],$AS$41)/$AS$43*100%</f>
        <v>#DIV/0!</v>
      </c>
      <c r="AU49" s="66" t="e">
        <f>COUNTIFS(TblUniv2019[B5],AU$44,TblUniv2019[Prodi],$AS$41)/$AS$43*100%</f>
        <v>#DIV/0!</v>
      </c>
      <c r="AV49" s="66" t="e">
        <f>COUNTIFS(TblUniv2019[B5],AV$44,TblUniv2019[Prodi],$AS$41)/$AS$43*100%</f>
        <v>#DIV/0!</v>
      </c>
      <c r="AW49" s="62" t="e">
        <f t="shared" si="6"/>
        <v>#DIV/0!</v>
      </c>
      <c r="AY49" s="57" t="s">
        <v>30</v>
      </c>
      <c r="AZ49" s="66">
        <f>COUNTIFS(TblUniv2019[B5],AZ$44,TblUniv2019[Prodi],$AZ$41)/$AZ$43*100%</f>
        <v>0.25</v>
      </c>
      <c r="BA49" s="66">
        <f>COUNTIFS(TblUniv2019[B5],BA$44,TblUniv2019[Prodi],$AZ$41)/$AZ$43*100%</f>
        <v>0.75</v>
      </c>
      <c r="BB49" s="66">
        <f>COUNTIFS(TblUniv2019[B5],BB$44,TblUniv2019[Prodi],$AZ$41)/$AZ$43*100%</f>
        <v>0</v>
      </c>
      <c r="BC49" s="66">
        <f>COUNTIFS(TblUniv2019[B5],BC$44,TblUniv2019[Prodi],$AZ$41)/$AZ$43*100%</f>
        <v>0</v>
      </c>
      <c r="BD49" s="62">
        <f t="shared" si="7"/>
        <v>1</v>
      </c>
      <c r="BF49" s="57" t="s">
        <v>30</v>
      </c>
      <c r="BG49" s="66">
        <f>COUNTIFS(TblUniv2019[B5],BG$44,TblUniv2019[Prodi],$BG$41)/$BG$43*100%</f>
        <v>0</v>
      </c>
      <c r="BH49" s="66">
        <f>COUNTIFS(TblUniv2019[B5],BH$44,TblUniv2019[Prodi],$BG$41)/$BG$43*100%</f>
        <v>1</v>
      </c>
      <c r="BI49" s="66">
        <f>COUNTIFS(TblUniv2019[B5],BI$44,TblUniv2019[Prodi],$BG$41)/$BG$43*100%</f>
        <v>0</v>
      </c>
      <c r="BJ49" s="66">
        <f>COUNTIFS(TblUniv2019[B5],BJ$44,TblUniv2019[Prodi],$BG$41)/$BG$43*100%</f>
        <v>0</v>
      </c>
      <c r="BK49" s="62">
        <f t="shared" si="8"/>
        <v>1</v>
      </c>
    </row>
    <row r="50" spans="2:63" ht="16.5" x14ac:dyDescent="0.3">
      <c r="B50" s="60"/>
      <c r="C50" s="61">
        <f>AVERAGE(C45:C49)</f>
        <v>0.16774193548387095</v>
      </c>
      <c r="D50" s="61">
        <f>AVERAGE(D45:D49)</f>
        <v>0.8</v>
      </c>
      <c r="E50" s="61">
        <f>AVERAGE(E45:E49)</f>
        <v>3.2258064516129031E-2</v>
      </c>
      <c r="F50" s="61">
        <f>AVERAGE(F45:F49)</f>
        <v>0</v>
      </c>
      <c r="G50" s="62">
        <f t="shared" si="0"/>
        <v>1</v>
      </c>
      <c r="I50" s="60"/>
      <c r="J50" s="61">
        <f>AVERAGE(J45:J49)</f>
        <v>0.26666666666666666</v>
      </c>
      <c r="K50" s="61">
        <f>AVERAGE(K45:K49)</f>
        <v>0.7</v>
      </c>
      <c r="L50" s="61">
        <f>AVERAGE(L45:L49)</f>
        <v>3.3333333333333333E-2</v>
      </c>
      <c r="M50" s="61">
        <f>AVERAGE(M45:M49)</f>
        <v>0</v>
      </c>
      <c r="N50" s="62">
        <f t="shared" si="1"/>
        <v>0.99999999999999989</v>
      </c>
      <c r="P50" s="60"/>
      <c r="Q50" s="61">
        <f>AVERAGE(Q45:Q49)</f>
        <v>0.1</v>
      </c>
      <c r="R50" s="61">
        <f>AVERAGE(R45:R49)</f>
        <v>0.85</v>
      </c>
      <c r="S50" s="61">
        <f>AVERAGE(S45:S49)</f>
        <v>0.05</v>
      </c>
      <c r="T50" s="61">
        <f>AVERAGE(T45:T49)</f>
        <v>0</v>
      </c>
      <c r="U50" s="62">
        <f t="shared" si="2"/>
        <v>1</v>
      </c>
      <c r="W50" s="60"/>
      <c r="X50" s="61">
        <f>AVERAGE(X45:X49)</f>
        <v>0.2</v>
      </c>
      <c r="Y50" s="61">
        <f>AVERAGE(Y45:Y49)</f>
        <v>0.8</v>
      </c>
      <c r="Z50" s="61">
        <f>AVERAGE(Z45:Z49)</f>
        <v>0</v>
      </c>
      <c r="AA50" s="61">
        <f>AVERAGE(AA45:AA49)</f>
        <v>0</v>
      </c>
      <c r="AB50" s="62">
        <f t="shared" si="3"/>
        <v>1</v>
      </c>
      <c r="AD50" s="60"/>
      <c r="AE50" s="61">
        <f>AVERAGE(AE45:AE49)</f>
        <v>0</v>
      </c>
      <c r="AF50" s="61">
        <f>AVERAGE(AF45:AF49)</f>
        <v>0.8</v>
      </c>
      <c r="AG50" s="61">
        <f>AVERAGE(AG45:AG49)</f>
        <v>0.2</v>
      </c>
      <c r="AH50" s="61">
        <f>AVERAGE(AH45:AH49)</f>
        <v>0</v>
      </c>
      <c r="AI50" s="62">
        <f t="shared" si="4"/>
        <v>1</v>
      </c>
      <c r="AK50" s="60"/>
      <c r="AL50" s="61">
        <f>AVERAGE(AL45:AL49)</f>
        <v>0.13333333333333333</v>
      </c>
      <c r="AM50" s="61">
        <f>AVERAGE(AM45:AM49)</f>
        <v>0.83333333333333326</v>
      </c>
      <c r="AN50" s="61">
        <f>AVERAGE(AN45:AN49)</f>
        <v>3.3333333333333333E-2</v>
      </c>
      <c r="AO50" s="61">
        <f>AVERAGE(AO45:AO49)</f>
        <v>0</v>
      </c>
      <c r="AP50" s="62">
        <f t="shared" si="5"/>
        <v>0.99999999999999989</v>
      </c>
      <c r="AR50" s="60"/>
      <c r="AS50" s="61" t="e">
        <f>AVERAGE(AS45:AS49)</f>
        <v>#DIV/0!</v>
      </c>
      <c r="AT50" s="61" t="e">
        <f>AVERAGE(AT45:AT49)</f>
        <v>#DIV/0!</v>
      </c>
      <c r="AU50" s="61" t="e">
        <f>AVERAGE(AU45:AU49)</f>
        <v>#DIV/0!</v>
      </c>
      <c r="AV50" s="61" t="e">
        <f>AVERAGE(AV45:AV49)</f>
        <v>#DIV/0!</v>
      </c>
      <c r="AW50" s="62" t="e">
        <f t="shared" si="6"/>
        <v>#DIV/0!</v>
      </c>
      <c r="AY50" s="60"/>
      <c r="AZ50" s="61">
        <f>AVERAGE(AZ45:AZ49)</f>
        <v>0.25</v>
      </c>
      <c r="BA50" s="61">
        <f>AVERAGE(BA45:BA49)</f>
        <v>0.75</v>
      </c>
      <c r="BB50" s="61">
        <f>AVERAGE(BB45:BB49)</f>
        <v>0</v>
      </c>
      <c r="BC50" s="61">
        <f>AVERAGE(BC45:BC49)</f>
        <v>0</v>
      </c>
      <c r="BD50" s="62">
        <f t="shared" si="7"/>
        <v>1</v>
      </c>
      <c r="BF50" s="60"/>
      <c r="BG50" s="61">
        <f>AVERAGE(BG45:BG49)</f>
        <v>0.1</v>
      </c>
      <c r="BH50" s="61">
        <f>AVERAGE(BH45:BH49)</f>
        <v>0.9</v>
      </c>
      <c r="BI50" s="61">
        <f>AVERAGE(BI45:BI49)</f>
        <v>0</v>
      </c>
      <c r="BJ50" s="61">
        <f>AVERAGE(BJ45:BJ49)</f>
        <v>0</v>
      </c>
      <c r="BK50" s="62">
        <f t="shared" si="8"/>
        <v>1</v>
      </c>
    </row>
    <row r="51" spans="2:63" ht="16.5" x14ac:dyDescent="0.3">
      <c r="B51" s="57" t="s">
        <v>31</v>
      </c>
      <c r="C51" s="66">
        <f>COUNTIFS(TblUniv2019[C1],$C$44)/$C$43*100%</f>
        <v>0.38709677419354838</v>
      </c>
      <c r="D51" s="66">
        <f>COUNTIFS(TblUniv2019[C1],$D$44)/$C$43*100%</f>
        <v>0.61290322580645162</v>
      </c>
      <c r="E51" s="66">
        <f>COUNTIFS(TblUniv2019[C1],$E$44)/$C$43*100%</f>
        <v>0</v>
      </c>
      <c r="F51" s="66">
        <f>COUNTIFS(TblUniv2019[C1],$F$44)/$C$43*100%</f>
        <v>0</v>
      </c>
      <c r="G51" s="62">
        <f t="shared" si="0"/>
        <v>1</v>
      </c>
      <c r="I51" s="57" t="s">
        <v>31</v>
      </c>
      <c r="J51" s="66">
        <f>COUNTIFS(TblUniv2019[C1],J$44,TblUniv2019[Prodi],$J$41)/$J$43*100%</f>
        <v>0.33333333333333331</v>
      </c>
      <c r="K51" s="66">
        <f>COUNTIFS(TblUniv2019[C1],K$44,TblUniv2019[Prodi],$J$41)/$J$43*100%</f>
        <v>0.66666666666666663</v>
      </c>
      <c r="L51" s="66">
        <f>COUNTIFS(TblUniv2019[C1],L$44,TblUniv2019[Prodi],$J$41)/$J$43*100%</f>
        <v>0</v>
      </c>
      <c r="M51" s="66">
        <f>COUNTIFS(TblUniv2019[C1],M$44,TblUniv2019[Prodi],$J$41)/$J$43*100%</f>
        <v>0</v>
      </c>
      <c r="N51" s="62">
        <f t="shared" si="1"/>
        <v>1</v>
      </c>
      <c r="P51" s="57" t="s">
        <v>31</v>
      </c>
      <c r="Q51" s="66">
        <f>COUNTIFS(TblUniv2019[C1],Q$44,TblUniv2019[Prodi],$Q$41)/$Q$43*100%</f>
        <v>0.375</v>
      </c>
      <c r="R51" s="66">
        <f>COUNTIFS(TblUniv2019[C1],R$44,TblUniv2019[Prodi],$Q$41)/$Q$43*100%</f>
        <v>0.625</v>
      </c>
      <c r="S51" s="66">
        <f>COUNTIFS(TblUniv2019[C1],S$44,TblUniv2019[Prodi],$Q$41)/$Q$43*100%</f>
        <v>0</v>
      </c>
      <c r="T51" s="66">
        <f>COUNTIFS(TblUniv2019[C1],T$44,TblUniv2019[Prodi],$Q$41)/$Q$43*100%</f>
        <v>0</v>
      </c>
      <c r="U51" s="62">
        <f t="shared" si="2"/>
        <v>1</v>
      </c>
      <c r="W51" s="57" t="s">
        <v>31</v>
      </c>
      <c r="X51" s="66">
        <f>COUNTIFS(TblUniv2019[C1],X$44,TblUniv2019[Prodi],$X$41)/$X$43*100%</f>
        <v>1</v>
      </c>
      <c r="Y51" s="66">
        <f>COUNTIFS(TblUniv2019[C1],Y$44,TblUniv2019[Prodi],$X$41)/$X$43*100%</f>
        <v>0</v>
      </c>
      <c r="Z51" s="66">
        <f>COUNTIFS(TblUniv2019[C1],Z$44,TblUniv2019[Prodi],$X$41)/$X$43*100%</f>
        <v>0</v>
      </c>
      <c r="AA51" s="66">
        <f>COUNTIFS(TblUniv2019[C1],AA$44,TblUniv2019[Prodi],$X$41)/$X$43*100%</f>
        <v>0</v>
      </c>
      <c r="AB51" s="62">
        <f t="shared" si="3"/>
        <v>1</v>
      </c>
      <c r="AD51" s="57" t="s">
        <v>31</v>
      </c>
      <c r="AE51" s="66">
        <f>COUNTIFS(TblUniv2019[C1],AE$44,TblUniv2019[Prodi],$AE$41)/$AE$43*100%</f>
        <v>0</v>
      </c>
      <c r="AF51" s="66">
        <f>COUNTIFS(TblUniv2019[C1],AF$44,TblUniv2019[Prodi],$AE$41)/$AE$43*100%</f>
        <v>1</v>
      </c>
      <c r="AG51" s="66">
        <f>COUNTIFS(TblUniv2019[C1],AG$44,TblUniv2019[Prodi],$AE$41)/$AE$43*100%</f>
        <v>0</v>
      </c>
      <c r="AH51" s="66">
        <f>COUNTIFS(TblUniv2019[C1],AH$44,TblUniv2019[Prodi],$AE$41)/$AE$43*100%</f>
        <v>0</v>
      </c>
      <c r="AI51" s="62">
        <f t="shared" si="4"/>
        <v>1</v>
      </c>
      <c r="AK51" s="57" t="s">
        <v>31</v>
      </c>
      <c r="AL51" s="66">
        <f>COUNTIFS(TblUniv2019[C1],AL$44,TblUniv2019[Prodi],$AL$41)/$AL$43*100%</f>
        <v>0.33333333333333331</v>
      </c>
      <c r="AM51" s="66">
        <f>COUNTIFS(TblUniv2019[C1],AM$44,TblUniv2019[Prodi],$AL$41)/$AL$43*100%</f>
        <v>0.66666666666666663</v>
      </c>
      <c r="AN51" s="66">
        <f>COUNTIFS(TblUniv2019[C1],AN$44,TblUniv2019[Prodi],$AL$41)/$AL$43*100%</f>
        <v>0</v>
      </c>
      <c r="AO51" s="66">
        <f>COUNTIFS(TblUniv2019[C1],AO$44,TblUniv2019[Prodi],$AL$41)/$AL$43*100%</f>
        <v>0</v>
      </c>
      <c r="AP51" s="62">
        <f t="shared" si="5"/>
        <v>1</v>
      </c>
      <c r="AR51" s="57" t="s">
        <v>31</v>
      </c>
      <c r="AS51" s="66" t="e">
        <f>COUNTIFS(TblUniv2019[C1],AS$44,TblUniv2019[Prodi],$AS$41)/$AS$43*100%</f>
        <v>#DIV/0!</v>
      </c>
      <c r="AT51" s="66" t="e">
        <f>COUNTIFS(TblUniv2019[C1],AT$44,TblUniv2019[Prodi],$AS$41)/$AS$43*100%</f>
        <v>#DIV/0!</v>
      </c>
      <c r="AU51" s="66" t="e">
        <f>COUNTIFS(TblUniv2019[C1],AU$44,TblUniv2019[Prodi],$AS$41)/$AS$43*100%</f>
        <v>#DIV/0!</v>
      </c>
      <c r="AV51" s="66" t="e">
        <f>COUNTIFS(TblUniv2019[C1],AV$44,TblUniv2019[Prodi],$AS$41)/$AS$43*100%</f>
        <v>#DIV/0!</v>
      </c>
      <c r="AW51" s="62" t="e">
        <f t="shared" si="6"/>
        <v>#DIV/0!</v>
      </c>
      <c r="AY51" s="57" t="s">
        <v>31</v>
      </c>
      <c r="AZ51" s="66">
        <f>COUNTIFS(TblUniv2019[C1],AZ$44,TblUniv2019[Prodi],$AZ$41)/$AZ$43*100%</f>
        <v>0</v>
      </c>
      <c r="BA51" s="66">
        <f>COUNTIFS(TblUniv2019[C1],BA$44,TblUniv2019[Prodi],$AZ$41)/$AZ$43*100%</f>
        <v>1</v>
      </c>
      <c r="BB51" s="66">
        <f>COUNTIFS(TblUniv2019[C1],BB$44,TblUniv2019[Prodi],$AZ$41)/$AZ$43*100%</f>
        <v>0</v>
      </c>
      <c r="BC51" s="66">
        <f>COUNTIFS(TblUniv2019[C1],BC$44,TblUniv2019[Prodi],$AZ$41)/$AZ$43*100%</f>
        <v>0</v>
      </c>
      <c r="BD51" s="62">
        <f t="shared" si="7"/>
        <v>1</v>
      </c>
      <c r="BF51" s="57" t="s">
        <v>31</v>
      </c>
      <c r="BG51" s="66">
        <f>COUNTIFS(TblUniv2019[C1],BG$44,TblUniv2019[Prodi],$BG$41)/$BG$43*100%</f>
        <v>0.5</v>
      </c>
      <c r="BH51" s="66">
        <f>COUNTIFS(TblUniv2019[C1],BH$44,TblUniv2019[Prodi],$BG$41)/$BG$43*100%</f>
        <v>0.5</v>
      </c>
      <c r="BI51" s="66">
        <f>COUNTIFS(TblUniv2019[C1],BI$44,TblUniv2019[Prodi],$BG$41)/$BG$43*100%</f>
        <v>0</v>
      </c>
      <c r="BJ51" s="66">
        <f>COUNTIFS(TblUniv2019[C1],BJ$44,TblUniv2019[Prodi],$BG$41)/$BG$43*100%</f>
        <v>0</v>
      </c>
      <c r="BK51" s="62">
        <f t="shared" si="8"/>
        <v>1</v>
      </c>
    </row>
    <row r="52" spans="2:63" ht="16.5" x14ac:dyDescent="0.3">
      <c r="B52" s="57" t="s">
        <v>32</v>
      </c>
      <c r="C52" s="66">
        <f>COUNTIFS(TblUniv2019[C2],C$44)/$C$43*100%</f>
        <v>3.2258064516129031E-2</v>
      </c>
      <c r="D52" s="66">
        <f>COUNTIFS(TblUniv2019[C2],D$44)/$C$43*100%</f>
        <v>0.967741935483871</v>
      </c>
      <c r="E52" s="66">
        <f>COUNTIFS(TblUniv2019[C2],E$44)/$C$43*100%</f>
        <v>0</v>
      </c>
      <c r="F52" s="66">
        <f>COUNTIFS(TblUniv2019[C2],F$44)/$C$43*100%</f>
        <v>0</v>
      </c>
      <c r="G52" s="62">
        <f t="shared" si="0"/>
        <v>1</v>
      </c>
      <c r="I52" s="57" t="s">
        <v>32</v>
      </c>
      <c r="J52" s="66">
        <f>COUNTIFS(TblUniv2019[C2],J$44,TblUniv2019[Prodi],$J$41)/$J$43*100%</f>
        <v>0.16666666666666666</v>
      </c>
      <c r="K52" s="66">
        <f>COUNTIFS(TblUniv2019[C2],K$44,TblUniv2019[Prodi],$J$41)/$J$43*100%</f>
        <v>0.83333333333333337</v>
      </c>
      <c r="L52" s="66">
        <f>COUNTIFS(TblUniv2019[C2],L$44,TblUniv2019[Prodi],$J$41)/$J$43*100%</f>
        <v>0</v>
      </c>
      <c r="M52" s="66">
        <f>COUNTIFS(TblUniv2019[C2],M$44,TblUniv2019[Prodi],$J$41)/$J$43*100%</f>
        <v>0</v>
      </c>
      <c r="N52" s="62">
        <f t="shared" si="1"/>
        <v>1</v>
      </c>
      <c r="P52" s="57" t="s">
        <v>32</v>
      </c>
      <c r="Q52" s="66">
        <f>COUNTIFS(TblUniv2019[C2],Q$44,TblUniv2019[Prodi],$Q$41)/$Q$43*100%</f>
        <v>0</v>
      </c>
      <c r="R52" s="66">
        <f>COUNTIFS(TblUniv2019[C2],R$44,TblUniv2019[Prodi],$Q$41)/$Q$43*100%</f>
        <v>1</v>
      </c>
      <c r="S52" s="66">
        <f>COUNTIFS(TblUniv2019[C2],S$44,TblUniv2019[Prodi],$Q$41)/$Q$43*100%</f>
        <v>0</v>
      </c>
      <c r="T52" s="66">
        <f>COUNTIFS(TblUniv2019[C2],T$44,TblUniv2019[Prodi],$Q$41)/$Q$43*100%</f>
        <v>0</v>
      </c>
      <c r="U52" s="62">
        <f t="shared" si="2"/>
        <v>1</v>
      </c>
      <c r="W52" s="57" t="s">
        <v>32</v>
      </c>
      <c r="X52" s="66">
        <f>COUNTIFS(TblUniv2019[C2],X$44,TblUniv2019[Prodi],$X$41)/$X$43*100%</f>
        <v>0</v>
      </c>
      <c r="Y52" s="66">
        <f>COUNTIFS(TblUniv2019[C2],Y$44,TblUniv2019[Prodi],$X$41)/$X$43*100%</f>
        <v>1</v>
      </c>
      <c r="Z52" s="66">
        <f>COUNTIFS(TblUniv2019[C2],Z$44,TblUniv2019[Prodi],$X$41)/$X$43*100%</f>
        <v>0</v>
      </c>
      <c r="AA52" s="66">
        <f>COUNTIFS(TblUniv2019[C2],AA$44,TblUniv2019[Prodi],$X$41)/$X$43*100%</f>
        <v>0</v>
      </c>
      <c r="AB52" s="62">
        <f t="shared" si="3"/>
        <v>1</v>
      </c>
      <c r="AD52" s="57" t="s">
        <v>32</v>
      </c>
      <c r="AE52" s="66">
        <f>COUNTIFS(TblUniv2019[C2],AE$44,TblUniv2019[Prodi],$AE$41)/$AE$43*100%</f>
        <v>0</v>
      </c>
      <c r="AF52" s="66">
        <f>COUNTIFS(TblUniv2019[C2],AF$44,TblUniv2019[Prodi],$AE$41)/$AE$43*100%</f>
        <v>1</v>
      </c>
      <c r="AG52" s="66">
        <f>COUNTIFS(TblUniv2019[C2],AG$44,TblUniv2019[Prodi],$AE$41)/$AE$43*100%</f>
        <v>0</v>
      </c>
      <c r="AH52" s="66">
        <f>COUNTIFS(TblUniv2019[C2],AH$44,TblUniv2019[Prodi],$AE$41)/$AE$43*100%</f>
        <v>0</v>
      </c>
      <c r="AI52" s="62">
        <f t="shared" si="4"/>
        <v>1</v>
      </c>
      <c r="AK52" s="57" t="s">
        <v>32</v>
      </c>
      <c r="AL52" s="66">
        <f>COUNTIFS(TblUniv2019[C2],AL$44,TblUniv2019[Prodi],$AL$41)/$AL$43*100%</f>
        <v>0</v>
      </c>
      <c r="AM52" s="66">
        <f>COUNTIFS(TblUniv2019[C2],AM$44,TblUniv2019[Prodi],$AL$41)/$AL$43*100%</f>
        <v>1</v>
      </c>
      <c r="AN52" s="66">
        <f>COUNTIFS(TblUniv2019[C2],AN$44,TblUniv2019[Prodi],$AL$41)/$AL$43*100%</f>
        <v>0</v>
      </c>
      <c r="AO52" s="66">
        <f>COUNTIFS(TblUniv2019[C2],AO$44,TblUniv2019[Prodi],$AL$41)/$AL$43*100%</f>
        <v>0</v>
      </c>
      <c r="AP52" s="62">
        <f t="shared" si="5"/>
        <v>1</v>
      </c>
      <c r="AR52" s="57" t="s">
        <v>32</v>
      </c>
      <c r="AS52" s="66" t="e">
        <f>COUNTIFS(TblUniv2019[C2],AS$44,TblUniv2019[Prodi],$AS$41)/$AS$43*100%</f>
        <v>#DIV/0!</v>
      </c>
      <c r="AT52" s="66" t="e">
        <f>COUNTIFS(TblUniv2019[C2],AT$44,TblUniv2019[Prodi],$AS$41)/$AS$43*100%</f>
        <v>#DIV/0!</v>
      </c>
      <c r="AU52" s="66" t="e">
        <f>COUNTIFS(TblUniv2019[C2],AU$44,TblUniv2019[Prodi],$AS$41)/$AS$43*100%</f>
        <v>#DIV/0!</v>
      </c>
      <c r="AV52" s="66" t="e">
        <f>COUNTIFS(TblUniv2019[C2],AV$44,TblUniv2019[Prodi],$AS$41)/$AS$43*100%</f>
        <v>#DIV/0!</v>
      </c>
      <c r="AW52" s="62" t="e">
        <f t="shared" si="6"/>
        <v>#DIV/0!</v>
      </c>
      <c r="AY52" s="57" t="s">
        <v>32</v>
      </c>
      <c r="AZ52" s="66">
        <f>COUNTIFS(TblUniv2019[C2],AZ$44,TblUniv2019[Prodi],$AZ$41)/$AZ$43*100%</f>
        <v>0</v>
      </c>
      <c r="BA52" s="66">
        <f>COUNTIFS(TblUniv2019[C2],BA$44,TblUniv2019[Prodi],$AZ$41)/$AZ$43*100%</f>
        <v>1</v>
      </c>
      <c r="BB52" s="66">
        <f>COUNTIFS(TblUniv2019[C2],BB$44,TblUniv2019[Prodi],$AZ$41)/$AZ$43*100%</f>
        <v>0</v>
      </c>
      <c r="BC52" s="66">
        <f>COUNTIFS(TblUniv2019[C2],BC$44,TblUniv2019[Prodi],$AZ$41)/$AZ$43*100%</f>
        <v>0</v>
      </c>
      <c r="BD52" s="62">
        <f t="shared" si="7"/>
        <v>1</v>
      </c>
      <c r="BF52" s="57" t="s">
        <v>32</v>
      </c>
      <c r="BG52" s="66">
        <f>COUNTIFS(TblUniv2019[C2],BG$44,TblUniv2019[Prodi],$BG$41)/$BG$43*100%</f>
        <v>0</v>
      </c>
      <c r="BH52" s="66">
        <f>COUNTIFS(TblUniv2019[C2],BH$44,TblUniv2019[Prodi],$BG$41)/$BG$43*100%</f>
        <v>1</v>
      </c>
      <c r="BI52" s="66">
        <f>COUNTIFS(TblUniv2019[C2],BI$44,TblUniv2019[Prodi],$BG$41)/$BG$43*100%</f>
        <v>0</v>
      </c>
      <c r="BJ52" s="66">
        <f>COUNTIFS(TblUniv2019[C2],BJ$44,TblUniv2019[Prodi],$BG$41)/$BG$43*100%</f>
        <v>0</v>
      </c>
      <c r="BK52" s="62">
        <f t="shared" si="8"/>
        <v>1</v>
      </c>
    </row>
    <row r="53" spans="2:63" ht="16.5" x14ac:dyDescent="0.3">
      <c r="B53" s="60"/>
      <c r="C53" s="61">
        <f>AVERAGE(C51:C52)</f>
        <v>0.20967741935483869</v>
      </c>
      <c r="D53" s="61">
        <f>AVERAGE(D51:D52)</f>
        <v>0.79032258064516125</v>
      </c>
      <c r="E53" s="61">
        <f>AVERAGE(E51:E52)</f>
        <v>0</v>
      </c>
      <c r="F53" s="61">
        <f>AVERAGE(F51:F52)</f>
        <v>0</v>
      </c>
      <c r="G53" s="62">
        <f t="shared" si="0"/>
        <v>1</v>
      </c>
      <c r="I53" s="60"/>
      <c r="J53" s="61">
        <f>AVERAGE(J51:J52)</f>
        <v>0.25</v>
      </c>
      <c r="K53" s="61">
        <f>AVERAGE(K51:K52)</f>
        <v>0.75</v>
      </c>
      <c r="L53" s="61">
        <f>AVERAGE(L51:L52)</f>
        <v>0</v>
      </c>
      <c r="M53" s="61">
        <f>AVERAGE(M51:M52)</f>
        <v>0</v>
      </c>
      <c r="N53" s="62">
        <f t="shared" si="1"/>
        <v>1</v>
      </c>
      <c r="P53" s="60"/>
      <c r="Q53" s="61">
        <f>AVERAGE(Q51:Q52)</f>
        <v>0.1875</v>
      </c>
      <c r="R53" s="61">
        <f>AVERAGE(R51:R52)</f>
        <v>0.8125</v>
      </c>
      <c r="S53" s="61">
        <f>AVERAGE(S51:S52)</f>
        <v>0</v>
      </c>
      <c r="T53" s="61">
        <f>AVERAGE(T51:T52)</f>
        <v>0</v>
      </c>
      <c r="U53" s="62">
        <f t="shared" si="2"/>
        <v>1</v>
      </c>
      <c r="W53" s="60"/>
      <c r="X53" s="61">
        <f>AVERAGE(X51:X52)</f>
        <v>0.5</v>
      </c>
      <c r="Y53" s="61">
        <f>AVERAGE(Y51:Y52)</f>
        <v>0.5</v>
      </c>
      <c r="Z53" s="61">
        <f>AVERAGE(Z51:Z52)</f>
        <v>0</v>
      </c>
      <c r="AA53" s="61">
        <f>AVERAGE(AA51:AA52)</f>
        <v>0</v>
      </c>
      <c r="AB53" s="62">
        <f t="shared" si="3"/>
        <v>1</v>
      </c>
      <c r="AD53" s="60"/>
      <c r="AE53" s="61">
        <f>AVERAGE(AE51:AE52)</f>
        <v>0</v>
      </c>
      <c r="AF53" s="61">
        <f>AVERAGE(AF51:AF52)</f>
        <v>1</v>
      </c>
      <c r="AG53" s="61">
        <f>AVERAGE(AG51:AG52)</f>
        <v>0</v>
      </c>
      <c r="AH53" s="61">
        <f>AVERAGE(AH51:AH52)</f>
        <v>0</v>
      </c>
      <c r="AI53" s="62">
        <f t="shared" si="4"/>
        <v>1</v>
      </c>
      <c r="AK53" s="60"/>
      <c r="AL53" s="61">
        <f>AVERAGE(AL51:AL52)</f>
        <v>0.16666666666666666</v>
      </c>
      <c r="AM53" s="61">
        <f>AVERAGE(AM51:AM52)</f>
        <v>0.83333333333333326</v>
      </c>
      <c r="AN53" s="61">
        <f>AVERAGE(AN51:AN52)</f>
        <v>0</v>
      </c>
      <c r="AO53" s="61">
        <f>AVERAGE(AO51:AO52)</f>
        <v>0</v>
      </c>
      <c r="AP53" s="62">
        <f t="shared" si="5"/>
        <v>0.99999999999999989</v>
      </c>
      <c r="AR53" s="60"/>
      <c r="AS53" s="61" t="e">
        <f>AVERAGE(AS51:AS52)</f>
        <v>#DIV/0!</v>
      </c>
      <c r="AT53" s="61" t="e">
        <f>AVERAGE(AT51:AT52)</f>
        <v>#DIV/0!</v>
      </c>
      <c r="AU53" s="61" t="e">
        <f>AVERAGE(AU51:AU52)</f>
        <v>#DIV/0!</v>
      </c>
      <c r="AV53" s="61" t="e">
        <f>AVERAGE(AV51:AV52)</f>
        <v>#DIV/0!</v>
      </c>
      <c r="AW53" s="62" t="e">
        <f t="shared" si="6"/>
        <v>#DIV/0!</v>
      </c>
      <c r="AY53" s="60"/>
      <c r="AZ53" s="61">
        <f>AVERAGE(AZ51:AZ52)</f>
        <v>0</v>
      </c>
      <c r="BA53" s="61">
        <f>AVERAGE(BA51:BA52)</f>
        <v>1</v>
      </c>
      <c r="BB53" s="61">
        <f>AVERAGE(BB51:BB52)</f>
        <v>0</v>
      </c>
      <c r="BC53" s="61">
        <f>AVERAGE(BC51:BC52)</f>
        <v>0</v>
      </c>
      <c r="BD53" s="62">
        <f t="shared" si="7"/>
        <v>1</v>
      </c>
      <c r="BF53" s="60"/>
      <c r="BG53" s="61">
        <f>AVERAGE(BG51:BG52)</f>
        <v>0.25</v>
      </c>
      <c r="BH53" s="61">
        <f>AVERAGE(BH51:BH52)</f>
        <v>0.75</v>
      </c>
      <c r="BI53" s="61">
        <f>AVERAGE(BI51:BI52)</f>
        <v>0</v>
      </c>
      <c r="BJ53" s="61">
        <f>AVERAGE(BJ51:BJ52)</f>
        <v>0</v>
      </c>
      <c r="BK53" s="62">
        <f t="shared" si="8"/>
        <v>1</v>
      </c>
    </row>
    <row r="54" spans="2:63" ht="16.5" x14ac:dyDescent="0.3">
      <c r="B54" s="57" t="s">
        <v>33</v>
      </c>
      <c r="C54" s="66">
        <f>COUNTIFS(TblUniv2019[D1],C$44)/$C$43*100%</f>
        <v>0</v>
      </c>
      <c r="D54" s="66">
        <f>COUNTIFS(TblUniv2019[D1],D$44)/$C$43*100%</f>
        <v>0.5161290322580645</v>
      </c>
      <c r="E54" s="66">
        <f>COUNTIFS(TblUniv2019[D1],E$44)/$C$43*100%</f>
        <v>0.4838709677419355</v>
      </c>
      <c r="F54" s="66">
        <f>COUNTIFS(TblUniv2019[D1],F$44)/$C$43*100%</f>
        <v>0</v>
      </c>
      <c r="G54" s="62">
        <f t="shared" si="0"/>
        <v>1</v>
      </c>
      <c r="I54" s="57" t="s">
        <v>33</v>
      </c>
      <c r="J54" s="66">
        <f>COUNTIFS(TblUniv2019[D1],J$44,TblUniv2019[Prodi],$J$41)/$J$43*100%</f>
        <v>0</v>
      </c>
      <c r="K54" s="66">
        <f>COUNTIFS(TblUniv2019[D1],K$44,TblUniv2019[Prodi],$J$41)/$J$43*100%</f>
        <v>0.66666666666666663</v>
      </c>
      <c r="L54" s="66">
        <f>COUNTIFS(TblUniv2019[D1],L$44,TblUniv2019[Prodi],$J$41)/$J$43*100%</f>
        <v>0.33333333333333331</v>
      </c>
      <c r="M54" s="66">
        <f>COUNTIFS(TblUniv2019[D1],M$44,TblUniv2019[Prodi],$J$41)/$J$43*100%</f>
        <v>0</v>
      </c>
      <c r="N54" s="62">
        <f t="shared" si="1"/>
        <v>1</v>
      </c>
      <c r="P54" s="57" t="s">
        <v>33</v>
      </c>
      <c r="Q54" s="66">
        <f>COUNTIFS(TblUniv2019[D1],Q$44,TblUniv2019[Prodi],$Q$41)/$Q$43*100%</f>
        <v>0</v>
      </c>
      <c r="R54" s="66">
        <f>COUNTIFS(TblUniv2019[D1],R$44,TblUniv2019[Prodi],$Q$41)/$Q$43*100%</f>
        <v>0.375</v>
      </c>
      <c r="S54" s="66">
        <f>COUNTIFS(TblUniv2019[D1],S$44,TblUniv2019[Prodi],$Q$41)/$Q$43*100%</f>
        <v>0.625</v>
      </c>
      <c r="T54" s="66">
        <f>COUNTIFS(TblUniv2019[D1],T$44,TblUniv2019[Prodi],$Q$41)/$Q$43*100%</f>
        <v>0</v>
      </c>
      <c r="U54" s="62">
        <f t="shared" si="2"/>
        <v>1</v>
      </c>
      <c r="W54" s="57" t="s">
        <v>33</v>
      </c>
      <c r="X54" s="66">
        <f>COUNTIFS(TblUniv2019[D1],X$44,TblUniv2019[Prodi],$X$41)/$X$43*100%</f>
        <v>0</v>
      </c>
      <c r="Y54" s="66">
        <f>COUNTIFS(TblUniv2019[D1],Y$44,TblUniv2019[Prodi],$X$41)/$X$43*100%</f>
        <v>1</v>
      </c>
      <c r="Z54" s="66">
        <f>COUNTIFS(TblUniv2019[D1],Z$44,TblUniv2019[Prodi],$X$41)/$X$43*100%</f>
        <v>0</v>
      </c>
      <c r="AA54" s="66">
        <f>COUNTIFS(TblUniv2019[D1],AA$44,TblUniv2019[Prodi],$X$41)/$X$43*100%</f>
        <v>0</v>
      </c>
      <c r="AB54" s="62">
        <f t="shared" si="3"/>
        <v>1</v>
      </c>
      <c r="AD54" s="57" t="s">
        <v>33</v>
      </c>
      <c r="AE54" s="66">
        <f>COUNTIFS(TblUniv2019[D1],AE$44,TblUniv2019[Prodi],$AE$41)/$AE$43*100%</f>
        <v>0</v>
      </c>
      <c r="AF54" s="66">
        <f>COUNTIFS(TblUniv2019[D1],AF$44,TblUniv2019[Prodi],$AE$41)/$AE$43*100%</f>
        <v>0</v>
      </c>
      <c r="AG54" s="66">
        <f>COUNTIFS(TblUniv2019[D1],AG$44,TblUniv2019[Prodi],$AE$41)/$AE$43*100%</f>
        <v>1</v>
      </c>
      <c r="AH54" s="66">
        <f>COUNTIFS(TblUniv2019[D1],AH$44,TblUniv2019[Prodi],$AE$41)/$AE$43*100%</f>
        <v>0</v>
      </c>
      <c r="AI54" s="62">
        <f t="shared" si="4"/>
        <v>1</v>
      </c>
      <c r="AK54" s="57" t="s">
        <v>33</v>
      </c>
      <c r="AL54" s="66">
        <f>COUNTIFS(TblUniv2019[D1],AL$44,TblUniv2019[Prodi],$AL$41)/$AL$43*100%</f>
        <v>0</v>
      </c>
      <c r="AM54" s="66">
        <f>COUNTIFS(TblUniv2019[D1],AM$44,TblUniv2019[Prodi],$AL$41)/$AL$43*100%</f>
        <v>0.33333333333333331</v>
      </c>
      <c r="AN54" s="66">
        <f>COUNTIFS(TblUniv2019[D1],AN$44,TblUniv2019[Prodi],$AL$41)/$AL$43*100%</f>
        <v>0.66666666666666663</v>
      </c>
      <c r="AO54" s="66">
        <f>COUNTIFS(TblUniv2019[D1],AO$44,TblUniv2019[Prodi],$AL$41)/$AL$43*100%</f>
        <v>0</v>
      </c>
      <c r="AP54" s="62">
        <f t="shared" si="5"/>
        <v>1</v>
      </c>
      <c r="AR54" s="57" t="s">
        <v>33</v>
      </c>
      <c r="AS54" s="66" t="e">
        <f>COUNTIFS(TblUniv2019[D1],AS$44,TblUniv2019[Prodi],$AS$41)/$AS$43*100%</f>
        <v>#DIV/0!</v>
      </c>
      <c r="AT54" s="66" t="e">
        <f>COUNTIFS(TblUniv2019[D1],AT$44,TblUniv2019[Prodi],$AS$41)/$AS$43*100%</f>
        <v>#DIV/0!</v>
      </c>
      <c r="AU54" s="66" t="e">
        <f>COUNTIFS(TblUniv2019[D1],AU$44,TblUniv2019[Prodi],$AS$41)/$AS$43*100%</f>
        <v>#DIV/0!</v>
      </c>
      <c r="AV54" s="66" t="e">
        <f>COUNTIFS(TblUniv2019[D1],AV$44,TblUniv2019[Prodi],$AS$41)/$AS$43*100%</f>
        <v>#DIV/0!</v>
      </c>
      <c r="AW54" s="62" t="e">
        <f t="shared" si="6"/>
        <v>#DIV/0!</v>
      </c>
      <c r="AY54" s="57" t="s">
        <v>33</v>
      </c>
      <c r="AZ54" s="66">
        <f>COUNTIFS(TblUniv2019[D1],AZ$44,TblUniv2019[Prodi],$AZ$41)/$AZ$43*100%</f>
        <v>0</v>
      </c>
      <c r="BA54" s="66">
        <f>COUNTIFS(TblUniv2019[D1],BA$44,TblUniv2019[Prodi],$AZ$41)/$AZ$43*100%</f>
        <v>0.5</v>
      </c>
      <c r="BB54" s="66">
        <f>COUNTIFS(TblUniv2019[D1],BB$44,TblUniv2019[Prodi],$AZ$41)/$AZ$43*100%</f>
        <v>0.5</v>
      </c>
      <c r="BC54" s="66">
        <f>COUNTIFS(TblUniv2019[D1],BC$44,TblUniv2019[Prodi],$AZ$41)/$AZ$43*100%</f>
        <v>0</v>
      </c>
      <c r="BD54" s="62">
        <f t="shared" si="7"/>
        <v>1</v>
      </c>
      <c r="BF54" s="57" t="s">
        <v>33</v>
      </c>
      <c r="BG54" s="66">
        <f>COUNTIFS(TblUniv2019[D1],BG$44,TblUniv2019[Prodi],$BG$41)/$BG$43*100%</f>
        <v>0</v>
      </c>
      <c r="BH54" s="66">
        <f>COUNTIFS(TblUniv2019[D1],BH$44,TblUniv2019[Prodi],$BG$41)/$BG$43*100%</f>
        <v>0.5</v>
      </c>
      <c r="BI54" s="66">
        <f>COUNTIFS(TblUniv2019[D1],BI$44,TblUniv2019[Prodi],$BG$41)/$BG$43*100%</f>
        <v>0.5</v>
      </c>
      <c r="BJ54" s="66">
        <f>COUNTIFS(TblUniv2019[D1],BJ$44,TblUniv2019[Prodi],$BG$41)/$BG$43*100%</f>
        <v>0</v>
      </c>
      <c r="BK54" s="62">
        <f t="shared" si="8"/>
        <v>1</v>
      </c>
    </row>
    <row r="55" spans="2:63" ht="16.5" x14ac:dyDescent="0.3">
      <c r="B55" s="57" t="s">
        <v>34</v>
      </c>
      <c r="C55" s="66">
        <f>COUNTIFS(TblUniv2019[D2],C$44)/$C$43*100%</f>
        <v>0</v>
      </c>
      <c r="D55" s="66">
        <f>COUNTIFS(TblUniv2019[D2],D$44)/$C$43*100%</f>
        <v>0.61290322580645162</v>
      </c>
      <c r="E55" s="66">
        <f>COUNTIFS(TblUniv2019[D2],E$44)/$C$43*100%</f>
        <v>0.38709677419354838</v>
      </c>
      <c r="F55" s="66">
        <f>COUNTIFS(TblUniv2019[D2],F$44)/$C$43*100%</f>
        <v>0</v>
      </c>
      <c r="G55" s="62">
        <f t="shared" si="0"/>
        <v>1</v>
      </c>
      <c r="I55" s="57" t="s">
        <v>34</v>
      </c>
      <c r="J55" s="66">
        <f>COUNTIFS(TblUniv2019[D2],J$44,TblUniv2019[Prodi],$J$41)/$J$43*100%</f>
        <v>0</v>
      </c>
      <c r="K55" s="66">
        <f>COUNTIFS(TblUniv2019[D2],K$44,TblUniv2019[Prodi],$J$41)/$J$43*100%</f>
        <v>0.66666666666666663</v>
      </c>
      <c r="L55" s="66">
        <f>COUNTIFS(TblUniv2019[D2],L$44,TblUniv2019[Prodi],$J$41)/$J$43*100%</f>
        <v>0.33333333333333331</v>
      </c>
      <c r="M55" s="66">
        <f>COUNTIFS(TblUniv2019[D2],M$44,TblUniv2019[Prodi],$J$41)/$J$43*100%</f>
        <v>0</v>
      </c>
      <c r="N55" s="62">
        <f t="shared" si="1"/>
        <v>1</v>
      </c>
      <c r="P55" s="57" t="s">
        <v>34</v>
      </c>
      <c r="Q55" s="66">
        <f>COUNTIFS(TblUniv2019[D2],Q$44,TblUniv2019[Prodi],$Q$41)/$Q$43*100%</f>
        <v>0</v>
      </c>
      <c r="R55" s="66">
        <f>COUNTIFS(TblUniv2019[D2],R$44,TblUniv2019[Prodi],$Q$41)/$Q$43*100%</f>
        <v>0.5</v>
      </c>
      <c r="S55" s="66">
        <f>COUNTIFS(TblUniv2019[D2],S$44,TblUniv2019[Prodi],$Q$41)/$Q$43*100%</f>
        <v>0.5</v>
      </c>
      <c r="T55" s="66">
        <f>COUNTIFS(TblUniv2019[D2],T$44,TblUniv2019[Prodi],$Q$41)/$Q$43*100%</f>
        <v>0</v>
      </c>
      <c r="U55" s="62">
        <f t="shared" si="2"/>
        <v>1</v>
      </c>
      <c r="W55" s="57" t="s">
        <v>34</v>
      </c>
      <c r="X55" s="66">
        <f>COUNTIFS(TblUniv2019[D2],X$44,TblUniv2019[Prodi],$X$41)/$X$43*100%</f>
        <v>0</v>
      </c>
      <c r="Y55" s="66">
        <f>COUNTIFS(TblUniv2019[D2],Y$44,TblUniv2019[Prodi],$X$41)/$X$43*100%</f>
        <v>1</v>
      </c>
      <c r="Z55" s="66">
        <f>COUNTIFS(TblUniv2019[D2],Z$44,TblUniv2019[Prodi],$X$41)/$X$43*100%</f>
        <v>0</v>
      </c>
      <c r="AA55" s="66">
        <f>COUNTIFS(TblUniv2019[D2],AA$44,TblUniv2019[Prodi],$X$41)/$X$43*100%</f>
        <v>0</v>
      </c>
      <c r="AB55" s="62">
        <f t="shared" si="3"/>
        <v>1</v>
      </c>
      <c r="AD55" s="57" t="s">
        <v>34</v>
      </c>
      <c r="AE55" s="66">
        <f>COUNTIFS(TblUniv2019[D2],AE$44,TblUniv2019[Prodi],$AE$41)/$AE$43*100%</f>
        <v>0</v>
      </c>
      <c r="AF55" s="66">
        <f>COUNTIFS(TblUniv2019[D2],AF$44,TblUniv2019[Prodi],$AE$41)/$AE$43*100%</f>
        <v>0</v>
      </c>
      <c r="AG55" s="66">
        <f>COUNTIFS(TblUniv2019[D2],AG$44,TblUniv2019[Prodi],$AE$41)/$AE$43*100%</f>
        <v>1</v>
      </c>
      <c r="AH55" s="66">
        <f>COUNTIFS(TblUniv2019[D2],AH$44,TblUniv2019[Prodi],$AE$41)/$AE$43*100%</f>
        <v>0</v>
      </c>
      <c r="AI55" s="62">
        <f t="shared" si="4"/>
        <v>1</v>
      </c>
      <c r="AK55" s="57" t="s">
        <v>34</v>
      </c>
      <c r="AL55" s="66">
        <f>COUNTIFS(TblUniv2019[D2],AL$44,TblUniv2019[Prodi],$AL$41)/$AL$43*100%</f>
        <v>0</v>
      </c>
      <c r="AM55" s="66">
        <f>COUNTIFS(TblUniv2019[D2],AM$44,TblUniv2019[Prodi],$AL$41)/$AL$43*100%</f>
        <v>0.5</v>
      </c>
      <c r="AN55" s="66">
        <f>COUNTIFS(TblUniv2019[D2],AN$44,TblUniv2019[Prodi],$AL$41)/$AL$43*100%</f>
        <v>0.5</v>
      </c>
      <c r="AO55" s="66">
        <f>COUNTIFS(TblUniv2019[D2],AO$44,TblUniv2019[Prodi],$AL$41)/$AL$43*100%</f>
        <v>0</v>
      </c>
      <c r="AP55" s="62">
        <f t="shared" si="5"/>
        <v>1</v>
      </c>
      <c r="AR55" s="57" t="s">
        <v>34</v>
      </c>
      <c r="AS55" s="66" t="e">
        <f>COUNTIFS(TblUniv2019[D2],AS$44,TblUniv2019[Prodi],$AS$41)/$AS$43*100%</f>
        <v>#DIV/0!</v>
      </c>
      <c r="AT55" s="66" t="e">
        <f>COUNTIFS(TblUniv2019[D2],AT$44,TblUniv2019[Prodi],$AS$41)/$AS$43*100%</f>
        <v>#DIV/0!</v>
      </c>
      <c r="AU55" s="66" t="e">
        <f>COUNTIFS(TblUniv2019[D2],AU$44,TblUniv2019[Prodi],$AS$41)/$AS$43*100%</f>
        <v>#DIV/0!</v>
      </c>
      <c r="AV55" s="66" t="e">
        <f>COUNTIFS(TblUniv2019[D2],AV$44,TblUniv2019[Prodi],$AS$41)/$AS$43*100%</f>
        <v>#DIV/0!</v>
      </c>
      <c r="AW55" s="62" t="e">
        <f t="shared" si="6"/>
        <v>#DIV/0!</v>
      </c>
      <c r="AY55" s="57" t="s">
        <v>34</v>
      </c>
      <c r="AZ55" s="66">
        <f>COUNTIFS(TblUniv2019[D2],AZ$44,TblUniv2019[Prodi],$AZ$41)/$AZ$43*100%</f>
        <v>0</v>
      </c>
      <c r="BA55" s="66">
        <f>COUNTIFS(TblUniv2019[D2],BA$44,TblUniv2019[Prodi],$AZ$41)/$AZ$43*100%</f>
        <v>0.5</v>
      </c>
      <c r="BB55" s="66">
        <f>COUNTIFS(TblUniv2019[D2],BB$44,TblUniv2019[Prodi],$AZ$41)/$AZ$43*100%</f>
        <v>0.5</v>
      </c>
      <c r="BC55" s="66">
        <f>COUNTIFS(TblUniv2019[D2],BC$44,TblUniv2019[Prodi],$AZ$41)/$AZ$43*100%</f>
        <v>0</v>
      </c>
      <c r="BD55" s="62">
        <f t="shared" si="7"/>
        <v>1</v>
      </c>
      <c r="BF55" s="57" t="s">
        <v>34</v>
      </c>
      <c r="BG55" s="66">
        <f>COUNTIFS(TblUniv2019[D2],BG$44,TblUniv2019[Prodi],$BG$41)/$BG$43*100%</f>
        <v>0</v>
      </c>
      <c r="BH55" s="66">
        <f>COUNTIFS(TblUniv2019[D2],BH$44,TblUniv2019[Prodi],$BG$41)/$BG$43*100%</f>
        <v>1</v>
      </c>
      <c r="BI55" s="66">
        <f>COUNTIFS(TblUniv2019[D2],BI$44,TblUniv2019[Prodi],$BG$41)/$BG$43*100%</f>
        <v>0</v>
      </c>
      <c r="BJ55" s="66">
        <f>COUNTIFS(TblUniv2019[D2],BJ$44,TblUniv2019[Prodi],$BG$41)/$BG$43*100%</f>
        <v>0</v>
      </c>
      <c r="BK55" s="62">
        <f t="shared" si="8"/>
        <v>1</v>
      </c>
    </row>
    <row r="56" spans="2:63" ht="16.5" x14ac:dyDescent="0.3">
      <c r="B56" s="60"/>
      <c r="C56" s="61">
        <f>AVERAGE(C54:C55)</f>
        <v>0</v>
      </c>
      <c r="D56" s="61">
        <f>AVERAGE(D54:D55)</f>
        <v>0.56451612903225801</v>
      </c>
      <c r="E56" s="61">
        <f>AVERAGE(E54:E55)</f>
        <v>0.43548387096774194</v>
      </c>
      <c r="F56" s="61">
        <f>AVERAGE(F54:F55)</f>
        <v>0</v>
      </c>
      <c r="G56" s="62">
        <f t="shared" si="0"/>
        <v>1</v>
      </c>
      <c r="I56" s="60"/>
      <c r="J56" s="61">
        <f>AVERAGE(J54:J55)</f>
        <v>0</v>
      </c>
      <c r="K56" s="61">
        <f>AVERAGE(K54:K55)</f>
        <v>0.66666666666666663</v>
      </c>
      <c r="L56" s="61">
        <f>AVERAGE(L54:L55)</f>
        <v>0.33333333333333331</v>
      </c>
      <c r="M56" s="61">
        <f>AVERAGE(M54:M55)</f>
        <v>0</v>
      </c>
      <c r="N56" s="62">
        <f t="shared" si="1"/>
        <v>1</v>
      </c>
      <c r="P56" s="60"/>
      <c r="Q56" s="61">
        <f>AVERAGE(Q54:Q55)</f>
        <v>0</v>
      </c>
      <c r="R56" s="61">
        <f>AVERAGE(R54:R55)</f>
        <v>0.4375</v>
      </c>
      <c r="S56" s="61">
        <f>AVERAGE(S54:S55)</f>
        <v>0.5625</v>
      </c>
      <c r="T56" s="61">
        <f>AVERAGE(T54:T55)</f>
        <v>0</v>
      </c>
      <c r="U56" s="62">
        <f t="shared" si="2"/>
        <v>1</v>
      </c>
      <c r="W56" s="60"/>
      <c r="X56" s="61">
        <f>AVERAGE(X54:X55)</f>
        <v>0</v>
      </c>
      <c r="Y56" s="61">
        <f>AVERAGE(Y54:Y55)</f>
        <v>1</v>
      </c>
      <c r="Z56" s="61">
        <f>AVERAGE(Z54:Z55)</f>
        <v>0</v>
      </c>
      <c r="AA56" s="61">
        <f>AVERAGE(AA54:AA55)</f>
        <v>0</v>
      </c>
      <c r="AB56" s="62">
        <f t="shared" si="3"/>
        <v>1</v>
      </c>
      <c r="AD56" s="60"/>
      <c r="AE56" s="61">
        <f>AVERAGE(AE54:AE55)</f>
        <v>0</v>
      </c>
      <c r="AF56" s="61">
        <f>AVERAGE(AF54:AF55)</f>
        <v>0</v>
      </c>
      <c r="AG56" s="61">
        <f>AVERAGE(AG54:AG55)</f>
        <v>1</v>
      </c>
      <c r="AH56" s="61">
        <f>AVERAGE(AH54:AH55)</f>
        <v>0</v>
      </c>
      <c r="AI56" s="62">
        <f t="shared" si="4"/>
        <v>1</v>
      </c>
      <c r="AK56" s="60"/>
      <c r="AL56" s="61">
        <f>AVERAGE(AL54:AL55)</f>
        <v>0</v>
      </c>
      <c r="AM56" s="61">
        <f>AVERAGE(AM54:AM55)</f>
        <v>0.41666666666666663</v>
      </c>
      <c r="AN56" s="61">
        <f>AVERAGE(AN54:AN55)</f>
        <v>0.58333333333333326</v>
      </c>
      <c r="AO56" s="61">
        <f>AVERAGE(AO54:AO55)</f>
        <v>0</v>
      </c>
      <c r="AP56" s="62">
        <f t="shared" si="5"/>
        <v>0.99999999999999989</v>
      </c>
      <c r="AR56" s="60"/>
      <c r="AS56" s="61" t="e">
        <f>AVERAGE(AS54:AS55)</f>
        <v>#DIV/0!</v>
      </c>
      <c r="AT56" s="61" t="e">
        <f>AVERAGE(AT54:AT55)</f>
        <v>#DIV/0!</v>
      </c>
      <c r="AU56" s="61" t="e">
        <f>AVERAGE(AU54:AU55)</f>
        <v>#DIV/0!</v>
      </c>
      <c r="AV56" s="61" t="e">
        <f>AVERAGE(AV54:AV55)</f>
        <v>#DIV/0!</v>
      </c>
      <c r="AW56" s="62" t="e">
        <f t="shared" si="6"/>
        <v>#DIV/0!</v>
      </c>
      <c r="AY56" s="60"/>
      <c r="AZ56" s="61">
        <f>AVERAGE(AZ54:AZ55)</f>
        <v>0</v>
      </c>
      <c r="BA56" s="61">
        <f>AVERAGE(BA54:BA55)</f>
        <v>0.5</v>
      </c>
      <c r="BB56" s="61">
        <f>AVERAGE(BB54:BB55)</f>
        <v>0.5</v>
      </c>
      <c r="BC56" s="61">
        <f>AVERAGE(BC54:BC55)</f>
        <v>0</v>
      </c>
      <c r="BD56" s="62">
        <f t="shared" si="7"/>
        <v>1</v>
      </c>
      <c r="BF56" s="60"/>
      <c r="BG56" s="61">
        <f>AVERAGE(BG54:BG55)</f>
        <v>0</v>
      </c>
      <c r="BH56" s="61">
        <f>AVERAGE(BH54:BH55)</f>
        <v>0.75</v>
      </c>
      <c r="BI56" s="61">
        <f>AVERAGE(BI54:BI55)</f>
        <v>0.25</v>
      </c>
      <c r="BJ56" s="61">
        <f>AVERAGE(BJ54:BJ55)</f>
        <v>0</v>
      </c>
      <c r="BK56" s="62">
        <f t="shared" si="8"/>
        <v>1</v>
      </c>
    </row>
    <row r="57" spans="2:63" ht="16.5" x14ac:dyDescent="0.3">
      <c r="B57" s="57" t="s">
        <v>35</v>
      </c>
      <c r="C57" s="66">
        <f>COUNTIFS(TblUniv2019[E1],C$44)/$C$43*100%</f>
        <v>0.41935483870967744</v>
      </c>
      <c r="D57" s="66">
        <f>COUNTIFS(TblUniv2019[E1],D$44)/$C$43*100%</f>
        <v>0.58064516129032262</v>
      </c>
      <c r="E57" s="66">
        <f>COUNTIFS(TblUniv2019[E1],E$44)/$C$43*100%</f>
        <v>0</v>
      </c>
      <c r="F57" s="66">
        <f>COUNTIFS(TblUniv2019[E1],F$44)/$C$43*100%</f>
        <v>0</v>
      </c>
      <c r="G57" s="62">
        <f t="shared" si="0"/>
        <v>1</v>
      </c>
      <c r="I57" s="57" t="s">
        <v>35</v>
      </c>
      <c r="J57" s="66">
        <f>COUNTIFS(TblUniv2019[E1],J$44,TblUniv2019[Prodi],$J$41)/$J$43*100%</f>
        <v>0.33333333333333331</v>
      </c>
      <c r="K57" s="66">
        <f>COUNTIFS(TblUniv2019[E1],K$44,TblUniv2019[Prodi],$J$41)/$J$43*100%</f>
        <v>0.66666666666666663</v>
      </c>
      <c r="L57" s="66">
        <f>COUNTIFS(TblUniv2019[E1],L$44,TblUniv2019[Prodi],$J$41)/$J$43*100%</f>
        <v>0</v>
      </c>
      <c r="M57" s="66">
        <f>COUNTIFS(TblUniv2019[E1],M$44,TblUniv2019[Prodi],$J$41)/$J$43*100%</f>
        <v>0</v>
      </c>
      <c r="N57" s="62">
        <f t="shared" si="1"/>
        <v>1</v>
      </c>
      <c r="P57" s="57" t="s">
        <v>35</v>
      </c>
      <c r="Q57" s="66">
        <f>COUNTIFS(TblUniv2019[E1],Q$44,TblUniv2019[Prodi],$Q$41)/$Q$43*100%</f>
        <v>0.5</v>
      </c>
      <c r="R57" s="66">
        <f>COUNTIFS(TblUniv2019[E1],R$44,TblUniv2019[Prodi],$Q$41)/$Q$43*100%</f>
        <v>0.5</v>
      </c>
      <c r="S57" s="66">
        <f>COUNTIFS(TblUniv2019[E1],S$44,TblUniv2019[Prodi],$Q$41)/$Q$43*100%</f>
        <v>0</v>
      </c>
      <c r="T57" s="66">
        <f>COUNTIFS(TblUniv2019[E1],T$44,TblUniv2019[Prodi],$Q$41)/$Q$43*100%</f>
        <v>0</v>
      </c>
      <c r="U57" s="62">
        <f t="shared" si="2"/>
        <v>1</v>
      </c>
      <c r="W57" s="57" t="s">
        <v>35</v>
      </c>
      <c r="X57" s="66">
        <f>COUNTIFS(TblUniv2019[E1],X$44,TblUniv2019[Prodi],$X$41)/$X$43*100%</f>
        <v>0</v>
      </c>
      <c r="Y57" s="66">
        <f>COUNTIFS(TblUniv2019[E1],Y$44,TblUniv2019[Prodi],$X$41)/$X$43*100%</f>
        <v>1</v>
      </c>
      <c r="Z57" s="66">
        <f>COUNTIFS(TblUniv2019[E1],Z$44,TblUniv2019[Prodi],$X$41)/$X$43*100%</f>
        <v>0</v>
      </c>
      <c r="AA57" s="66">
        <f>COUNTIFS(TblUniv2019[E1],AA$44,TblUniv2019[Prodi],$X$41)/$X$43*100%</f>
        <v>0</v>
      </c>
      <c r="AB57" s="62">
        <f t="shared" si="3"/>
        <v>1</v>
      </c>
      <c r="AD57" s="57" t="s">
        <v>35</v>
      </c>
      <c r="AE57" s="66">
        <f>COUNTIFS(TblUniv2019[E1],AE$44,TblUniv2019[Prodi],$AE$41)/$AE$43*100%</f>
        <v>1</v>
      </c>
      <c r="AF57" s="66">
        <f>COUNTIFS(TblUniv2019[E1],AF$44,TblUniv2019[Prodi],$AE$41)/$AE$43*100%</f>
        <v>0</v>
      </c>
      <c r="AG57" s="66">
        <f>COUNTIFS(TblUniv2019[E1],AG$44,TblUniv2019[Prodi],$AE$41)/$AE$43*100%</f>
        <v>0</v>
      </c>
      <c r="AH57" s="66">
        <f>COUNTIFS(TblUniv2019[E1],AH$44,TblUniv2019[Prodi],$AE$41)/$AE$43*100%</f>
        <v>0</v>
      </c>
      <c r="AI57" s="62">
        <f t="shared" si="4"/>
        <v>1</v>
      </c>
      <c r="AK57" s="57" t="s">
        <v>35</v>
      </c>
      <c r="AL57" s="66">
        <f>COUNTIFS(TblUniv2019[E1],AL$44,TblUniv2019[Prodi],$AL$41)/$AL$43*100%</f>
        <v>0.5</v>
      </c>
      <c r="AM57" s="66">
        <f>COUNTIFS(TblUniv2019[E1],AM$44,TblUniv2019[Prodi],$AL$41)/$AL$43*100%</f>
        <v>0.5</v>
      </c>
      <c r="AN57" s="66">
        <f>COUNTIFS(TblUniv2019[E1],AN$44,TblUniv2019[Prodi],$AL$41)/$AL$43*100%</f>
        <v>0</v>
      </c>
      <c r="AO57" s="66">
        <f>COUNTIFS(TblUniv2019[E1],AO$44,TblUniv2019[Prodi],$AL$41)/$AL$43*100%</f>
        <v>0</v>
      </c>
      <c r="AP57" s="62">
        <f t="shared" si="5"/>
        <v>1</v>
      </c>
      <c r="AR57" s="57" t="s">
        <v>35</v>
      </c>
      <c r="AS57" s="66" t="e">
        <f>COUNTIFS(TblUniv2019[E1],AS$44,TblUniv2019[Prodi],$AS$41)/$AS$43*100%</f>
        <v>#DIV/0!</v>
      </c>
      <c r="AT57" s="66" t="e">
        <f>COUNTIFS(TblUniv2019[E1],AT$44,TblUniv2019[Prodi],$AS$41)/$AS$43*100%</f>
        <v>#DIV/0!</v>
      </c>
      <c r="AU57" s="66" t="e">
        <f>COUNTIFS(TblUniv2019[E1],AU$44,TblUniv2019[Prodi],$AS$41)/$AS$43*100%</f>
        <v>#DIV/0!</v>
      </c>
      <c r="AV57" s="66" t="e">
        <f>COUNTIFS(TblUniv2019[E1],AV$44,TblUniv2019[Prodi],$AS$41)/$AS$43*100%</f>
        <v>#DIV/0!</v>
      </c>
      <c r="AW57" s="62" t="e">
        <f t="shared" si="6"/>
        <v>#DIV/0!</v>
      </c>
      <c r="AY57" s="57" t="s">
        <v>35</v>
      </c>
      <c r="AZ57" s="66">
        <f>COUNTIFS(TblUniv2019[E1],AZ$44,TblUniv2019[Prodi],$AZ$41)/$AZ$43*100%</f>
        <v>0.75</v>
      </c>
      <c r="BA57" s="66">
        <f>COUNTIFS(TblUniv2019[E1],BA$44,TblUniv2019[Prodi],$AZ$41)/$AZ$43*100%</f>
        <v>0.25</v>
      </c>
      <c r="BB57" s="66">
        <f>COUNTIFS(TblUniv2019[E1],BB$44,TblUniv2019[Prodi],$AZ$41)/$AZ$43*100%</f>
        <v>0</v>
      </c>
      <c r="BC57" s="66">
        <f>COUNTIFS(TblUniv2019[E1],BC$44,TblUniv2019[Prodi],$AZ$41)/$AZ$43*100%</f>
        <v>0</v>
      </c>
      <c r="BD57" s="62">
        <f t="shared" si="7"/>
        <v>1</v>
      </c>
      <c r="BF57" s="57" t="s">
        <v>35</v>
      </c>
      <c r="BG57" s="66">
        <f>COUNTIFS(TblUniv2019[E1],BG$44,TblUniv2019[Prodi],$BG$41)/$BG$43*100%</f>
        <v>0</v>
      </c>
      <c r="BH57" s="66">
        <f>COUNTIFS(TblUniv2019[E1],BH$44,TblUniv2019[Prodi],$BG$41)/$BG$43*100%</f>
        <v>1</v>
      </c>
      <c r="BI57" s="66">
        <f>COUNTIFS(TblUniv2019[E1],BI$44,TblUniv2019[Prodi],$BG$41)/$BG$43*100%</f>
        <v>0</v>
      </c>
      <c r="BJ57" s="66">
        <f>COUNTIFS(TblUniv2019[E1],BJ$44,TblUniv2019[Prodi],$BG$41)/$BG$43*100%</f>
        <v>0</v>
      </c>
      <c r="BK57" s="62">
        <f t="shared" si="8"/>
        <v>1</v>
      </c>
    </row>
    <row r="58" spans="2:63" ht="16.5" x14ac:dyDescent="0.3">
      <c r="B58" s="57" t="s">
        <v>36</v>
      </c>
      <c r="C58" s="66">
        <f>COUNTIFS(TblUniv2019[E2],C$44)/$C$43*100%</f>
        <v>0.41935483870967744</v>
      </c>
      <c r="D58" s="66">
        <f>COUNTIFS(TblUniv2019[E2],D$44)/$C$43*100%</f>
        <v>0.58064516129032262</v>
      </c>
      <c r="E58" s="66">
        <f>COUNTIFS(TblUniv2019[E2],E$44)/$C$43*100%</f>
        <v>0</v>
      </c>
      <c r="F58" s="66">
        <f>COUNTIFS(TblUniv2019[E2],F$44)/$C$43*100%</f>
        <v>0</v>
      </c>
      <c r="G58" s="62">
        <f t="shared" si="0"/>
        <v>1</v>
      </c>
      <c r="I58" s="57" t="s">
        <v>36</v>
      </c>
      <c r="J58" s="66">
        <f>COUNTIFS(TblUniv2019[E2],J$44,TblUniv2019[Prodi],$J$41)/$J$43*100%</f>
        <v>0.33333333333333331</v>
      </c>
      <c r="K58" s="66">
        <f>COUNTIFS(TblUniv2019[E2],K$44,TblUniv2019[Prodi],$J$41)/$J$43*100%</f>
        <v>0.66666666666666663</v>
      </c>
      <c r="L58" s="66">
        <f>COUNTIFS(TblUniv2019[E2],L$44,TblUniv2019[Prodi],$J$41)/$J$43*100%</f>
        <v>0</v>
      </c>
      <c r="M58" s="66">
        <f>COUNTIFS(TblUniv2019[E2],M$44,TblUniv2019[Prodi],$J$41)/$J$43*100%</f>
        <v>0</v>
      </c>
      <c r="N58" s="62">
        <f t="shared" si="1"/>
        <v>1</v>
      </c>
      <c r="P58" s="57" t="s">
        <v>36</v>
      </c>
      <c r="Q58" s="66">
        <f>COUNTIFS(TblUniv2019[E2],Q$44,TblUniv2019[Prodi],$Q$41)/$Q$43*100%</f>
        <v>0.5</v>
      </c>
      <c r="R58" s="66">
        <f>COUNTIFS(TblUniv2019[E2],R$44,TblUniv2019[Prodi],$Q$41)/$Q$43*100%</f>
        <v>0.5</v>
      </c>
      <c r="S58" s="66">
        <f>COUNTIFS(TblUniv2019[E2],S$44,TblUniv2019[Prodi],$Q$41)/$Q$43*100%</f>
        <v>0</v>
      </c>
      <c r="T58" s="66">
        <f>COUNTIFS(TblUniv2019[E2],T$44,TblUniv2019[Prodi],$Q$41)/$Q$43*100%</f>
        <v>0</v>
      </c>
      <c r="U58" s="62">
        <f t="shared" si="2"/>
        <v>1</v>
      </c>
      <c r="W58" s="57" t="s">
        <v>36</v>
      </c>
      <c r="X58" s="66">
        <f>COUNTIFS(TblUniv2019[E2],X$44,TblUniv2019[Prodi],$X$41)/$X$43*100%</f>
        <v>0</v>
      </c>
      <c r="Y58" s="66">
        <f>COUNTIFS(TblUniv2019[E2],Y$44,TblUniv2019[Prodi],$X$41)/$X$43*100%</f>
        <v>1</v>
      </c>
      <c r="Z58" s="66">
        <f>COUNTIFS(TblUniv2019[E2],Z$44,TblUniv2019[Prodi],$X$41)/$X$43*100%</f>
        <v>0</v>
      </c>
      <c r="AA58" s="66">
        <f>COUNTIFS(TblUniv2019[E2],AA$44,TblUniv2019[Prodi],$X$41)/$X$43*100%</f>
        <v>0</v>
      </c>
      <c r="AB58" s="62">
        <f t="shared" si="3"/>
        <v>1</v>
      </c>
      <c r="AD58" s="57" t="s">
        <v>36</v>
      </c>
      <c r="AE58" s="66">
        <f>COUNTIFS(TblUniv2019[E2],AE$44,TblUniv2019[Prodi],$AE$41)/$AE$43*100%</f>
        <v>1</v>
      </c>
      <c r="AF58" s="66">
        <f>COUNTIFS(TblUniv2019[E2],AF$44,TblUniv2019[Prodi],$AE$41)/$AE$43*100%</f>
        <v>0</v>
      </c>
      <c r="AG58" s="66">
        <f>COUNTIFS(TblUniv2019[E2],AG$44,TblUniv2019[Prodi],$AE$41)/$AE$43*100%</f>
        <v>0</v>
      </c>
      <c r="AH58" s="66">
        <f>COUNTIFS(TblUniv2019[E2],AH$44,TblUniv2019[Prodi],$AE$41)/$AE$43*100%</f>
        <v>0</v>
      </c>
      <c r="AI58" s="62">
        <f t="shared" si="4"/>
        <v>1</v>
      </c>
      <c r="AK58" s="57" t="s">
        <v>36</v>
      </c>
      <c r="AL58" s="66">
        <f>COUNTIFS(TblUniv2019[E2],AL$44,TblUniv2019[Prodi],$AL$41)/$AL$43*100%</f>
        <v>0.5</v>
      </c>
      <c r="AM58" s="66">
        <f>COUNTIFS(TblUniv2019[E2],AM$44,TblUniv2019[Prodi],$AL$41)/$AL$43*100%</f>
        <v>0.5</v>
      </c>
      <c r="AN58" s="66">
        <f>COUNTIFS(TblUniv2019[E2],AN$44,TblUniv2019[Prodi],$AL$41)/$AL$43*100%</f>
        <v>0</v>
      </c>
      <c r="AO58" s="66">
        <f>COUNTIFS(TblUniv2019[E2],AO$44,TblUniv2019[Prodi],$AL$41)/$AL$43*100%</f>
        <v>0</v>
      </c>
      <c r="AP58" s="62">
        <f t="shared" si="5"/>
        <v>1</v>
      </c>
      <c r="AR58" s="57" t="s">
        <v>36</v>
      </c>
      <c r="AS58" s="66" t="e">
        <f>COUNTIFS(TblUniv2019[E2],AS$44,TblUniv2019[Prodi],$AS$41)/$AS$43*100%</f>
        <v>#DIV/0!</v>
      </c>
      <c r="AT58" s="66" t="e">
        <f>COUNTIFS(TblUniv2019[E2],AT$44,TblUniv2019[Prodi],$AS$41)/$AS$43*100%</f>
        <v>#DIV/0!</v>
      </c>
      <c r="AU58" s="66" t="e">
        <f>COUNTIFS(TblUniv2019[E2],AU$44,TblUniv2019[Prodi],$AS$41)/$AS$43*100%</f>
        <v>#DIV/0!</v>
      </c>
      <c r="AV58" s="66" t="e">
        <f>COUNTIFS(TblUniv2019[E2],AV$44,TblUniv2019[Prodi],$AS$41)/$AS$43*100%</f>
        <v>#DIV/0!</v>
      </c>
      <c r="AW58" s="62" t="e">
        <f t="shared" si="6"/>
        <v>#DIV/0!</v>
      </c>
      <c r="AY58" s="57" t="s">
        <v>36</v>
      </c>
      <c r="AZ58" s="66">
        <f>COUNTIFS(TblUniv2019[E2],AZ$44,TblUniv2019[Prodi],$AZ$41)/$AZ$43*100%</f>
        <v>0.75</v>
      </c>
      <c r="BA58" s="66">
        <f>COUNTIFS(TblUniv2019[E2],BA$44,TblUniv2019[Prodi],$AZ$41)/$AZ$43*100%</f>
        <v>0.25</v>
      </c>
      <c r="BB58" s="66">
        <f>COUNTIFS(TblUniv2019[E2],BB$44,TblUniv2019[Prodi],$AZ$41)/$AZ$43*100%</f>
        <v>0</v>
      </c>
      <c r="BC58" s="66">
        <f>COUNTIFS(TblUniv2019[E2],BC$44,TblUniv2019[Prodi],$AZ$41)/$AZ$43*100%</f>
        <v>0</v>
      </c>
      <c r="BD58" s="62">
        <f t="shared" si="7"/>
        <v>1</v>
      </c>
      <c r="BF58" s="57" t="s">
        <v>36</v>
      </c>
      <c r="BG58" s="66">
        <f>COUNTIFS(TblUniv2019[E2],BG$44,TblUniv2019[Prodi],$BG$41)/$BG$43*100%</f>
        <v>0</v>
      </c>
      <c r="BH58" s="66">
        <f>COUNTIFS(TblUniv2019[E2],BH$44,TblUniv2019[Prodi],$BG$41)/$BG$43*100%</f>
        <v>1</v>
      </c>
      <c r="BI58" s="66">
        <f>COUNTIFS(TblUniv2019[E2],BI$44,TblUniv2019[Prodi],$BG$41)/$BG$43*100%</f>
        <v>0</v>
      </c>
      <c r="BJ58" s="66">
        <f>COUNTIFS(TblUniv2019[E2],BJ$44,TblUniv2019[Prodi],$BG$41)/$BG$43*100%</f>
        <v>0</v>
      </c>
      <c r="BK58" s="62">
        <f t="shared" si="8"/>
        <v>1</v>
      </c>
    </row>
    <row r="59" spans="2:63" ht="16.5" x14ac:dyDescent="0.3">
      <c r="B59" s="60"/>
      <c r="C59" s="61">
        <f>AVERAGE(C57:C58)</f>
        <v>0.41935483870967744</v>
      </c>
      <c r="D59" s="61">
        <f>AVERAGE(D57:D58)</f>
        <v>0.58064516129032262</v>
      </c>
      <c r="E59" s="61">
        <f>AVERAGE(E57:E58)</f>
        <v>0</v>
      </c>
      <c r="F59" s="61">
        <f>AVERAGE(F57:F58)</f>
        <v>0</v>
      </c>
      <c r="G59" s="62">
        <f t="shared" si="0"/>
        <v>1</v>
      </c>
      <c r="I59" s="60"/>
      <c r="J59" s="61">
        <f>AVERAGE(J57:J58)</f>
        <v>0.33333333333333331</v>
      </c>
      <c r="K59" s="61">
        <f>AVERAGE(K57:K58)</f>
        <v>0.66666666666666663</v>
      </c>
      <c r="L59" s="61">
        <f>AVERAGE(L57:L58)</f>
        <v>0</v>
      </c>
      <c r="M59" s="61">
        <f>AVERAGE(M57:M58)</f>
        <v>0</v>
      </c>
      <c r="N59" s="62">
        <f t="shared" si="1"/>
        <v>1</v>
      </c>
      <c r="P59" s="60"/>
      <c r="Q59" s="61">
        <f>AVERAGE(Q57:Q58)</f>
        <v>0.5</v>
      </c>
      <c r="R59" s="61">
        <f>AVERAGE(R57:R58)</f>
        <v>0.5</v>
      </c>
      <c r="S59" s="61">
        <f>AVERAGE(S57:S58)</f>
        <v>0</v>
      </c>
      <c r="T59" s="61">
        <f>AVERAGE(T57:T58)</f>
        <v>0</v>
      </c>
      <c r="U59" s="62">
        <f t="shared" si="2"/>
        <v>1</v>
      </c>
      <c r="W59" s="60"/>
      <c r="X59" s="61">
        <f>AVERAGE(X57:X58)</f>
        <v>0</v>
      </c>
      <c r="Y59" s="61">
        <f>AVERAGE(Y57:Y58)</f>
        <v>1</v>
      </c>
      <c r="Z59" s="61">
        <f>AVERAGE(Z57:Z58)</f>
        <v>0</v>
      </c>
      <c r="AA59" s="61">
        <f>AVERAGE(AA57:AA58)</f>
        <v>0</v>
      </c>
      <c r="AB59" s="62">
        <f t="shared" si="3"/>
        <v>1</v>
      </c>
      <c r="AD59" s="60"/>
      <c r="AE59" s="61">
        <f>AVERAGE(AE57:AE58)</f>
        <v>1</v>
      </c>
      <c r="AF59" s="61">
        <f>AVERAGE(AF57:AF58)</f>
        <v>0</v>
      </c>
      <c r="AG59" s="61">
        <f>AVERAGE(AG57:AG58)</f>
        <v>0</v>
      </c>
      <c r="AH59" s="61">
        <f>AVERAGE(AH57:AH58)</f>
        <v>0</v>
      </c>
      <c r="AI59" s="62">
        <f t="shared" si="4"/>
        <v>1</v>
      </c>
      <c r="AK59" s="60"/>
      <c r="AL59" s="61">
        <f>AVERAGE(AL57:AL58)</f>
        <v>0.5</v>
      </c>
      <c r="AM59" s="61">
        <f>AVERAGE(AM57:AM58)</f>
        <v>0.5</v>
      </c>
      <c r="AN59" s="61">
        <f>AVERAGE(AN57:AN58)</f>
        <v>0</v>
      </c>
      <c r="AO59" s="61">
        <f>AVERAGE(AO57:AO58)</f>
        <v>0</v>
      </c>
      <c r="AP59" s="62">
        <f t="shared" si="5"/>
        <v>1</v>
      </c>
      <c r="AR59" s="60"/>
      <c r="AS59" s="61" t="e">
        <f>AVERAGE(AS57:AS58)</f>
        <v>#DIV/0!</v>
      </c>
      <c r="AT59" s="61" t="e">
        <f>AVERAGE(AT57:AT58)</f>
        <v>#DIV/0!</v>
      </c>
      <c r="AU59" s="61" t="e">
        <f>AVERAGE(AU57:AU58)</f>
        <v>#DIV/0!</v>
      </c>
      <c r="AV59" s="61" t="e">
        <f>AVERAGE(AV57:AV58)</f>
        <v>#DIV/0!</v>
      </c>
      <c r="AW59" s="62" t="e">
        <f t="shared" si="6"/>
        <v>#DIV/0!</v>
      </c>
      <c r="AY59" s="60"/>
      <c r="AZ59" s="61">
        <f>AVERAGE(AZ57:AZ58)</f>
        <v>0.75</v>
      </c>
      <c r="BA59" s="61">
        <f>AVERAGE(BA57:BA58)</f>
        <v>0.25</v>
      </c>
      <c r="BB59" s="61">
        <f>AVERAGE(BB57:BB58)</f>
        <v>0</v>
      </c>
      <c r="BC59" s="61">
        <f>AVERAGE(BC57:BC58)</f>
        <v>0</v>
      </c>
      <c r="BD59" s="62">
        <f t="shared" si="7"/>
        <v>1</v>
      </c>
      <c r="BF59" s="60"/>
      <c r="BG59" s="61">
        <f>AVERAGE(BG57:BG58)</f>
        <v>0</v>
      </c>
      <c r="BH59" s="61">
        <f>AVERAGE(BH57:BH58)</f>
        <v>1</v>
      </c>
      <c r="BI59" s="61">
        <f>AVERAGE(BI57:BI58)</f>
        <v>0</v>
      </c>
      <c r="BJ59" s="61">
        <f>AVERAGE(BJ57:BJ58)</f>
        <v>0</v>
      </c>
      <c r="BK59" s="62">
        <f t="shared" si="8"/>
        <v>1</v>
      </c>
    </row>
    <row r="60" spans="2:63" ht="16.5" x14ac:dyDescent="0.3">
      <c r="B60" s="57" t="s">
        <v>37</v>
      </c>
      <c r="C60" s="66">
        <f>COUNTIFS(TblUniv2019[F1],C$44)/$C$43*100%</f>
        <v>0.29032258064516131</v>
      </c>
      <c r="D60" s="66">
        <f>COUNTIFS(TblUniv2019[F1],D$44)/$C$43*100%</f>
        <v>0.70967741935483875</v>
      </c>
      <c r="E60" s="66">
        <f>COUNTIFS(TblUniv2019[F1],E$44)/$C$43*100%</f>
        <v>0</v>
      </c>
      <c r="F60" s="66">
        <f>COUNTIFS(TblUniv2019[F1],F$44)/$C$43*100%</f>
        <v>0</v>
      </c>
      <c r="G60" s="62">
        <f t="shared" si="0"/>
        <v>1</v>
      </c>
      <c r="I60" s="57" t="s">
        <v>37</v>
      </c>
      <c r="J60" s="66">
        <f>COUNTIFS(TblUniv2019[F1],J$44,TblUniv2019[Prodi],$J$41)/$J$43*100%</f>
        <v>0.33333333333333331</v>
      </c>
      <c r="K60" s="66">
        <f>COUNTIFS(TblUniv2019[F1],K$44,TblUniv2019[Prodi],$J$41)/$J$43*100%</f>
        <v>0.66666666666666663</v>
      </c>
      <c r="L60" s="66">
        <f>COUNTIFS(TblUniv2019[F1],L$44,TblUniv2019[Prodi],$J$41)/$J$43*100%</f>
        <v>0</v>
      </c>
      <c r="M60" s="66">
        <f>COUNTIFS(TblUniv2019[F1],M$44,TblUniv2019[Prodi],$J$41)/$J$43*100%</f>
        <v>0</v>
      </c>
      <c r="N60" s="62">
        <f t="shared" si="1"/>
        <v>1</v>
      </c>
      <c r="P60" s="57" t="s">
        <v>37</v>
      </c>
      <c r="Q60" s="66">
        <f>COUNTIFS(TblUniv2019[F1],Q$44,TblUniv2019[Prodi],$Q$41)/$Q$43*100%</f>
        <v>0.25</v>
      </c>
      <c r="R60" s="66">
        <f>COUNTIFS(TblUniv2019[F1],R$44,TblUniv2019[Prodi],$Q$41)/$Q$43*100%</f>
        <v>0.75</v>
      </c>
      <c r="S60" s="66">
        <f>COUNTIFS(TblUniv2019[F1],S$44,TblUniv2019[Prodi],$Q$41)/$Q$43*100%</f>
        <v>0</v>
      </c>
      <c r="T60" s="66">
        <f>COUNTIFS(TblUniv2019[F1],T$44,TblUniv2019[Prodi],$Q$41)/$Q$43*100%</f>
        <v>0</v>
      </c>
      <c r="U60" s="62">
        <f t="shared" si="2"/>
        <v>1</v>
      </c>
      <c r="W60" s="57" t="s">
        <v>37</v>
      </c>
      <c r="X60" s="66">
        <f>COUNTIFS(TblUniv2019[F1],X$44,TblUniv2019[Prodi],$X$41)/$X$43*100%</f>
        <v>0</v>
      </c>
      <c r="Y60" s="66">
        <f>COUNTIFS(TblUniv2019[F1],Y$44,TblUniv2019[Prodi],$X$41)/$X$43*100%</f>
        <v>1</v>
      </c>
      <c r="Z60" s="66">
        <f>COUNTIFS(TblUniv2019[F1],Z$44,TblUniv2019[Prodi],$X$41)/$X$43*100%</f>
        <v>0</v>
      </c>
      <c r="AA60" s="66">
        <f>COUNTIFS(TblUniv2019[F1],AA$44,TblUniv2019[Prodi],$X$41)/$X$43*100%</f>
        <v>0</v>
      </c>
      <c r="AB60" s="62">
        <f t="shared" si="3"/>
        <v>1</v>
      </c>
      <c r="AD60" s="57" t="s">
        <v>37</v>
      </c>
      <c r="AE60" s="66">
        <f>COUNTIFS(TblUniv2019[F1],AE$44,TblUniv2019[Prodi],$AE$41)/$AE$43*100%</f>
        <v>0</v>
      </c>
      <c r="AF60" s="66">
        <f>COUNTIFS(TblUniv2019[F1],AF$44,TblUniv2019[Prodi],$AE$41)/$AE$43*100%</f>
        <v>1</v>
      </c>
      <c r="AG60" s="66">
        <f>COUNTIFS(TblUniv2019[F1],AG$44,TblUniv2019[Prodi],$AE$41)/$AE$43*100%</f>
        <v>0</v>
      </c>
      <c r="AH60" s="66">
        <f>COUNTIFS(TblUniv2019[F1],AH$44,TblUniv2019[Prodi],$AE$41)/$AE$43*100%</f>
        <v>0</v>
      </c>
      <c r="AI60" s="62">
        <f t="shared" si="4"/>
        <v>1</v>
      </c>
      <c r="AK60" s="57" t="s">
        <v>37</v>
      </c>
      <c r="AL60" s="66">
        <f>COUNTIFS(TblUniv2019[F1],AL$44,TblUniv2019[Prodi],$AL$41)/$AL$43*100%</f>
        <v>0.33333333333333331</v>
      </c>
      <c r="AM60" s="66">
        <f>COUNTIFS(TblUniv2019[F1],AM$44,TblUniv2019[Prodi],$AL$41)/$AL$43*100%</f>
        <v>0.66666666666666663</v>
      </c>
      <c r="AN60" s="66">
        <f>COUNTIFS(TblUniv2019[F1],AN$44,TblUniv2019[Prodi],$AL$41)/$AL$43*100%</f>
        <v>0</v>
      </c>
      <c r="AO60" s="66">
        <f>COUNTIFS(TblUniv2019[F1],AO$44,TblUniv2019[Prodi],$AL$41)/$AL$43*100%</f>
        <v>0</v>
      </c>
      <c r="AP60" s="62">
        <f t="shared" si="5"/>
        <v>1</v>
      </c>
      <c r="AR60" s="57" t="s">
        <v>37</v>
      </c>
      <c r="AS60" s="66" t="e">
        <f>COUNTIFS(TblUniv2019[F1],AS$44,TblUniv2019[Prodi],$AS$41)/$AS$43*100%</f>
        <v>#DIV/0!</v>
      </c>
      <c r="AT60" s="66" t="e">
        <f>COUNTIFS(TblUniv2019[F1],AT$44,TblUniv2019[Prodi],$AS$41)/$AS$43*100%</f>
        <v>#DIV/0!</v>
      </c>
      <c r="AU60" s="66" t="e">
        <f>COUNTIFS(TblUniv2019[F1],AU$44,TblUniv2019[Prodi],$AS$41)/$AS$43*100%</f>
        <v>#DIV/0!</v>
      </c>
      <c r="AV60" s="66" t="e">
        <f>COUNTIFS(TblUniv2019[F1],AV$44,TblUniv2019[Prodi],$AS$41)/$AS$43*100%</f>
        <v>#DIV/0!</v>
      </c>
      <c r="AW60" s="62" t="e">
        <f t="shared" si="6"/>
        <v>#DIV/0!</v>
      </c>
      <c r="AY60" s="57" t="s">
        <v>37</v>
      </c>
      <c r="AZ60" s="66">
        <f>COUNTIFS(TblUniv2019[F1],AZ$44,TblUniv2019[Prodi],$AZ$41)/$AZ$43*100%</f>
        <v>0.75</v>
      </c>
      <c r="BA60" s="66">
        <f>COUNTIFS(TblUniv2019[F1],BA$44,TblUniv2019[Prodi],$AZ$41)/$AZ$43*100%</f>
        <v>0.25</v>
      </c>
      <c r="BB60" s="66">
        <f>COUNTIFS(TblUniv2019[F1],BB$44,TblUniv2019[Prodi],$AZ$41)/$AZ$43*100%</f>
        <v>0</v>
      </c>
      <c r="BC60" s="66">
        <f>COUNTIFS(TblUniv2019[F1],BC$44,TblUniv2019[Prodi],$AZ$41)/$AZ$43*100%</f>
        <v>0</v>
      </c>
      <c r="BD60" s="62">
        <f t="shared" si="7"/>
        <v>1</v>
      </c>
      <c r="BF60" s="57" t="s">
        <v>37</v>
      </c>
      <c r="BG60" s="66">
        <f>COUNTIFS(TblUniv2019[F1],BG$44,TblUniv2019[Prodi],$BG$41)/$BG$43*100%</f>
        <v>0</v>
      </c>
      <c r="BH60" s="66">
        <f>COUNTIFS(TblUniv2019[F1],BH$44,TblUniv2019[Prodi],$BG$41)/$BG$43*100%</f>
        <v>1</v>
      </c>
      <c r="BI60" s="66">
        <f>COUNTIFS(TblUniv2019[F1],BI$44,TblUniv2019[Prodi],$BG$41)/$BG$43*100%</f>
        <v>0</v>
      </c>
      <c r="BJ60" s="66">
        <f>COUNTIFS(TblUniv2019[F1],BJ$44,TblUniv2019[Prodi],$BG$41)/$BG$43*100%</f>
        <v>0</v>
      </c>
      <c r="BK60" s="62">
        <f t="shared" si="8"/>
        <v>1</v>
      </c>
    </row>
    <row r="61" spans="2:63" ht="16.5" x14ac:dyDescent="0.3">
      <c r="B61" s="57" t="s">
        <v>38</v>
      </c>
      <c r="C61" s="66">
        <f>COUNTIFS(TblUniv2019[F2],C$44)/$C$43*100%</f>
        <v>0.19354838709677419</v>
      </c>
      <c r="D61" s="66">
        <f>COUNTIFS(TblUniv2019[F2],D$44)/$C$43*100%</f>
        <v>0.80645161290322576</v>
      </c>
      <c r="E61" s="66">
        <f>COUNTIFS(TblUniv2019[F2],E$44)/$C$43*100%</f>
        <v>0</v>
      </c>
      <c r="F61" s="66">
        <f>COUNTIFS(TblUniv2019[F2],F$44)/$C$43*100%</f>
        <v>0</v>
      </c>
      <c r="G61" s="62">
        <f t="shared" si="0"/>
        <v>1</v>
      </c>
      <c r="I61" s="57" t="s">
        <v>38</v>
      </c>
      <c r="J61" s="66">
        <f>COUNTIFS(TblUniv2019[F2],J$44,TblUniv2019[Prodi],$J$41)/$J$43*100%</f>
        <v>0.16666666666666666</v>
      </c>
      <c r="K61" s="66">
        <f>COUNTIFS(TblUniv2019[F2],K$44,TblUniv2019[Prodi],$J$41)/$J$43*100%</f>
        <v>0.83333333333333337</v>
      </c>
      <c r="L61" s="66">
        <f>COUNTIFS(TblUniv2019[F2],L$44,TblUniv2019[Prodi],$J$41)/$J$43*100%</f>
        <v>0</v>
      </c>
      <c r="M61" s="66">
        <f>COUNTIFS(TblUniv2019[F2],M$44,TblUniv2019[Prodi],$J$41)/$J$43*100%</f>
        <v>0</v>
      </c>
      <c r="N61" s="62">
        <f t="shared" si="1"/>
        <v>1</v>
      </c>
      <c r="P61" s="57" t="s">
        <v>38</v>
      </c>
      <c r="Q61" s="66">
        <f>COUNTIFS(TblUniv2019[F2],Q$44,TblUniv2019[Prodi],$Q$41)/$Q$43*100%</f>
        <v>0.125</v>
      </c>
      <c r="R61" s="66">
        <f>COUNTIFS(TblUniv2019[F2],R$44,TblUniv2019[Prodi],$Q$41)/$Q$43*100%</f>
        <v>0.875</v>
      </c>
      <c r="S61" s="66">
        <f>COUNTIFS(TblUniv2019[F2],S$44,TblUniv2019[Prodi],$Q$41)/$Q$43*100%</f>
        <v>0</v>
      </c>
      <c r="T61" s="66">
        <f>COUNTIFS(TblUniv2019[F2],T$44,TblUniv2019[Prodi],$Q$41)/$Q$43*100%</f>
        <v>0</v>
      </c>
      <c r="U61" s="62">
        <f t="shared" si="2"/>
        <v>1</v>
      </c>
      <c r="W61" s="57" t="s">
        <v>38</v>
      </c>
      <c r="X61" s="66">
        <f>COUNTIFS(TblUniv2019[F2],X$44,TblUniv2019[Prodi],$X$41)/$X$43*100%</f>
        <v>0</v>
      </c>
      <c r="Y61" s="66">
        <f>COUNTIFS(TblUniv2019[F2],Y$44,TblUniv2019[Prodi],$X$41)/$X$43*100%</f>
        <v>1</v>
      </c>
      <c r="Z61" s="66">
        <f>COUNTIFS(TblUniv2019[F2],Z$44,TblUniv2019[Prodi],$X$41)/$X$43*100%</f>
        <v>0</v>
      </c>
      <c r="AA61" s="66">
        <f>COUNTIFS(TblUniv2019[F2],AA$44,TblUniv2019[Prodi],$X$41)/$X$43*100%</f>
        <v>0</v>
      </c>
      <c r="AB61" s="62">
        <f t="shared" si="3"/>
        <v>1</v>
      </c>
      <c r="AD61" s="57" t="s">
        <v>38</v>
      </c>
      <c r="AE61" s="66">
        <f>COUNTIFS(TblUniv2019[F2],AE$44,TblUniv2019[Prodi],$AE$41)/$AE$43*100%</f>
        <v>0</v>
      </c>
      <c r="AF61" s="66">
        <f>COUNTIFS(TblUniv2019[F2],AF$44,TblUniv2019[Prodi],$AE$41)/$AE$43*100%</f>
        <v>1</v>
      </c>
      <c r="AG61" s="66">
        <f>COUNTIFS(TblUniv2019[F2],AG$44,TblUniv2019[Prodi],$AE$41)/$AE$43*100%</f>
        <v>0</v>
      </c>
      <c r="AH61" s="66">
        <f>COUNTIFS(TblUniv2019[F2],AH$44,TblUniv2019[Prodi],$AE$41)/$AE$43*100%</f>
        <v>0</v>
      </c>
      <c r="AI61" s="62">
        <f t="shared" si="4"/>
        <v>1</v>
      </c>
      <c r="AK61" s="57" t="s">
        <v>38</v>
      </c>
      <c r="AL61" s="66">
        <f>COUNTIFS(TblUniv2019[F2],AL$44,TblUniv2019[Prodi],$AL$41)/$AL$43*100%</f>
        <v>0.33333333333333331</v>
      </c>
      <c r="AM61" s="66">
        <f>COUNTIFS(TblUniv2019[F2],AM$44,TblUniv2019[Prodi],$AL$41)/$AL$43*100%</f>
        <v>0.66666666666666663</v>
      </c>
      <c r="AN61" s="66">
        <f>COUNTIFS(TblUniv2019[F2],AN$44,TblUniv2019[Prodi],$AL$41)/$AL$43*100%</f>
        <v>0</v>
      </c>
      <c r="AO61" s="66">
        <f>COUNTIFS(TblUniv2019[F2],AO$44,TblUniv2019[Prodi],$AL$41)/$AL$43*100%</f>
        <v>0</v>
      </c>
      <c r="AP61" s="62">
        <f t="shared" si="5"/>
        <v>1</v>
      </c>
      <c r="AR61" s="57" t="s">
        <v>38</v>
      </c>
      <c r="AS61" s="66" t="e">
        <f>COUNTIFS(TblUniv2019[F2],AS$44,TblUniv2019[Prodi],$AS$41)/$AS$43*100%</f>
        <v>#DIV/0!</v>
      </c>
      <c r="AT61" s="66" t="e">
        <f>COUNTIFS(TblUniv2019[F2],AT$44,TblUniv2019[Prodi],$AS$41)/$AS$43*100%</f>
        <v>#DIV/0!</v>
      </c>
      <c r="AU61" s="66" t="e">
        <f>COUNTIFS(TblUniv2019[F2],AU$44,TblUniv2019[Prodi],$AS$41)/$AS$43*100%</f>
        <v>#DIV/0!</v>
      </c>
      <c r="AV61" s="66" t="e">
        <f>COUNTIFS(TblUniv2019[F2],AV$44,TblUniv2019[Prodi],$AS$41)/$AS$43*100%</f>
        <v>#DIV/0!</v>
      </c>
      <c r="AW61" s="62" t="e">
        <f t="shared" si="6"/>
        <v>#DIV/0!</v>
      </c>
      <c r="AY61" s="57" t="s">
        <v>38</v>
      </c>
      <c r="AZ61" s="66">
        <f>COUNTIFS(TblUniv2019[F2],AZ$44,TblUniv2019[Prodi],$AZ$41)/$AZ$43*100%</f>
        <v>0.5</v>
      </c>
      <c r="BA61" s="66">
        <f>COUNTIFS(TblUniv2019[F2],BA$44,TblUniv2019[Prodi],$AZ$41)/$AZ$43*100%</f>
        <v>0.5</v>
      </c>
      <c r="BB61" s="66">
        <f>COUNTIFS(TblUniv2019[F2],BB$44,TblUniv2019[Prodi],$AZ$41)/$AZ$43*100%</f>
        <v>0</v>
      </c>
      <c r="BC61" s="66">
        <f>COUNTIFS(TblUniv2019[F2],BC$44,TblUniv2019[Prodi],$AZ$41)/$AZ$43*100%</f>
        <v>0</v>
      </c>
      <c r="BD61" s="62">
        <f t="shared" si="7"/>
        <v>1</v>
      </c>
      <c r="BF61" s="57" t="s">
        <v>38</v>
      </c>
      <c r="BG61" s="66">
        <f>COUNTIFS(TblUniv2019[F2],BG$44,TblUniv2019[Prodi],$BG$41)/$BG$43*100%</f>
        <v>0</v>
      </c>
      <c r="BH61" s="66">
        <f>COUNTIFS(TblUniv2019[F2],BH$44,TblUniv2019[Prodi],$BG$41)/$BG$43*100%</f>
        <v>1</v>
      </c>
      <c r="BI61" s="66">
        <f>COUNTIFS(TblUniv2019[F2],BI$44,TblUniv2019[Prodi],$BG$41)/$BG$43*100%</f>
        <v>0</v>
      </c>
      <c r="BJ61" s="66">
        <f>COUNTIFS(TblUniv2019[F2],BJ$44,TblUniv2019[Prodi],$BG$41)/$BG$43*100%</f>
        <v>0</v>
      </c>
      <c r="BK61" s="62">
        <f t="shared" si="8"/>
        <v>1</v>
      </c>
    </row>
    <row r="62" spans="2:63" ht="16.5" x14ac:dyDescent="0.3">
      <c r="B62" s="57" t="s">
        <v>39</v>
      </c>
      <c r="C62" s="66">
        <f>COUNTIFS(TblUniv2019[F3],C$44)/$C$43*100%</f>
        <v>9.6774193548387094E-2</v>
      </c>
      <c r="D62" s="66">
        <f>COUNTIFS(TblUniv2019[F3],D$44)/$C$43*100%</f>
        <v>0.90322580645161288</v>
      </c>
      <c r="E62" s="66">
        <f>COUNTIFS(TblUniv2019[F3],E$44)/$C$43*100%</f>
        <v>0</v>
      </c>
      <c r="F62" s="66">
        <f>COUNTIFS(TblUniv2019[F3],F$44)/$C$43*100%</f>
        <v>0</v>
      </c>
      <c r="G62" s="62">
        <f t="shared" si="0"/>
        <v>1</v>
      </c>
      <c r="I62" s="57" t="s">
        <v>39</v>
      </c>
      <c r="J62" s="66">
        <f>COUNTIFS(TblUniv2019[F3],J$44,TblUniv2019[Prodi],$J$41)/$J$43*100%</f>
        <v>0.16666666666666666</v>
      </c>
      <c r="K62" s="66">
        <f>COUNTIFS(TblUniv2019[F3],K$44,TblUniv2019[Prodi],$J$41)/$J$43*100%</f>
        <v>0.83333333333333337</v>
      </c>
      <c r="L62" s="66">
        <f>COUNTIFS(TblUniv2019[F3],L$44,TblUniv2019[Prodi],$J$41)/$J$43*100%</f>
        <v>0</v>
      </c>
      <c r="M62" s="66">
        <f>COUNTIFS(TblUniv2019[F3],M$44,TblUniv2019[Prodi],$J$41)/$J$43*100%</f>
        <v>0</v>
      </c>
      <c r="N62" s="62">
        <f t="shared" si="1"/>
        <v>1</v>
      </c>
      <c r="P62" s="57" t="s">
        <v>39</v>
      </c>
      <c r="Q62" s="66">
        <f>COUNTIFS(TblUniv2019[F3],Q$44,TblUniv2019[Prodi],$Q$41)/$Q$43*100%</f>
        <v>0.125</v>
      </c>
      <c r="R62" s="66">
        <f>COUNTIFS(TblUniv2019[F3],R$44,TblUniv2019[Prodi],$Q$41)/$Q$43*100%</f>
        <v>0.875</v>
      </c>
      <c r="S62" s="66">
        <f>COUNTIFS(TblUniv2019[F3],S$44,TblUniv2019[Prodi],$Q$41)/$Q$43*100%</f>
        <v>0</v>
      </c>
      <c r="T62" s="66">
        <f>COUNTIFS(TblUniv2019[F3],T$44,TblUniv2019[Prodi],$Q$41)/$Q$43*100%</f>
        <v>0</v>
      </c>
      <c r="U62" s="62">
        <f t="shared" si="2"/>
        <v>1</v>
      </c>
      <c r="W62" s="57" t="s">
        <v>39</v>
      </c>
      <c r="X62" s="66">
        <f>COUNTIFS(TblUniv2019[F3],X$44,TblUniv2019[Prodi],$X$41)/$X$43*100%</f>
        <v>0</v>
      </c>
      <c r="Y62" s="66">
        <f>COUNTIFS(TblUniv2019[F3],Y$44,TblUniv2019[Prodi],$X$41)/$X$43*100%</f>
        <v>1</v>
      </c>
      <c r="Z62" s="66">
        <f>COUNTIFS(TblUniv2019[F3],Z$44,TblUniv2019[Prodi],$X$41)/$X$43*100%</f>
        <v>0</v>
      </c>
      <c r="AA62" s="66">
        <f>COUNTIFS(TblUniv2019[F3],AA$44,TblUniv2019[Prodi],$X$41)/$X$43*100%</f>
        <v>0</v>
      </c>
      <c r="AB62" s="62">
        <f t="shared" si="3"/>
        <v>1</v>
      </c>
      <c r="AD62" s="57" t="s">
        <v>39</v>
      </c>
      <c r="AE62" s="66">
        <f>COUNTIFS(TblUniv2019[F3],AE$44,TblUniv2019[Prodi],$AE$41)/$AE$43*100%</f>
        <v>0</v>
      </c>
      <c r="AF62" s="66">
        <f>COUNTIFS(TblUniv2019[F3],AF$44,TblUniv2019[Prodi],$AE$41)/$AE$43*100%</f>
        <v>1</v>
      </c>
      <c r="AG62" s="66">
        <f>COUNTIFS(TblUniv2019[F3],AG$44,TblUniv2019[Prodi],$AE$41)/$AE$43*100%</f>
        <v>0</v>
      </c>
      <c r="AH62" s="66">
        <f>COUNTIFS(TblUniv2019[F3],AH$44,TblUniv2019[Prodi],$AE$41)/$AE$43*100%</f>
        <v>0</v>
      </c>
      <c r="AI62" s="62">
        <f t="shared" si="4"/>
        <v>1</v>
      </c>
      <c r="AK62" s="57" t="s">
        <v>39</v>
      </c>
      <c r="AL62" s="66">
        <f>COUNTIFS(TblUniv2019[F3],AL$44,TblUniv2019[Prodi],$AL$41)/$AL$43*100%</f>
        <v>0</v>
      </c>
      <c r="AM62" s="66">
        <f>COUNTIFS(TblUniv2019[F3],AM$44,TblUniv2019[Prodi],$AL$41)/$AL$43*100%</f>
        <v>1</v>
      </c>
      <c r="AN62" s="66">
        <f>COUNTIFS(TblUniv2019[F3],AN$44,TblUniv2019[Prodi],$AL$41)/$AL$43*100%</f>
        <v>0</v>
      </c>
      <c r="AO62" s="66">
        <f>COUNTIFS(TblUniv2019[F3],AO$44,TblUniv2019[Prodi],$AL$41)/$AL$43*100%</f>
        <v>0</v>
      </c>
      <c r="AP62" s="62">
        <f t="shared" si="5"/>
        <v>1</v>
      </c>
      <c r="AR62" s="57" t="s">
        <v>39</v>
      </c>
      <c r="AS62" s="66" t="e">
        <f>COUNTIFS(TblUniv2019[F3],AS$44,TblUniv2019[Prodi],$AS$41)/$AS$43*100%</f>
        <v>#DIV/0!</v>
      </c>
      <c r="AT62" s="66" t="e">
        <f>COUNTIFS(TblUniv2019[F3],AT$44,TblUniv2019[Prodi],$AS$41)/$AS$43*100%</f>
        <v>#DIV/0!</v>
      </c>
      <c r="AU62" s="66" t="e">
        <f>COUNTIFS(TblUniv2019[F3],AU$44,TblUniv2019[Prodi],$AS$41)/$AS$43*100%</f>
        <v>#DIV/0!</v>
      </c>
      <c r="AV62" s="66" t="e">
        <f>COUNTIFS(TblUniv2019[F3],AV$44,TblUniv2019[Prodi],$AS$41)/$AS$43*100%</f>
        <v>#DIV/0!</v>
      </c>
      <c r="AW62" s="62" t="e">
        <f t="shared" si="6"/>
        <v>#DIV/0!</v>
      </c>
      <c r="AY62" s="57" t="s">
        <v>39</v>
      </c>
      <c r="AZ62" s="66">
        <f>COUNTIFS(TblUniv2019[F3],AZ$44,TblUniv2019[Prodi],$AZ$41)/$AZ$43*100%</f>
        <v>0.25</v>
      </c>
      <c r="BA62" s="66">
        <f>COUNTIFS(TblUniv2019[F3],BA$44,TblUniv2019[Prodi],$AZ$41)/$AZ$43*100%</f>
        <v>0.75</v>
      </c>
      <c r="BB62" s="66">
        <f>COUNTIFS(TblUniv2019[F3],BB$44,TblUniv2019[Prodi],$AZ$41)/$AZ$43*100%</f>
        <v>0</v>
      </c>
      <c r="BC62" s="66">
        <f>COUNTIFS(TblUniv2019[F3],BC$44,TblUniv2019[Prodi],$AZ$41)/$AZ$43*100%</f>
        <v>0</v>
      </c>
      <c r="BD62" s="62">
        <f t="shared" si="7"/>
        <v>1</v>
      </c>
      <c r="BF62" s="57" t="s">
        <v>39</v>
      </c>
      <c r="BG62" s="66">
        <f>COUNTIFS(TblUniv2019[F3],BG$44,TblUniv2019[Prodi],$BG$41)/$BG$43*100%</f>
        <v>0</v>
      </c>
      <c r="BH62" s="66">
        <f>COUNTIFS(TblUniv2019[F3],BH$44,TblUniv2019[Prodi],$BG$41)/$BG$43*100%</f>
        <v>1</v>
      </c>
      <c r="BI62" s="66">
        <f>COUNTIFS(TblUniv2019[F3],BI$44,TblUniv2019[Prodi],$BG$41)/$BG$43*100%</f>
        <v>0</v>
      </c>
      <c r="BJ62" s="66">
        <f>COUNTIFS(TblUniv2019[F3],BJ$44,TblUniv2019[Prodi],$BG$41)/$BG$43*100%</f>
        <v>0</v>
      </c>
      <c r="BK62" s="62">
        <f t="shared" si="8"/>
        <v>1</v>
      </c>
    </row>
    <row r="63" spans="2:63" ht="16.5" x14ac:dyDescent="0.3">
      <c r="B63" s="60"/>
      <c r="C63" s="61">
        <f>AVERAGE(C60:C62)</f>
        <v>0.19354838709677422</v>
      </c>
      <c r="D63" s="61">
        <f>AVERAGE(D60:D62)</f>
        <v>0.80645161290322587</v>
      </c>
      <c r="E63" s="61">
        <f>AVERAGE(E60:E62)</f>
        <v>0</v>
      </c>
      <c r="F63" s="61">
        <f>AVERAGE(F60:F62)</f>
        <v>0</v>
      </c>
      <c r="G63" s="62">
        <f t="shared" si="0"/>
        <v>1</v>
      </c>
      <c r="I63" s="60"/>
      <c r="J63" s="61">
        <f>AVERAGE(J60:J62)</f>
        <v>0.22222222222222221</v>
      </c>
      <c r="K63" s="61">
        <f>AVERAGE(K60:K62)</f>
        <v>0.77777777777777779</v>
      </c>
      <c r="L63" s="61">
        <f>AVERAGE(L60:L62)</f>
        <v>0</v>
      </c>
      <c r="M63" s="61">
        <f>AVERAGE(M60:M62)</f>
        <v>0</v>
      </c>
      <c r="N63" s="62">
        <f t="shared" si="1"/>
        <v>1</v>
      </c>
      <c r="P63" s="60"/>
      <c r="Q63" s="61">
        <f>AVERAGE(Q60:Q62)</f>
        <v>0.16666666666666666</v>
      </c>
      <c r="R63" s="61">
        <f>AVERAGE(R60:R62)</f>
        <v>0.83333333333333337</v>
      </c>
      <c r="S63" s="61">
        <f>AVERAGE(S60:S62)</f>
        <v>0</v>
      </c>
      <c r="T63" s="61">
        <f>AVERAGE(T60:T62)</f>
        <v>0</v>
      </c>
      <c r="U63" s="62">
        <f t="shared" si="2"/>
        <v>1</v>
      </c>
      <c r="W63" s="60"/>
      <c r="X63" s="61">
        <f>AVERAGE(X60:X62)</f>
        <v>0</v>
      </c>
      <c r="Y63" s="61">
        <f>AVERAGE(Y60:Y62)</f>
        <v>1</v>
      </c>
      <c r="Z63" s="61">
        <f>AVERAGE(Z60:Z62)</f>
        <v>0</v>
      </c>
      <c r="AA63" s="61">
        <f>AVERAGE(AA60:AA62)</f>
        <v>0</v>
      </c>
      <c r="AB63" s="62">
        <f t="shared" si="3"/>
        <v>1</v>
      </c>
      <c r="AD63" s="60"/>
      <c r="AE63" s="61">
        <f>AVERAGE(AE60:AE62)</f>
        <v>0</v>
      </c>
      <c r="AF63" s="61">
        <f>AVERAGE(AF60:AF62)</f>
        <v>1</v>
      </c>
      <c r="AG63" s="61">
        <f>AVERAGE(AG60:AG62)</f>
        <v>0</v>
      </c>
      <c r="AH63" s="61">
        <f>AVERAGE(AH60:AH62)</f>
        <v>0</v>
      </c>
      <c r="AI63" s="62">
        <f t="shared" si="4"/>
        <v>1</v>
      </c>
      <c r="AK63" s="60"/>
      <c r="AL63" s="61">
        <f>AVERAGE(AL60:AL62)</f>
        <v>0.22222222222222221</v>
      </c>
      <c r="AM63" s="61">
        <f>AVERAGE(AM60:AM62)</f>
        <v>0.77777777777777768</v>
      </c>
      <c r="AN63" s="61">
        <f>AVERAGE(AN60:AN62)</f>
        <v>0</v>
      </c>
      <c r="AO63" s="61">
        <f>AVERAGE(AO60:AO62)</f>
        <v>0</v>
      </c>
      <c r="AP63" s="62">
        <f t="shared" si="5"/>
        <v>0.99999999999999989</v>
      </c>
      <c r="AR63" s="60"/>
      <c r="AS63" s="61" t="e">
        <f>AVERAGE(AS60:AS62)</f>
        <v>#DIV/0!</v>
      </c>
      <c r="AT63" s="61" t="e">
        <f>AVERAGE(AT60:AT62)</f>
        <v>#DIV/0!</v>
      </c>
      <c r="AU63" s="61" t="e">
        <f>AVERAGE(AU60:AU62)</f>
        <v>#DIV/0!</v>
      </c>
      <c r="AV63" s="61" t="e">
        <f>AVERAGE(AV60:AV62)</f>
        <v>#DIV/0!</v>
      </c>
      <c r="AW63" s="62" t="e">
        <f t="shared" si="6"/>
        <v>#DIV/0!</v>
      </c>
      <c r="AY63" s="60"/>
      <c r="AZ63" s="61">
        <f>AVERAGE(AZ60:AZ62)</f>
        <v>0.5</v>
      </c>
      <c r="BA63" s="61">
        <f>AVERAGE(BA60:BA62)</f>
        <v>0.5</v>
      </c>
      <c r="BB63" s="61">
        <f>AVERAGE(BB60:BB62)</f>
        <v>0</v>
      </c>
      <c r="BC63" s="61">
        <f>AVERAGE(BC60:BC62)</f>
        <v>0</v>
      </c>
      <c r="BD63" s="62">
        <f t="shared" si="7"/>
        <v>1</v>
      </c>
      <c r="BF63" s="60"/>
      <c r="BG63" s="61">
        <f>AVERAGE(BG60:BG62)</f>
        <v>0</v>
      </c>
      <c r="BH63" s="61">
        <f>AVERAGE(BH60:BH62)</f>
        <v>1</v>
      </c>
      <c r="BI63" s="61">
        <f>AVERAGE(BI60:BI62)</f>
        <v>0</v>
      </c>
      <c r="BJ63" s="61">
        <f>AVERAGE(BJ60:BJ62)</f>
        <v>0</v>
      </c>
      <c r="BK63" s="62">
        <f t="shared" si="8"/>
        <v>1</v>
      </c>
    </row>
    <row r="64" spans="2:63" ht="16.5" x14ac:dyDescent="0.3">
      <c r="B64" s="57" t="s">
        <v>40</v>
      </c>
      <c r="C64" s="66">
        <f>COUNTIFS(TblUniv2019[G1],C$44)/$C$43*100%</f>
        <v>3.2258064516129031E-2</v>
      </c>
      <c r="D64" s="66">
        <f>COUNTIFS(TblUniv2019[G1],D$44)/$C$43*100%</f>
        <v>0.967741935483871</v>
      </c>
      <c r="E64" s="66">
        <f>COUNTIFS(TblUniv2019[G1],E$44)/$C$43*100%</f>
        <v>0</v>
      </c>
      <c r="F64" s="66">
        <f>COUNTIFS(TblUniv2019[G1],F$44)/$C$43*100%</f>
        <v>0</v>
      </c>
      <c r="G64" s="62">
        <f t="shared" si="0"/>
        <v>1</v>
      </c>
      <c r="I64" s="57" t="s">
        <v>40</v>
      </c>
      <c r="J64" s="66">
        <f>COUNTIFS(TblUniv2019[G1],J$44,TblUniv2019[Prodi],$J$41)/$J$43*100%</f>
        <v>0</v>
      </c>
      <c r="K64" s="66">
        <f>COUNTIFS(TblUniv2019[G1],K$44,TblUniv2019[Prodi],$J$41)/$J$43*100%</f>
        <v>1</v>
      </c>
      <c r="L64" s="66">
        <f>COUNTIFS(TblUniv2019[G1],L$44,TblUniv2019[Prodi],$J$41)/$J$43*100%</f>
        <v>0</v>
      </c>
      <c r="M64" s="66">
        <f>COUNTIFS(TblUniv2019[G1],M$44,TblUniv2019[Prodi],$J$41)/$J$43*100%</f>
        <v>0</v>
      </c>
      <c r="N64" s="62">
        <f t="shared" si="1"/>
        <v>1</v>
      </c>
      <c r="P64" s="57" t="s">
        <v>40</v>
      </c>
      <c r="Q64" s="66">
        <f>COUNTIFS(TblUniv2019[G1],Q$44,TblUniv2019[Prodi],$Q$41)/$Q$43*100%</f>
        <v>0.125</v>
      </c>
      <c r="R64" s="66">
        <f>COUNTIFS(TblUniv2019[G1],R$44,TblUniv2019[Prodi],$Q$41)/$Q$43*100%</f>
        <v>0.875</v>
      </c>
      <c r="S64" s="66">
        <f>COUNTIFS(TblUniv2019[G1],S$44,TblUniv2019[Prodi],$Q$41)/$Q$43*100%</f>
        <v>0</v>
      </c>
      <c r="T64" s="66">
        <f>COUNTIFS(TblUniv2019[G1],T$44,TblUniv2019[Prodi],$Q$41)/$Q$43*100%</f>
        <v>0</v>
      </c>
      <c r="U64" s="62">
        <f t="shared" si="2"/>
        <v>1</v>
      </c>
      <c r="W64" s="57" t="s">
        <v>40</v>
      </c>
      <c r="X64" s="66">
        <f>COUNTIFS(TblUniv2019[G1],X$44,TblUniv2019[Prodi],$X$41)/$X$43*100%</f>
        <v>0</v>
      </c>
      <c r="Y64" s="66">
        <f>COUNTIFS(TblUniv2019[G1],Y$44,TblUniv2019[Prodi],$X$41)/$X$43*100%</f>
        <v>1</v>
      </c>
      <c r="Z64" s="66">
        <f>COUNTIFS(TblUniv2019[G1],Z$44,TblUniv2019[Prodi],$X$41)/$X$43*100%</f>
        <v>0</v>
      </c>
      <c r="AA64" s="66">
        <f>COUNTIFS(TblUniv2019[G1],AA$44,TblUniv2019[Prodi],$X$41)/$X$43*100%</f>
        <v>0</v>
      </c>
      <c r="AB64" s="62">
        <f t="shared" si="3"/>
        <v>1</v>
      </c>
      <c r="AD64" s="57" t="s">
        <v>40</v>
      </c>
      <c r="AE64" s="66">
        <f>COUNTIFS(TblUniv2019[G1],AE$44,TblUniv2019[Prodi],$AE$41)/$AE$43*100%</f>
        <v>0</v>
      </c>
      <c r="AF64" s="66">
        <f>COUNTIFS(TblUniv2019[G1],AF$44,TblUniv2019[Prodi],$AE$41)/$AE$43*100%</f>
        <v>1</v>
      </c>
      <c r="AG64" s="66">
        <f>COUNTIFS(TblUniv2019[G1],AG$44,TblUniv2019[Prodi],$AE$41)/$AE$43*100%</f>
        <v>0</v>
      </c>
      <c r="AH64" s="66">
        <f>COUNTIFS(TblUniv2019[G1],AH$44,TblUniv2019[Prodi],$AE$41)/$AE$43*100%</f>
        <v>0</v>
      </c>
      <c r="AI64" s="62">
        <f t="shared" si="4"/>
        <v>1</v>
      </c>
      <c r="AK64" s="57" t="s">
        <v>40</v>
      </c>
      <c r="AL64" s="66">
        <f>COUNTIFS(TblUniv2019[G1],AL$44,TblUniv2019[Prodi],$AL$41)/$AL$43*100%</f>
        <v>0</v>
      </c>
      <c r="AM64" s="66">
        <f>COUNTIFS(TblUniv2019[G1],AM$44,TblUniv2019[Prodi],$AL$41)/$AL$43*100%</f>
        <v>1</v>
      </c>
      <c r="AN64" s="66">
        <f>COUNTIFS(TblUniv2019[G1],AN$44,TblUniv2019[Prodi],$AL$41)/$AL$43*100%</f>
        <v>0</v>
      </c>
      <c r="AO64" s="66">
        <f>COUNTIFS(TblUniv2019[G1],AO$44,TblUniv2019[Prodi],$AL$41)/$AL$43*100%</f>
        <v>0</v>
      </c>
      <c r="AP64" s="62">
        <f t="shared" si="5"/>
        <v>1</v>
      </c>
      <c r="AR64" s="57" t="s">
        <v>40</v>
      </c>
      <c r="AS64" s="66" t="e">
        <f>COUNTIFS(TblUniv2019[G1],AS$44,TblUniv2019[Prodi],$AS$41)/$AS$43*100%</f>
        <v>#DIV/0!</v>
      </c>
      <c r="AT64" s="66" t="e">
        <f>COUNTIFS(TblUniv2019[G1],AT$44,TblUniv2019[Prodi],$AS$41)/$AS$43*100%</f>
        <v>#DIV/0!</v>
      </c>
      <c r="AU64" s="66" t="e">
        <f>COUNTIFS(TblUniv2019[G1],AU$44,TblUniv2019[Prodi],$AS$41)/$AS$43*100%</f>
        <v>#DIV/0!</v>
      </c>
      <c r="AV64" s="66" t="e">
        <f>COUNTIFS(TblUniv2019[G1],AV$44,TblUniv2019[Prodi],$AS$41)/$AS$43*100%</f>
        <v>#DIV/0!</v>
      </c>
      <c r="AW64" s="62" t="e">
        <f t="shared" si="6"/>
        <v>#DIV/0!</v>
      </c>
      <c r="AY64" s="57" t="s">
        <v>40</v>
      </c>
      <c r="AZ64" s="66">
        <f>COUNTIFS(TblUniv2019[G1],AZ$44,TblUniv2019[Prodi],$AZ$41)/$AZ$43*100%</f>
        <v>0</v>
      </c>
      <c r="BA64" s="66">
        <f>COUNTIFS(TblUniv2019[G1],BA$44,TblUniv2019[Prodi],$AZ$41)/$AZ$43*100%</f>
        <v>1</v>
      </c>
      <c r="BB64" s="66">
        <f>COUNTIFS(TblUniv2019[G1],BB$44,TblUniv2019[Prodi],$AZ$41)/$AZ$43*100%</f>
        <v>0</v>
      </c>
      <c r="BC64" s="66">
        <f>COUNTIFS(TblUniv2019[G1],BC$44,TblUniv2019[Prodi],$AZ$41)/$AZ$43*100%</f>
        <v>0</v>
      </c>
      <c r="BD64" s="62">
        <f t="shared" si="7"/>
        <v>1</v>
      </c>
      <c r="BF64" s="57" t="s">
        <v>40</v>
      </c>
      <c r="BG64" s="66">
        <f>COUNTIFS(TblUniv2019[G1],BG$44,TblUniv2019[Prodi],$BG$41)/$BG$43*100%</f>
        <v>0</v>
      </c>
      <c r="BH64" s="66">
        <f>COUNTIFS(TblUniv2019[G1],BH$44,TblUniv2019[Prodi],$BG$41)/$BG$43*100%</f>
        <v>1</v>
      </c>
      <c r="BI64" s="66">
        <f>COUNTIFS(TblUniv2019[G1],BI$44,TblUniv2019[Prodi],$BG$41)/$BG$43*100%</f>
        <v>0</v>
      </c>
      <c r="BJ64" s="66">
        <f>COUNTIFS(TblUniv2019[G1],BJ$44,TblUniv2019[Prodi],$BG$41)/$BG$43*100%</f>
        <v>0</v>
      </c>
      <c r="BK64" s="62">
        <f t="shared" si="8"/>
        <v>1</v>
      </c>
    </row>
    <row r="65" spans="2:63" ht="16.5" x14ac:dyDescent="0.3">
      <c r="B65" s="57" t="s">
        <v>41</v>
      </c>
      <c r="C65" s="66">
        <f>COUNTIFS(TblUniv2019[G2],C$44)/$C$43*100%</f>
        <v>0.22580645161290322</v>
      </c>
      <c r="D65" s="66">
        <f>COUNTIFS(TblUniv2019[G2],D$44)/$C$43*100%</f>
        <v>0.77419354838709675</v>
      </c>
      <c r="E65" s="66">
        <f>COUNTIFS(TblUniv2019[G2],E$44)/$C$43*100%</f>
        <v>0</v>
      </c>
      <c r="F65" s="66">
        <f>COUNTIFS(TblUniv2019[G2],F$44)/$C$43*100%</f>
        <v>0</v>
      </c>
      <c r="G65" s="62">
        <f t="shared" si="0"/>
        <v>1</v>
      </c>
      <c r="I65" s="57" t="s">
        <v>41</v>
      </c>
      <c r="J65" s="66">
        <f>COUNTIFS(TblUniv2019[G2],J$44,TblUniv2019[Prodi],$J$41)/$J$43*100%</f>
        <v>0.33333333333333331</v>
      </c>
      <c r="K65" s="66">
        <f>COUNTIFS(TblUniv2019[G2],K$44,TblUniv2019[Prodi],$J$41)/$J$43*100%</f>
        <v>0.66666666666666663</v>
      </c>
      <c r="L65" s="66">
        <f>COUNTIFS(TblUniv2019[G2],L$44,TblUniv2019[Prodi],$J$41)/$J$43*100%</f>
        <v>0</v>
      </c>
      <c r="M65" s="66">
        <f>COUNTIFS(TblUniv2019[G2],M$44,TblUniv2019[Prodi],$J$41)/$J$43*100%</f>
        <v>0</v>
      </c>
      <c r="N65" s="62">
        <f t="shared" si="1"/>
        <v>1</v>
      </c>
      <c r="P65" s="57" t="s">
        <v>41</v>
      </c>
      <c r="Q65" s="66">
        <f>COUNTIFS(TblUniv2019[G2],Q$44,TblUniv2019[Prodi],$Q$41)/$Q$43*100%</f>
        <v>0.25</v>
      </c>
      <c r="R65" s="66">
        <f>COUNTIFS(TblUniv2019[G2],R$44,TblUniv2019[Prodi],$Q$41)/$Q$43*100%</f>
        <v>0.75</v>
      </c>
      <c r="S65" s="66">
        <f>COUNTIFS(TblUniv2019[G2],S$44,TblUniv2019[Prodi],$Q$41)/$Q$43*100%</f>
        <v>0</v>
      </c>
      <c r="T65" s="66">
        <f>COUNTIFS(TblUniv2019[G2],T$44,TblUniv2019[Prodi],$Q$41)/$Q$43*100%</f>
        <v>0</v>
      </c>
      <c r="U65" s="62">
        <f t="shared" si="2"/>
        <v>1</v>
      </c>
      <c r="W65" s="57" t="s">
        <v>41</v>
      </c>
      <c r="X65" s="66">
        <f>COUNTIFS(TblUniv2019[G2],X$44,TblUniv2019[Prodi],$X$41)/$X$43*100%</f>
        <v>0</v>
      </c>
      <c r="Y65" s="66">
        <f>COUNTIFS(TblUniv2019[G2],Y$44,TblUniv2019[Prodi],$X$41)/$X$43*100%</f>
        <v>1</v>
      </c>
      <c r="Z65" s="66">
        <f>COUNTIFS(TblUniv2019[G2],Z$44,TblUniv2019[Prodi],$X$41)/$X$43*100%</f>
        <v>0</v>
      </c>
      <c r="AA65" s="66">
        <f>COUNTIFS(TblUniv2019[G2],AA$44,TblUniv2019[Prodi],$X$41)/$X$43*100%</f>
        <v>0</v>
      </c>
      <c r="AB65" s="62">
        <f t="shared" si="3"/>
        <v>1</v>
      </c>
      <c r="AD65" s="57" t="s">
        <v>41</v>
      </c>
      <c r="AE65" s="66">
        <f>COUNTIFS(TblUniv2019[G2],AE$44,TblUniv2019[Prodi],$AE$41)/$AE$43*100%</f>
        <v>0</v>
      </c>
      <c r="AF65" s="66">
        <f>COUNTIFS(TblUniv2019[G2],AF$44,TblUniv2019[Prodi],$AE$41)/$AE$43*100%</f>
        <v>1</v>
      </c>
      <c r="AG65" s="66">
        <f>COUNTIFS(TblUniv2019[G2],AG$44,TblUniv2019[Prodi],$AE$41)/$AE$43*100%</f>
        <v>0</v>
      </c>
      <c r="AH65" s="66">
        <f>COUNTIFS(TblUniv2019[G2],AH$44,TblUniv2019[Prodi],$AE$41)/$AE$43*100%</f>
        <v>0</v>
      </c>
      <c r="AI65" s="62">
        <f t="shared" si="4"/>
        <v>1</v>
      </c>
      <c r="AK65" s="57" t="s">
        <v>41</v>
      </c>
      <c r="AL65" s="66">
        <f>COUNTIFS(TblUniv2019[G2],AL$44,TblUniv2019[Prodi],$AL$41)/$AL$43*100%</f>
        <v>0.33333333333333331</v>
      </c>
      <c r="AM65" s="66">
        <f>COUNTIFS(TblUniv2019[G2],AM$44,TblUniv2019[Prodi],$AL$41)/$AL$43*100%</f>
        <v>0.66666666666666663</v>
      </c>
      <c r="AN65" s="66">
        <f>COUNTIFS(TblUniv2019[G2],AN$44,TblUniv2019[Prodi],$AL$41)/$AL$43*100%</f>
        <v>0</v>
      </c>
      <c r="AO65" s="66">
        <f>COUNTIFS(TblUniv2019[G2],AO$44,TblUniv2019[Prodi],$AL$41)/$AL$43*100%</f>
        <v>0</v>
      </c>
      <c r="AP65" s="62">
        <f t="shared" si="5"/>
        <v>1</v>
      </c>
      <c r="AR65" s="57" t="s">
        <v>41</v>
      </c>
      <c r="AS65" s="66" t="e">
        <f>COUNTIFS(TblUniv2019[G2],AS$44,TblUniv2019[Prodi],$AS$41)/$AS$43*100%</f>
        <v>#DIV/0!</v>
      </c>
      <c r="AT65" s="66" t="e">
        <f>COUNTIFS(TblUniv2019[G2],AT$44,TblUniv2019[Prodi],$AS$41)/$AS$43*100%</f>
        <v>#DIV/0!</v>
      </c>
      <c r="AU65" s="66" t="e">
        <f>COUNTIFS(TblUniv2019[G2],AU$44,TblUniv2019[Prodi],$AS$41)/$AS$43*100%</f>
        <v>#DIV/0!</v>
      </c>
      <c r="AV65" s="66" t="e">
        <f>COUNTIFS(TblUniv2019[G2],AV$44,TblUniv2019[Prodi],$AS$41)/$AS$43*100%</f>
        <v>#DIV/0!</v>
      </c>
      <c r="AW65" s="62" t="e">
        <f t="shared" si="6"/>
        <v>#DIV/0!</v>
      </c>
      <c r="AY65" s="57" t="s">
        <v>41</v>
      </c>
      <c r="AZ65" s="66">
        <f>COUNTIFS(TblUniv2019[G2],AZ$44,TblUniv2019[Prodi],$AZ$41)/$AZ$43*100%</f>
        <v>0</v>
      </c>
      <c r="BA65" s="66">
        <f>COUNTIFS(TblUniv2019[G2],BA$44,TblUniv2019[Prodi],$AZ$41)/$AZ$43*100%</f>
        <v>1</v>
      </c>
      <c r="BB65" s="66">
        <f>COUNTIFS(TblUniv2019[G2],BB$44,TblUniv2019[Prodi],$AZ$41)/$AZ$43*100%</f>
        <v>0</v>
      </c>
      <c r="BC65" s="66">
        <f>COUNTIFS(TblUniv2019[G2],BC$44,TblUniv2019[Prodi],$AZ$41)/$AZ$43*100%</f>
        <v>0</v>
      </c>
      <c r="BD65" s="62">
        <f t="shared" si="7"/>
        <v>1</v>
      </c>
      <c r="BF65" s="57" t="s">
        <v>41</v>
      </c>
      <c r="BG65" s="66">
        <f>COUNTIFS(TblUniv2019[G2],BG$44,TblUniv2019[Prodi],$BG$41)/$BG$43*100%</f>
        <v>0.5</v>
      </c>
      <c r="BH65" s="66">
        <f>COUNTIFS(TblUniv2019[G2],BH$44,TblUniv2019[Prodi],$BG$41)/$BG$43*100%</f>
        <v>0.5</v>
      </c>
      <c r="BI65" s="66">
        <f>COUNTIFS(TblUniv2019[G2],BI$44,TblUniv2019[Prodi],$BG$41)/$BG$43*100%</f>
        <v>0</v>
      </c>
      <c r="BJ65" s="66">
        <f>COUNTIFS(TblUniv2019[G2],BJ$44,TblUniv2019[Prodi],$BG$41)/$BG$43*100%</f>
        <v>0</v>
      </c>
      <c r="BK65" s="62">
        <f t="shared" si="8"/>
        <v>1</v>
      </c>
    </row>
    <row r="66" spans="2:63" ht="16.5" x14ac:dyDescent="0.3">
      <c r="B66" s="60"/>
      <c r="C66" s="61">
        <f>AVERAGE(C64:C65)</f>
        <v>0.12903225806451613</v>
      </c>
      <c r="D66" s="61">
        <f>AVERAGE(D64:D65)</f>
        <v>0.87096774193548387</v>
      </c>
      <c r="E66" s="61">
        <f>AVERAGE(E64:E65)</f>
        <v>0</v>
      </c>
      <c r="F66" s="61">
        <f>AVERAGE(F64:F65)</f>
        <v>0</v>
      </c>
      <c r="G66" s="62">
        <f t="shared" si="0"/>
        <v>1</v>
      </c>
      <c r="I66" s="60"/>
      <c r="J66" s="61">
        <f>AVERAGE(J64:J65)</f>
        <v>0.16666666666666666</v>
      </c>
      <c r="K66" s="61">
        <f>AVERAGE(K64:K65)</f>
        <v>0.83333333333333326</v>
      </c>
      <c r="L66" s="61">
        <f>AVERAGE(L64:L65)</f>
        <v>0</v>
      </c>
      <c r="M66" s="61">
        <f>AVERAGE(M64:M65)</f>
        <v>0</v>
      </c>
      <c r="N66" s="62">
        <f t="shared" si="1"/>
        <v>0.99999999999999989</v>
      </c>
      <c r="P66" s="60"/>
      <c r="Q66" s="61">
        <f>AVERAGE(Q64:Q65)</f>
        <v>0.1875</v>
      </c>
      <c r="R66" s="61">
        <f>AVERAGE(R64:R65)</f>
        <v>0.8125</v>
      </c>
      <c r="S66" s="61">
        <f>AVERAGE(S64:S65)</f>
        <v>0</v>
      </c>
      <c r="T66" s="61">
        <f>AVERAGE(T64:T65)</f>
        <v>0</v>
      </c>
      <c r="U66" s="62">
        <f t="shared" si="2"/>
        <v>1</v>
      </c>
      <c r="W66" s="60"/>
      <c r="X66" s="61">
        <f>AVERAGE(X64:X65)</f>
        <v>0</v>
      </c>
      <c r="Y66" s="61">
        <f>AVERAGE(Y64:Y65)</f>
        <v>1</v>
      </c>
      <c r="Z66" s="61">
        <f>AVERAGE(Z64:Z65)</f>
        <v>0</v>
      </c>
      <c r="AA66" s="61">
        <f>AVERAGE(AA64:AA65)</f>
        <v>0</v>
      </c>
      <c r="AB66" s="62">
        <f t="shared" si="3"/>
        <v>1</v>
      </c>
      <c r="AD66" s="60"/>
      <c r="AE66" s="61">
        <f>AVERAGE(AE64:AE65)</f>
        <v>0</v>
      </c>
      <c r="AF66" s="61">
        <f>AVERAGE(AF64:AF65)</f>
        <v>1</v>
      </c>
      <c r="AG66" s="61">
        <f>AVERAGE(AG64:AG65)</f>
        <v>0</v>
      </c>
      <c r="AH66" s="61">
        <f>AVERAGE(AH64:AH65)</f>
        <v>0</v>
      </c>
      <c r="AI66" s="62">
        <f t="shared" si="4"/>
        <v>1</v>
      </c>
      <c r="AK66" s="60"/>
      <c r="AL66" s="61">
        <f>AVERAGE(AL64:AL65)</f>
        <v>0.16666666666666666</v>
      </c>
      <c r="AM66" s="61">
        <f>AVERAGE(AM64:AM65)</f>
        <v>0.83333333333333326</v>
      </c>
      <c r="AN66" s="61">
        <f>AVERAGE(AN64:AN65)</f>
        <v>0</v>
      </c>
      <c r="AO66" s="61">
        <f>AVERAGE(AO64:AO65)</f>
        <v>0</v>
      </c>
      <c r="AP66" s="62">
        <f t="shared" si="5"/>
        <v>0.99999999999999989</v>
      </c>
      <c r="AR66" s="60"/>
      <c r="AS66" s="61" t="e">
        <f>AVERAGE(AS64:AS65)</f>
        <v>#DIV/0!</v>
      </c>
      <c r="AT66" s="61" t="e">
        <f>AVERAGE(AT64:AT65)</f>
        <v>#DIV/0!</v>
      </c>
      <c r="AU66" s="61" t="e">
        <f>AVERAGE(AU64:AU65)</f>
        <v>#DIV/0!</v>
      </c>
      <c r="AV66" s="61" t="e">
        <f>AVERAGE(AV64:AV65)</f>
        <v>#DIV/0!</v>
      </c>
      <c r="AW66" s="62" t="e">
        <f t="shared" si="6"/>
        <v>#DIV/0!</v>
      </c>
      <c r="AY66" s="60"/>
      <c r="AZ66" s="61">
        <f>AVERAGE(AZ64:AZ65)</f>
        <v>0</v>
      </c>
      <c r="BA66" s="61">
        <f>AVERAGE(BA64:BA65)</f>
        <v>1</v>
      </c>
      <c r="BB66" s="61">
        <f>AVERAGE(BB64:BB65)</f>
        <v>0</v>
      </c>
      <c r="BC66" s="61">
        <f>AVERAGE(BC64:BC65)</f>
        <v>0</v>
      </c>
      <c r="BD66" s="62">
        <f t="shared" si="7"/>
        <v>1</v>
      </c>
      <c r="BF66" s="60"/>
      <c r="BG66" s="61">
        <f>AVERAGE(BG64:BG65)</f>
        <v>0.25</v>
      </c>
      <c r="BH66" s="61">
        <f>AVERAGE(BH64:BH65)</f>
        <v>0.75</v>
      </c>
      <c r="BI66" s="61">
        <f>AVERAGE(BI64:BI65)</f>
        <v>0</v>
      </c>
      <c r="BJ66" s="61">
        <f>AVERAGE(BJ64:BJ65)</f>
        <v>0</v>
      </c>
      <c r="BK66" s="62">
        <f t="shared" si="8"/>
        <v>1</v>
      </c>
    </row>
    <row r="67" spans="2:63" ht="16.5" x14ac:dyDescent="0.3">
      <c r="B67" s="57" t="s">
        <v>42</v>
      </c>
      <c r="C67" s="66">
        <f>COUNTIFS(TblUniv2019[H1],C$44)/$C$43*100%</f>
        <v>0.19354838709677419</v>
      </c>
      <c r="D67" s="66">
        <f>COUNTIFS(TblUniv2019[H1],D$44)/$C$43*100%</f>
        <v>0.80645161290322576</v>
      </c>
      <c r="E67" s="66">
        <f>COUNTIFS(TblUniv2019[H1],E$44)/$C$43*100%</f>
        <v>0</v>
      </c>
      <c r="F67" s="66">
        <f>COUNTIFS(TblUniv2019[H1],F$44)/$C$43*100%</f>
        <v>0</v>
      </c>
      <c r="G67" s="62">
        <f t="shared" si="0"/>
        <v>1</v>
      </c>
      <c r="I67" s="57" t="s">
        <v>42</v>
      </c>
      <c r="J67" s="66">
        <f>COUNTIFS(TblUniv2019[H1],J$44,TblUniv2019[Prodi],$J$41)/$J$43*100%</f>
        <v>0.16666666666666666</v>
      </c>
      <c r="K67" s="66">
        <f>COUNTIFS(TblUniv2019[H1],K$44,TblUniv2019[Prodi],$J$41)/$J$43*100%</f>
        <v>0.83333333333333337</v>
      </c>
      <c r="L67" s="66">
        <f>COUNTIFS(TblUniv2019[H1],L$44,TblUniv2019[Prodi],$J$41)/$J$43*100%</f>
        <v>0</v>
      </c>
      <c r="M67" s="66">
        <f>COUNTIFS(TblUniv2019[H1],M$44,TblUniv2019[Prodi],$J$41)/$J$43*100%</f>
        <v>0</v>
      </c>
      <c r="N67" s="62">
        <f t="shared" si="1"/>
        <v>1</v>
      </c>
      <c r="P67" s="57" t="s">
        <v>42</v>
      </c>
      <c r="Q67" s="66">
        <f>COUNTIFS(TblUniv2019[H1],Q$44,TblUniv2019[Prodi],$Q$41)/$Q$43*100%</f>
        <v>0.125</v>
      </c>
      <c r="R67" s="66">
        <f>COUNTIFS(TblUniv2019[H1],R$44,TblUniv2019[Prodi],$Q$41)/$Q$43*100%</f>
        <v>0.875</v>
      </c>
      <c r="S67" s="66">
        <f>COUNTIFS(TblUniv2019[H1],S$44,TblUniv2019[Prodi],$Q$41)/$Q$43*100%</f>
        <v>0</v>
      </c>
      <c r="T67" s="66">
        <f>COUNTIFS(TblUniv2019[H1],T$44,TblUniv2019[Prodi],$Q$41)/$Q$43*100%</f>
        <v>0</v>
      </c>
      <c r="U67" s="62">
        <f t="shared" si="2"/>
        <v>1</v>
      </c>
      <c r="W67" s="57" t="s">
        <v>42</v>
      </c>
      <c r="X67" s="66">
        <f>COUNTIFS(TblUniv2019[H1],X$44,TblUniv2019[Prodi],$X$41)/$X$43*100%</f>
        <v>0</v>
      </c>
      <c r="Y67" s="66">
        <f>COUNTIFS(TblUniv2019[H1],Y$44,TblUniv2019[Prodi],$X$41)/$X$43*100%</f>
        <v>1</v>
      </c>
      <c r="Z67" s="66">
        <f>COUNTIFS(TblUniv2019[H1],Z$44,TblUniv2019[Prodi],$X$41)/$X$43*100%</f>
        <v>0</v>
      </c>
      <c r="AA67" s="66">
        <f>COUNTIFS(TblUniv2019[H1],AA$44,TblUniv2019[Prodi],$X$41)/$X$43*100%</f>
        <v>0</v>
      </c>
      <c r="AB67" s="62">
        <f t="shared" si="3"/>
        <v>1</v>
      </c>
      <c r="AD67" s="57" t="s">
        <v>42</v>
      </c>
      <c r="AE67" s="66">
        <f>COUNTIFS(TblUniv2019[H1],AE$44,TblUniv2019[Prodi],$AE$41)/$AE$43*100%</f>
        <v>0</v>
      </c>
      <c r="AF67" s="66">
        <f>COUNTIFS(TblUniv2019[H1],AF$44,TblUniv2019[Prodi],$AE$41)/$AE$43*100%</f>
        <v>1</v>
      </c>
      <c r="AG67" s="66">
        <f>COUNTIFS(TblUniv2019[H1],AG$44,TblUniv2019[Prodi],$AE$41)/$AE$43*100%</f>
        <v>0</v>
      </c>
      <c r="AH67" s="66">
        <f>COUNTIFS(TblUniv2019[H1],AH$44,TblUniv2019[Prodi],$AE$41)/$AE$43*100%</f>
        <v>0</v>
      </c>
      <c r="AI67" s="62">
        <f t="shared" si="4"/>
        <v>1</v>
      </c>
      <c r="AK67" s="57" t="s">
        <v>42</v>
      </c>
      <c r="AL67" s="66">
        <f>COUNTIFS(TblUniv2019[H1],AL$44,TblUniv2019[Prodi],$AL$41)/$AL$43*100%</f>
        <v>0.33333333333333331</v>
      </c>
      <c r="AM67" s="66">
        <f>COUNTIFS(TblUniv2019[H1],AM$44,TblUniv2019[Prodi],$AL$41)/$AL$43*100%</f>
        <v>0.66666666666666663</v>
      </c>
      <c r="AN67" s="66">
        <f>COUNTIFS(TblUniv2019[H1],AN$44,TblUniv2019[Prodi],$AL$41)/$AL$43*100%</f>
        <v>0</v>
      </c>
      <c r="AO67" s="66">
        <f>COUNTIFS(TblUniv2019[H1],AO$44,TblUniv2019[Prodi],$AL$41)/$AL$43*100%</f>
        <v>0</v>
      </c>
      <c r="AP67" s="62">
        <f t="shared" si="5"/>
        <v>1</v>
      </c>
      <c r="AR67" s="57" t="s">
        <v>42</v>
      </c>
      <c r="AS67" s="66" t="e">
        <f>COUNTIFS(TblUniv2019[H1],AS$44,TblUniv2019[Prodi],$AS$41)/$AS$43*100%</f>
        <v>#DIV/0!</v>
      </c>
      <c r="AT67" s="66" t="e">
        <f>COUNTIFS(TblUniv2019[H1],AT$44,TblUniv2019[Prodi],$AS$41)/$AS$43*100%</f>
        <v>#DIV/0!</v>
      </c>
      <c r="AU67" s="66" t="e">
        <f>COUNTIFS(TblUniv2019[H1],AU$44,TblUniv2019[Prodi],$AS$41)/$AS$43*100%</f>
        <v>#DIV/0!</v>
      </c>
      <c r="AV67" s="66" t="e">
        <f>COUNTIFS(TblUniv2019[H1],AV$44,TblUniv2019[Prodi],$AS$41)/$AS$43*100%</f>
        <v>#DIV/0!</v>
      </c>
      <c r="AW67" s="62" t="e">
        <f t="shared" si="6"/>
        <v>#DIV/0!</v>
      </c>
      <c r="AY67" s="57" t="s">
        <v>42</v>
      </c>
      <c r="AZ67" s="66">
        <f>COUNTIFS(TblUniv2019[H1],AZ$44,TblUniv2019[Prodi],$AZ$41)/$AZ$43*100%</f>
        <v>0.5</v>
      </c>
      <c r="BA67" s="66">
        <f>COUNTIFS(TblUniv2019[H1],BA$44,TblUniv2019[Prodi],$AZ$41)/$AZ$43*100%</f>
        <v>0.5</v>
      </c>
      <c r="BB67" s="66">
        <f>COUNTIFS(TblUniv2019[H1],BB$44,TblUniv2019[Prodi],$AZ$41)/$AZ$43*100%</f>
        <v>0</v>
      </c>
      <c r="BC67" s="66">
        <f>COUNTIFS(TblUniv2019[H1],BC$44,TblUniv2019[Prodi],$AZ$41)/$AZ$43*100%</f>
        <v>0</v>
      </c>
      <c r="BD67" s="62">
        <f t="shared" si="7"/>
        <v>1</v>
      </c>
      <c r="BF67" s="57" t="s">
        <v>42</v>
      </c>
      <c r="BG67" s="66">
        <f>COUNTIFS(TblUniv2019[H1],BG$44,TblUniv2019[Prodi],$BG$41)/$BG$43*100%</f>
        <v>0</v>
      </c>
      <c r="BH67" s="66">
        <f>COUNTIFS(TblUniv2019[H1],BH$44,TblUniv2019[Prodi],$BG$41)/$BG$43*100%</f>
        <v>1</v>
      </c>
      <c r="BI67" s="66">
        <f>COUNTIFS(TblUniv2019[H1],BI$44,TblUniv2019[Prodi],$BG$41)/$BG$43*100%</f>
        <v>0</v>
      </c>
      <c r="BJ67" s="66">
        <f>COUNTIFS(TblUniv2019[H1],BJ$44,TblUniv2019[Prodi],$BG$41)/$BG$43*100%</f>
        <v>0</v>
      </c>
      <c r="BK67" s="62">
        <f t="shared" si="8"/>
        <v>1</v>
      </c>
    </row>
    <row r="68" spans="2:63" ht="16.5" x14ac:dyDescent="0.3">
      <c r="B68" s="57" t="s">
        <v>43</v>
      </c>
      <c r="C68" s="66">
        <f>COUNTIFS(TblUniv2019[H2],C$44)/$C$43*100%</f>
        <v>0</v>
      </c>
      <c r="D68" s="66">
        <f>COUNTIFS(TblUniv2019[H2],D$44)/$C$43*100%</f>
        <v>1</v>
      </c>
      <c r="E68" s="66">
        <f>COUNTIFS(TblUniv2019[H2],E$44)/$C$43*100%</f>
        <v>0</v>
      </c>
      <c r="F68" s="66">
        <f>COUNTIFS(TblUniv2019[H2],F$44)/$C$43*100%</f>
        <v>0</v>
      </c>
      <c r="G68" s="62">
        <f t="shared" si="0"/>
        <v>1</v>
      </c>
      <c r="I68" s="57" t="s">
        <v>43</v>
      </c>
      <c r="J68" s="66">
        <f>COUNTIFS(TblUniv2019[H1],J$44,TblUniv2019[Prodi],$J$41)/$J$43*100%</f>
        <v>0.16666666666666666</v>
      </c>
      <c r="K68" s="66">
        <f>COUNTIFS(TblUniv2019[H1],K$44,TblUniv2019[Prodi],$J$41)/$J$43*100%</f>
        <v>0.83333333333333337</v>
      </c>
      <c r="L68" s="66">
        <f>COUNTIFS(TblUniv2019[H1],L$44,TblUniv2019[Prodi],$J$41)/$J$43*100%</f>
        <v>0</v>
      </c>
      <c r="M68" s="66">
        <f>COUNTIFS(TblUniv2019[H1],M$44,TblUniv2019[Prodi],$J$41)/$J$43*100%</f>
        <v>0</v>
      </c>
      <c r="N68" s="62">
        <f t="shared" si="1"/>
        <v>1</v>
      </c>
      <c r="P68" s="57" t="s">
        <v>43</v>
      </c>
      <c r="Q68" s="66">
        <f>COUNTIFS(TblUniv2019[H1],Q$44,TblUniv2019[Prodi],$Q$41)/$Q$43*100%</f>
        <v>0.125</v>
      </c>
      <c r="R68" s="66">
        <f>COUNTIFS(TblUniv2019[H1],R$44,TblUniv2019[Prodi],$Q$41)/$Q$43*100%</f>
        <v>0.875</v>
      </c>
      <c r="S68" s="66">
        <f>COUNTIFS(TblUniv2019[H1],S$44,TblUniv2019[Prodi],$Q$41)/$Q$43*100%</f>
        <v>0</v>
      </c>
      <c r="T68" s="66">
        <f>COUNTIFS(TblUniv2019[H1],T$44,TblUniv2019[Prodi],$Q$41)/$Q$43*100%</f>
        <v>0</v>
      </c>
      <c r="U68" s="62">
        <f t="shared" si="2"/>
        <v>1</v>
      </c>
      <c r="W68" s="57" t="s">
        <v>43</v>
      </c>
      <c r="X68" s="66">
        <f>COUNTIFS(TblUniv2019[H1],X$44,TblUniv2019[Prodi],$X$41)/$X$43*100%</f>
        <v>0</v>
      </c>
      <c r="Y68" s="66">
        <f>COUNTIFS(TblUniv2019[H1],Y$44,TblUniv2019[Prodi],$X$41)/$X$43*100%</f>
        <v>1</v>
      </c>
      <c r="Z68" s="66">
        <f>COUNTIFS(TblUniv2019[H1],Z$44,TblUniv2019[Prodi],$X$41)/$X$43*100%</f>
        <v>0</v>
      </c>
      <c r="AA68" s="66">
        <f>COUNTIFS(TblUniv2019[H1],AA$44,TblUniv2019[Prodi],$X$41)/$X$43*100%</f>
        <v>0</v>
      </c>
      <c r="AB68" s="62">
        <f t="shared" si="3"/>
        <v>1</v>
      </c>
      <c r="AD68" s="57" t="s">
        <v>43</v>
      </c>
      <c r="AE68" s="66">
        <f>COUNTIFS(TblUniv2019[H1],AE$44,TblUniv2019[Prodi],$AE$41)/$AE$43*100%</f>
        <v>0</v>
      </c>
      <c r="AF68" s="66">
        <f>COUNTIFS(TblUniv2019[H1],AF$44,TblUniv2019[Prodi],$AE$41)/$AE$43*100%</f>
        <v>1</v>
      </c>
      <c r="AG68" s="66">
        <f>COUNTIFS(TblUniv2019[H1],AG$44,TblUniv2019[Prodi],$AE$41)/$AE$43*100%</f>
        <v>0</v>
      </c>
      <c r="AH68" s="66">
        <f>COUNTIFS(TblUniv2019[H1],AH$44,TblUniv2019[Prodi],$AE$41)/$AE$43*100%</f>
        <v>0</v>
      </c>
      <c r="AI68" s="62">
        <f t="shared" si="4"/>
        <v>1</v>
      </c>
      <c r="AK68" s="57" t="s">
        <v>43</v>
      </c>
      <c r="AL68" s="66">
        <f>COUNTIFS(TblUniv2019[H1],AL$44,TblUniv2019[Prodi],$AL$41)/$AL$43*100%</f>
        <v>0.33333333333333331</v>
      </c>
      <c r="AM68" s="66">
        <f>COUNTIFS(TblUniv2019[H1],AM$44,TblUniv2019[Prodi],$AL$41)/$AL$43*100%</f>
        <v>0.66666666666666663</v>
      </c>
      <c r="AN68" s="66">
        <f>COUNTIFS(TblUniv2019[H1],AN$44,TblUniv2019[Prodi],$AL$41)/$AL$43*100%</f>
        <v>0</v>
      </c>
      <c r="AO68" s="66">
        <f>COUNTIFS(TblUniv2019[H1],AO$44,TblUniv2019[Prodi],$AL$41)/$AL$43*100%</f>
        <v>0</v>
      </c>
      <c r="AP68" s="62">
        <f t="shared" si="5"/>
        <v>1</v>
      </c>
      <c r="AR68" s="57" t="s">
        <v>43</v>
      </c>
      <c r="AS68" s="66" t="e">
        <f>COUNTIFS(TblUniv2019[H1],AS$44,TblUniv2019[Prodi],$AS$41)/$AS$43*100%</f>
        <v>#DIV/0!</v>
      </c>
      <c r="AT68" s="66" t="e">
        <f>COUNTIFS(TblUniv2019[H1],AT$44,TblUniv2019[Prodi],$AS$41)/$AS$43*100%</f>
        <v>#DIV/0!</v>
      </c>
      <c r="AU68" s="66" t="e">
        <f>COUNTIFS(TblUniv2019[H1],AU$44,TblUniv2019[Prodi],$AS$41)/$AS$43*100%</f>
        <v>#DIV/0!</v>
      </c>
      <c r="AV68" s="66" t="e">
        <f>COUNTIFS(TblUniv2019[H1],AV$44,TblUniv2019[Prodi],$AS$41)/$AS$43*100%</f>
        <v>#DIV/0!</v>
      </c>
      <c r="AW68" s="62" t="e">
        <f t="shared" si="6"/>
        <v>#DIV/0!</v>
      </c>
      <c r="AY68" s="57" t="s">
        <v>43</v>
      </c>
      <c r="AZ68" s="66">
        <f>COUNTIFS(TblUniv2019[H1],AZ$44,TblUniv2019[Prodi],$AZ$41)/$AZ$43*100%</f>
        <v>0.5</v>
      </c>
      <c r="BA68" s="66">
        <f>COUNTIFS(TblUniv2019[H1],BA$44,TblUniv2019[Prodi],$AZ$41)/$AZ$43*100%</f>
        <v>0.5</v>
      </c>
      <c r="BB68" s="66">
        <f>COUNTIFS(TblUniv2019[H1],BB$44,TblUniv2019[Prodi],$AZ$41)/$AZ$43*100%</f>
        <v>0</v>
      </c>
      <c r="BC68" s="66">
        <f>COUNTIFS(TblUniv2019[H1],BC$44,TblUniv2019[Prodi],$AZ$41)/$AZ$43*100%</f>
        <v>0</v>
      </c>
      <c r="BD68" s="62">
        <f t="shared" si="7"/>
        <v>1</v>
      </c>
      <c r="BF68" s="57" t="s">
        <v>43</v>
      </c>
      <c r="BG68" s="66">
        <f>COUNTIFS(TblUniv2019[H1],BG$44,TblUniv2019[Prodi],$BG$41)/$BG$43*100%</f>
        <v>0</v>
      </c>
      <c r="BH68" s="66">
        <f>COUNTIFS(TblUniv2019[H1],BH$44,TblUniv2019[Prodi],$BG$41)/$BG$43*100%</f>
        <v>1</v>
      </c>
      <c r="BI68" s="66">
        <f>COUNTIFS(TblUniv2019[H1],BI$44,TblUniv2019[Prodi],$BG$41)/$BG$43*100%</f>
        <v>0</v>
      </c>
      <c r="BJ68" s="66">
        <f>COUNTIFS(TblUniv2019[H1],BJ$44,TblUniv2019[Prodi],$BG$41)/$BG$43*100%</f>
        <v>0</v>
      </c>
      <c r="BK68" s="62">
        <f t="shared" si="8"/>
        <v>1</v>
      </c>
    </row>
    <row r="69" spans="2:63" ht="16.5" x14ac:dyDescent="0.3">
      <c r="B69" s="57" t="s">
        <v>44</v>
      </c>
      <c r="C69" s="66">
        <f>COUNTIFS(TblUniv2019[H3],C$44)/$C$43*100%</f>
        <v>0.22580645161290322</v>
      </c>
      <c r="D69" s="66">
        <f>COUNTIFS(TblUniv2019[H3],D$44)/$C$43*100%</f>
        <v>0.61290322580645162</v>
      </c>
      <c r="E69" s="66">
        <f>COUNTIFS(TblUniv2019[H3],E$44)/$C$43*100%</f>
        <v>0.16129032258064516</v>
      </c>
      <c r="F69" s="66">
        <f>COUNTIFS(TblUniv2019[H3],F$44)/$C$43*100%</f>
        <v>0</v>
      </c>
      <c r="G69" s="62">
        <f t="shared" si="0"/>
        <v>1</v>
      </c>
      <c r="I69" s="57" t="s">
        <v>44</v>
      </c>
      <c r="J69" s="66">
        <f>COUNTIFS(TblUniv2019[H3],J$44,TblUniv2019[Prodi],$J$41)/$J$43*100%</f>
        <v>0.33333333333333331</v>
      </c>
      <c r="K69" s="66">
        <f>COUNTIFS(TblUniv2019[H3],K$44,TblUniv2019[Prodi],$J$41)/$J$43*100%</f>
        <v>0.5</v>
      </c>
      <c r="L69" s="66">
        <f>COUNTIFS(TblUniv2019[H3],L$44,TblUniv2019[Prodi],$J$41)/$J$43*100%</f>
        <v>0.16666666666666666</v>
      </c>
      <c r="M69" s="66">
        <f>COUNTIFS(TblUniv2019[H3],M$44,TblUniv2019[Prodi],$J$41)/$J$43*100%</f>
        <v>0</v>
      </c>
      <c r="N69" s="62">
        <f t="shared" si="1"/>
        <v>0.99999999999999989</v>
      </c>
      <c r="P69" s="57" t="s">
        <v>44</v>
      </c>
      <c r="Q69" s="66">
        <f>COUNTIFS(TblUniv2019[H3],Q$44,TblUniv2019[Prodi],$Q$41)/$Q$43*100%</f>
        <v>0.25</v>
      </c>
      <c r="R69" s="66">
        <f>COUNTIFS(TblUniv2019[H3],R$44,TblUniv2019[Prodi],$Q$41)/$Q$43*100%</f>
        <v>0.5</v>
      </c>
      <c r="S69" s="66">
        <f>COUNTIFS(TblUniv2019[H3],S$44,TblUniv2019[Prodi],$Q$41)/$Q$43*100%</f>
        <v>0.25</v>
      </c>
      <c r="T69" s="66">
        <f>COUNTIFS(TblUniv2019[H3],T$44,TblUniv2019[Prodi],$Q$41)/$Q$43*100%</f>
        <v>0</v>
      </c>
      <c r="U69" s="62">
        <f t="shared" si="2"/>
        <v>1</v>
      </c>
      <c r="W69" s="57" t="s">
        <v>44</v>
      </c>
      <c r="X69" s="66">
        <f>COUNTIFS(TblUniv2019[H3],X$44,TblUniv2019[Prodi],$X$41)/$X$43*100%</f>
        <v>0</v>
      </c>
      <c r="Y69" s="66">
        <f>COUNTIFS(TblUniv2019[H3],Y$44,TblUniv2019[Prodi],$X$41)/$X$43*100%</f>
        <v>1</v>
      </c>
      <c r="Z69" s="66">
        <f>COUNTIFS(TblUniv2019[H3],Z$44,TblUniv2019[Prodi],$X$41)/$X$43*100%</f>
        <v>0</v>
      </c>
      <c r="AA69" s="66">
        <f>COUNTIFS(TblUniv2019[H3],AA$44,TblUniv2019[Prodi],$X$41)/$X$43*100%</f>
        <v>0</v>
      </c>
      <c r="AB69" s="62">
        <f t="shared" si="3"/>
        <v>1</v>
      </c>
      <c r="AD69" s="57" t="s">
        <v>44</v>
      </c>
      <c r="AE69" s="66">
        <f>COUNTIFS(TblUniv2019[H3],AE$44,TblUniv2019[Prodi],$AE$41)/$AE$43*100%</f>
        <v>0</v>
      </c>
      <c r="AF69" s="66">
        <f>COUNTIFS(TblUniv2019[H3],AF$44,TblUniv2019[Prodi],$AE$41)/$AE$43*100%</f>
        <v>0</v>
      </c>
      <c r="AG69" s="66">
        <f>COUNTIFS(TblUniv2019[H3],AG$44,TblUniv2019[Prodi],$AE$41)/$AE$43*100%</f>
        <v>1</v>
      </c>
      <c r="AH69" s="66">
        <f>COUNTIFS(TblUniv2019[H3],AH$44,TblUniv2019[Prodi],$AE$41)/$AE$43*100%</f>
        <v>0</v>
      </c>
      <c r="AI69" s="62">
        <f t="shared" si="4"/>
        <v>1</v>
      </c>
      <c r="AK69" s="57" t="s">
        <v>44</v>
      </c>
      <c r="AL69" s="66">
        <f>COUNTIFS(TblUniv2019[H3],AL$44,TblUniv2019[Prodi],$AL$41)/$AL$43*100%</f>
        <v>0.33333333333333331</v>
      </c>
      <c r="AM69" s="66">
        <f>COUNTIFS(TblUniv2019[H3],AM$44,TblUniv2019[Prodi],$AL$41)/$AL$43*100%</f>
        <v>0.5</v>
      </c>
      <c r="AN69" s="66">
        <f>COUNTIFS(TblUniv2019[H3],AN$44,TblUniv2019[Prodi],$AL$41)/$AL$43*100%</f>
        <v>0.16666666666666666</v>
      </c>
      <c r="AO69" s="66">
        <f>COUNTIFS(TblUniv2019[H3],AO$44,TblUniv2019[Prodi],$AL$41)/$AL$43*100%</f>
        <v>0</v>
      </c>
      <c r="AP69" s="62">
        <f t="shared" si="5"/>
        <v>0.99999999999999989</v>
      </c>
      <c r="AR69" s="57" t="s">
        <v>44</v>
      </c>
      <c r="AS69" s="66" t="e">
        <f>COUNTIFS(TblUniv2019[H3],AS$44,TblUniv2019[Prodi],$AS$41)/$AS$43*100%</f>
        <v>#DIV/0!</v>
      </c>
      <c r="AT69" s="66" t="e">
        <f>COUNTIFS(TblUniv2019[H3],AT$44,TblUniv2019[Prodi],$AS$41)/$AS$43*100%</f>
        <v>#DIV/0!</v>
      </c>
      <c r="AU69" s="66" t="e">
        <f>COUNTIFS(TblUniv2019[H3],AU$44,TblUniv2019[Prodi],$AS$41)/$AS$43*100%</f>
        <v>#DIV/0!</v>
      </c>
      <c r="AV69" s="66" t="e">
        <f>COUNTIFS(TblUniv2019[H3],AV$44,TblUniv2019[Prodi],$AS$41)/$AS$43*100%</f>
        <v>#DIV/0!</v>
      </c>
      <c r="AW69" s="62" t="e">
        <f t="shared" si="6"/>
        <v>#DIV/0!</v>
      </c>
      <c r="AY69" s="57" t="s">
        <v>44</v>
      </c>
      <c r="AZ69" s="66">
        <f>COUNTIFS(TblUniv2019[H3],AZ$44,TblUniv2019[Prodi],$AZ$41)/$AZ$43*100%</f>
        <v>0</v>
      </c>
      <c r="BA69" s="66">
        <f>COUNTIFS(TblUniv2019[H3],BA$44,TblUniv2019[Prodi],$AZ$41)/$AZ$43*100%</f>
        <v>1</v>
      </c>
      <c r="BB69" s="66">
        <f>COUNTIFS(TblUniv2019[H3],BB$44,TblUniv2019[Prodi],$AZ$41)/$AZ$43*100%</f>
        <v>0</v>
      </c>
      <c r="BC69" s="66">
        <f>COUNTIFS(TblUniv2019[H3],BC$44,TblUniv2019[Prodi],$AZ$41)/$AZ$43*100%</f>
        <v>0</v>
      </c>
      <c r="BD69" s="62">
        <f t="shared" si="7"/>
        <v>1</v>
      </c>
      <c r="BF69" s="57" t="s">
        <v>44</v>
      </c>
      <c r="BG69" s="66">
        <f>COUNTIFS(TblUniv2019[H3],BG$44,TblUniv2019[Prodi],$BG$41)/$BG$43*100%</f>
        <v>0.5</v>
      </c>
      <c r="BH69" s="66">
        <f>COUNTIFS(TblUniv2019[H3],BH$44,TblUniv2019[Prodi],$BG$41)/$BG$43*100%</f>
        <v>0.5</v>
      </c>
      <c r="BI69" s="66">
        <f>COUNTIFS(TblUniv2019[H3],BI$44,TblUniv2019[Prodi],$BG$41)/$BG$43*100%</f>
        <v>0</v>
      </c>
      <c r="BJ69" s="66">
        <f>COUNTIFS(TblUniv2019[H3],BJ$44,TblUniv2019[Prodi],$BG$41)/$BG$43*100%</f>
        <v>0</v>
      </c>
      <c r="BK69" s="62">
        <f t="shared" si="8"/>
        <v>1</v>
      </c>
    </row>
    <row r="70" spans="2:63" ht="16.5" x14ac:dyDescent="0.3">
      <c r="B70" s="57" t="s">
        <v>45</v>
      </c>
      <c r="C70" s="66">
        <f>COUNTIFS(TblUniv2019[H4],C$44)/$C$43*100%</f>
        <v>0</v>
      </c>
      <c r="D70" s="66">
        <f>COUNTIFS(TblUniv2019[H4],D$44)/$C$43*100%</f>
        <v>0.83870967741935487</v>
      </c>
      <c r="E70" s="66">
        <f>COUNTIFS(TblUniv2019[H4],E$44)/$C$43*100%</f>
        <v>0.16129032258064516</v>
      </c>
      <c r="F70" s="66">
        <f>COUNTIFS(TblUniv2019[H4],F$44)/$C$43*100%</f>
        <v>0</v>
      </c>
      <c r="G70" s="62">
        <f t="shared" si="0"/>
        <v>1</v>
      </c>
      <c r="I70" s="57" t="s">
        <v>45</v>
      </c>
      <c r="J70" s="66">
        <f>COUNTIFS(TblUniv2019[H4],J$44,TblUniv2019[Prodi],$J$41)/$J$43*100%</f>
        <v>0</v>
      </c>
      <c r="K70" s="66">
        <f>COUNTIFS(TblUniv2019[H4],K$44,TblUniv2019[Prodi],$J$41)/$J$43*100%</f>
        <v>0.83333333333333337</v>
      </c>
      <c r="L70" s="66">
        <f>COUNTIFS(TblUniv2019[H4],L$44,TblUniv2019[Prodi],$J$41)/$J$43*100%</f>
        <v>0.16666666666666666</v>
      </c>
      <c r="M70" s="66">
        <f>COUNTIFS(TblUniv2019[H4],M$44,TblUniv2019[Prodi],$J$41)/$J$43*100%</f>
        <v>0</v>
      </c>
      <c r="N70" s="62">
        <f t="shared" si="1"/>
        <v>1</v>
      </c>
      <c r="P70" s="57" t="s">
        <v>45</v>
      </c>
      <c r="Q70" s="66">
        <f>COUNTIFS(TblUniv2019[H4],Q$44,TblUniv2019[Prodi],$Q$41)/$Q$43*100%</f>
        <v>0</v>
      </c>
      <c r="R70" s="66">
        <f>COUNTIFS(TblUniv2019[H4],R$44,TblUniv2019[Prodi],$Q$41)/$Q$43*100%</f>
        <v>0.75</v>
      </c>
      <c r="S70" s="66">
        <f>COUNTIFS(TblUniv2019[H4],S$44,TblUniv2019[Prodi],$Q$41)/$Q$43*100%</f>
        <v>0.25</v>
      </c>
      <c r="T70" s="66">
        <f>COUNTIFS(TblUniv2019[H4],T$44,TblUniv2019[Prodi],$Q$41)/$Q$43*100%</f>
        <v>0</v>
      </c>
      <c r="U70" s="62">
        <f t="shared" si="2"/>
        <v>1</v>
      </c>
      <c r="W70" s="57" t="s">
        <v>45</v>
      </c>
      <c r="X70" s="66">
        <f>COUNTIFS(TblUniv2019[H4],X$44,TblUniv2019[Prodi],$X$41)/$X$43*100%</f>
        <v>0</v>
      </c>
      <c r="Y70" s="66">
        <f>COUNTIFS(TblUniv2019[H4],Y$44,TblUniv2019[Prodi],$X$41)/$X$43*100%</f>
        <v>1</v>
      </c>
      <c r="Z70" s="66">
        <f>COUNTIFS(TblUniv2019[H4],Z$44,TblUniv2019[Prodi],$X$41)/$X$43*100%</f>
        <v>0</v>
      </c>
      <c r="AA70" s="66">
        <f>COUNTIFS(TblUniv2019[H4],AA$44,TblUniv2019[Prodi],$X$41)/$X$43*100%</f>
        <v>0</v>
      </c>
      <c r="AB70" s="62">
        <f t="shared" si="3"/>
        <v>1</v>
      </c>
      <c r="AD70" s="57" t="s">
        <v>45</v>
      </c>
      <c r="AE70" s="66">
        <f>COUNTIFS(TblUniv2019[H4],AE$44,TblUniv2019[Prodi],$AE$41)/$AE$43*100%</f>
        <v>0</v>
      </c>
      <c r="AF70" s="66">
        <f>COUNTIFS(TblUniv2019[H4],AF$44,TblUniv2019[Prodi],$AE$41)/$AE$43*100%</f>
        <v>0</v>
      </c>
      <c r="AG70" s="66">
        <f>COUNTIFS(TblUniv2019[H4],AG$44,TblUniv2019[Prodi],$AE$41)/$AE$43*100%</f>
        <v>1</v>
      </c>
      <c r="AH70" s="66">
        <f>COUNTIFS(TblUniv2019[H4],AH$44,TblUniv2019[Prodi],$AE$41)/$AE$43*100%</f>
        <v>0</v>
      </c>
      <c r="AI70" s="62">
        <f t="shared" si="4"/>
        <v>1</v>
      </c>
      <c r="AK70" s="57" t="s">
        <v>45</v>
      </c>
      <c r="AL70" s="66">
        <f>COUNTIFS(TblUniv2019[H4],AL$44,TblUniv2019[Prodi],$AL$41)/$AL$43*100%</f>
        <v>0</v>
      </c>
      <c r="AM70" s="66">
        <f>COUNTIFS(TblUniv2019[H4],AM$44,TblUniv2019[Prodi],$AL$41)/$AL$43*100%</f>
        <v>0.83333333333333337</v>
      </c>
      <c r="AN70" s="66">
        <f>COUNTIFS(TblUniv2019[H4],AN$44,TblUniv2019[Prodi],$AL$41)/$AL$43*100%</f>
        <v>0.16666666666666666</v>
      </c>
      <c r="AO70" s="66">
        <f>COUNTIFS(TblUniv2019[H4],AO$44,TblUniv2019[Prodi],$AL$41)/$AL$43*100%</f>
        <v>0</v>
      </c>
      <c r="AP70" s="62">
        <f t="shared" si="5"/>
        <v>1</v>
      </c>
      <c r="AR70" s="57" t="s">
        <v>45</v>
      </c>
      <c r="AS70" s="66" t="e">
        <f>COUNTIFS(TblUniv2019[H4],AS$44,TblUniv2019[Prodi],$AS$41)/$AS$43*100%</f>
        <v>#DIV/0!</v>
      </c>
      <c r="AT70" s="66" t="e">
        <f>COUNTIFS(TblUniv2019[H4],AT$44,TblUniv2019[Prodi],$AS$41)/$AS$43*100%</f>
        <v>#DIV/0!</v>
      </c>
      <c r="AU70" s="66" t="e">
        <f>COUNTIFS(TblUniv2019[H4],AU$44,TblUniv2019[Prodi],$AS$41)/$AS$43*100%</f>
        <v>#DIV/0!</v>
      </c>
      <c r="AV70" s="66" t="e">
        <f>COUNTIFS(TblUniv2019[H4],AV$44,TblUniv2019[Prodi],$AS$41)/$AS$43*100%</f>
        <v>#DIV/0!</v>
      </c>
      <c r="AW70" s="62" t="e">
        <f t="shared" si="6"/>
        <v>#DIV/0!</v>
      </c>
      <c r="AY70" s="57" t="s">
        <v>45</v>
      </c>
      <c r="AZ70" s="66">
        <f>COUNTIFS(TblUniv2019[H4],AZ$44,TblUniv2019[Prodi],$AZ$41)/$AZ$43*100%</f>
        <v>0</v>
      </c>
      <c r="BA70" s="66">
        <f>COUNTIFS(TblUniv2019[H4],BA$44,TblUniv2019[Prodi],$AZ$41)/$AZ$43*100%</f>
        <v>1</v>
      </c>
      <c r="BB70" s="66">
        <f>COUNTIFS(TblUniv2019[H4],BB$44,TblUniv2019[Prodi],$AZ$41)/$AZ$43*100%</f>
        <v>0</v>
      </c>
      <c r="BC70" s="66">
        <f>COUNTIFS(TblUniv2019[H4],BC$44,TblUniv2019[Prodi],$AZ$41)/$AZ$43*100%</f>
        <v>0</v>
      </c>
      <c r="BD70" s="62">
        <f t="shared" si="7"/>
        <v>1</v>
      </c>
      <c r="BF70" s="57" t="s">
        <v>45</v>
      </c>
      <c r="BG70" s="66">
        <f>COUNTIFS(TblUniv2019[H4],BG$44,TblUniv2019[Prodi],$BG$41)/$BG$43*100%</f>
        <v>0</v>
      </c>
      <c r="BH70" s="66">
        <f>COUNTIFS(TblUniv2019[H4],BH$44,TblUniv2019[Prodi],$BG$41)/$BG$43*100%</f>
        <v>1</v>
      </c>
      <c r="BI70" s="66">
        <f>COUNTIFS(TblUniv2019[H4],BI$44,TblUniv2019[Prodi],$BG$41)/$BG$43*100%</f>
        <v>0</v>
      </c>
      <c r="BJ70" s="66">
        <f>COUNTIFS(TblUniv2019[H4],BJ$44,TblUniv2019[Prodi],$BG$41)/$BG$43*100%</f>
        <v>0</v>
      </c>
      <c r="BK70" s="62">
        <f t="shared" si="8"/>
        <v>1</v>
      </c>
    </row>
    <row r="71" spans="2:63" ht="16.5" x14ac:dyDescent="0.3">
      <c r="B71" s="60"/>
      <c r="C71" s="61">
        <f>AVERAGE(C67:C70)</f>
        <v>0.10483870967741934</v>
      </c>
      <c r="D71" s="61">
        <f>AVERAGE(D67:D70)</f>
        <v>0.81451612903225812</v>
      </c>
      <c r="E71" s="61">
        <f>AVERAGE(E67:E70)</f>
        <v>8.0645161290322578E-2</v>
      </c>
      <c r="F71" s="61">
        <f>AVERAGE(F67:F70)</f>
        <v>0</v>
      </c>
      <c r="G71" s="62">
        <f t="shared" si="0"/>
        <v>1</v>
      </c>
      <c r="I71" s="60"/>
      <c r="J71" s="61">
        <f>AVERAGE(J67:J70)</f>
        <v>0.16666666666666666</v>
      </c>
      <c r="K71" s="61">
        <f>AVERAGE(K67:K70)</f>
        <v>0.75000000000000011</v>
      </c>
      <c r="L71" s="61">
        <f>AVERAGE(L67:L70)</f>
        <v>8.3333333333333329E-2</v>
      </c>
      <c r="M71" s="61">
        <f>AVERAGE(M67:M70)</f>
        <v>0</v>
      </c>
      <c r="N71" s="62">
        <f t="shared" si="1"/>
        <v>1</v>
      </c>
      <c r="P71" s="60"/>
      <c r="Q71" s="61">
        <f>AVERAGE(Q67:Q70)</f>
        <v>0.125</v>
      </c>
      <c r="R71" s="61">
        <f>AVERAGE(R67:R70)</f>
        <v>0.75</v>
      </c>
      <c r="S71" s="61">
        <f>AVERAGE(S67:S70)</f>
        <v>0.125</v>
      </c>
      <c r="T71" s="61">
        <f>AVERAGE(T67:T70)</f>
        <v>0</v>
      </c>
      <c r="U71" s="62">
        <f t="shared" si="2"/>
        <v>1</v>
      </c>
      <c r="W71" s="60"/>
      <c r="X71" s="61">
        <f>AVERAGE(X67:X70)</f>
        <v>0</v>
      </c>
      <c r="Y71" s="61">
        <f>AVERAGE(Y67:Y70)</f>
        <v>1</v>
      </c>
      <c r="Z71" s="61">
        <f>AVERAGE(Z67:Z70)</f>
        <v>0</v>
      </c>
      <c r="AA71" s="61">
        <f>AVERAGE(AA67:AA70)</f>
        <v>0</v>
      </c>
      <c r="AB71" s="62">
        <f t="shared" si="3"/>
        <v>1</v>
      </c>
      <c r="AD71" s="60"/>
      <c r="AE71" s="61">
        <f>AVERAGE(AE67:AE70)</f>
        <v>0</v>
      </c>
      <c r="AF71" s="61">
        <f>AVERAGE(AF67:AF70)</f>
        <v>0.5</v>
      </c>
      <c r="AG71" s="61">
        <f>AVERAGE(AG67:AG70)</f>
        <v>0.5</v>
      </c>
      <c r="AH71" s="61">
        <f>AVERAGE(AH67:AH70)</f>
        <v>0</v>
      </c>
      <c r="AI71" s="62">
        <f t="shared" si="4"/>
        <v>1</v>
      </c>
      <c r="AK71" s="60"/>
      <c r="AL71" s="61">
        <f>AVERAGE(AL67:AL70)</f>
        <v>0.25</v>
      </c>
      <c r="AM71" s="61">
        <f>AVERAGE(AM67:AM70)</f>
        <v>0.66666666666666663</v>
      </c>
      <c r="AN71" s="61">
        <f>AVERAGE(AN67:AN70)</f>
        <v>8.3333333333333329E-2</v>
      </c>
      <c r="AO71" s="61">
        <f>AVERAGE(AO67:AO70)</f>
        <v>0</v>
      </c>
      <c r="AP71" s="62">
        <f t="shared" si="5"/>
        <v>1</v>
      </c>
      <c r="AR71" s="60"/>
      <c r="AS71" s="61" t="e">
        <f>AVERAGE(AS67:AS70)</f>
        <v>#DIV/0!</v>
      </c>
      <c r="AT71" s="61" t="e">
        <f>AVERAGE(AT67:AT70)</f>
        <v>#DIV/0!</v>
      </c>
      <c r="AU71" s="61" t="e">
        <f>AVERAGE(AU67:AU70)</f>
        <v>#DIV/0!</v>
      </c>
      <c r="AV71" s="61" t="e">
        <f>AVERAGE(AV67:AV70)</f>
        <v>#DIV/0!</v>
      </c>
      <c r="AW71" s="62" t="e">
        <f t="shared" si="6"/>
        <v>#DIV/0!</v>
      </c>
      <c r="AY71" s="60"/>
      <c r="AZ71" s="61">
        <f>AVERAGE(AZ67:AZ70)</f>
        <v>0.25</v>
      </c>
      <c r="BA71" s="61">
        <f>AVERAGE(BA67:BA70)</f>
        <v>0.75</v>
      </c>
      <c r="BB71" s="61">
        <f>AVERAGE(BB67:BB70)</f>
        <v>0</v>
      </c>
      <c r="BC71" s="61">
        <f>AVERAGE(BC67:BC70)</f>
        <v>0</v>
      </c>
      <c r="BD71" s="62">
        <f t="shared" si="7"/>
        <v>1</v>
      </c>
      <c r="BF71" s="60"/>
      <c r="BG71" s="61">
        <f>AVERAGE(BG67:BG70)</f>
        <v>0.125</v>
      </c>
      <c r="BH71" s="61">
        <f>AVERAGE(BH67:BH70)</f>
        <v>0.875</v>
      </c>
      <c r="BI71" s="61">
        <f>AVERAGE(BI67:BI70)</f>
        <v>0</v>
      </c>
      <c r="BJ71" s="61">
        <f>AVERAGE(BJ67:BJ70)</f>
        <v>0</v>
      </c>
      <c r="BK71" s="62">
        <f t="shared" si="8"/>
        <v>1</v>
      </c>
    </row>
    <row r="72" spans="2:63" ht="16.5" x14ac:dyDescent="0.3">
      <c r="B72" s="57" t="s">
        <v>648</v>
      </c>
      <c r="C72" s="66">
        <f>COUNTIFS(TblUniv2019[I. a1],C$44)/$C$43*100%</f>
        <v>0.38709677419354838</v>
      </c>
      <c r="D72" s="66">
        <f>COUNTIFS(TblUniv2019[I. a1],D$44)/$C$43*100%</f>
        <v>0.61290322580645162</v>
      </c>
      <c r="E72" s="66">
        <f>COUNTIFS(TblUniv2019[I. a1],E$44)/$C$43*100%</f>
        <v>0</v>
      </c>
      <c r="F72" s="66">
        <f>COUNTIFS(TblUniv2019[I. a1],F$44)/$C$43*100%</f>
        <v>0</v>
      </c>
      <c r="G72" s="62">
        <f t="shared" si="0"/>
        <v>1</v>
      </c>
      <c r="I72" s="57" t="s">
        <v>648</v>
      </c>
      <c r="J72" s="66">
        <f>COUNTIFS(TblUniv2019[I. a1],J$44,TblUniv2019[Prodi],$J$41)/$J$43*100%</f>
        <v>0.33333333333333331</v>
      </c>
      <c r="K72" s="66">
        <f>COUNTIFS(TblUniv2019[I. a1],K$44,TblUniv2019[Prodi],$J$41)/$J$43*100%</f>
        <v>0.66666666666666663</v>
      </c>
      <c r="L72" s="66">
        <f>COUNTIFS(TblUniv2019[I. a1],L$44,TblUniv2019[Prodi],$J$41)/$J$43*100%</f>
        <v>0</v>
      </c>
      <c r="M72" s="66">
        <f>COUNTIFS(TblUniv2019[I. a1],M$44,TblUniv2019[Prodi],$J$41)/$J$43*100%</f>
        <v>0</v>
      </c>
      <c r="N72" s="62">
        <f t="shared" si="1"/>
        <v>1</v>
      </c>
      <c r="P72" s="57" t="s">
        <v>648</v>
      </c>
      <c r="Q72" s="66">
        <f>COUNTIFS(TblUniv2019[I. a1],Q$44,TblUniv2019[Prodi],$Q$41)/$Q$43*100%</f>
        <v>0.25</v>
      </c>
      <c r="R72" s="66">
        <f>COUNTIFS(TblUniv2019[I. a1],R$44,TblUniv2019[Prodi],$Q$41)/$Q$43*100%</f>
        <v>0.75</v>
      </c>
      <c r="S72" s="66">
        <f>COUNTIFS(TblUniv2019[I. a1],S$44,TblUniv2019[Prodi],$Q$41)/$Q$43*100%</f>
        <v>0</v>
      </c>
      <c r="T72" s="66">
        <f>COUNTIFS(TblUniv2019[I. a1],T$44,TblUniv2019[Prodi],$Q$41)/$Q$43*100%</f>
        <v>0</v>
      </c>
      <c r="U72" s="62">
        <f t="shared" si="2"/>
        <v>1</v>
      </c>
      <c r="W72" s="57" t="s">
        <v>648</v>
      </c>
      <c r="X72" s="66">
        <f>COUNTIFS(TblUniv2019[I. a1],X$44,TblUniv2019[Prodi],$X$41)/$X$43*100%</f>
        <v>1</v>
      </c>
      <c r="Y72" s="66">
        <f>COUNTIFS(TblUniv2019[I. a1],Y$44,TblUniv2019[Prodi],$X$41)/$X$43*100%</f>
        <v>0</v>
      </c>
      <c r="Z72" s="66">
        <f>COUNTIFS(TblUniv2019[I. a1],Z$44,TblUniv2019[Prodi],$X$41)/$X$43*100%</f>
        <v>0</v>
      </c>
      <c r="AA72" s="66">
        <f>COUNTIFS(TblUniv2019[I. a1],AA$44,TblUniv2019[Prodi],$X$41)/$X$43*100%</f>
        <v>0</v>
      </c>
      <c r="AB72" s="62">
        <f t="shared" si="3"/>
        <v>1</v>
      </c>
      <c r="AD72" s="57" t="s">
        <v>648</v>
      </c>
      <c r="AE72" s="66">
        <f>COUNTIFS(TblUniv2019[I. a1],AE$44,TblUniv2019[Prodi],$AE$41)/$AE$43*100%</f>
        <v>0</v>
      </c>
      <c r="AF72" s="66">
        <f>COUNTIFS(TblUniv2019[I. a1],AF$44,TblUniv2019[Prodi],$AE$41)/$AE$43*100%</f>
        <v>1</v>
      </c>
      <c r="AG72" s="66">
        <f>COUNTIFS(TblUniv2019[I. a1],AG$44,TblUniv2019[Prodi],$AE$41)/$AE$43*100%</f>
        <v>0</v>
      </c>
      <c r="AH72" s="66">
        <f>COUNTIFS(TblUniv2019[I. a1],AH$44,TblUniv2019[Prodi],$AE$41)/$AE$43*100%</f>
        <v>0</v>
      </c>
      <c r="AI72" s="62">
        <f t="shared" si="4"/>
        <v>1</v>
      </c>
      <c r="AK72" s="57" t="s">
        <v>648</v>
      </c>
      <c r="AL72" s="66">
        <f>COUNTIFS(TblUniv2019[I. a1],AL$44,TblUniv2019[Prodi],$AL$41)/$AL$43*100%</f>
        <v>0.33333333333333331</v>
      </c>
      <c r="AM72" s="66">
        <f>COUNTIFS(TblUniv2019[I. a1],AM$44,TblUniv2019[Prodi],$AL$41)/$AL$43*100%</f>
        <v>0.66666666666666663</v>
      </c>
      <c r="AN72" s="66">
        <f>COUNTIFS(TblUniv2019[I. a1],AN$44,TblUniv2019[Prodi],$AL$41)/$AL$43*100%</f>
        <v>0</v>
      </c>
      <c r="AO72" s="66">
        <f>COUNTIFS(TblUniv2019[I. a1],AO$44,TblUniv2019[Prodi],$AL$41)/$AL$43*100%</f>
        <v>0</v>
      </c>
      <c r="AP72" s="62">
        <f t="shared" si="5"/>
        <v>1</v>
      </c>
      <c r="AR72" s="57" t="s">
        <v>648</v>
      </c>
      <c r="AS72" s="66" t="e">
        <f>COUNTIFS(TblUniv2019[I. a1],AS$44,TblUniv2019[Prodi],$AS$41)/$AS$43*100%</f>
        <v>#DIV/0!</v>
      </c>
      <c r="AT72" s="66" t="e">
        <f>COUNTIFS(TblUniv2019[I. a1],AT$44,TblUniv2019[Prodi],$AS$41)/$AS$43*100%</f>
        <v>#DIV/0!</v>
      </c>
      <c r="AU72" s="66" t="e">
        <f>COUNTIFS(TblUniv2019[I. a1],AU$44,TblUniv2019[Prodi],$AS$41)/$AS$43*100%</f>
        <v>#DIV/0!</v>
      </c>
      <c r="AV72" s="66" t="e">
        <f>COUNTIFS(TblUniv2019[I. a1],AV$44,TblUniv2019[Prodi],$AS$41)/$AS$43*100%</f>
        <v>#DIV/0!</v>
      </c>
      <c r="AW72" s="62" t="e">
        <f t="shared" si="6"/>
        <v>#DIV/0!</v>
      </c>
      <c r="AY72" s="57" t="s">
        <v>648</v>
      </c>
      <c r="AZ72" s="66">
        <f>COUNTIFS(TblUniv2019[I. a1],AZ$44,TblUniv2019[Prodi],$AZ$41)/$AZ$43*100%</f>
        <v>0.25</v>
      </c>
      <c r="BA72" s="66">
        <f>COUNTIFS(TblUniv2019[I. a1],BA$44,TblUniv2019[Prodi],$AZ$41)/$AZ$43*100%</f>
        <v>0.75</v>
      </c>
      <c r="BB72" s="66">
        <f>COUNTIFS(TblUniv2019[I. a1],BB$44,TblUniv2019[Prodi],$AZ$41)/$AZ$43*100%</f>
        <v>0</v>
      </c>
      <c r="BC72" s="66">
        <f>COUNTIFS(TblUniv2019[I. a1],BC$44,TblUniv2019[Prodi],$AZ$41)/$AZ$43*100%</f>
        <v>0</v>
      </c>
      <c r="BD72" s="62">
        <f t="shared" si="7"/>
        <v>1</v>
      </c>
      <c r="BF72" s="57" t="s">
        <v>648</v>
      </c>
      <c r="BG72" s="66">
        <f>COUNTIFS(TblUniv2019[I. a1],BG$44,TblUniv2019[Prodi],$BG$41)/$BG$43*100%</f>
        <v>0.5</v>
      </c>
      <c r="BH72" s="66">
        <f>COUNTIFS(TblUniv2019[I. a1],BH$44,TblUniv2019[Prodi],$BG$41)/$BG$43*100%</f>
        <v>0.5</v>
      </c>
      <c r="BI72" s="66">
        <f>COUNTIFS(TblUniv2019[I. a1],BI$44,TblUniv2019[Prodi],$BG$41)/$BG$43*100%</f>
        <v>0</v>
      </c>
      <c r="BJ72" s="66">
        <f>COUNTIFS(TblUniv2019[I. a1],BJ$44,TblUniv2019[Prodi],$BG$41)/$BG$43*100%</f>
        <v>0</v>
      </c>
      <c r="BK72" s="62">
        <f t="shared" si="8"/>
        <v>1</v>
      </c>
    </row>
    <row r="73" spans="2:63" ht="16.5" x14ac:dyDescent="0.3">
      <c r="B73" s="57" t="s">
        <v>649</v>
      </c>
      <c r="C73" s="66">
        <f>COUNTIFS(TblUniv2019[I. a2],C$44)/$C$43*100%</f>
        <v>0</v>
      </c>
      <c r="D73" s="66">
        <f>COUNTIFS(TblUniv2019[I. a2],D$44)/$C$43*100%</f>
        <v>1</v>
      </c>
      <c r="E73" s="66">
        <f>COUNTIFS(TblUniv2019[I. a2],E$44)/$C$43*100%</f>
        <v>0</v>
      </c>
      <c r="F73" s="66">
        <f>COUNTIFS(TblUniv2019[I. a2],F$44)/$C$43*100%</f>
        <v>0</v>
      </c>
      <c r="G73" s="62">
        <f t="shared" si="0"/>
        <v>1</v>
      </c>
      <c r="I73" s="57" t="s">
        <v>649</v>
      </c>
      <c r="J73" s="66">
        <f>COUNTIFS(TblUniv2019[I. a2],J$44,TblUniv2019[Prodi],$J$41)/$J$43*100%</f>
        <v>0</v>
      </c>
      <c r="K73" s="66">
        <f>COUNTIFS(TblUniv2019[I. a2],K$44,TblUniv2019[Prodi],$J$41)/$J$43*100%</f>
        <v>1</v>
      </c>
      <c r="L73" s="66">
        <f>COUNTIFS(TblUniv2019[I. a2],L$44,TblUniv2019[Prodi],$J$41)/$J$43*100%</f>
        <v>0</v>
      </c>
      <c r="M73" s="66">
        <f>COUNTIFS(TblUniv2019[I. a2],M$44,TblUniv2019[Prodi],$J$41)/$J$43*100%</f>
        <v>0</v>
      </c>
      <c r="N73" s="62">
        <f t="shared" si="1"/>
        <v>1</v>
      </c>
      <c r="P73" s="57" t="s">
        <v>649</v>
      </c>
      <c r="Q73" s="66">
        <f>COUNTIFS(TblUniv2019[I. a2],Q$44,TblUniv2019[Prodi],$Q$41)/$Q$43*100%</f>
        <v>0</v>
      </c>
      <c r="R73" s="66">
        <f>COUNTIFS(TblUniv2019[I. a2],R$44,TblUniv2019[Prodi],$Q$41)/$Q$43*100%</f>
        <v>1</v>
      </c>
      <c r="S73" s="66">
        <f>COUNTIFS(TblUniv2019[I. a2],S$44,TblUniv2019[Prodi],$Q$41)/$Q$43*100%</f>
        <v>0</v>
      </c>
      <c r="T73" s="66">
        <f>COUNTIFS(TblUniv2019[I. a2],T$44,TblUniv2019[Prodi],$Q$41)/$Q$43*100%</f>
        <v>0</v>
      </c>
      <c r="U73" s="62">
        <f t="shared" si="2"/>
        <v>1</v>
      </c>
      <c r="W73" s="57" t="s">
        <v>649</v>
      </c>
      <c r="X73" s="66">
        <f>COUNTIFS(TblUniv2019[I. a2],X$44,TblUniv2019[Prodi],$X$41)/$X$43*100%</f>
        <v>0</v>
      </c>
      <c r="Y73" s="66">
        <f>COUNTIFS(TblUniv2019[I. a2],Y$44,TblUniv2019[Prodi],$X$41)/$X$43*100%</f>
        <v>1</v>
      </c>
      <c r="Z73" s="66">
        <f>COUNTIFS(TblUniv2019[I. a2],Z$44,TblUniv2019[Prodi],$X$41)/$X$43*100%</f>
        <v>0</v>
      </c>
      <c r="AA73" s="66">
        <f>COUNTIFS(TblUniv2019[I. a2],AA$44,TblUniv2019[Prodi],$X$41)/$X$43*100%</f>
        <v>0</v>
      </c>
      <c r="AB73" s="62">
        <f t="shared" si="3"/>
        <v>1</v>
      </c>
      <c r="AD73" s="57" t="s">
        <v>649</v>
      </c>
      <c r="AE73" s="66">
        <f>COUNTIFS(TblUniv2019[I. a2],AE$44,TblUniv2019[Prodi],$AE$41)/$AE$43*100%</f>
        <v>0</v>
      </c>
      <c r="AF73" s="66">
        <f>COUNTIFS(TblUniv2019[I. a2],AF$44,TblUniv2019[Prodi],$AE$41)/$AE$43*100%</f>
        <v>1</v>
      </c>
      <c r="AG73" s="66">
        <f>COUNTIFS(TblUniv2019[I. a2],AG$44,TblUniv2019[Prodi],$AE$41)/$AE$43*100%</f>
        <v>0</v>
      </c>
      <c r="AH73" s="66">
        <f>COUNTIFS(TblUniv2019[I. a2],AH$44,TblUniv2019[Prodi],$AE$41)/$AE$43*100%</f>
        <v>0</v>
      </c>
      <c r="AI73" s="62">
        <f t="shared" si="4"/>
        <v>1</v>
      </c>
      <c r="AK73" s="57" t="s">
        <v>649</v>
      </c>
      <c r="AL73" s="66">
        <f>COUNTIFS(TblUniv2019[I. a2],AL$44,TblUniv2019[Prodi],$AL$41)/$AL$43*100%</f>
        <v>0</v>
      </c>
      <c r="AM73" s="66">
        <f>COUNTIFS(TblUniv2019[I. a2],AM$44,TblUniv2019[Prodi],$AL$41)/$AL$43*100%</f>
        <v>1</v>
      </c>
      <c r="AN73" s="66">
        <f>COUNTIFS(TblUniv2019[I. a2],AN$44,TblUniv2019[Prodi],$AL$41)/$AL$43*100%</f>
        <v>0</v>
      </c>
      <c r="AO73" s="66">
        <f>COUNTIFS(TblUniv2019[I. a2],AO$44,TblUniv2019[Prodi],$AL$41)/$AL$43*100%</f>
        <v>0</v>
      </c>
      <c r="AP73" s="62">
        <f t="shared" si="5"/>
        <v>1</v>
      </c>
      <c r="AR73" s="57" t="s">
        <v>649</v>
      </c>
      <c r="AS73" s="66" t="e">
        <f>COUNTIFS(TblUniv2019[I. a2],AS$44,TblUniv2019[Prodi],$AS$41)/$AS$43*100%</f>
        <v>#DIV/0!</v>
      </c>
      <c r="AT73" s="66" t="e">
        <f>COUNTIFS(TblUniv2019[I. a2],AT$44,TblUniv2019[Prodi],$AS$41)/$AS$43*100%</f>
        <v>#DIV/0!</v>
      </c>
      <c r="AU73" s="66" t="e">
        <f>COUNTIFS(TblUniv2019[I. a2],AU$44,TblUniv2019[Prodi],$AS$41)/$AS$43*100%</f>
        <v>#DIV/0!</v>
      </c>
      <c r="AV73" s="66" t="e">
        <f>COUNTIFS(TblUniv2019[I. a2],AV$44,TblUniv2019[Prodi],$AS$41)/$AS$43*100%</f>
        <v>#DIV/0!</v>
      </c>
      <c r="AW73" s="62" t="e">
        <f t="shared" si="6"/>
        <v>#DIV/0!</v>
      </c>
      <c r="AY73" s="57" t="s">
        <v>649</v>
      </c>
      <c r="AZ73" s="66">
        <f>COUNTIFS(TblUniv2019[I. a2],AZ$44,TblUniv2019[Prodi],$AZ$41)/$AZ$43*100%</f>
        <v>0</v>
      </c>
      <c r="BA73" s="66">
        <f>COUNTIFS(TblUniv2019[I. a2],BA$44,TblUniv2019[Prodi],$AZ$41)/$AZ$43*100%</f>
        <v>1</v>
      </c>
      <c r="BB73" s="66">
        <f>COUNTIFS(TblUniv2019[I. a2],BB$44,TblUniv2019[Prodi],$AZ$41)/$AZ$43*100%</f>
        <v>0</v>
      </c>
      <c r="BC73" s="66">
        <f>COUNTIFS(TblUniv2019[I. a2],BC$44,TblUniv2019[Prodi],$AZ$41)/$AZ$43*100%</f>
        <v>0</v>
      </c>
      <c r="BD73" s="62">
        <f t="shared" si="7"/>
        <v>1</v>
      </c>
      <c r="BF73" s="57" t="s">
        <v>649</v>
      </c>
      <c r="BG73" s="66">
        <f>COUNTIFS(TblUniv2019[I. a2],BG$44,TblUniv2019[Prodi],$BG$41)/$BG$43*100%</f>
        <v>0</v>
      </c>
      <c r="BH73" s="66">
        <f>COUNTIFS(TblUniv2019[I. a2],BH$44,TblUniv2019[Prodi],$BG$41)/$BG$43*100%</f>
        <v>1</v>
      </c>
      <c r="BI73" s="66">
        <f>COUNTIFS(TblUniv2019[I. a2],BI$44,TblUniv2019[Prodi],$BG$41)/$BG$43*100%</f>
        <v>0</v>
      </c>
      <c r="BJ73" s="66">
        <f>COUNTIFS(TblUniv2019[I. a2],BJ$44,TblUniv2019[Prodi],$BG$41)/$BG$43*100%</f>
        <v>0</v>
      </c>
      <c r="BK73" s="62">
        <f t="shared" si="8"/>
        <v>1</v>
      </c>
    </row>
    <row r="74" spans="2:63" ht="16.5" x14ac:dyDescent="0.3">
      <c r="B74" s="57" t="s">
        <v>650</v>
      </c>
      <c r="C74" s="66">
        <f>COUNTIFS(TblUniv2019[I. a3],C$44)/$C$43*100%</f>
        <v>0.38709677419354838</v>
      </c>
      <c r="D74" s="66">
        <f>COUNTIFS(TblUniv2019[I. a3],D$44)/$C$43*100%</f>
        <v>0.61290322580645162</v>
      </c>
      <c r="E74" s="66">
        <f>COUNTIFS(TblUniv2019[I. a3],E$44)/$C$43*100%</f>
        <v>0</v>
      </c>
      <c r="F74" s="66">
        <f>COUNTIFS(TblUniv2019[I. a3],F$44)/$C$43*100%</f>
        <v>0</v>
      </c>
      <c r="G74" s="62">
        <f t="shared" si="0"/>
        <v>1</v>
      </c>
      <c r="I74" s="57" t="s">
        <v>650</v>
      </c>
      <c r="J74" s="66">
        <f>COUNTIFS(TblUniv2019[I. a3],J$44,TblUniv2019[Prodi],$J$41)/$J$43*100%</f>
        <v>0.33333333333333331</v>
      </c>
      <c r="K74" s="66">
        <f>COUNTIFS(TblUniv2019[I. a3],K$44,TblUniv2019[Prodi],$J$41)/$J$43*100%</f>
        <v>0.66666666666666663</v>
      </c>
      <c r="L74" s="66">
        <f>COUNTIFS(TblUniv2019[I. a3],L$44,TblUniv2019[Prodi],$J$41)/$J$43*100%</f>
        <v>0</v>
      </c>
      <c r="M74" s="66">
        <f>COUNTIFS(TblUniv2019[I. a3],M$44,TblUniv2019[Prodi],$J$41)/$J$43*100%</f>
        <v>0</v>
      </c>
      <c r="N74" s="62">
        <f t="shared" si="1"/>
        <v>1</v>
      </c>
      <c r="P74" s="57" t="s">
        <v>650</v>
      </c>
      <c r="Q74" s="66">
        <f>COUNTIFS(TblUniv2019[I. a3],Q$44,TblUniv2019[Prodi],$Q$41)/$Q$43*100%</f>
        <v>0.25</v>
      </c>
      <c r="R74" s="66">
        <f>COUNTIFS(TblUniv2019[I. a3],R$44,TblUniv2019[Prodi],$Q$41)/$Q$43*100%</f>
        <v>0.75</v>
      </c>
      <c r="S74" s="66">
        <f>COUNTIFS(TblUniv2019[I. a3],S$44,TblUniv2019[Prodi],$Q$41)/$Q$43*100%</f>
        <v>0</v>
      </c>
      <c r="T74" s="66">
        <f>COUNTIFS(TblUniv2019[I. a3],T$44,TblUniv2019[Prodi],$Q$41)/$Q$43*100%</f>
        <v>0</v>
      </c>
      <c r="U74" s="62">
        <f t="shared" si="2"/>
        <v>1</v>
      </c>
      <c r="W74" s="57" t="s">
        <v>650</v>
      </c>
      <c r="X74" s="66">
        <f>COUNTIFS(TblUniv2019[I. a3],X$44,TblUniv2019[Prodi],$X$41)/$X$43*100%</f>
        <v>1</v>
      </c>
      <c r="Y74" s="66">
        <f>COUNTIFS(TblUniv2019[I. a3],Y$44,TblUniv2019[Prodi],$X$41)/$X$43*100%</f>
        <v>0</v>
      </c>
      <c r="Z74" s="66">
        <f>COUNTIFS(TblUniv2019[I. a3],Z$44,TblUniv2019[Prodi],$X$41)/$X$43*100%</f>
        <v>0</v>
      </c>
      <c r="AA74" s="66">
        <f>COUNTIFS(TblUniv2019[I. a3],AA$44,TblUniv2019[Prodi],$X$41)/$X$43*100%</f>
        <v>0</v>
      </c>
      <c r="AB74" s="62">
        <f t="shared" si="3"/>
        <v>1</v>
      </c>
      <c r="AD74" s="57" t="s">
        <v>650</v>
      </c>
      <c r="AE74" s="66">
        <f>COUNTIFS(TblUniv2019[I. a3],AE$44,TblUniv2019[Prodi],$AE$41)/$AE$43*100%</f>
        <v>0</v>
      </c>
      <c r="AF74" s="66">
        <f>COUNTIFS(TblUniv2019[I. a3],AF$44,TblUniv2019[Prodi],$AE$41)/$AE$43*100%</f>
        <v>1</v>
      </c>
      <c r="AG74" s="66">
        <f>COUNTIFS(TblUniv2019[I. a3],AG$44,TblUniv2019[Prodi],$AE$41)/$AE$43*100%</f>
        <v>0</v>
      </c>
      <c r="AH74" s="66">
        <f>COUNTIFS(TblUniv2019[I. a3],AH$44,TblUniv2019[Prodi],$AE$41)/$AE$43*100%</f>
        <v>0</v>
      </c>
      <c r="AI74" s="62">
        <f t="shared" si="4"/>
        <v>1</v>
      </c>
      <c r="AK74" s="57" t="s">
        <v>650</v>
      </c>
      <c r="AL74" s="66">
        <f>COUNTIFS(TblUniv2019[I. a3],AL$44,TblUniv2019[Prodi],$AL$41)/$AL$43*100%</f>
        <v>0.33333333333333331</v>
      </c>
      <c r="AM74" s="66">
        <f>COUNTIFS(TblUniv2019[I. a3],AM$44,TblUniv2019[Prodi],$AL$41)/$AL$43*100%</f>
        <v>0.66666666666666663</v>
      </c>
      <c r="AN74" s="66">
        <f>COUNTIFS(TblUniv2019[I. a3],AN$44,TblUniv2019[Prodi],$AL$41)/$AL$43*100%</f>
        <v>0</v>
      </c>
      <c r="AO74" s="66">
        <f>COUNTIFS(TblUniv2019[I. a3],AO$44,TblUniv2019[Prodi],$AL$41)/$AL$43*100%</f>
        <v>0</v>
      </c>
      <c r="AP74" s="62">
        <f t="shared" si="5"/>
        <v>1</v>
      </c>
      <c r="AR74" s="57" t="s">
        <v>650</v>
      </c>
      <c r="AS74" s="66" t="e">
        <f>COUNTIFS(TblUniv2019[I. a3],AS$44,TblUniv2019[Prodi],$AS$41)/$AS$43*100%</f>
        <v>#DIV/0!</v>
      </c>
      <c r="AT74" s="66" t="e">
        <f>COUNTIFS(TblUniv2019[I. a3],AT$44,TblUniv2019[Prodi],$AS$41)/$AS$43*100%</f>
        <v>#DIV/0!</v>
      </c>
      <c r="AU74" s="66" t="e">
        <f>COUNTIFS(TblUniv2019[I. a3],AU$44,TblUniv2019[Prodi],$AS$41)/$AS$43*100%</f>
        <v>#DIV/0!</v>
      </c>
      <c r="AV74" s="66" t="e">
        <f>COUNTIFS(TblUniv2019[I. a3],AV$44,TblUniv2019[Prodi],$AS$41)/$AS$43*100%</f>
        <v>#DIV/0!</v>
      </c>
      <c r="AW74" s="62" t="e">
        <f t="shared" si="6"/>
        <v>#DIV/0!</v>
      </c>
      <c r="AY74" s="57" t="s">
        <v>650</v>
      </c>
      <c r="AZ74" s="66">
        <f>COUNTIFS(TblUniv2019[I. a3],AZ$44,TblUniv2019[Prodi],$AZ$41)/$AZ$43*100%</f>
        <v>0.25</v>
      </c>
      <c r="BA74" s="66">
        <f>COUNTIFS(TblUniv2019[I. a3],BA$44,TblUniv2019[Prodi],$AZ$41)/$AZ$43*100%</f>
        <v>0.75</v>
      </c>
      <c r="BB74" s="66">
        <f>COUNTIFS(TblUniv2019[I. a3],BB$44,TblUniv2019[Prodi],$AZ$41)/$AZ$43*100%</f>
        <v>0</v>
      </c>
      <c r="BC74" s="66">
        <f>COUNTIFS(TblUniv2019[I. a3],BC$44,TblUniv2019[Prodi],$AZ$41)/$AZ$43*100%</f>
        <v>0</v>
      </c>
      <c r="BD74" s="62">
        <f t="shared" si="7"/>
        <v>1</v>
      </c>
      <c r="BF74" s="57" t="s">
        <v>650</v>
      </c>
      <c r="BG74" s="66">
        <f>COUNTIFS(TblUniv2019[I. a3],BG$44,TblUniv2019[Prodi],$BG$41)/$BG$43*100%</f>
        <v>0.5</v>
      </c>
      <c r="BH74" s="66">
        <f>COUNTIFS(TblUniv2019[I. a3],BH$44,TblUniv2019[Prodi],$BG$41)/$BG$43*100%</f>
        <v>0.5</v>
      </c>
      <c r="BI74" s="66">
        <f>COUNTIFS(TblUniv2019[I. a3],BI$44,TblUniv2019[Prodi],$BG$41)/$BG$43*100%</f>
        <v>0</v>
      </c>
      <c r="BJ74" s="66">
        <f>COUNTIFS(TblUniv2019[I. a3],BJ$44,TblUniv2019[Prodi],$BG$41)/$BG$43*100%</f>
        <v>0</v>
      </c>
      <c r="BK74" s="62">
        <f t="shared" si="8"/>
        <v>1</v>
      </c>
    </row>
    <row r="75" spans="2:63" ht="16.5" x14ac:dyDescent="0.3">
      <c r="B75" s="57" t="s">
        <v>651</v>
      </c>
      <c r="C75" s="66">
        <f>COUNTIFS(TblUniv2019[I. a4],C$44)/$C$43*100%</f>
        <v>0</v>
      </c>
      <c r="D75" s="66">
        <f>COUNTIFS(TblUniv2019[I. a4],D$44)/$C$43*100%</f>
        <v>1</v>
      </c>
      <c r="E75" s="66">
        <f>COUNTIFS(TblUniv2019[I. a4],E$44)/$C$43*100%</f>
        <v>0</v>
      </c>
      <c r="F75" s="66">
        <f>COUNTIFS(TblUniv2019[I. a4],F$44)/$C$43*100%</f>
        <v>0</v>
      </c>
      <c r="G75" s="62">
        <f t="shared" si="0"/>
        <v>1</v>
      </c>
      <c r="I75" s="57" t="s">
        <v>651</v>
      </c>
      <c r="J75" s="66">
        <f>COUNTIFS(TblUniv2019[I. a4],J$44,TblUniv2019[Prodi],$J$41)/$J$43*100%</f>
        <v>0</v>
      </c>
      <c r="K75" s="66">
        <f>COUNTIFS(TblUniv2019[I. a4],K$44,TblUniv2019[Prodi],$J$41)/$J$43*100%</f>
        <v>1</v>
      </c>
      <c r="L75" s="66">
        <f>COUNTIFS(TblUniv2019[I. a4],L$44,TblUniv2019[Prodi],$J$41)/$J$43*100%</f>
        <v>0</v>
      </c>
      <c r="M75" s="66">
        <f>COUNTIFS(TblUniv2019[I. a4],M$44,TblUniv2019[Prodi],$J$41)/$J$43*100%</f>
        <v>0</v>
      </c>
      <c r="N75" s="62">
        <f t="shared" si="1"/>
        <v>1</v>
      </c>
      <c r="P75" s="57" t="s">
        <v>651</v>
      </c>
      <c r="Q75" s="66">
        <f>COUNTIFS(TblUniv2019[I. a4],Q$44,TblUniv2019[Prodi],$Q$41)/$Q$43*100%</f>
        <v>0</v>
      </c>
      <c r="R75" s="66">
        <f>COUNTIFS(TblUniv2019[I. a4],R$44,TblUniv2019[Prodi],$Q$41)/$Q$43*100%</f>
        <v>1</v>
      </c>
      <c r="S75" s="66">
        <f>COUNTIFS(TblUniv2019[I. a4],S$44,TblUniv2019[Prodi],$Q$41)/$Q$43*100%</f>
        <v>0</v>
      </c>
      <c r="T75" s="66">
        <f>COUNTIFS(TblUniv2019[I. a4],T$44,TblUniv2019[Prodi],$Q$41)/$Q$43*100%</f>
        <v>0</v>
      </c>
      <c r="U75" s="62">
        <f t="shared" si="2"/>
        <v>1</v>
      </c>
      <c r="W75" s="57" t="s">
        <v>651</v>
      </c>
      <c r="X75" s="66">
        <f>COUNTIFS(TblUniv2019[I. a4],X$44,TblUniv2019[Prodi],$X$41)/$X$43*100%</f>
        <v>0</v>
      </c>
      <c r="Y75" s="66">
        <f>COUNTIFS(TblUniv2019[I. a4],Y$44,TblUniv2019[Prodi],$X$41)/$X$43*100%</f>
        <v>1</v>
      </c>
      <c r="Z75" s="66">
        <f>COUNTIFS(TblUniv2019[I. a4],Z$44,TblUniv2019[Prodi],$X$41)/$X$43*100%</f>
        <v>0</v>
      </c>
      <c r="AA75" s="66">
        <f>COUNTIFS(TblUniv2019[I. a4],AA$44,TblUniv2019[Prodi],$X$41)/$X$43*100%</f>
        <v>0</v>
      </c>
      <c r="AB75" s="62">
        <f t="shared" si="3"/>
        <v>1</v>
      </c>
      <c r="AD75" s="57" t="s">
        <v>651</v>
      </c>
      <c r="AE75" s="66">
        <f>COUNTIFS(TblUniv2019[I. a4],AE$44,TblUniv2019[Prodi],$AE$41)/$AE$43*100%</f>
        <v>0</v>
      </c>
      <c r="AF75" s="66">
        <f>COUNTIFS(TblUniv2019[I. a4],AF$44,TblUniv2019[Prodi],$AE$41)/$AE$43*100%</f>
        <v>1</v>
      </c>
      <c r="AG75" s="66">
        <f>COUNTIFS(TblUniv2019[I. a4],AG$44,TblUniv2019[Prodi],$AE$41)/$AE$43*100%</f>
        <v>0</v>
      </c>
      <c r="AH75" s="66">
        <f>COUNTIFS(TblUniv2019[I. a4],AH$44,TblUniv2019[Prodi],$AE$41)/$AE$43*100%</f>
        <v>0</v>
      </c>
      <c r="AI75" s="62">
        <f t="shared" si="4"/>
        <v>1</v>
      </c>
      <c r="AK75" s="57" t="s">
        <v>651</v>
      </c>
      <c r="AL75" s="66">
        <f>COUNTIFS(TblUniv2019[I. a4],AL$44,TblUniv2019[Prodi],$AL$41)/$AL$43*100%</f>
        <v>0</v>
      </c>
      <c r="AM75" s="66">
        <f>COUNTIFS(TblUniv2019[I. a4],AM$44,TblUniv2019[Prodi],$AL$41)/$AL$43*100%</f>
        <v>1</v>
      </c>
      <c r="AN75" s="66">
        <f>COUNTIFS(TblUniv2019[I. a4],AN$44,TblUniv2019[Prodi],$AL$41)/$AL$43*100%</f>
        <v>0</v>
      </c>
      <c r="AO75" s="66">
        <f>COUNTIFS(TblUniv2019[I. a4],AO$44,TblUniv2019[Prodi],$AL$41)/$AL$43*100%</f>
        <v>0</v>
      </c>
      <c r="AP75" s="62">
        <f t="shared" si="5"/>
        <v>1</v>
      </c>
      <c r="AR75" s="57" t="s">
        <v>651</v>
      </c>
      <c r="AS75" s="66" t="e">
        <f>COUNTIFS(TblUniv2019[I. a4],AS$44,TblUniv2019[Prodi],$AS$41)/$AS$43*100%</f>
        <v>#DIV/0!</v>
      </c>
      <c r="AT75" s="66" t="e">
        <f>COUNTIFS(TblUniv2019[I. a4],AT$44,TblUniv2019[Prodi],$AS$41)/$AS$43*100%</f>
        <v>#DIV/0!</v>
      </c>
      <c r="AU75" s="66" t="e">
        <f>COUNTIFS(TblUniv2019[I. a4],AU$44,TblUniv2019[Prodi],$AS$41)/$AS$43*100%</f>
        <v>#DIV/0!</v>
      </c>
      <c r="AV75" s="66" t="e">
        <f>COUNTIFS(TblUniv2019[I. a4],AV$44,TblUniv2019[Prodi],$AS$41)/$AS$43*100%</f>
        <v>#DIV/0!</v>
      </c>
      <c r="AW75" s="62" t="e">
        <f t="shared" si="6"/>
        <v>#DIV/0!</v>
      </c>
      <c r="AY75" s="57" t="s">
        <v>651</v>
      </c>
      <c r="AZ75" s="66">
        <f>COUNTIFS(TblUniv2019[I. a4],AZ$44,TblUniv2019[Prodi],$AZ$41)/$AZ$43*100%</f>
        <v>0</v>
      </c>
      <c r="BA75" s="66">
        <f>COUNTIFS(TblUniv2019[I. a4],BA$44,TblUniv2019[Prodi],$AZ$41)/$AZ$43*100%</f>
        <v>1</v>
      </c>
      <c r="BB75" s="66">
        <f>COUNTIFS(TblUniv2019[I. a4],BB$44,TblUniv2019[Prodi],$AZ$41)/$AZ$43*100%</f>
        <v>0</v>
      </c>
      <c r="BC75" s="66">
        <f>COUNTIFS(TblUniv2019[I. a4],BC$44,TblUniv2019[Prodi],$AZ$41)/$AZ$43*100%</f>
        <v>0</v>
      </c>
      <c r="BD75" s="62">
        <f t="shared" si="7"/>
        <v>1</v>
      </c>
      <c r="BF75" s="57" t="s">
        <v>651</v>
      </c>
      <c r="BG75" s="66">
        <f>COUNTIFS(TblUniv2019[I. a4],BG$44,TblUniv2019[Prodi],$BG$41)/$BG$43*100%</f>
        <v>0</v>
      </c>
      <c r="BH75" s="66">
        <f>COUNTIFS(TblUniv2019[I. a4],BH$44,TblUniv2019[Prodi],$BG$41)/$BG$43*100%</f>
        <v>1</v>
      </c>
      <c r="BI75" s="66">
        <f>COUNTIFS(TblUniv2019[I. a4],BI$44,TblUniv2019[Prodi],$BG$41)/$BG$43*100%</f>
        <v>0</v>
      </c>
      <c r="BJ75" s="66">
        <f>COUNTIFS(TblUniv2019[I. a4],BJ$44,TblUniv2019[Prodi],$BG$41)/$BG$43*100%</f>
        <v>0</v>
      </c>
      <c r="BK75" s="62">
        <f t="shared" si="8"/>
        <v>1</v>
      </c>
    </row>
    <row r="76" spans="2:63" ht="16.5" x14ac:dyDescent="0.3">
      <c r="B76" s="57" t="s">
        <v>652</v>
      </c>
      <c r="C76" s="66">
        <f>COUNTIFS(TblUniv2019[I. a5],C$44)/$C$43*100%</f>
        <v>0.38709677419354838</v>
      </c>
      <c r="D76" s="66">
        <f>COUNTIFS(TblUniv2019[I. a5],D$44)/$C$43*100%</f>
        <v>0.61290322580645162</v>
      </c>
      <c r="E76" s="66">
        <f>COUNTIFS(TblUniv2019[I. a5],E$44)/$C$43*100%</f>
        <v>0</v>
      </c>
      <c r="F76" s="66">
        <f>COUNTIFS(TblUniv2019[I. a5],F$44)/$C$43*100%</f>
        <v>0</v>
      </c>
      <c r="G76" s="62">
        <f t="shared" si="0"/>
        <v>1</v>
      </c>
      <c r="I76" s="57" t="s">
        <v>652</v>
      </c>
      <c r="J76" s="66">
        <f>COUNTIFS(TblUniv2019[I. a5],J$44,TblUniv2019[Prodi],$J$41)/$J$43*100%</f>
        <v>0.5</v>
      </c>
      <c r="K76" s="66">
        <f>COUNTIFS(TblUniv2019[I. a5],K$44,TblUniv2019[Prodi],$J$41)/$J$43*100%</f>
        <v>0.5</v>
      </c>
      <c r="L76" s="66">
        <f>COUNTIFS(TblUniv2019[I. a5],L$44,TblUniv2019[Prodi],$J$41)/$J$43*100%</f>
        <v>0</v>
      </c>
      <c r="M76" s="66">
        <f>COUNTIFS(TblUniv2019[I. a5],M$44,TblUniv2019[Prodi],$J$41)/$J$43*100%</f>
        <v>0</v>
      </c>
      <c r="N76" s="62">
        <f t="shared" si="1"/>
        <v>1</v>
      </c>
      <c r="P76" s="57" t="s">
        <v>652</v>
      </c>
      <c r="Q76" s="66">
        <f>COUNTIFS(TblUniv2019[I. a5],Q$44,TblUniv2019[Prodi],$Q$41)/$Q$43*100%</f>
        <v>0.5</v>
      </c>
      <c r="R76" s="66">
        <f>COUNTIFS(TblUniv2019[I. a5],R$44,TblUniv2019[Prodi],$Q$41)/$Q$43*100%</f>
        <v>0.5</v>
      </c>
      <c r="S76" s="66">
        <f>COUNTIFS(TblUniv2019[I. a5],S$44,TblUniv2019[Prodi],$Q$41)/$Q$43*100%</f>
        <v>0</v>
      </c>
      <c r="T76" s="66">
        <f>COUNTIFS(TblUniv2019[I. a5],T$44,TblUniv2019[Prodi],$Q$41)/$Q$43*100%</f>
        <v>0</v>
      </c>
      <c r="U76" s="62">
        <f t="shared" si="2"/>
        <v>1</v>
      </c>
      <c r="W76" s="57" t="s">
        <v>652</v>
      </c>
      <c r="X76" s="66">
        <f>COUNTIFS(TblUniv2019[I. a5],X$44,TblUniv2019[Prodi],$X$41)/$X$43*100%</f>
        <v>0</v>
      </c>
      <c r="Y76" s="66">
        <f>COUNTIFS(TblUniv2019[I. a5],Y$44,TblUniv2019[Prodi],$X$41)/$X$43*100%</f>
        <v>1</v>
      </c>
      <c r="Z76" s="66">
        <f>COUNTIFS(TblUniv2019[I. a5],Z$44,TblUniv2019[Prodi],$X$41)/$X$43*100%</f>
        <v>0</v>
      </c>
      <c r="AA76" s="66">
        <f>COUNTIFS(TblUniv2019[I. a5],AA$44,TblUniv2019[Prodi],$X$41)/$X$43*100%</f>
        <v>0</v>
      </c>
      <c r="AB76" s="62">
        <f t="shared" si="3"/>
        <v>1</v>
      </c>
      <c r="AD76" s="57" t="s">
        <v>652</v>
      </c>
      <c r="AE76" s="66">
        <f>COUNTIFS(TblUniv2019[I. a5],AE$44,TblUniv2019[Prodi],$AE$41)/$AE$43*100%</f>
        <v>1</v>
      </c>
      <c r="AF76" s="66">
        <f>COUNTIFS(TblUniv2019[I. a5],AF$44,TblUniv2019[Prodi],$AE$41)/$AE$43*100%</f>
        <v>0</v>
      </c>
      <c r="AG76" s="66">
        <f>COUNTIFS(TblUniv2019[I. a5],AG$44,TblUniv2019[Prodi],$AE$41)/$AE$43*100%</f>
        <v>0</v>
      </c>
      <c r="AH76" s="66">
        <f>COUNTIFS(TblUniv2019[I. a5],AH$44,TblUniv2019[Prodi],$AE$41)/$AE$43*100%</f>
        <v>0</v>
      </c>
      <c r="AI76" s="62">
        <f t="shared" si="4"/>
        <v>1</v>
      </c>
      <c r="AK76" s="57" t="s">
        <v>652</v>
      </c>
      <c r="AL76" s="66">
        <f>COUNTIFS(TblUniv2019[I. a5],AL$44,TblUniv2019[Prodi],$AL$41)/$AL$43*100%</f>
        <v>0.5</v>
      </c>
      <c r="AM76" s="66">
        <f>COUNTIFS(TblUniv2019[I. a5],AM$44,TblUniv2019[Prodi],$AL$41)/$AL$43*100%</f>
        <v>0.5</v>
      </c>
      <c r="AN76" s="66">
        <f>COUNTIFS(TblUniv2019[I. a5],AN$44,TblUniv2019[Prodi],$AL$41)/$AL$43*100%</f>
        <v>0</v>
      </c>
      <c r="AO76" s="66">
        <f>COUNTIFS(TblUniv2019[I. a5],AO$44,TblUniv2019[Prodi],$AL$41)/$AL$43*100%</f>
        <v>0</v>
      </c>
      <c r="AP76" s="62">
        <f t="shared" si="5"/>
        <v>1</v>
      </c>
      <c r="AR76" s="57" t="s">
        <v>652</v>
      </c>
      <c r="AS76" s="66" t="e">
        <f>COUNTIFS(TblUniv2019[I. a5],AS$44,TblUniv2019[Prodi],$AS$41)/$AS$43*100%</f>
        <v>#DIV/0!</v>
      </c>
      <c r="AT76" s="66" t="e">
        <f>COUNTIFS(TblUniv2019[I. a5],AT$44,TblUniv2019[Prodi],$AS$41)/$AS$43*100%</f>
        <v>#DIV/0!</v>
      </c>
      <c r="AU76" s="66" t="e">
        <f>COUNTIFS(TblUniv2019[I. a5],AU$44,TblUniv2019[Prodi],$AS$41)/$AS$43*100%</f>
        <v>#DIV/0!</v>
      </c>
      <c r="AV76" s="66" t="e">
        <f>COUNTIFS(TblUniv2019[I. a5],AV$44,TblUniv2019[Prodi],$AS$41)/$AS$43*100%</f>
        <v>#DIV/0!</v>
      </c>
      <c r="AW76" s="62" t="e">
        <f t="shared" si="6"/>
        <v>#DIV/0!</v>
      </c>
      <c r="AY76" s="57" t="s">
        <v>652</v>
      </c>
      <c r="AZ76" s="66">
        <f>COUNTIFS(TblUniv2019[I. a5],AZ$44,TblUniv2019[Prodi],$AZ$41)/$AZ$43*100%</f>
        <v>0</v>
      </c>
      <c r="BA76" s="66">
        <f>COUNTIFS(TblUniv2019[I. a5],BA$44,TblUniv2019[Prodi],$AZ$41)/$AZ$43*100%</f>
        <v>1</v>
      </c>
      <c r="BB76" s="66">
        <f>COUNTIFS(TblUniv2019[I. a5],BB$44,TblUniv2019[Prodi],$AZ$41)/$AZ$43*100%</f>
        <v>0</v>
      </c>
      <c r="BC76" s="66">
        <f>COUNTIFS(TblUniv2019[I. a5],BC$44,TblUniv2019[Prodi],$AZ$41)/$AZ$43*100%</f>
        <v>0</v>
      </c>
      <c r="BD76" s="62">
        <f t="shared" si="7"/>
        <v>1</v>
      </c>
      <c r="BF76" s="57" t="s">
        <v>652</v>
      </c>
      <c r="BG76" s="66">
        <f>COUNTIFS(TblUniv2019[I. a5],BG$44,TblUniv2019[Prodi],$BG$41)/$BG$43*100%</f>
        <v>0.5</v>
      </c>
      <c r="BH76" s="66">
        <f>COUNTIFS(TblUniv2019[I. a5],BH$44,TblUniv2019[Prodi],$BG$41)/$BG$43*100%</f>
        <v>0.5</v>
      </c>
      <c r="BI76" s="66">
        <f>COUNTIFS(TblUniv2019[I. a5],BI$44,TblUniv2019[Prodi],$BG$41)/$BG$43*100%</f>
        <v>0</v>
      </c>
      <c r="BJ76" s="66">
        <f>COUNTIFS(TblUniv2019[I. a5],BJ$44,TblUniv2019[Prodi],$BG$41)/$BG$43*100%</f>
        <v>0</v>
      </c>
      <c r="BK76" s="62">
        <f t="shared" si="8"/>
        <v>1</v>
      </c>
    </row>
    <row r="77" spans="2:63" ht="16.5" x14ac:dyDescent="0.3">
      <c r="B77" s="60"/>
      <c r="C77" s="61">
        <f>AVERAGE(C72:C76)</f>
        <v>0.23225806451612901</v>
      </c>
      <c r="D77" s="61">
        <f>AVERAGE(D72:D76)</f>
        <v>0.76774193548387093</v>
      </c>
      <c r="E77" s="61">
        <f>AVERAGE(E72:E76)</f>
        <v>0</v>
      </c>
      <c r="F77" s="61">
        <f>AVERAGE(F72:F76)</f>
        <v>0</v>
      </c>
      <c r="G77" s="62">
        <f t="shared" si="0"/>
        <v>1</v>
      </c>
      <c r="I77" s="60"/>
      <c r="J77" s="61">
        <f>AVERAGE(J72:J76)</f>
        <v>0.23333333333333331</v>
      </c>
      <c r="K77" s="61">
        <f>AVERAGE(K72:K76)</f>
        <v>0.76666666666666661</v>
      </c>
      <c r="L77" s="61">
        <f>AVERAGE(L72:L76)</f>
        <v>0</v>
      </c>
      <c r="M77" s="61">
        <f>AVERAGE(M72:M76)</f>
        <v>0</v>
      </c>
      <c r="N77" s="62">
        <f t="shared" si="1"/>
        <v>0.99999999999999989</v>
      </c>
      <c r="P77" s="60"/>
      <c r="Q77" s="61">
        <f>AVERAGE(Q72:Q76)</f>
        <v>0.2</v>
      </c>
      <c r="R77" s="61">
        <f>AVERAGE(R72:R76)</f>
        <v>0.8</v>
      </c>
      <c r="S77" s="61">
        <f>AVERAGE(S72:S76)</f>
        <v>0</v>
      </c>
      <c r="T77" s="61">
        <f>AVERAGE(T72:T76)</f>
        <v>0</v>
      </c>
      <c r="U77" s="62">
        <f t="shared" si="2"/>
        <v>1</v>
      </c>
      <c r="W77" s="60"/>
      <c r="X77" s="61">
        <f>AVERAGE(X72:X76)</f>
        <v>0.4</v>
      </c>
      <c r="Y77" s="61">
        <f>AVERAGE(Y72:Y76)</f>
        <v>0.6</v>
      </c>
      <c r="Z77" s="61">
        <f>AVERAGE(Z72:Z76)</f>
        <v>0</v>
      </c>
      <c r="AA77" s="61">
        <f>AVERAGE(AA72:AA76)</f>
        <v>0</v>
      </c>
      <c r="AB77" s="62">
        <f t="shared" si="3"/>
        <v>1</v>
      </c>
      <c r="AD77" s="60"/>
      <c r="AE77" s="61">
        <f>AVERAGE(AE72:AE76)</f>
        <v>0.2</v>
      </c>
      <c r="AF77" s="61">
        <f>AVERAGE(AF72:AF76)</f>
        <v>0.8</v>
      </c>
      <c r="AG77" s="61">
        <f>AVERAGE(AG72:AG76)</f>
        <v>0</v>
      </c>
      <c r="AH77" s="61">
        <f>AVERAGE(AH72:AH76)</f>
        <v>0</v>
      </c>
      <c r="AI77" s="62">
        <f t="shared" si="4"/>
        <v>1</v>
      </c>
      <c r="AK77" s="60"/>
      <c r="AL77" s="61">
        <f>AVERAGE(AL72:AL76)</f>
        <v>0.23333333333333331</v>
      </c>
      <c r="AM77" s="61">
        <f>AVERAGE(AM72:AM76)</f>
        <v>0.76666666666666661</v>
      </c>
      <c r="AN77" s="61">
        <f>AVERAGE(AN72:AN76)</f>
        <v>0</v>
      </c>
      <c r="AO77" s="61">
        <f>AVERAGE(AO72:AO76)</f>
        <v>0</v>
      </c>
      <c r="AP77" s="62">
        <f t="shared" si="5"/>
        <v>0.99999999999999989</v>
      </c>
      <c r="AR77" s="60"/>
      <c r="AS77" s="61" t="e">
        <f>AVERAGE(AS72:AS76)</f>
        <v>#DIV/0!</v>
      </c>
      <c r="AT77" s="61" t="e">
        <f>AVERAGE(AT72:AT76)</f>
        <v>#DIV/0!</v>
      </c>
      <c r="AU77" s="61" t="e">
        <f>AVERAGE(AU72:AU76)</f>
        <v>#DIV/0!</v>
      </c>
      <c r="AV77" s="61" t="e">
        <f>AVERAGE(AV72:AV76)</f>
        <v>#DIV/0!</v>
      </c>
      <c r="AW77" s="62" t="e">
        <f t="shared" si="6"/>
        <v>#DIV/0!</v>
      </c>
      <c r="AY77" s="60"/>
      <c r="AZ77" s="61">
        <f>AVERAGE(AZ72:AZ76)</f>
        <v>0.1</v>
      </c>
      <c r="BA77" s="61">
        <f>AVERAGE(BA72:BA76)</f>
        <v>0.9</v>
      </c>
      <c r="BB77" s="61">
        <f>AVERAGE(BB72:BB76)</f>
        <v>0</v>
      </c>
      <c r="BC77" s="61">
        <f>AVERAGE(BC72:BC76)</f>
        <v>0</v>
      </c>
      <c r="BD77" s="62">
        <f t="shared" si="7"/>
        <v>1</v>
      </c>
      <c r="BF77" s="60"/>
      <c r="BG77" s="61">
        <f>AVERAGE(BG72:BG76)</f>
        <v>0.3</v>
      </c>
      <c r="BH77" s="61">
        <f>AVERAGE(BH72:BH76)</f>
        <v>0.7</v>
      </c>
      <c r="BI77" s="61">
        <f>AVERAGE(BI72:BI76)</f>
        <v>0</v>
      </c>
      <c r="BJ77" s="61">
        <f>AVERAGE(BJ72:BJ76)</f>
        <v>0</v>
      </c>
      <c r="BK77" s="62">
        <f t="shared" si="8"/>
        <v>1</v>
      </c>
    </row>
    <row r="78" spans="2:63" ht="16.5" x14ac:dyDescent="0.3">
      <c r="B78" s="57" t="s">
        <v>653</v>
      </c>
      <c r="C78" s="66">
        <f>COUNTIFS(TblUniv2019[I. b1],C$44)/$C$43*100%</f>
        <v>0.22580645161290322</v>
      </c>
      <c r="D78" s="66">
        <f>COUNTIFS(TblUniv2019[I. b1],D$44)/$C$43*100%</f>
        <v>0.5161290322580645</v>
      </c>
      <c r="E78" s="66">
        <f>COUNTIFS(TblUniv2019[I. b1],E$44)/$C$43*100%</f>
        <v>0.25806451612903225</v>
      </c>
      <c r="F78" s="66">
        <f>COUNTIFS(TblUniv2019[I. b1],F$44)/$C$43*100%</f>
        <v>0</v>
      </c>
      <c r="G78" s="62">
        <f t="shared" si="0"/>
        <v>1</v>
      </c>
      <c r="I78" s="57" t="s">
        <v>653</v>
      </c>
      <c r="J78" s="66">
        <f>COUNTIFS(TblUniv2019[I. b1],J$44,TblUniv2019[Prodi],$J$41)/$J$43*100%</f>
        <v>0.33333333333333331</v>
      </c>
      <c r="K78" s="66">
        <f>COUNTIFS(TblUniv2019[I. b1],K$44,TblUniv2019[Prodi],$J$41)/$J$43*100%</f>
        <v>0.5</v>
      </c>
      <c r="L78" s="66">
        <f>COUNTIFS(TblUniv2019[I. b1],L$44,TblUniv2019[Prodi],$J$41)/$J$43*100%</f>
        <v>0.16666666666666666</v>
      </c>
      <c r="M78" s="66">
        <f>COUNTIFS(TblUniv2019[I. b1],M$44,TblUniv2019[Prodi],$J$41)/$J$43*100%</f>
        <v>0</v>
      </c>
      <c r="N78" s="62">
        <f t="shared" si="1"/>
        <v>0.99999999999999989</v>
      </c>
      <c r="P78" s="57" t="s">
        <v>653</v>
      </c>
      <c r="Q78" s="66">
        <f>COUNTIFS(TblUniv2019[I. b1],Q$44,TblUniv2019[Prodi],$Q$41)/$Q$43*100%</f>
        <v>0.25</v>
      </c>
      <c r="R78" s="66">
        <f>COUNTIFS(TblUniv2019[I. b1],R$44,TblUniv2019[Prodi],$Q$41)/$Q$43*100%</f>
        <v>0.375</v>
      </c>
      <c r="S78" s="66">
        <f>COUNTIFS(TblUniv2019[I. b1],S$44,TblUniv2019[Prodi],$Q$41)/$Q$43*100%</f>
        <v>0.375</v>
      </c>
      <c r="T78" s="66">
        <f>COUNTIFS(TblUniv2019[I. b1],T$44,TblUniv2019[Prodi],$Q$41)/$Q$43*100%</f>
        <v>0</v>
      </c>
      <c r="U78" s="62">
        <f t="shared" si="2"/>
        <v>1</v>
      </c>
      <c r="W78" s="57" t="s">
        <v>653</v>
      </c>
      <c r="X78" s="66">
        <f>COUNTIFS(TblUniv2019[I. b1],X$44,TblUniv2019[Prodi],$X$41)/$X$43*100%</f>
        <v>0</v>
      </c>
      <c r="Y78" s="66">
        <f>COUNTIFS(TblUniv2019[I. b1],Y$44,TblUniv2019[Prodi],$X$41)/$X$43*100%</f>
        <v>1</v>
      </c>
      <c r="Z78" s="66">
        <f>COUNTIFS(TblUniv2019[I. b1],Z$44,TblUniv2019[Prodi],$X$41)/$X$43*100%</f>
        <v>0</v>
      </c>
      <c r="AA78" s="66">
        <f>COUNTIFS(TblUniv2019[I. b1],AA$44,TblUniv2019[Prodi],$X$41)/$X$43*100%</f>
        <v>0</v>
      </c>
      <c r="AB78" s="62">
        <f t="shared" si="3"/>
        <v>1</v>
      </c>
      <c r="AD78" s="57" t="s">
        <v>653</v>
      </c>
      <c r="AE78" s="66">
        <f>COUNTIFS(TblUniv2019[I. b1],AE$44,TblUniv2019[Prodi],$AE$41)/$AE$43*100%</f>
        <v>0</v>
      </c>
      <c r="AF78" s="66">
        <f>COUNTIFS(TblUniv2019[I. b1],AF$44,TblUniv2019[Prodi],$AE$41)/$AE$43*100%</f>
        <v>0</v>
      </c>
      <c r="AG78" s="66">
        <f>COUNTIFS(TblUniv2019[I. b1],AG$44,TblUniv2019[Prodi],$AE$41)/$AE$43*100%</f>
        <v>1</v>
      </c>
      <c r="AH78" s="66">
        <f>COUNTIFS(TblUniv2019[I. b1],AH$44,TblUniv2019[Prodi],$AE$41)/$AE$43*100%</f>
        <v>0</v>
      </c>
      <c r="AI78" s="62">
        <f t="shared" si="4"/>
        <v>1</v>
      </c>
      <c r="AK78" s="57" t="s">
        <v>653</v>
      </c>
      <c r="AL78" s="66">
        <f>COUNTIFS(TblUniv2019[I. b1],AL$44,TblUniv2019[Prodi],$AL$41)/$AL$43*100%</f>
        <v>0.33333333333333331</v>
      </c>
      <c r="AM78" s="66">
        <f>COUNTIFS(TblUniv2019[I. b1],AM$44,TblUniv2019[Prodi],$AL$41)/$AL$43*100%</f>
        <v>0.33333333333333331</v>
      </c>
      <c r="AN78" s="66">
        <f>COUNTIFS(TblUniv2019[I. b1],AN$44,TblUniv2019[Prodi],$AL$41)/$AL$43*100%</f>
        <v>0.33333333333333331</v>
      </c>
      <c r="AO78" s="66">
        <f>COUNTIFS(TblUniv2019[I. b1],AO$44,TblUniv2019[Prodi],$AL$41)/$AL$43*100%</f>
        <v>0</v>
      </c>
      <c r="AP78" s="62">
        <f t="shared" si="5"/>
        <v>1</v>
      </c>
      <c r="AR78" s="57" t="s">
        <v>653</v>
      </c>
      <c r="AS78" s="66" t="e">
        <f>COUNTIFS(TblUniv2019[I. b1],AS$44,TblUniv2019[Prodi],$AS$41)/$AS$43*100%</f>
        <v>#DIV/0!</v>
      </c>
      <c r="AT78" s="66" t="e">
        <f>COUNTIFS(TblUniv2019[I. b1],AT$44,TblUniv2019[Prodi],$AS$41)/$AS$43*100%</f>
        <v>#DIV/0!</v>
      </c>
      <c r="AU78" s="66" t="e">
        <f>COUNTIFS(TblUniv2019[I. b1],AU$44,TblUniv2019[Prodi],$AS$41)/$AS$43*100%</f>
        <v>#DIV/0!</v>
      </c>
      <c r="AV78" s="66" t="e">
        <f>COUNTIFS(TblUniv2019[I. b1],AV$44,TblUniv2019[Prodi],$AS$41)/$AS$43*100%</f>
        <v>#DIV/0!</v>
      </c>
      <c r="AW78" s="62" t="e">
        <f t="shared" si="6"/>
        <v>#DIV/0!</v>
      </c>
      <c r="AY78" s="57" t="s">
        <v>653</v>
      </c>
      <c r="AZ78" s="66">
        <f>COUNTIFS(TblUniv2019[I. b1],AZ$44,TblUniv2019[Prodi],$AZ$41)/$AZ$43*100%</f>
        <v>0</v>
      </c>
      <c r="BA78" s="66">
        <f>COUNTIFS(TblUniv2019[I. b1],BA$44,TblUniv2019[Prodi],$AZ$41)/$AZ$43*100%</f>
        <v>1</v>
      </c>
      <c r="BB78" s="66">
        <f>COUNTIFS(TblUniv2019[I. b1],BB$44,TblUniv2019[Prodi],$AZ$41)/$AZ$43*100%</f>
        <v>0</v>
      </c>
      <c r="BC78" s="66">
        <f>COUNTIFS(TblUniv2019[I. b1],BC$44,TblUniv2019[Prodi],$AZ$41)/$AZ$43*100%</f>
        <v>0</v>
      </c>
      <c r="BD78" s="62">
        <f t="shared" si="7"/>
        <v>1</v>
      </c>
      <c r="BF78" s="57" t="s">
        <v>653</v>
      </c>
      <c r="BG78" s="66">
        <f>COUNTIFS(TblUniv2019[I. b1],BG$44,TblUniv2019[Prodi],$BG$41)/$BG$43*100%</f>
        <v>0.5</v>
      </c>
      <c r="BH78" s="66">
        <f>COUNTIFS(TblUniv2019[I. b1],BH$44,TblUniv2019[Prodi],$BG$41)/$BG$43*100%</f>
        <v>0</v>
      </c>
      <c r="BI78" s="66">
        <f>COUNTIFS(TblUniv2019[I. b1],BI$44,TblUniv2019[Prodi],$BG$41)/$BG$43*100%</f>
        <v>0.5</v>
      </c>
      <c r="BJ78" s="66">
        <f>COUNTIFS(TblUniv2019[I. b1],BJ$44,TblUniv2019[Prodi],$BG$41)/$BG$43*100%</f>
        <v>0</v>
      </c>
      <c r="BK78" s="62">
        <f t="shared" si="8"/>
        <v>1</v>
      </c>
    </row>
    <row r="79" spans="2:63" ht="16.5" x14ac:dyDescent="0.3">
      <c r="B79" s="57" t="s">
        <v>654</v>
      </c>
      <c r="C79" s="66">
        <f>COUNTIFS(TblUniv2019[I. b2],C$44)/$C$43*100%</f>
        <v>0</v>
      </c>
      <c r="D79" s="66">
        <f>COUNTIFS(TblUniv2019[I. b2],D$44)/$C$43*100%</f>
        <v>1</v>
      </c>
      <c r="E79" s="66">
        <f>COUNTIFS(TblUniv2019[I. b2],E$44)/$C$43*100%</f>
        <v>0</v>
      </c>
      <c r="F79" s="66">
        <f>COUNTIFS(TblUniv2019[I. b2],F$44)/$C$43*100%</f>
        <v>0</v>
      </c>
      <c r="G79" s="62">
        <f t="shared" si="0"/>
        <v>1</v>
      </c>
      <c r="I79" s="57" t="s">
        <v>654</v>
      </c>
      <c r="J79" s="66">
        <f>COUNTIFS(TblUniv2019[I. b2],J$44,TblUniv2019[Prodi],$J$41)/$J$43*100%</f>
        <v>0</v>
      </c>
      <c r="K79" s="66">
        <f>COUNTIFS(TblUniv2019[I. b2],K$44,TblUniv2019[Prodi],$J$41)/$J$43*100%</f>
        <v>1</v>
      </c>
      <c r="L79" s="66">
        <f>COUNTIFS(TblUniv2019[I. b2],L$44,TblUniv2019[Prodi],$J$41)/$J$43*100%</f>
        <v>0</v>
      </c>
      <c r="M79" s="66">
        <f>COUNTIFS(TblUniv2019[I. b2],M$44,TblUniv2019[Prodi],$J$41)/$J$43*100%</f>
        <v>0</v>
      </c>
      <c r="N79" s="62">
        <f t="shared" si="1"/>
        <v>1</v>
      </c>
      <c r="P79" s="57" t="s">
        <v>654</v>
      </c>
      <c r="Q79" s="66">
        <f>COUNTIFS(TblUniv2019[I. b2],Q$44,TblUniv2019[Prodi],$Q$41)/$Q$43*100%</f>
        <v>0</v>
      </c>
      <c r="R79" s="66">
        <f>COUNTIFS(TblUniv2019[I. b2],R$44,TblUniv2019[Prodi],$Q$41)/$Q$43*100%</f>
        <v>1</v>
      </c>
      <c r="S79" s="66">
        <f>COUNTIFS(TblUniv2019[I. b2],S$44,TblUniv2019[Prodi],$Q$41)/$Q$43*100%</f>
        <v>0</v>
      </c>
      <c r="T79" s="66">
        <f>COUNTIFS(TblUniv2019[I. b2],T$44,TblUniv2019[Prodi],$Q$41)/$Q$43*100%</f>
        <v>0</v>
      </c>
      <c r="U79" s="62">
        <f t="shared" si="2"/>
        <v>1</v>
      </c>
      <c r="W79" s="57" t="s">
        <v>654</v>
      </c>
      <c r="X79" s="66">
        <f>COUNTIFS(TblUniv2019[I. b2],X$44,TblUniv2019[Prodi],$X$41)/$X$43*100%</f>
        <v>0</v>
      </c>
      <c r="Y79" s="66">
        <f>COUNTIFS(TblUniv2019[I. b2],Y$44,TblUniv2019[Prodi],$X$41)/$X$43*100%</f>
        <v>1</v>
      </c>
      <c r="Z79" s="66">
        <f>COUNTIFS(TblUniv2019[I. b2],Z$44,TblUniv2019[Prodi],$X$41)/$X$43*100%</f>
        <v>0</v>
      </c>
      <c r="AA79" s="66">
        <f>COUNTIFS(TblUniv2019[I. b2],AA$44,TblUniv2019[Prodi],$X$41)/$X$43*100%</f>
        <v>0</v>
      </c>
      <c r="AB79" s="62">
        <f t="shared" si="3"/>
        <v>1</v>
      </c>
      <c r="AD79" s="57" t="s">
        <v>654</v>
      </c>
      <c r="AE79" s="66">
        <f>COUNTIFS(TblUniv2019[I. b2],AE$44,TblUniv2019[Prodi],$AE$41)/$AE$43*100%</f>
        <v>0</v>
      </c>
      <c r="AF79" s="66">
        <f>COUNTIFS(TblUniv2019[I. b2],AF$44,TblUniv2019[Prodi],$AE$41)/$AE$43*100%</f>
        <v>1</v>
      </c>
      <c r="AG79" s="66">
        <f>COUNTIFS(TblUniv2019[I. b2],AG$44,TblUniv2019[Prodi],$AE$41)/$AE$43*100%</f>
        <v>0</v>
      </c>
      <c r="AH79" s="66">
        <f>COUNTIFS(TblUniv2019[I. b2],AH$44,TblUniv2019[Prodi],$AE$41)/$AE$43*100%</f>
        <v>0</v>
      </c>
      <c r="AI79" s="62">
        <f t="shared" si="4"/>
        <v>1</v>
      </c>
      <c r="AK79" s="57" t="s">
        <v>654</v>
      </c>
      <c r="AL79" s="66">
        <f>COUNTIFS(TblUniv2019[I. b2],AL$44,TblUniv2019[Prodi],$AL$41)/$AL$43*100%</f>
        <v>0</v>
      </c>
      <c r="AM79" s="66">
        <f>COUNTIFS(TblUniv2019[I. b2],AM$44,TblUniv2019[Prodi],$AL$41)/$AL$43*100%</f>
        <v>1</v>
      </c>
      <c r="AN79" s="66">
        <f>COUNTIFS(TblUniv2019[I. b2],AN$44,TblUniv2019[Prodi],$AL$41)/$AL$43*100%</f>
        <v>0</v>
      </c>
      <c r="AO79" s="66">
        <f>COUNTIFS(TblUniv2019[I. b2],AO$44,TblUniv2019[Prodi],$AL$41)/$AL$43*100%</f>
        <v>0</v>
      </c>
      <c r="AP79" s="62">
        <f t="shared" si="5"/>
        <v>1</v>
      </c>
      <c r="AR79" s="57" t="s">
        <v>654</v>
      </c>
      <c r="AS79" s="66" t="e">
        <f>COUNTIFS(TblUniv2019[I. b2],AS$44,TblUniv2019[Prodi],$AS$41)/$AS$43*100%</f>
        <v>#DIV/0!</v>
      </c>
      <c r="AT79" s="66" t="e">
        <f>COUNTIFS(TblUniv2019[I. b2],AT$44,TblUniv2019[Prodi],$AS$41)/$AS$43*100%</f>
        <v>#DIV/0!</v>
      </c>
      <c r="AU79" s="66" t="e">
        <f>COUNTIFS(TblUniv2019[I. b2],AU$44,TblUniv2019[Prodi],$AS$41)/$AS$43*100%</f>
        <v>#DIV/0!</v>
      </c>
      <c r="AV79" s="66" t="e">
        <f>COUNTIFS(TblUniv2019[I. b2],AV$44,TblUniv2019[Prodi],$AS$41)/$AS$43*100%</f>
        <v>#DIV/0!</v>
      </c>
      <c r="AW79" s="62" t="e">
        <f t="shared" si="6"/>
        <v>#DIV/0!</v>
      </c>
      <c r="AY79" s="57" t="s">
        <v>654</v>
      </c>
      <c r="AZ79" s="66">
        <f>COUNTIFS(TblUniv2019[I. b2],AZ$44,TblUniv2019[Prodi],$AZ$41)/$AZ$43*100%</f>
        <v>0</v>
      </c>
      <c r="BA79" s="66">
        <f>COUNTIFS(TblUniv2019[I. b2],BA$44,TblUniv2019[Prodi],$AZ$41)/$AZ$43*100%</f>
        <v>1</v>
      </c>
      <c r="BB79" s="66">
        <f>COUNTIFS(TblUniv2019[I. b2],BB$44,TblUniv2019[Prodi],$AZ$41)/$AZ$43*100%</f>
        <v>0</v>
      </c>
      <c r="BC79" s="66">
        <f>COUNTIFS(TblUniv2019[I. b2],BC$44,TblUniv2019[Prodi],$AZ$41)/$AZ$43*100%</f>
        <v>0</v>
      </c>
      <c r="BD79" s="62">
        <f t="shared" si="7"/>
        <v>1</v>
      </c>
      <c r="BF79" s="57" t="s">
        <v>654</v>
      </c>
      <c r="BG79" s="66">
        <f>COUNTIFS(TblUniv2019[I. b2],BG$44,TblUniv2019[Prodi],$BG$41)/$BG$43*100%</f>
        <v>0</v>
      </c>
      <c r="BH79" s="66">
        <f>COUNTIFS(TblUniv2019[I. b2],BH$44,TblUniv2019[Prodi],$BG$41)/$BG$43*100%</f>
        <v>1</v>
      </c>
      <c r="BI79" s="66">
        <f>COUNTIFS(TblUniv2019[I. b2],BI$44,TblUniv2019[Prodi],$BG$41)/$BG$43*100%</f>
        <v>0</v>
      </c>
      <c r="BJ79" s="66">
        <f>COUNTIFS(TblUniv2019[I. b2],BJ$44,TblUniv2019[Prodi],$BG$41)/$BG$43*100%</f>
        <v>0</v>
      </c>
      <c r="BK79" s="62">
        <f t="shared" si="8"/>
        <v>1</v>
      </c>
    </row>
    <row r="80" spans="2:63" ht="16.5" x14ac:dyDescent="0.3">
      <c r="B80" s="57" t="s">
        <v>655</v>
      </c>
      <c r="C80" s="66">
        <f>COUNTIFS(TblUniv2019[I. b3],C$44)/$C$43*100%</f>
        <v>0</v>
      </c>
      <c r="D80" s="66">
        <f>COUNTIFS(TblUniv2019[I. b3],D$44)/$C$43*100%</f>
        <v>0.80645161290322576</v>
      </c>
      <c r="E80" s="66">
        <f>COUNTIFS(TblUniv2019[I. b3],E$44)/$C$43*100%</f>
        <v>0.19354838709677419</v>
      </c>
      <c r="F80" s="66">
        <f>COUNTIFS(TblUniv2019[I. b3],F$44)/$C$43*100%</f>
        <v>0</v>
      </c>
      <c r="G80" s="62">
        <f t="shared" si="0"/>
        <v>1</v>
      </c>
      <c r="I80" s="57" t="s">
        <v>655</v>
      </c>
      <c r="J80" s="66">
        <f>COUNTIFS(TblUniv2019[I. b3],J$44,TblUniv2019[Prodi],$J$41)/$J$43*100%</f>
        <v>0</v>
      </c>
      <c r="K80" s="66">
        <f>COUNTIFS(TblUniv2019[I. b3],K$44,TblUniv2019[Prodi],$J$41)/$J$43*100%</f>
        <v>0.83333333333333337</v>
      </c>
      <c r="L80" s="66">
        <f>COUNTIFS(TblUniv2019[I. b3],L$44,TblUniv2019[Prodi],$J$41)/$J$43*100%</f>
        <v>0.16666666666666666</v>
      </c>
      <c r="M80" s="66">
        <f>COUNTIFS(TblUniv2019[I. b3],M$44,TblUniv2019[Prodi],$J$41)/$J$43*100%</f>
        <v>0</v>
      </c>
      <c r="N80" s="62">
        <f t="shared" si="1"/>
        <v>1</v>
      </c>
      <c r="P80" s="57" t="s">
        <v>655</v>
      </c>
      <c r="Q80" s="66">
        <f>COUNTIFS(TblUniv2019[I. b3],Q$44,TblUniv2019[Prodi],$Q$41)/$Q$43*100%</f>
        <v>0</v>
      </c>
      <c r="R80" s="66">
        <f>COUNTIFS(TblUniv2019[I. b3],R$44,TblUniv2019[Prodi],$Q$41)/$Q$43*100%</f>
        <v>0.875</v>
      </c>
      <c r="S80" s="66">
        <f>COUNTIFS(TblUniv2019[I. b3],S$44,TblUniv2019[Prodi],$Q$41)/$Q$43*100%</f>
        <v>0.125</v>
      </c>
      <c r="T80" s="66">
        <f>COUNTIFS(TblUniv2019[I. b3],T$44,TblUniv2019[Prodi],$Q$41)/$Q$43*100%</f>
        <v>0</v>
      </c>
      <c r="U80" s="62">
        <f t="shared" si="2"/>
        <v>1</v>
      </c>
      <c r="W80" s="57" t="s">
        <v>655</v>
      </c>
      <c r="X80" s="66">
        <f>COUNTIFS(TblUniv2019[I. b3],X$44,TblUniv2019[Prodi],$X$41)/$X$43*100%</f>
        <v>0</v>
      </c>
      <c r="Y80" s="66">
        <f>COUNTIFS(TblUniv2019[I. b3],Y$44,TblUniv2019[Prodi],$X$41)/$X$43*100%</f>
        <v>1</v>
      </c>
      <c r="Z80" s="66">
        <f>COUNTIFS(TblUniv2019[I. b3],Z$44,TblUniv2019[Prodi],$X$41)/$X$43*100%</f>
        <v>0</v>
      </c>
      <c r="AA80" s="66">
        <f>COUNTIFS(TblUniv2019[I. b3],AA$44,TblUniv2019[Prodi],$X$41)/$X$43*100%</f>
        <v>0</v>
      </c>
      <c r="AB80" s="62">
        <f t="shared" si="3"/>
        <v>1</v>
      </c>
      <c r="AD80" s="57" t="s">
        <v>655</v>
      </c>
      <c r="AE80" s="66">
        <f>COUNTIFS(TblUniv2019[I. b3],AE$44,TblUniv2019[Prodi],$AE$41)/$AE$43*100%</f>
        <v>0</v>
      </c>
      <c r="AF80" s="66">
        <f>COUNTIFS(TblUniv2019[I. b3],AF$44,TblUniv2019[Prodi],$AE$41)/$AE$43*100%</f>
        <v>1</v>
      </c>
      <c r="AG80" s="66">
        <f>COUNTIFS(TblUniv2019[I. b3],AG$44,TblUniv2019[Prodi],$AE$41)/$AE$43*100%</f>
        <v>0</v>
      </c>
      <c r="AH80" s="66">
        <f>COUNTIFS(TblUniv2019[I. b3],AH$44,TblUniv2019[Prodi],$AE$41)/$AE$43*100%</f>
        <v>0</v>
      </c>
      <c r="AI80" s="62">
        <f t="shared" si="4"/>
        <v>1</v>
      </c>
      <c r="AK80" s="57" t="s">
        <v>655</v>
      </c>
      <c r="AL80" s="66">
        <f>COUNTIFS(TblUniv2019[I. b3],AL$44,TblUniv2019[Prodi],$AL$41)/$AL$43*100%</f>
        <v>0</v>
      </c>
      <c r="AM80" s="66">
        <f>COUNTIFS(TblUniv2019[I. b3],AM$44,TblUniv2019[Prodi],$AL$41)/$AL$43*100%</f>
        <v>0.66666666666666663</v>
      </c>
      <c r="AN80" s="66">
        <f>COUNTIFS(TblUniv2019[I. b3],AN$44,TblUniv2019[Prodi],$AL$41)/$AL$43*100%</f>
        <v>0.33333333333333331</v>
      </c>
      <c r="AO80" s="66">
        <f>COUNTIFS(TblUniv2019[I. b3],AO$44,TblUniv2019[Prodi],$AL$41)/$AL$43*100%</f>
        <v>0</v>
      </c>
      <c r="AP80" s="62">
        <f t="shared" si="5"/>
        <v>1</v>
      </c>
      <c r="AR80" s="57" t="s">
        <v>655</v>
      </c>
      <c r="AS80" s="66" t="e">
        <f>COUNTIFS(TblUniv2019[I. b3],AS$44,TblUniv2019[Prodi],$AS$41)/$AS$43*100%</f>
        <v>#DIV/0!</v>
      </c>
      <c r="AT80" s="66" t="e">
        <f>COUNTIFS(TblUniv2019[I. b3],AT$44,TblUniv2019[Prodi],$AS$41)/$AS$43*100%</f>
        <v>#DIV/0!</v>
      </c>
      <c r="AU80" s="66" t="e">
        <f>COUNTIFS(TblUniv2019[I. b3],AU$44,TblUniv2019[Prodi],$AS$41)/$AS$43*100%</f>
        <v>#DIV/0!</v>
      </c>
      <c r="AV80" s="66" t="e">
        <f>COUNTIFS(TblUniv2019[I. b3],AV$44,TblUniv2019[Prodi],$AS$41)/$AS$43*100%</f>
        <v>#DIV/0!</v>
      </c>
      <c r="AW80" s="62" t="e">
        <f t="shared" si="6"/>
        <v>#DIV/0!</v>
      </c>
      <c r="AY80" s="57" t="s">
        <v>655</v>
      </c>
      <c r="AZ80" s="66">
        <f>COUNTIFS(TblUniv2019[I. b3],AZ$44,TblUniv2019[Prodi],$AZ$41)/$AZ$43*100%</f>
        <v>0</v>
      </c>
      <c r="BA80" s="66">
        <f>COUNTIFS(TblUniv2019[I. b3],BA$44,TblUniv2019[Prodi],$AZ$41)/$AZ$43*100%</f>
        <v>0.5</v>
      </c>
      <c r="BB80" s="66">
        <f>COUNTIFS(TblUniv2019[I. b3],BB$44,TblUniv2019[Prodi],$AZ$41)/$AZ$43*100%</f>
        <v>0.5</v>
      </c>
      <c r="BC80" s="66">
        <f>COUNTIFS(TblUniv2019[I. b3],BC$44,TblUniv2019[Prodi],$AZ$41)/$AZ$43*100%</f>
        <v>0</v>
      </c>
      <c r="BD80" s="62">
        <f t="shared" si="7"/>
        <v>1</v>
      </c>
      <c r="BF80" s="57" t="s">
        <v>655</v>
      </c>
      <c r="BG80" s="66">
        <f>COUNTIFS(TblUniv2019[I. b3],BG$44,TblUniv2019[Prodi],$BG$41)/$BG$43*100%</f>
        <v>0</v>
      </c>
      <c r="BH80" s="66">
        <f>COUNTIFS(TblUniv2019[I. b3],BH$44,TblUniv2019[Prodi],$BG$41)/$BG$43*100%</f>
        <v>1</v>
      </c>
      <c r="BI80" s="66">
        <f>COUNTIFS(TblUniv2019[I. b3],BI$44,TblUniv2019[Prodi],$BG$41)/$BG$43*100%</f>
        <v>0</v>
      </c>
      <c r="BJ80" s="66">
        <f>COUNTIFS(TblUniv2019[I. b3],BJ$44,TblUniv2019[Prodi],$BG$41)/$BG$43*100%</f>
        <v>0</v>
      </c>
      <c r="BK80" s="62">
        <f t="shared" si="8"/>
        <v>1</v>
      </c>
    </row>
    <row r="81" spans="2:63" ht="16.5" x14ac:dyDescent="0.3">
      <c r="B81" s="57" t="s">
        <v>656</v>
      </c>
      <c r="C81" s="66">
        <f>COUNTIFS(TblUniv2019[I. b4],C$44)/$C$43*100%</f>
        <v>0.22580645161290322</v>
      </c>
      <c r="D81" s="66">
        <f>COUNTIFS(TblUniv2019[I. b4],D$44)/$C$43*100%</f>
        <v>0.77419354838709675</v>
      </c>
      <c r="E81" s="66">
        <f>COUNTIFS(TblUniv2019[I. b4],E$44)/$C$43*100%</f>
        <v>0</v>
      </c>
      <c r="F81" s="66">
        <f>COUNTIFS(TblUniv2019[I. b4],F$44)/$C$43*100%</f>
        <v>0</v>
      </c>
      <c r="G81" s="62">
        <f t="shared" si="0"/>
        <v>1</v>
      </c>
      <c r="I81" s="57" t="s">
        <v>656</v>
      </c>
      <c r="J81" s="66">
        <f>COUNTIFS(TblUniv2019[I. b4],J$44,TblUniv2019[Prodi],$J$41)/$J$43*100%</f>
        <v>0.33333333333333331</v>
      </c>
      <c r="K81" s="66">
        <f>COUNTIFS(TblUniv2019[I. b4],K$44,TblUniv2019[Prodi],$J$41)/$J$43*100%</f>
        <v>0.66666666666666663</v>
      </c>
      <c r="L81" s="66">
        <f>COUNTIFS(TblUniv2019[I. b4],L$44,TblUniv2019[Prodi],$J$41)/$J$43*100%</f>
        <v>0</v>
      </c>
      <c r="M81" s="66">
        <f>COUNTIFS(TblUniv2019[I. b4],M$44,TblUniv2019[Prodi],$J$41)/$J$43*100%</f>
        <v>0</v>
      </c>
      <c r="N81" s="62">
        <f t="shared" si="1"/>
        <v>1</v>
      </c>
      <c r="P81" s="57" t="s">
        <v>656</v>
      </c>
      <c r="Q81" s="66">
        <f>COUNTIFS(TblUniv2019[I. b4],Q$44,TblUniv2019[Prodi],$Q$41)/$Q$43*100%</f>
        <v>0.25</v>
      </c>
      <c r="R81" s="66">
        <f>COUNTIFS(TblUniv2019[I. b4],R$44,TblUniv2019[Prodi],$Q$41)/$Q$43*100%</f>
        <v>0.75</v>
      </c>
      <c r="S81" s="66">
        <f>COUNTIFS(TblUniv2019[I. b4],S$44,TblUniv2019[Prodi],$Q$41)/$Q$43*100%</f>
        <v>0</v>
      </c>
      <c r="T81" s="66">
        <f>COUNTIFS(TblUniv2019[I. b4],T$44,TblUniv2019[Prodi],$Q$41)/$Q$43*100%</f>
        <v>0</v>
      </c>
      <c r="U81" s="62">
        <f t="shared" si="2"/>
        <v>1</v>
      </c>
      <c r="W81" s="57" t="s">
        <v>656</v>
      </c>
      <c r="X81" s="66">
        <f>COUNTIFS(TblUniv2019[I. b4],X$44,TblUniv2019[Prodi],$X$41)/$X$43*100%</f>
        <v>0</v>
      </c>
      <c r="Y81" s="66">
        <f>COUNTIFS(TblUniv2019[I. b4],Y$44,TblUniv2019[Prodi],$X$41)/$X$43*100%</f>
        <v>1</v>
      </c>
      <c r="Z81" s="66">
        <f>COUNTIFS(TblUniv2019[I. b4],Z$44,TblUniv2019[Prodi],$X$41)/$X$43*100%</f>
        <v>0</v>
      </c>
      <c r="AA81" s="66">
        <f>COUNTIFS(TblUniv2019[I. b4],AA$44,TblUniv2019[Prodi],$X$41)/$X$43*100%</f>
        <v>0</v>
      </c>
      <c r="AB81" s="62">
        <f t="shared" si="3"/>
        <v>1</v>
      </c>
      <c r="AD81" s="57" t="s">
        <v>656</v>
      </c>
      <c r="AE81" s="66">
        <f>COUNTIFS(TblUniv2019[I. b4],AE$44,TblUniv2019[Prodi],$AE$41)/$AE$43*100%</f>
        <v>0</v>
      </c>
      <c r="AF81" s="66">
        <f>COUNTIFS(TblUniv2019[I. b4],AF$44,TblUniv2019[Prodi],$AE$41)/$AE$43*100%</f>
        <v>1</v>
      </c>
      <c r="AG81" s="66">
        <f>COUNTIFS(TblUniv2019[I. b4],AG$44,TblUniv2019[Prodi],$AE$41)/$AE$43*100%</f>
        <v>0</v>
      </c>
      <c r="AH81" s="66">
        <f>COUNTIFS(TblUniv2019[I. b4],AH$44,TblUniv2019[Prodi],$AE$41)/$AE$43*100%</f>
        <v>0</v>
      </c>
      <c r="AI81" s="62">
        <f t="shared" si="4"/>
        <v>1</v>
      </c>
      <c r="AK81" s="57" t="s">
        <v>656</v>
      </c>
      <c r="AL81" s="66">
        <f>COUNTIFS(TblUniv2019[I. b4],AL$44,TblUniv2019[Prodi],$AL$41)/$AL$43*100%</f>
        <v>0.33333333333333331</v>
      </c>
      <c r="AM81" s="66">
        <f>COUNTIFS(TblUniv2019[I. b4],AM$44,TblUniv2019[Prodi],$AL$41)/$AL$43*100%</f>
        <v>0.66666666666666663</v>
      </c>
      <c r="AN81" s="66">
        <f>COUNTIFS(TblUniv2019[I. b4],AN$44,TblUniv2019[Prodi],$AL$41)/$AL$43*100%</f>
        <v>0</v>
      </c>
      <c r="AO81" s="66">
        <f>COUNTIFS(TblUniv2019[I. b4],AO$44,TblUniv2019[Prodi],$AL$41)/$AL$43*100%</f>
        <v>0</v>
      </c>
      <c r="AP81" s="62">
        <f t="shared" si="5"/>
        <v>1</v>
      </c>
      <c r="AR81" s="57" t="s">
        <v>656</v>
      </c>
      <c r="AS81" s="66" t="e">
        <f>COUNTIFS(TblUniv2019[I. b4],AS$44,TblUniv2019[Prodi],$AS$41)/$AS$43*100%</f>
        <v>#DIV/0!</v>
      </c>
      <c r="AT81" s="66" t="e">
        <f>COUNTIFS(TblUniv2019[I. b4],AT$44,TblUniv2019[Prodi],$AS$41)/$AS$43*100%</f>
        <v>#DIV/0!</v>
      </c>
      <c r="AU81" s="66" t="e">
        <f>COUNTIFS(TblUniv2019[I. b4],AU$44,TblUniv2019[Prodi],$AS$41)/$AS$43*100%</f>
        <v>#DIV/0!</v>
      </c>
      <c r="AV81" s="66" t="e">
        <f>COUNTIFS(TblUniv2019[I. b4],AV$44,TblUniv2019[Prodi],$AS$41)/$AS$43*100%</f>
        <v>#DIV/0!</v>
      </c>
      <c r="AW81" s="62" t="e">
        <f t="shared" si="6"/>
        <v>#DIV/0!</v>
      </c>
      <c r="AY81" s="57" t="s">
        <v>656</v>
      </c>
      <c r="AZ81" s="66">
        <f>COUNTIFS(TblUniv2019[I. b4],AZ$44,TblUniv2019[Prodi],$AZ$41)/$AZ$43*100%</f>
        <v>0</v>
      </c>
      <c r="BA81" s="66">
        <f>COUNTIFS(TblUniv2019[I. b4],BA$44,TblUniv2019[Prodi],$AZ$41)/$AZ$43*100%</f>
        <v>1</v>
      </c>
      <c r="BB81" s="66">
        <f>COUNTIFS(TblUniv2019[I. b4],BB$44,TblUniv2019[Prodi],$AZ$41)/$AZ$43*100%</f>
        <v>0</v>
      </c>
      <c r="BC81" s="66">
        <f>COUNTIFS(TblUniv2019[I. b4],BC$44,TblUniv2019[Prodi],$AZ$41)/$AZ$43*100%</f>
        <v>0</v>
      </c>
      <c r="BD81" s="62">
        <f t="shared" si="7"/>
        <v>1</v>
      </c>
      <c r="BF81" s="57" t="s">
        <v>656</v>
      </c>
      <c r="BG81" s="66">
        <f>COUNTIFS(TblUniv2019[I. b4],BG$44,TblUniv2019[Prodi],$BG$41)/$BG$43*100%</f>
        <v>0.5</v>
      </c>
      <c r="BH81" s="66">
        <f>COUNTIFS(TblUniv2019[I. b4],BH$44,TblUniv2019[Prodi],$BG$41)/$BG$43*100%</f>
        <v>0.5</v>
      </c>
      <c r="BI81" s="66">
        <f>COUNTIFS(TblUniv2019[I. b4],BI$44,TblUniv2019[Prodi],$BG$41)/$BG$43*100%</f>
        <v>0</v>
      </c>
      <c r="BJ81" s="66">
        <f>COUNTIFS(TblUniv2019[I. b4],BJ$44,TblUniv2019[Prodi],$BG$41)/$BG$43*100%</f>
        <v>0</v>
      </c>
      <c r="BK81" s="62">
        <f t="shared" si="8"/>
        <v>1</v>
      </c>
    </row>
    <row r="82" spans="2:63" ht="17.25" thickBot="1" x14ac:dyDescent="0.35">
      <c r="B82" s="67"/>
      <c r="C82" s="68">
        <f>AVERAGE(C78:C81)</f>
        <v>0.11290322580645161</v>
      </c>
      <c r="D82" s="68">
        <f>AVERAGE(D78:D81)</f>
        <v>0.77419354838709675</v>
      </c>
      <c r="E82" s="68">
        <f>AVERAGE(E78:E81)</f>
        <v>0.11290322580645161</v>
      </c>
      <c r="F82" s="68">
        <f>AVERAGE(F78:F81)</f>
        <v>0</v>
      </c>
      <c r="G82" s="62">
        <f t="shared" si="0"/>
        <v>1</v>
      </c>
      <c r="I82" s="67"/>
      <c r="J82" s="68">
        <f>AVERAGE(J78:J81)</f>
        <v>0.16666666666666666</v>
      </c>
      <c r="K82" s="68">
        <f>AVERAGE(K78:K81)</f>
        <v>0.75</v>
      </c>
      <c r="L82" s="68">
        <f>AVERAGE(L78:L81)</f>
        <v>8.3333333333333329E-2</v>
      </c>
      <c r="M82" s="68">
        <f>AVERAGE(M78:M81)</f>
        <v>0</v>
      </c>
      <c r="N82" s="62">
        <f t="shared" si="1"/>
        <v>1</v>
      </c>
      <c r="P82" s="67"/>
      <c r="Q82" s="68">
        <f>AVERAGE(Q78:Q81)</f>
        <v>0.125</v>
      </c>
      <c r="R82" s="68">
        <f>AVERAGE(R78:R81)</f>
        <v>0.75</v>
      </c>
      <c r="S82" s="68">
        <f>AVERAGE(S78:S81)</f>
        <v>0.125</v>
      </c>
      <c r="T82" s="68">
        <f>AVERAGE(T78:T81)</f>
        <v>0</v>
      </c>
      <c r="U82" s="62">
        <f t="shared" si="2"/>
        <v>1</v>
      </c>
      <c r="W82" s="67"/>
      <c r="X82" s="68">
        <f>AVERAGE(X78:X81)</f>
        <v>0</v>
      </c>
      <c r="Y82" s="68">
        <f>AVERAGE(Y78:Y81)</f>
        <v>1</v>
      </c>
      <c r="Z82" s="68">
        <f>AVERAGE(Z78:Z81)</f>
        <v>0</v>
      </c>
      <c r="AA82" s="68">
        <f>AVERAGE(AA78:AA81)</f>
        <v>0</v>
      </c>
      <c r="AB82" s="62">
        <f t="shared" si="3"/>
        <v>1</v>
      </c>
      <c r="AD82" s="67"/>
      <c r="AE82" s="68">
        <f>AVERAGE(AE78:AE81)</f>
        <v>0</v>
      </c>
      <c r="AF82" s="68">
        <f>AVERAGE(AF78:AF81)</f>
        <v>0.75</v>
      </c>
      <c r="AG82" s="68">
        <f>AVERAGE(AG78:AG81)</f>
        <v>0.25</v>
      </c>
      <c r="AH82" s="68">
        <f>AVERAGE(AH78:AH81)</f>
        <v>0</v>
      </c>
      <c r="AI82" s="62">
        <f t="shared" si="4"/>
        <v>1</v>
      </c>
      <c r="AK82" s="67"/>
      <c r="AL82" s="68">
        <f>AVERAGE(AL78:AL81)</f>
        <v>0.16666666666666666</v>
      </c>
      <c r="AM82" s="68">
        <f>AVERAGE(AM78:AM81)</f>
        <v>0.66666666666666663</v>
      </c>
      <c r="AN82" s="68">
        <f>AVERAGE(AN78:AN81)</f>
        <v>0.16666666666666666</v>
      </c>
      <c r="AO82" s="68">
        <f>AVERAGE(AO78:AO81)</f>
        <v>0</v>
      </c>
      <c r="AP82" s="62">
        <f t="shared" si="5"/>
        <v>0.99999999999999989</v>
      </c>
      <c r="AR82" s="67"/>
      <c r="AS82" s="68" t="e">
        <f>AVERAGE(AS78:AS81)</f>
        <v>#DIV/0!</v>
      </c>
      <c r="AT82" s="68" t="e">
        <f>AVERAGE(AT78:AT81)</f>
        <v>#DIV/0!</v>
      </c>
      <c r="AU82" s="68" t="e">
        <f>AVERAGE(AU78:AU81)</f>
        <v>#DIV/0!</v>
      </c>
      <c r="AV82" s="68" t="e">
        <f>AVERAGE(AV78:AV81)</f>
        <v>#DIV/0!</v>
      </c>
      <c r="AW82" s="62" t="e">
        <f t="shared" si="6"/>
        <v>#DIV/0!</v>
      </c>
      <c r="AY82" s="67"/>
      <c r="AZ82" s="68">
        <f>AVERAGE(AZ78:AZ81)</f>
        <v>0</v>
      </c>
      <c r="BA82" s="68">
        <f>AVERAGE(BA78:BA81)</f>
        <v>0.875</v>
      </c>
      <c r="BB82" s="68">
        <f>AVERAGE(BB78:BB81)</f>
        <v>0.125</v>
      </c>
      <c r="BC82" s="68">
        <f>AVERAGE(BC78:BC81)</f>
        <v>0</v>
      </c>
      <c r="BD82" s="62">
        <f t="shared" si="7"/>
        <v>1</v>
      </c>
      <c r="BF82" s="67"/>
      <c r="BG82" s="68">
        <f>AVERAGE(BG78:BG81)</f>
        <v>0.25</v>
      </c>
      <c r="BH82" s="68">
        <f>AVERAGE(BH78:BH81)</f>
        <v>0.625</v>
      </c>
      <c r="BI82" s="68">
        <f>AVERAGE(BI78:BI81)</f>
        <v>0.125</v>
      </c>
      <c r="BJ82" s="68">
        <f>AVERAGE(BJ78:BJ81)</f>
        <v>0</v>
      </c>
      <c r="BK82" s="62">
        <f t="shared" si="8"/>
        <v>1</v>
      </c>
    </row>
    <row r="83" spans="2:63" ht="15.75" thickBot="1" x14ac:dyDescent="0.3"/>
    <row r="84" spans="2:63" ht="17.25" thickBot="1" x14ac:dyDescent="0.3">
      <c r="I84" s="64" t="s">
        <v>14</v>
      </c>
      <c r="J84" s="65" t="str">
        <f>J41</f>
        <v>S1 Teknik Komputer</v>
      </c>
      <c r="P84" s="64" t="s">
        <v>14</v>
      </c>
      <c r="Q84" s="65" t="str">
        <f>Q41</f>
        <v>S1 Sistem Informasi</v>
      </c>
      <c r="W84" s="64" t="s">
        <v>14</v>
      </c>
      <c r="X84" s="65" t="str">
        <f>X41</f>
        <v>D3 Sistem Informasi</v>
      </c>
      <c r="AD84" s="64" t="s">
        <v>14</v>
      </c>
      <c r="AE84" s="65" t="str">
        <f>AE41</f>
        <v>S1 Desain Komunikasi Visual</v>
      </c>
      <c r="AK84" s="64" t="s">
        <v>14</v>
      </c>
      <c r="AL84" s="65" t="str">
        <f>AL41</f>
        <v>D4 Produksi Film dan Televisi</v>
      </c>
      <c r="AR84" s="64" t="s">
        <v>14</v>
      </c>
      <c r="AS84" s="65" t="str">
        <f>AS41</f>
        <v>D3 Administrasi Perkantoran</v>
      </c>
      <c r="AY84" s="64" t="s">
        <v>14</v>
      </c>
      <c r="AZ84" s="65" t="str">
        <f>AZ41</f>
        <v>S1 AKUNTANSI</v>
      </c>
      <c r="BF84" s="64" t="s">
        <v>14</v>
      </c>
      <c r="BG84" s="65" t="str">
        <f>BG41</f>
        <v>S1 MANAJEMEN</v>
      </c>
    </row>
    <row r="85" spans="2:63" ht="17.25" thickBot="1" x14ac:dyDescent="0.3">
      <c r="B85" s="64" t="s">
        <v>647</v>
      </c>
      <c r="C85" s="65">
        <v>2019</v>
      </c>
      <c r="I85" s="64" t="s">
        <v>647</v>
      </c>
      <c r="J85" s="65">
        <f>J42</f>
        <v>2019</v>
      </c>
      <c r="P85" s="64" t="s">
        <v>647</v>
      </c>
      <c r="Q85" s="65">
        <f>Q42</f>
        <v>2019</v>
      </c>
      <c r="W85" s="64" t="s">
        <v>647</v>
      </c>
      <c r="X85" s="65">
        <f>X42</f>
        <v>2019</v>
      </c>
      <c r="AD85" s="64" t="s">
        <v>647</v>
      </c>
      <c r="AE85" s="65">
        <f>AE42</f>
        <v>2019</v>
      </c>
      <c r="AK85" s="64" t="s">
        <v>647</v>
      </c>
      <c r="AL85" s="65">
        <f>AL42</f>
        <v>2019</v>
      </c>
      <c r="AR85" s="64" t="s">
        <v>647</v>
      </c>
      <c r="AS85" s="65">
        <f>AS42</f>
        <v>2019</v>
      </c>
      <c r="AY85" s="64" t="s">
        <v>647</v>
      </c>
      <c r="AZ85" s="65">
        <f>AZ42</f>
        <v>2019</v>
      </c>
      <c r="BF85" s="64" t="s">
        <v>647</v>
      </c>
      <c r="BG85" s="65">
        <f>BG42</f>
        <v>2019</v>
      </c>
    </row>
    <row r="86" spans="2:63" ht="17.25" thickBot="1" x14ac:dyDescent="0.3">
      <c r="B86" s="69" t="s">
        <v>646</v>
      </c>
      <c r="C86" s="70">
        <f>COUNTIF(TblUniv2019[th lulus],C85)</f>
        <v>31</v>
      </c>
      <c r="I86" s="64" t="s">
        <v>646</v>
      </c>
      <c r="J86" s="65">
        <f>J43</f>
        <v>6</v>
      </c>
      <c r="P86" s="64" t="s">
        <v>646</v>
      </c>
      <c r="Q86" s="65">
        <f>Q43</f>
        <v>8</v>
      </c>
      <c r="W86" s="64" t="s">
        <v>646</v>
      </c>
      <c r="X86" s="65">
        <f>X43</f>
        <v>4</v>
      </c>
      <c r="AD86" s="64" t="s">
        <v>646</v>
      </c>
      <c r="AE86" s="65">
        <f>AE43</f>
        <v>1</v>
      </c>
      <c r="AK86" s="64" t="s">
        <v>646</v>
      </c>
      <c r="AL86" s="65">
        <f>AL43</f>
        <v>6</v>
      </c>
      <c r="AR86" s="64" t="s">
        <v>646</v>
      </c>
      <c r="AS86" s="65">
        <f>AS43</f>
        <v>0</v>
      </c>
      <c r="AY86" s="64" t="s">
        <v>646</v>
      </c>
      <c r="AZ86" s="65">
        <f>AZ43</f>
        <v>4</v>
      </c>
      <c r="BF86" s="64" t="s">
        <v>646</v>
      </c>
      <c r="BG86" s="65">
        <f>BG43</f>
        <v>2</v>
      </c>
    </row>
    <row r="87" spans="2:63" ht="28.5" customHeight="1" thickBot="1" x14ac:dyDescent="0.3">
      <c r="B87" s="222" t="s">
        <v>658</v>
      </c>
      <c r="C87" s="223" t="s">
        <v>664</v>
      </c>
      <c r="D87" s="223"/>
      <c r="E87" s="223"/>
      <c r="F87" s="223"/>
      <c r="I87" s="222" t="s">
        <v>658</v>
      </c>
      <c r="J87" s="223" t="s">
        <v>664</v>
      </c>
      <c r="K87" s="223"/>
      <c r="L87" s="223"/>
      <c r="M87" s="223"/>
      <c r="P87" s="222" t="s">
        <v>658</v>
      </c>
      <c r="Q87" s="223" t="s">
        <v>664</v>
      </c>
      <c r="R87" s="223"/>
      <c r="S87" s="223"/>
      <c r="T87" s="223"/>
      <c r="W87" s="222" t="s">
        <v>658</v>
      </c>
      <c r="X87" s="223" t="s">
        <v>664</v>
      </c>
      <c r="Y87" s="223"/>
      <c r="Z87" s="223"/>
      <c r="AA87" s="223"/>
      <c r="AD87" s="222" t="s">
        <v>658</v>
      </c>
      <c r="AE87" s="223" t="s">
        <v>664</v>
      </c>
      <c r="AF87" s="223"/>
      <c r="AG87" s="223"/>
      <c r="AH87" s="223"/>
      <c r="AK87" s="222" t="s">
        <v>658</v>
      </c>
      <c r="AL87" s="223" t="s">
        <v>664</v>
      </c>
      <c r="AM87" s="223"/>
      <c r="AN87" s="223"/>
      <c r="AO87" s="223"/>
      <c r="AR87" s="222" t="s">
        <v>658</v>
      </c>
      <c r="AS87" s="223" t="s">
        <v>664</v>
      </c>
      <c r="AT87" s="223"/>
      <c r="AU87" s="223"/>
      <c r="AV87" s="223"/>
      <c r="AY87" s="222" t="s">
        <v>658</v>
      </c>
      <c r="AZ87" s="223" t="s">
        <v>664</v>
      </c>
      <c r="BA87" s="223"/>
      <c r="BB87" s="223"/>
      <c r="BC87" s="223"/>
      <c r="BF87" s="222" t="s">
        <v>658</v>
      </c>
      <c r="BG87" s="223" t="s">
        <v>664</v>
      </c>
      <c r="BH87" s="223"/>
      <c r="BI87" s="223"/>
      <c r="BJ87" s="223"/>
    </row>
    <row r="88" spans="2:63" ht="15.75" customHeight="1" thickBot="1" x14ac:dyDescent="0.3">
      <c r="B88" s="222"/>
      <c r="C88" s="72" t="s">
        <v>645</v>
      </c>
      <c r="D88" s="72" t="s">
        <v>665</v>
      </c>
      <c r="E88" s="72" t="s">
        <v>666</v>
      </c>
      <c r="F88" s="72" t="s">
        <v>667</v>
      </c>
      <c r="I88" s="222"/>
      <c r="J88" s="72" t="s">
        <v>645</v>
      </c>
      <c r="K88" s="72" t="s">
        <v>665</v>
      </c>
      <c r="L88" s="72" t="s">
        <v>666</v>
      </c>
      <c r="M88" s="72" t="s">
        <v>667</v>
      </c>
      <c r="P88" s="222"/>
      <c r="Q88" s="72" t="s">
        <v>645</v>
      </c>
      <c r="R88" s="72" t="s">
        <v>665</v>
      </c>
      <c r="S88" s="72" t="s">
        <v>666</v>
      </c>
      <c r="T88" s="72" t="s">
        <v>667</v>
      </c>
      <c r="W88" s="222"/>
      <c r="X88" s="72" t="s">
        <v>645</v>
      </c>
      <c r="Y88" s="72" t="s">
        <v>665</v>
      </c>
      <c r="Z88" s="72" t="s">
        <v>666</v>
      </c>
      <c r="AA88" s="72" t="s">
        <v>667</v>
      </c>
      <c r="AD88" s="222"/>
      <c r="AE88" s="72" t="s">
        <v>645</v>
      </c>
      <c r="AF88" s="72" t="s">
        <v>665</v>
      </c>
      <c r="AG88" s="72" t="s">
        <v>666</v>
      </c>
      <c r="AH88" s="72" t="s">
        <v>667</v>
      </c>
      <c r="AK88" s="222"/>
      <c r="AL88" s="72" t="s">
        <v>645</v>
      </c>
      <c r="AM88" s="72" t="s">
        <v>665</v>
      </c>
      <c r="AN88" s="72" t="s">
        <v>666</v>
      </c>
      <c r="AO88" s="72" t="s">
        <v>667</v>
      </c>
      <c r="AR88" s="222"/>
      <c r="AS88" s="72" t="s">
        <v>645</v>
      </c>
      <c r="AT88" s="72" t="s">
        <v>665</v>
      </c>
      <c r="AU88" s="72" t="s">
        <v>666</v>
      </c>
      <c r="AV88" s="72" t="s">
        <v>667</v>
      </c>
      <c r="AY88" s="222"/>
      <c r="AZ88" s="72" t="s">
        <v>645</v>
      </c>
      <c r="BA88" s="72" t="s">
        <v>665</v>
      </c>
      <c r="BB88" s="72" t="s">
        <v>666</v>
      </c>
      <c r="BC88" s="72" t="s">
        <v>667</v>
      </c>
      <c r="BF88" s="222"/>
      <c r="BG88" s="72" t="s">
        <v>645</v>
      </c>
      <c r="BH88" s="72" t="s">
        <v>665</v>
      </c>
      <c r="BI88" s="72" t="s">
        <v>666</v>
      </c>
      <c r="BJ88" s="72" t="s">
        <v>667</v>
      </c>
    </row>
    <row r="89" spans="2:63" x14ac:dyDescent="0.25">
      <c r="B89" s="73">
        <v>2</v>
      </c>
      <c r="C89" s="71">
        <v>3</v>
      </c>
      <c r="D89" s="71">
        <v>4</v>
      </c>
      <c r="E89" s="71">
        <v>5</v>
      </c>
      <c r="F89" s="74">
        <v>6</v>
      </c>
      <c r="I89" s="73">
        <v>2</v>
      </c>
      <c r="J89" s="71">
        <v>3</v>
      </c>
      <c r="K89" s="71">
        <v>4</v>
      </c>
      <c r="L89" s="71">
        <v>5</v>
      </c>
      <c r="M89" s="74">
        <v>6</v>
      </c>
      <c r="P89" s="73">
        <v>2</v>
      </c>
      <c r="Q89" s="71">
        <v>3</v>
      </c>
      <c r="R89" s="71">
        <v>4</v>
      </c>
      <c r="S89" s="71">
        <v>5</v>
      </c>
      <c r="T89" s="74">
        <v>6</v>
      </c>
      <c r="W89" s="73">
        <v>2</v>
      </c>
      <c r="X89" s="71">
        <v>3</v>
      </c>
      <c r="Y89" s="71">
        <v>4</v>
      </c>
      <c r="Z89" s="71">
        <v>5</v>
      </c>
      <c r="AA89" s="74">
        <v>6</v>
      </c>
      <c r="AD89" s="73">
        <v>2</v>
      </c>
      <c r="AE89" s="71">
        <v>3</v>
      </c>
      <c r="AF89" s="71">
        <v>4</v>
      </c>
      <c r="AG89" s="71">
        <v>5</v>
      </c>
      <c r="AH89" s="74">
        <v>6</v>
      </c>
      <c r="AK89" s="73">
        <v>2</v>
      </c>
      <c r="AL89" s="71">
        <v>3</v>
      </c>
      <c r="AM89" s="71">
        <v>4</v>
      </c>
      <c r="AN89" s="71">
        <v>5</v>
      </c>
      <c r="AO89" s="74">
        <v>6</v>
      </c>
      <c r="AR89" s="73">
        <v>2</v>
      </c>
      <c r="AS89" s="71">
        <v>3</v>
      </c>
      <c r="AT89" s="71">
        <v>4</v>
      </c>
      <c r="AU89" s="71">
        <v>5</v>
      </c>
      <c r="AV89" s="74">
        <v>6</v>
      </c>
      <c r="AY89" s="73">
        <v>2</v>
      </c>
      <c r="AZ89" s="71">
        <v>3</v>
      </c>
      <c r="BA89" s="71">
        <v>4</v>
      </c>
      <c r="BB89" s="71">
        <v>5</v>
      </c>
      <c r="BC89" s="74">
        <v>6</v>
      </c>
      <c r="BF89" s="73">
        <v>2</v>
      </c>
      <c r="BG89" s="71">
        <v>3</v>
      </c>
      <c r="BH89" s="71">
        <v>4</v>
      </c>
      <c r="BI89" s="71">
        <v>5</v>
      </c>
      <c r="BJ89" s="74">
        <v>6</v>
      </c>
    </row>
    <row r="90" spans="2:63" x14ac:dyDescent="0.25">
      <c r="B90" s="75" t="s">
        <v>659</v>
      </c>
      <c r="C90" s="58">
        <f>C50</f>
        <v>0.16774193548387095</v>
      </c>
      <c r="D90" s="58">
        <f>D50</f>
        <v>0.8</v>
      </c>
      <c r="E90" s="58">
        <f>E50</f>
        <v>3.2258064516129031E-2</v>
      </c>
      <c r="F90" s="59">
        <f>F50</f>
        <v>0</v>
      </c>
      <c r="I90" s="75" t="s">
        <v>659</v>
      </c>
      <c r="J90" s="58">
        <f>J50</f>
        <v>0.26666666666666666</v>
      </c>
      <c r="K90" s="58">
        <f>K50</f>
        <v>0.7</v>
      </c>
      <c r="L90" s="58">
        <f>L50</f>
        <v>3.3333333333333333E-2</v>
      </c>
      <c r="M90" s="59">
        <f>M50</f>
        <v>0</v>
      </c>
      <c r="P90" s="75" t="s">
        <v>659</v>
      </c>
      <c r="Q90" s="58">
        <f>Q50</f>
        <v>0.1</v>
      </c>
      <c r="R90" s="58">
        <f>R50</f>
        <v>0.85</v>
      </c>
      <c r="S90" s="58">
        <f>S50</f>
        <v>0.05</v>
      </c>
      <c r="T90" s="59">
        <f>T50</f>
        <v>0</v>
      </c>
      <c r="W90" s="75" t="s">
        <v>659</v>
      </c>
      <c r="X90" s="58">
        <f>X50</f>
        <v>0.2</v>
      </c>
      <c r="Y90" s="58">
        <f>Y50</f>
        <v>0.8</v>
      </c>
      <c r="Z90" s="58">
        <f>Z50</f>
        <v>0</v>
      </c>
      <c r="AA90" s="59">
        <f>AA50</f>
        <v>0</v>
      </c>
      <c r="AD90" s="75" t="s">
        <v>659</v>
      </c>
      <c r="AE90" s="58">
        <f>AE50</f>
        <v>0</v>
      </c>
      <c r="AF90" s="58">
        <f>AF50</f>
        <v>0.8</v>
      </c>
      <c r="AG90" s="58">
        <f>AG50</f>
        <v>0.2</v>
      </c>
      <c r="AH90" s="59">
        <f>AH50</f>
        <v>0</v>
      </c>
      <c r="AK90" s="75" t="s">
        <v>659</v>
      </c>
      <c r="AL90" s="58">
        <f>AL50</f>
        <v>0.13333333333333333</v>
      </c>
      <c r="AM90" s="58">
        <f>AM50</f>
        <v>0.83333333333333326</v>
      </c>
      <c r="AN90" s="58">
        <f>AN50</f>
        <v>3.3333333333333333E-2</v>
      </c>
      <c r="AO90" s="59">
        <f>AO50</f>
        <v>0</v>
      </c>
      <c r="AR90" s="75" t="s">
        <v>659</v>
      </c>
      <c r="AS90" s="58" t="e">
        <f>AS50</f>
        <v>#DIV/0!</v>
      </c>
      <c r="AT90" s="58" t="e">
        <f>AT50</f>
        <v>#DIV/0!</v>
      </c>
      <c r="AU90" s="58" t="e">
        <f>AU50</f>
        <v>#DIV/0!</v>
      </c>
      <c r="AV90" s="59" t="e">
        <f>AV50</f>
        <v>#DIV/0!</v>
      </c>
      <c r="AY90" s="75" t="s">
        <v>659</v>
      </c>
      <c r="AZ90" s="58">
        <f>AZ50</f>
        <v>0.25</v>
      </c>
      <c r="BA90" s="58">
        <f>BA50</f>
        <v>0.75</v>
      </c>
      <c r="BB90" s="58">
        <f>BB50</f>
        <v>0</v>
      </c>
      <c r="BC90" s="59">
        <f>BC50</f>
        <v>0</v>
      </c>
      <c r="BF90" s="75" t="s">
        <v>659</v>
      </c>
      <c r="BG90" s="58">
        <f>BG50</f>
        <v>0.1</v>
      </c>
      <c r="BH90" s="58">
        <f>BH50</f>
        <v>0.9</v>
      </c>
      <c r="BI90" s="58">
        <f>BI50</f>
        <v>0</v>
      </c>
      <c r="BJ90" s="59">
        <f>BJ50</f>
        <v>0</v>
      </c>
    </row>
    <row r="91" spans="2:63" x14ac:dyDescent="0.25">
      <c r="B91" s="75" t="s">
        <v>660</v>
      </c>
      <c r="C91" s="58">
        <f>C53</f>
        <v>0.20967741935483869</v>
      </c>
      <c r="D91" s="58">
        <f>D53</f>
        <v>0.79032258064516125</v>
      </c>
      <c r="E91" s="58">
        <f>E53</f>
        <v>0</v>
      </c>
      <c r="F91" s="59">
        <f>F53</f>
        <v>0</v>
      </c>
      <c r="I91" s="75" t="s">
        <v>660</v>
      </c>
      <c r="J91" s="58">
        <f>J53</f>
        <v>0.25</v>
      </c>
      <c r="K91" s="58">
        <f>K53</f>
        <v>0.75</v>
      </c>
      <c r="L91" s="58">
        <f>L53</f>
        <v>0</v>
      </c>
      <c r="M91" s="59">
        <f>M53</f>
        <v>0</v>
      </c>
      <c r="P91" s="75" t="s">
        <v>660</v>
      </c>
      <c r="Q91" s="58">
        <f>Q53</f>
        <v>0.1875</v>
      </c>
      <c r="R91" s="58">
        <f>R53</f>
        <v>0.8125</v>
      </c>
      <c r="S91" s="58">
        <f>S53</f>
        <v>0</v>
      </c>
      <c r="T91" s="59">
        <f>T53</f>
        <v>0</v>
      </c>
      <c r="W91" s="75" t="s">
        <v>660</v>
      </c>
      <c r="X91" s="58">
        <f>X53</f>
        <v>0.5</v>
      </c>
      <c r="Y91" s="58">
        <f>Y53</f>
        <v>0.5</v>
      </c>
      <c r="Z91" s="58">
        <f>Z53</f>
        <v>0</v>
      </c>
      <c r="AA91" s="59">
        <f>AA53</f>
        <v>0</v>
      </c>
      <c r="AD91" s="75" t="s">
        <v>660</v>
      </c>
      <c r="AE91" s="58">
        <f>AE53</f>
        <v>0</v>
      </c>
      <c r="AF91" s="58">
        <f>AF53</f>
        <v>1</v>
      </c>
      <c r="AG91" s="58">
        <f>AG53</f>
        <v>0</v>
      </c>
      <c r="AH91" s="59">
        <f>AH53</f>
        <v>0</v>
      </c>
      <c r="AK91" s="75" t="s">
        <v>660</v>
      </c>
      <c r="AL91" s="58">
        <f>AL53</f>
        <v>0.16666666666666666</v>
      </c>
      <c r="AM91" s="58">
        <f>AM53</f>
        <v>0.83333333333333326</v>
      </c>
      <c r="AN91" s="58">
        <f>AN53</f>
        <v>0</v>
      </c>
      <c r="AO91" s="59">
        <f>AO53</f>
        <v>0</v>
      </c>
      <c r="AR91" s="75" t="s">
        <v>660</v>
      </c>
      <c r="AS91" s="58" t="e">
        <f>AS53</f>
        <v>#DIV/0!</v>
      </c>
      <c r="AT91" s="58" t="e">
        <f>AT53</f>
        <v>#DIV/0!</v>
      </c>
      <c r="AU91" s="58" t="e">
        <f>AU53</f>
        <v>#DIV/0!</v>
      </c>
      <c r="AV91" s="59" t="e">
        <f>AV53</f>
        <v>#DIV/0!</v>
      </c>
      <c r="AY91" s="75" t="s">
        <v>660</v>
      </c>
      <c r="AZ91" s="58">
        <f>AZ53</f>
        <v>0</v>
      </c>
      <c r="BA91" s="58">
        <f>BA53</f>
        <v>1</v>
      </c>
      <c r="BB91" s="58">
        <f>BB53</f>
        <v>0</v>
      </c>
      <c r="BC91" s="59">
        <f>BC53</f>
        <v>0</v>
      </c>
      <c r="BF91" s="75" t="s">
        <v>660</v>
      </c>
      <c r="BG91" s="58">
        <f>BG53</f>
        <v>0.25</v>
      </c>
      <c r="BH91" s="58">
        <f>BH53</f>
        <v>0.75</v>
      </c>
      <c r="BI91" s="58">
        <f>BI53</f>
        <v>0</v>
      </c>
      <c r="BJ91" s="59">
        <f>BJ53</f>
        <v>0</v>
      </c>
    </row>
    <row r="92" spans="2:63" x14ac:dyDescent="0.25">
      <c r="B92" s="75" t="s">
        <v>661</v>
      </c>
      <c r="C92" s="58">
        <f>C56</f>
        <v>0</v>
      </c>
      <c r="D92" s="58">
        <f>D56</f>
        <v>0.56451612903225801</v>
      </c>
      <c r="E92" s="58">
        <f>E56</f>
        <v>0.43548387096774194</v>
      </c>
      <c r="F92" s="59">
        <f>F56</f>
        <v>0</v>
      </c>
      <c r="I92" s="75" t="s">
        <v>661</v>
      </c>
      <c r="J92" s="58">
        <f>J56</f>
        <v>0</v>
      </c>
      <c r="K92" s="58">
        <f>K56</f>
        <v>0.66666666666666663</v>
      </c>
      <c r="L92" s="58">
        <f>L56</f>
        <v>0.33333333333333331</v>
      </c>
      <c r="M92" s="59">
        <f>M56</f>
        <v>0</v>
      </c>
      <c r="P92" s="75" t="s">
        <v>661</v>
      </c>
      <c r="Q92" s="58">
        <f>Q56</f>
        <v>0</v>
      </c>
      <c r="R92" s="58">
        <f>R56</f>
        <v>0.4375</v>
      </c>
      <c r="S92" s="58">
        <f>S56</f>
        <v>0.5625</v>
      </c>
      <c r="T92" s="59">
        <f>T56</f>
        <v>0</v>
      </c>
      <c r="W92" s="75" t="s">
        <v>661</v>
      </c>
      <c r="X92" s="58">
        <f>X56</f>
        <v>0</v>
      </c>
      <c r="Y92" s="58">
        <f>Y56</f>
        <v>1</v>
      </c>
      <c r="Z92" s="58">
        <f>Z56</f>
        <v>0</v>
      </c>
      <c r="AA92" s="59">
        <f>AA56</f>
        <v>0</v>
      </c>
      <c r="AD92" s="75" t="s">
        <v>661</v>
      </c>
      <c r="AE92" s="58">
        <f>AE56</f>
        <v>0</v>
      </c>
      <c r="AF92" s="58">
        <f>AF56</f>
        <v>0</v>
      </c>
      <c r="AG92" s="58">
        <f>AG56</f>
        <v>1</v>
      </c>
      <c r="AH92" s="59">
        <f>AH56</f>
        <v>0</v>
      </c>
      <c r="AK92" s="75" t="s">
        <v>661</v>
      </c>
      <c r="AL92" s="58">
        <f>AL56</f>
        <v>0</v>
      </c>
      <c r="AM92" s="58">
        <f>AM56</f>
        <v>0.41666666666666663</v>
      </c>
      <c r="AN92" s="58">
        <f>AN56</f>
        <v>0.58333333333333326</v>
      </c>
      <c r="AO92" s="59">
        <f>AO56</f>
        <v>0</v>
      </c>
      <c r="AR92" s="75" t="s">
        <v>661</v>
      </c>
      <c r="AS92" s="58" t="e">
        <f>AS56</f>
        <v>#DIV/0!</v>
      </c>
      <c r="AT92" s="58" t="e">
        <f>AT56</f>
        <v>#DIV/0!</v>
      </c>
      <c r="AU92" s="58" t="e">
        <f>AU56</f>
        <v>#DIV/0!</v>
      </c>
      <c r="AV92" s="59" t="e">
        <f>AV56</f>
        <v>#DIV/0!</v>
      </c>
      <c r="AY92" s="75" t="s">
        <v>661</v>
      </c>
      <c r="AZ92" s="58">
        <f>AZ56</f>
        <v>0</v>
      </c>
      <c r="BA92" s="58">
        <f>BA56</f>
        <v>0.5</v>
      </c>
      <c r="BB92" s="58">
        <f>BB56</f>
        <v>0.5</v>
      </c>
      <c r="BC92" s="59">
        <f>BC56</f>
        <v>0</v>
      </c>
      <c r="BF92" s="75" t="s">
        <v>661</v>
      </c>
      <c r="BG92" s="58">
        <f>BG56</f>
        <v>0</v>
      </c>
      <c r="BH92" s="58">
        <f>BH56</f>
        <v>0.75</v>
      </c>
      <c r="BI92" s="58">
        <f>BI56</f>
        <v>0.25</v>
      </c>
      <c r="BJ92" s="59">
        <f>BJ56</f>
        <v>0</v>
      </c>
    </row>
    <row r="93" spans="2:63" x14ac:dyDescent="0.25">
      <c r="B93" s="75" t="s">
        <v>662</v>
      </c>
      <c r="C93" s="58">
        <f>C59</f>
        <v>0.41935483870967744</v>
      </c>
      <c r="D93" s="58">
        <f>D59</f>
        <v>0.58064516129032262</v>
      </c>
      <c r="E93" s="58">
        <f>E59</f>
        <v>0</v>
      </c>
      <c r="F93" s="59">
        <f>F59</f>
        <v>0</v>
      </c>
      <c r="I93" s="75" t="s">
        <v>662</v>
      </c>
      <c r="J93" s="58">
        <f>J59</f>
        <v>0.33333333333333331</v>
      </c>
      <c r="K93" s="58">
        <f>K59</f>
        <v>0.66666666666666663</v>
      </c>
      <c r="L93" s="58">
        <f>L59</f>
        <v>0</v>
      </c>
      <c r="M93" s="59">
        <f>M59</f>
        <v>0</v>
      </c>
      <c r="P93" s="75" t="s">
        <v>662</v>
      </c>
      <c r="Q93" s="58">
        <f>Q59</f>
        <v>0.5</v>
      </c>
      <c r="R93" s="58">
        <f>R59</f>
        <v>0.5</v>
      </c>
      <c r="S93" s="58">
        <f>S59</f>
        <v>0</v>
      </c>
      <c r="T93" s="59">
        <f>T59</f>
        <v>0</v>
      </c>
      <c r="W93" s="75" t="s">
        <v>662</v>
      </c>
      <c r="X93" s="58">
        <f>X59</f>
        <v>0</v>
      </c>
      <c r="Y93" s="58">
        <f>Y59</f>
        <v>1</v>
      </c>
      <c r="Z93" s="58">
        <f>Z59</f>
        <v>0</v>
      </c>
      <c r="AA93" s="59">
        <f>AA59</f>
        <v>0</v>
      </c>
      <c r="AD93" s="75" t="s">
        <v>662</v>
      </c>
      <c r="AE93" s="58">
        <f>AE59</f>
        <v>1</v>
      </c>
      <c r="AF93" s="58">
        <f>AF59</f>
        <v>0</v>
      </c>
      <c r="AG93" s="58">
        <f>AG59</f>
        <v>0</v>
      </c>
      <c r="AH93" s="59">
        <f>AH59</f>
        <v>0</v>
      </c>
      <c r="AK93" s="75" t="s">
        <v>662</v>
      </c>
      <c r="AL93" s="58">
        <f>AL59</f>
        <v>0.5</v>
      </c>
      <c r="AM93" s="58">
        <f>AM59</f>
        <v>0.5</v>
      </c>
      <c r="AN93" s="58">
        <f>AN59</f>
        <v>0</v>
      </c>
      <c r="AO93" s="59">
        <f>AO59</f>
        <v>0</v>
      </c>
      <c r="AR93" s="75" t="s">
        <v>662</v>
      </c>
      <c r="AS93" s="58" t="e">
        <f>AS59</f>
        <v>#DIV/0!</v>
      </c>
      <c r="AT93" s="58" t="e">
        <f>AT59</f>
        <v>#DIV/0!</v>
      </c>
      <c r="AU93" s="58" t="e">
        <f>AU59</f>
        <v>#DIV/0!</v>
      </c>
      <c r="AV93" s="59" t="e">
        <f>AV59</f>
        <v>#DIV/0!</v>
      </c>
      <c r="AY93" s="75" t="s">
        <v>662</v>
      </c>
      <c r="AZ93" s="58">
        <f>AZ59</f>
        <v>0.75</v>
      </c>
      <c r="BA93" s="58">
        <f>BA59</f>
        <v>0.25</v>
      </c>
      <c r="BB93" s="58">
        <f>BB59</f>
        <v>0</v>
      </c>
      <c r="BC93" s="59">
        <f>BC59</f>
        <v>0</v>
      </c>
      <c r="BF93" s="75" t="s">
        <v>662</v>
      </c>
      <c r="BG93" s="58">
        <f>BG59</f>
        <v>0</v>
      </c>
      <c r="BH93" s="58">
        <f>BH59</f>
        <v>1</v>
      </c>
      <c r="BI93" s="58">
        <f>BI59</f>
        <v>0</v>
      </c>
      <c r="BJ93" s="59">
        <f>BJ59</f>
        <v>0</v>
      </c>
    </row>
    <row r="94" spans="2:63" x14ac:dyDescent="0.25">
      <c r="B94" s="75" t="s">
        <v>663</v>
      </c>
      <c r="C94" s="58">
        <f>C63</f>
        <v>0.19354838709677422</v>
      </c>
      <c r="D94" s="58">
        <f>D63</f>
        <v>0.80645161290322587</v>
      </c>
      <c r="E94" s="58">
        <f>E63</f>
        <v>0</v>
      </c>
      <c r="F94" s="59">
        <f>F63</f>
        <v>0</v>
      </c>
      <c r="I94" s="75" t="s">
        <v>663</v>
      </c>
      <c r="J94" s="58">
        <f>J63</f>
        <v>0.22222222222222221</v>
      </c>
      <c r="K94" s="58">
        <f>K63</f>
        <v>0.77777777777777779</v>
      </c>
      <c r="L94" s="58">
        <f>L63</f>
        <v>0</v>
      </c>
      <c r="M94" s="59">
        <f>M63</f>
        <v>0</v>
      </c>
      <c r="P94" s="75" t="s">
        <v>663</v>
      </c>
      <c r="Q94" s="58">
        <f>Q63</f>
        <v>0.16666666666666666</v>
      </c>
      <c r="R94" s="58">
        <f>R63</f>
        <v>0.83333333333333337</v>
      </c>
      <c r="S94" s="58">
        <f>S63</f>
        <v>0</v>
      </c>
      <c r="T94" s="59">
        <f>T63</f>
        <v>0</v>
      </c>
      <c r="W94" s="75" t="s">
        <v>663</v>
      </c>
      <c r="X94" s="58">
        <f>X63</f>
        <v>0</v>
      </c>
      <c r="Y94" s="58">
        <f>Y63</f>
        <v>1</v>
      </c>
      <c r="Z94" s="58">
        <f>Z63</f>
        <v>0</v>
      </c>
      <c r="AA94" s="59">
        <f>AA63</f>
        <v>0</v>
      </c>
      <c r="AD94" s="75" t="s">
        <v>663</v>
      </c>
      <c r="AE94" s="58">
        <f>AE63</f>
        <v>0</v>
      </c>
      <c r="AF94" s="58">
        <f>AF63</f>
        <v>1</v>
      </c>
      <c r="AG94" s="58">
        <f>AG63</f>
        <v>0</v>
      </c>
      <c r="AH94" s="59">
        <f>AH63</f>
        <v>0</v>
      </c>
      <c r="AK94" s="75" t="s">
        <v>663</v>
      </c>
      <c r="AL94" s="58">
        <f>AL63</f>
        <v>0.22222222222222221</v>
      </c>
      <c r="AM94" s="58">
        <f>AM63</f>
        <v>0.77777777777777768</v>
      </c>
      <c r="AN94" s="58">
        <f>AN63</f>
        <v>0</v>
      </c>
      <c r="AO94" s="59">
        <f>AO63</f>
        <v>0</v>
      </c>
      <c r="AR94" s="75" t="s">
        <v>663</v>
      </c>
      <c r="AS94" s="58" t="e">
        <f>AS63</f>
        <v>#DIV/0!</v>
      </c>
      <c r="AT94" s="58" t="e">
        <f>AT63</f>
        <v>#DIV/0!</v>
      </c>
      <c r="AU94" s="58" t="e">
        <f>AU63</f>
        <v>#DIV/0!</v>
      </c>
      <c r="AV94" s="59" t="e">
        <f>AV63</f>
        <v>#DIV/0!</v>
      </c>
      <c r="AY94" s="75" t="s">
        <v>663</v>
      </c>
      <c r="AZ94" s="58">
        <f>AZ63</f>
        <v>0.5</v>
      </c>
      <c r="BA94" s="58">
        <f>BA63</f>
        <v>0.5</v>
      </c>
      <c r="BB94" s="58">
        <f>BB63</f>
        <v>0</v>
      </c>
      <c r="BC94" s="59">
        <f>BC63</f>
        <v>0</v>
      </c>
      <c r="BF94" s="75" t="s">
        <v>663</v>
      </c>
      <c r="BG94" s="58">
        <f>BG63</f>
        <v>0</v>
      </c>
      <c r="BH94" s="58">
        <f>BH63</f>
        <v>1</v>
      </c>
      <c r="BI94" s="58">
        <f>BI63</f>
        <v>0</v>
      </c>
      <c r="BJ94" s="59">
        <f>BJ63</f>
        <v>0</v>
      </c>
    </row>
    <row r="95" spans="2:63" x14ac:dyDescent="0.25">
      <c r="B95" s="75" t="s">
        <v>617</v>
      </c>
      <c r="C95" s="58">
        <f>C66</f>
        <v>0.12903225806451613</v>
      </c>
      <c r="D95" s="58">
        <f>D66</f>
        <v>0.87096774193548387</v>
      </c>
      <c r="E95" s="58">
        <f>E66</f>
        <v>0</v>
      </c>
      <c r="F95" s="59">
        <f>F66</f>
        <v>0</v>
      </c>
      <c r="I95" s="75" t="s">
        <v>617</v>
      </c>
      <c r="J95" s="58">
        <f>J66</f>
        <v>0.16666666666666666</v>
      </c>
      <c r="K95" s="58">
        <f>K66</f>
        <v>0.83333333333333326</v>
      </c>
      <c r="L95" s="58">
        <f>L66</f>
        <v>0</v>
      </c>
      <c r="M95" s="59">
        <f>M66</f>
        <v>0</v>
      </c>
      <c r="P95" s="75" t="s">
        <v>617</v>
      </c>
      <c r="Q95" s="58">
        <f>Q66</f>
        <v>0.1875</v>
      </c>
      <c r="R95" s="58">
        <f>R66</f>
        <v>0.8125</v>
      </c>
      <c r="S95" s="58">
        <f>S66</f>
        <v>0</v>
      </c>
      <c r="T95" s="59">
        <f>T66</f>
        <v>0</v>
      </c>
      <c r="W95" s="75" t="s">
        <v>617</v>
      </c>
      <c r="X95" s="58">
        <f>X66</f>
        <v>0</v>
      </c>
      <c r="Y95" s="58">
        <f>Y66</f>
        <v>1</v>
      </c>
      <c r="Z95" s="58">
        <f>Z66</f>
        <v>0</v>
      </c>
      <c r="AA95" s="59">
        <f>AA66</f>
        <v>0</v>
      </c>
      <c r="AD95" s="75" t="s">
        <v>617</v>
      </c>
      <c r="AE95" s="58">
        <f>AE66</f>
        <v>0</v>
      </c>
      <c r="AF95" s="58">
        <f>AF66</f>
        <v>1</v>
      </c>
      <c r="AG95" s="58">
        <f>AG66</f>
        <v>0</v>
      </c>
      <c r="AH95" s="59">
        <f>AH66</f>
        <v>0</v>
      </c>
      <c r="AK95" s="75" t="s">
        <v>617</v>
      </c>
      <c r="AL95" s="58">
        <f>AL66</f>
        <v>0.16666666666666666</v>
      </c>
      <c r="AM95" s="58">
        <f>AM66</f>
        <v>0.83333333333333326</v>
      </c>
      <c r="AN95" s="58">
        <f>AN66</f>
        <v>0</v>
      </c>
      <c r="AO95" s="59">
        <f>AO66</f>
        <v>0</v>
      </c>
      <c r="AR95" s="75" t="s">
        <v>617</v>
      </c>
      <c r="AS95" s="58" t="e">
        <f>AS66</f>
        <v>#DIV/0!</v>
      </c>
      <c r="AT95" s="58" t="e">
        <f>AT66</f>
        <v>#DIV/0!</v>
      </c>
      <c r="AU95" s="58" t="e">
        <f>AU66</f>
        <v>#DIV/0!</v>
      </c>
      <c r="AV95" s="59" t="e">
        <f>AV66</f>
        <v>#DIV/0!</v>
      </c>
      <c r="AY95" s="75" t="s">
        <v>617</v>
      </c>
      <c r="AZ95" s="58">
        <f>AZ66</f>
        <v>0</v>
      </c>
      <c r="BA95" s="58">
        <f>BA66</f>
        <v>1</v>
      </c>
      <c r="BB95" s="58">
        <f>BB66</f>
        <v>0</v>
      </c>
      <c r="BC95" s="59">
        <f>BC66</f>
        <v>0</v>
      </c>
      <c r="BF95" s="75" t="s">
        <v>617</v>
      </c>
      <c r="BG95" s="58">
        <f>BG66</f>
        <v>0.25</v>
      </c>
      <c r="BH95" s="58">
        <f>BH66</f>
        <v>0.75</v>
      </c>
      <c r="BI95" s="58">
        <f>BI66</f>
        <v>0</v>
      </c>
      <c r="BJ95" s="59">
        <f>BJ66</f>
        <v>0</v>
      </c>
    </row>
    <row r="96" spans="2:63" ht="15.75" thickBot="1" x14ac:dyDescent="0.3">
      <c r="B96" s="75" t="s">
        <v>330</v>
      </c>
      <c r="C96" s="58">
        <f>C71</f>
        <v>0.10483870967741934</v>
      </c>
      <c r="D96" s="58">
        <f>D71</f>
        <v>0.81451612903225812</v>
      </c>
      <c r="E96" s="58">
        <f>E71</f>
        <v>8.0645161290322578E-2</v>
      </c>
      <c r="F96" s="59">
        <f>F71</f>
        <v>0</v>
      </c>
      <c r="I96" s="75" t="s">
        <v>330</v>
      </c>
      <c r="J96" s="58">
        <f>J71</f>
        <v>0.16666666666666666</v>
      </c>
      <c r="K96" s="58">
        <f>K71</f>
        <v>0.75000000000000011</v>
      </c>
      <c r="L96" s="58">
        <f>L71</f>
        <v>8.3333333333333329E-2</v>
      </c>
      <c r="M96" s="59">
        <f>M71</f>
        <v>0</v>
      </c>
      <c r="P96" s="75" t="s">
        <v>330</v>
      </c>
      <c r="Q96" s="58">
        <f>Q71</f>
        <v>0.125</v>
      </c>
      <c r="R96" s="58">
        <f>R71</f>
        <v>0.75</v>
      </c>
      <c r="S96" s="58">
        <f>S71</f>
        <v>0.125</v>
      </c>
      <c r="T96" s="59">
        <f>T71</f>
        <v>0</v>
      </c>
      <c r="W96" s="75" t="s">
        <v>330</v>
      </c>
      <c r="X96" s="58">
        <f>X71</f>
        <v>0</v>
      </c>
      <c r="Y96" s="58">
        <f>Y71</f>
        <v>1</v>
      </c>
      <c r="Z96" s="58">
        <f>Z71</f>
        <v>0</v>
      </c>
      <c r="AA96" s="59">
        <f>AA71</f>
        <v>0</v>
      </c>
      <c r="AD96" s="75" t="s">
        <v>330</v>
      </c>
      <c r="AE96" s="58">
        <f>AE71</f>
        <v>0</v>
      </c>
      <c r="AF96" s="58">
        <f>AF71</f>
        <v>0.5</v>
      </c>
      <c r="AG96" s="58">
        <f>AG71</f>
        <v>0.5</v>
      </c>
      <c r="AH96" s="59">
        <f>AH71</f>
        <v>0</v>
      </c>
      <c r="AK96" s="75" t="s">
        <v>330</v>
      </c>
      <c r="AL96" s="58">
        <f>AL71</f>
        <v>0.25</v>
      </c>
      <c r="AM96" s="58">
        <f>AM71</f>
        <v>0.66666666666666663</v>
      </c>
      <c r="AN96" s="58">
        <f>AN71</f>
        <v>8.3333333333333329E-2</v>
      </c>
      <c r="AO96" s="59">
        <f>AO71</f>
        <v>0</v>
      </c>
      <c r="AR96" s="75" t="s">
        <v>330</v>
      </c>
      <c r="AS96" s="58" t="e">
        <f>AS71</f>
        <v>#DIV/0!</v>
      </c>
      <c r="AT96" s="58" t="e">
        <f>AT71</f>
        <v>#DIV/0!</v>
      </c>
      <c r="AU96" s="58" t="e">
        <f>AU71</f>
        <v>#DIV/0!</v>
      </c>
      <c r="AV96" s="59" t="e">
        <f>AV71</f>
        <v>#DIV/0!</v>
      </c>
      <c r="AY96" s="75" t="s">
        <v>330</v>
      </c>
      <c r="AZ96" s="58">
        <f>AZ71</f>
        <v>0.25</v>
      </c>
      <c r="BA96" s="58">
        <f>BA71</f>
        <v>0.75</v>
      </c>
      <c r="BB96" s="58">
        <f>BB71</f>
        <v>0</v>
      </c>
      <c r="BC96" s="59">
        <f>BC71</f>
        <v>0</v>
      </c>
      <c r="BF96" s="75" t="s">
        <v>330</v>
      </c>
      <c r="BG96" s="58">
        <f>BG71</f>
        <v>0.125</v>
      </c>
      <c r="BH96" s="58">
        <f>BH71</f>
        <v>0.875</v>
      </c>
      <c r="BI96" s="58">
        <f>BI71</f>
        <v>0</v>
      </c>
      <c r="BJ96" s="59">
        <f>BJ71</f>
        <v>0</v>
      </c>
    </row>
    <row r="97" spans="2:62" x14ac:dyDescent="0.25">
      <c r="B97" s="79" t="s">
        <v>669</v>
      </c>
      <c r="C97" s="81">
        <f>SUM(C90:C96)</f>
        <v>1.2241935483870967</v>
      </c>
      <c r="D97" s="81">
        <f>SUM(D90:D96)</f>
        <v>5.2274193548387098</v>
      </c>
      <c r="E97" s="81">
        <f>SUM(E90:E96)</f>
        <v>0.54838709677419362</v>
      </c>
      <c r="F97" s="84">
        <f>SUM(F90:F96)</f>
        <v>0</v>
      </c>
      <c r="I97" s="79" t="s">
        <v>669</v>
      </c>
      <c r="J97" s="81">
        <f>SUM(J90:J96)</f>
        <v>1.4055555555555554</v>
      </c>
      <c r="K97" s="81">
        <f>SUM(K90:K96)</f>
        <v>5.1444444444444439</v>
      </c>
      <c r="L97" s="81">
        <f>SUM(L90:L96)</f>
        <v>0.44999999999999996</v>
      </c>
      <c r="M97" s="84">
        <f>SUM(M90:M96)</f>
        <v>0</v>
      </c>
      <c r="P97" s="79" t="s">
        <v>669</v>
      </c>
      <c r="Q97" s="81">
        <f>SUM(Q90:Q96)</f>
        <v>1.2666666666666666</v>
      </c>
      <c r="R97" s="81">
        <f>SUM(R90:R96)</f>
        <v>4.9958333333333336</v>
      </c>
      <c r="S97" s="81">
        <f>SUM(S90:S96)</f>
        <v>0.73750000000000004</v>
      </c>
      <c r="T97" s="84">
        <f>SUM(T90:T96)</f>
        <v>0</v>
      </c>
      <c r="W97" s="79" t="s">
        <v>669</v>
      </c>
      <c r="X97" s="81">
        <f>SUM(X90:X96)</f>
        <v>0.7</v>
      </c>
      <c r="Y97" s="81">
        <f>SUM(Y90:Y96)</f>
        <v>6.3</v>
      </c>
      <c r="Z97" s="81">
        <f>SUM(Z90:Z96)</f>
        <v>0</v>
      </c>
      <c r="AA97" s="84">
        <f>SUM(AA90:AA96)</f>
        <v>0</v>
      </c>
      <c r="AD97" s="79" t="s">
        <v>669</v>
      </c>
      <c r="AE97" s="81">
        <f>SUM(AE90:AE96)</f>
        <v>1</v>
      </c>
      <c r="AF97" s="81">
        <f>SUM(AF90:AF96)</f>
        <v>4.3</v>
      </c>
      <c r="AG97" s="81">
        <f>SUM(AG90:AG96)</f>
        <v>1.7</v>
      </c>
      <c r="AH97" s="84">
        <f>SUM(AH90:AH96)</f>
        <v>0</v>
      </c>
      <c r="AK97" s="79" t="s">
        <v>669</v>
      </c>
      <c r="AL97" s="81">
        <f>SUM(AL90:AL96)</f>
        <v>1.4388888888888889</v>
      </c>
      <c r="AM97" s="81">
        <f>SUM(AM90:AM96)</f>
        <v>4.8611111111111107</v>
      </c>
      <c r="AN97" s="81">
        <f>SUM(AN90:AN96)</f>
        <v>0.7</v>
      </c>
      <c r="AO97" s="84">
        <f>SUM(AO90:AO96)</f>
        <v>0</v>
      </c>
      <c r="AR97" s="79" t="s">
        <v>669</v>
      </c>
      <c r="AS97" s="81" t="e">
        <f>SUM(AS90:AS96)</f>
        <v>#DIV/0!</v>
      </c>
      <c r="AT97" s="81" t="e">
        <f>SUM(AT90:AT96)</f>
        <v>#DIV/0!</v>
      </c>
      <c r="AU97" s="81" t="e">
        <f>SUM(AU90:AU96)</f>
        <v>#DIV/0!</v>
      </c>
      <c r="AV97" s="84" t="e">
        <f>SUM(AV90:AV96)</f>
        <v>#DIV/0!</v>
      </c>
      <c r="AY97" s="79" t="s">
        <v>669</v>
      </c>
      <c r="AZ97" s="81">
        <f>SUM(AZ90:AZ96)</f>
        <v>1.75</v>
      </c>
      <c r="BA97" s="81">
        <f>SUM(BA90:BA96)</f>
        <v>4.75</v>
      </c>
      <c r="BB97" s="81">
        <f>SUM(BB90:BB96)</f>
        <v>0.5</v>
      </c>
      <c r="BC97" s="84">
        <f>SUM(BC90:BC96)</f>
        <v>0</v>
      </c>
      <c r="BF97" s="79" t="s">
        <v>669</v>
      </c>
      <c r="BG97" s="81">
        <f>SUM(BG90:BG96)</f>
        <v>0.72499999999999998</v>
      </c>
      <c r="BH97" s="81">
        <f>SUM(BH90:BH96)</f>
        <v>6.0250000000000004</v>
      </c>
      <c r="BI97" s="81">
        <f>SUM(BI90:BI96)</f>
        <v>0.25</v>
      </c>
      <c r="BJ97" s="84">
        <f>SUM(BJ90:BJ96)</f>
        <v>0</v>
      </c>
    </row>
    <row r="98" spans="2:62" ht="15.75" thickBot="1" x14ac:dyDescent="0.3">
      <c r="B98" s="80" t="s">
        <v>670</v>
      </c>
      <c r="C98" s="82">
        <f>AVERAGE(C90:C96)</f>
        <v>0.1748847926267281</v>
      </c>
      <c r="D98" s="82">
        <f>AVERAGE(D90:D96)</f>
        <v>0.74677419354838714</v>
      </c>
      <c r="E98" s="82">
        <f>AVERAGE(E90:E96)</f>
        <v>7.83410138248848E-2</v>
      </c>
      <c r="F98" s="85">
        <f>AVERAGE(F90:F96)</f>
        <v>0</v>
      </c>
      <c r="I98" s="80" t="s">
        <v>670</v>
      </c>
      <c r="J98" s="82">
        <f>AVERAGE(J90:J96)</f>
        <v>0.20079365079365077</v>
      </c>
      <c r="K98" s="82">
        <f>AVERAGE(K90:K96)</f>
        <v>0.73492063492063486</v>
      </c>
      <c r="L98" s="82">
        <f>AVERAGE(L90:L96)</f>
        <v>6.4285714285714279E-2</v>
      </c>
      <c r="M98" s="85">
        <f>AVERAGE(M90:M96)</f>
        <v>0</v>
      </c>
      <c r="P98" s="80" t="s">
        <v>670</v>
      </c>
      <c r="Q98" s="82">
        <f>AVERAGE(Q90:Q96)</f>
        <v>0.18095238095238095</v>
      </c>
      <c r="R98" s="82">
        <f>AVERAGE(R90:R96)</f>
        <v>0.71369047619047621</v>
      </c>
      <c r="S98" s="82">
        <f>AVERAGE(S90:S96)</f>
        <v>0.10535714285714286</v>
      </c>
      <c r="T98" s="85">
        <f>AVERAGE(T90:T96)</f>
        <v>0</v>
      </c>
      <c r="W98" s="80" t="s">
        <v>670</v>
      </c>
      <c r="X98" s="82">
        <f>AVERAGE(X90:X96)</f>
        <v>9.9999999999999992E-2</v>
      </c>
      <c r="Y98" s="82">
        <f>AVERAGE(Y90:Y96)</f>
        <v>0.9</v>
      </c>
      <c r="Z98" s="82">
        <f>AVERAGE(Z90:Z96)</f>
        <v>0</v>
      </c>
      <c r="AA98" s="85">
        <f>AVERAGE(AA90:AA96)</f>
        <v>0</v>
      </c>
      <c r="AD98" s="80" t="s">
        <v>670</v>
      </c>
      <c r="AE98" s="82">
        <f>AVERAGE(AE90:AE96)</f>
        <v>0.14285714285714285</v>
      </c>
      <c r="AF98" s="82">
        <f>AVERAGE(AF90:AF96)</f>
        <v>0.61428571428571421</v>
      </c>
      <c r="AG98" s="82">
        <f>AVERAGE(AG90:AG96)</f>
        <v>0.24285714285714285</v>
      </c>
      <c r="AH98" s="85">
        <f>AVERAGE(AH90:AH96)</f>
        <v>0</v>
      </c>
      <c r="AK98" s="80" t="s">
        <v>670</v>
      </c>
      <c r="AL98" s="82">
        <f>AVERAGE(AL90:AL96)</f>
        <v>0.20555555555555555</v>
      </c>
      <c r="AM98" s="82">
        <f>AVERAGE(AM90:AM96)</f>
        <v>0.69444444444444442</v>
      </c>
      <c r="AN98" s="82">
        <f>AVERAGE(AN90:AN96)</f>
        <v>9.9999999999999992E-2</v>
      </c>
      <c r="AO98" s="85">
        <f>AVERAGE(AO90:AO96)</f>
        <v>0</v>
      </c>
      <c r="AR98" s="80" t="s">
        <v>670</v>
      </c>
      <c r="AS98" s="82" t="e">
        <f>AVERAGE(AS90:AS96)</f>
        <v>#DIV/0!</v>
      </c>
      <c r="AT98" s="82" t="e">
        <f>AVERAGE(AT90:AT96)</f>
        <v>#DIV/0!</v>
      </c>
      <c r="AU98" s="82" t="e">
        <f>AVERAGE(AU90:AU96)</f>
        <v>#DIV/0!</v>
      </c>
      <c r="AV98" s="85" t="e">
        <f>AVERAGE(AV90:AV96)</f>
        <v>#DIV/0!</v>
      </c>
      <c r="AY98" s="80" t="s">
        <v>670</v>
      </c>
      <c r="AZ98" s="82">
        <f>AVERAGE(AZ90:AZ96)</f>
        <v>0.25</v>
      </c>
      <c r="BA98" s="82">
        <f>AVERAGE(BA90:BA96)</f>
        <v>0.6785714285714286</v>
      </c>
      <c r="BB98" s="82">
        <f>AVERAGE(BB90:BB96)</f>
        <v>7.1428571428571425E-2</v>
      </c>
      <c r="BC98" s="85">
        <f>AVERAGE(BC90:BC96)</f>
        <v>0</v>
      </c>
      <c r="BF98" s="80" t="s">
        <v>670</v>
      </c>
      <c r="BG98" s="82">
        <f>AVERAGE(BG90:BG96)</f>
        <v>0.10357142857142856</v>
      </c>
      <c r="BH98" s="82">
        <f>AVERAGE(BH90:BH96)</f>
        <v>0.86071428571428577</v>
      </c>
      <c r="BI98" s="82">
        <f>AVERAGE(BI90:BI96)</f>
        <v>3.5714285714285712E-2</v>
      </c>
      <c r="BJ98" s="85">
        <f>AVERAGE(BJ90:BJ96)</f>
        <v>0</v>
      </c>
    </row>
    <row r="100" spans="2:62" ht="23.25" x14ac:dyDescent="0.35">
      <c r="B100" s="63" t="s">
        <v>674</v>
      </c>
    </row>
    <row r="101" spans="2:62" ht="15.75" thickBot="1" x14ac:dyDescent="0.3"/>
    <row r="102" spans="2:62" ht="17.25" thickBot="1" x14ac:dyDescent="0.3">
      <c r="B102" s="64" t="s">
        <v>66</v>
      </c>
      <c r="C102" s="86" t="s">
        <v>141</v>
      </c>
    </row>
    <row r="103" spans="2:62" ht="17.25" thickBot="1" x14ac:dyDescent="0.3">
      <c r="B103" s="64" t="s">
        <v>647</v>
      </c>
      <c r="C103" s="65">
        <v>2019</v>
      </c>
    </row>
    <row r="104" spans="2:62" ht="17.25" thickBot="1" x14ac:dyDescent="0.3">
      <c r="B104" s="64" t="s">
        <v>646</v>
      </c>
      <c r="C104" s="65">
        <f>COUNTIFS(TblUniv2019[th lulus],C103,TblUniv2019[Program Pendidikan],C102)</f>
        <v>21</v>
      </c>
    </row>
    <row r="105" spans="2:62" ht="16.5" x14ac:dyDescent="0.3">
      <c r="B105" s="55"/>
      <c r="C105" s="56" t="s">
        <v>69</v>
      </c>
      <c r="D105" s="56" t="s">
        <v>1</v>
      </c>
      <c r="E105" s="56" t="s">
        <v>75</v>
      </c>
      <c r="F105" s="56" t="s">
        <v>168</v>
      </c>
      <c r="G105" s="56"/>
    </row>
    <row r="106" spans="2:62" ht="16.5" x14ac:dyDescent="0.3">
      <c r="B106" s="57" t="s">
        <v>26</v>
      </c>
      <c r="C106" s="66">
        <f>COUNTIFS(TblUniv2019[B1],C$44,TblUniv2019[Program Pendidikan],$C$102)/$C$104*100%</f>
        <v>9.5238095238095233E-2</v>
      </c>
      <c r="D106" s="66">
        <f>COUNTIFS(TblUniv2019[B1],D$44,TblUniv2019[Program Pendidikan],$C$102)/$C$104*100%</f>
        <v>0.90476190476190477</v>
      </c>
      <c r="E106" s="66">
        <f>COUNTIFS(TblUniv2019[B1],E$44,TblUniv2019[Program Pendidikan],$C$102)/$C$104*100%</f>
        <v>0</v>
      </c>
      <c r="F106" s="66">
        <f>COUNTIFS(TblUniv2019[B1],F$44,TblUniv2019[Program Pendidikan],$C$102)/$C$104*100%</f>
        <v>0</v>
      </c>
      <c r="G106" s="62">
        <f t="shared" ref="G106:G143" si="9">SUM(C106:F106)</f>
        <v>1</v>
      </c>
    </row>
    <row r="107" spans="2:62" ht="16.5" x14ac:dyDescent="0.3">
      <c r="B107" s="57" t="s">
        <v>27</v>
      </c>
      <c r="C107" s="66">
        <f>COUNTIFS(TblUniv2019[B2],C$44,TblUniv2019[Program Pendidikan],$C$102)/$C$104*100%</f>
        <v>0.33333333333333331</v>
      </c>
      <c r="D107" s="66">
        <f>COUNTIFS(TblUniv2019[B2],D$44,TblUniv2019[Program Pendidikan],$C$102)/$C$104*100%</f>
        <v>0.66666666666666663</v>
      </c>
      <c r="E107" s="66">
        <f>COUNTIFS(TblUniv2019[B2],E$44,TblUniv2019[Program Pendidikan],$C$102)/$C$104*100%</f>
        <v>0</v>
      </c>
      <c r="F107" s="66">
        <f>COUNTIFS(TblUniv2019[B2],F$44,TblUniv2019[Program Pendidikan],$C$102)/$C$104*100%</f>
        <v>0</v>
      </c>
      <c r="G107" s="62">
        <f t="shared" si="9"/>
        <v>1</v>
      </c>
    </row>
    <row r="108" spans="2:62" ht="16.5" x14ac:dyDescent="0.3">
      <c r="B108" s="57" t="s">
        <v>28</v>
      </c>
      <c r="C108" s="66">
        <f>COUNTIFS(TblUniv2019[B3],C$44,TblUniv2019[Program Pendidikan],$C$102)/$C$104*100%</f>
        <v>4.7619047619047616E-2</v>
      </c>
      <c r="D108" s="66">
        <f>COUNTIFS(TblUniv2019[B3],D$44,TblUniv2019[Program Pendidikan],$C$102)/$C$104*100%</f>
        <v>0.76190476190476186</v>
      </c>
      <c r="E108" s="66">
        <f>COUNTIFS(TblUniv2019[B3],E$44,TblUniv2019[Program Pendidikan],$C$102)/$C$104*100%</f>
        <v>0.19047619047619047</v>
      </c>
      <c r="F108" s="66">
        <f>COUNTIFS(TblUniv2019[B3],F$44,TblUniv2019[Program Pendidikan],$C$102)/$C$104*100%</f>
        <v>0</v>
      </c>
      <c r="G108" s="62">
        <f t="shared" si="9"/>
        <v>1</v>
      </c>
    </row>
    <row r="109" spans="2:62" ht="16.5" x14ac:dyDescent="0.3">
      <c r="B109" s="57" t="s">
        <v>29</v>
      </c>
      <c r="C109" s="66">
        <f>COUNTIFS(TblUniv2019[B4],C$44,TblUniv2019[Program Pendidikan],$C$102)/$C$104*100%</f>
        <v>0.2857142857142857</v>
      </c>
      <c r="D109" s="66">
        <f>COUNTIFS(TblUniv2019[B4],D$44,TblUniv2019[Program Pendidikan],$C$102)/$C$104*100%</f>
        <v>0.7142857142857143</v>
      </c>
      <c r="E109" s="66">
        <f>COUNTIFS(TblUniv2019[B4],E$44,TblUniv2019[Program Pendidikan],$C$102)/$C$104*100%</f>
        <v>0</v>
      </c>
      <c r="F109" s="66">
        <f>COUNTIFS(TblUniv2019[B4],F$44,TblUniv2019[Program Pendidikan],$C$102)/$C$104*100%</f>
        <v>0</v>
      </c>
      <c r="G109" s="62">
        <f t="shared" si="9"/>
        <v>1</v>
      </c>
    </row>
    <row r="110" spans="2:62" ht="16.5" x14ac:dyDescent="0.3">
      <c r="B110" s="57" t="s">
        <v>30</v>
      </c>
      <c r="C110" s="66">
        <f>COUNTIFS(TblUniv2019[B5],C$44,TblUniv2019[Program Pendidikan],$C$102)/$C$104*100%</f>
        <v>9.5238095238095233E-2</v>
      </c>
      <c r="D110" s="66">
        <f>COUNTIFS(TblUniv2019[B5],D$44,TblUniv2019[Program Pendidikan],$C$102)/$C$104*100%</f>
        <v>0.90476190476190477</v>
      </c>
      <c r="E110" s="66">
        <f>COUNTIFS(TblUniv2019[B5],E$44,TblUniv2019[Program Pendidikan],$C$102)/$C$104*100%</f>
        <v>0</v>
      </c>
      <c r="F110" s="66">
        <f>COUNTIFS(TblUniv2019[B5],F$44,TblUniv2019[Program Pendidikan],$C$102)/$C$104*100%</f>
        <v>0</v>
      </c>
      <c r="G110" s="62">
        <f t="shared" si="9"/>
        <v>1</v>
      </c>
    </row>
    <row r="111" spans="2:62" ht="16.5" x14ac:dyDescent="0.3">
      <c r="B111" s="60"/>
      <c r="C111" s="61">
        <f>AVERAGE(C106:C110)</f>
        <v>0.17142857142857143</v>
      </c>
      <c r="D111" s="61">
        <f>AVERAGE(D106:D110)</f>
        <v>0.79047619047619044</v>
      </c>
      <c r="E111" s="61">
        <f>AVERAGE(E106:E110)</f>
        <v>3.8095238095238092E-2</v>
      </c>
      <c r="F111" s="61">
        <f>AVERAGE(F106:F110)</f>
        <v>0</v>
      </c>
      <c r="G111" s="62">
        <f t="shared" si="9"/>
        <v>0.99999999999999989</v>
      </c>
    </row>
    <row r="112" spans="2:62" ht="16.5" x14ac:dyDescent="0.3">
      <c r="B112" s="57" t="s">
        <v>31</v>
      </c>
      <c r="C112" s="66">
        <f>COUNTIFS(TblUniv2019[C1],C$44,TblUniv2019[Program Pendidikan],$C$102)/$C$104*100%</f>
        <v>0.2857142857142857</v>
      </c>
      <c r="D112" s="66">
        <f>COUNTIFS(TblUniv2019[C1],D$44,TblUniv2019[Program Pendidikan],$C$102)/$C$104*100%</f>
        <v>0.7142857142857143</v>
      </c>
      <c r="E112" s="66">
        <f>COUNTIFS(TblUniv2019[C1],E$44,TblUniv2019[Program Pendidikan],$C$102)/$C$104*100%</f>
        <v>0</v>
      </c>
      <c r="F112" s="66">
        <f>COUNTIFS(TblUniv2019[C1],F$44,TblUniv2019[Program Pendidikan],$C$102)/$C$104*100%</f>
        <v>0</v>
      </c>
      <c r="G112" s="62">
        <f t="shared" si="9"/>
        <v>1</v>
      </c>
    </row>
    <row r="113" spans="2:7" ht="16.5" x14ac:dyDescent="0.3">
      <c r="B113" s="57" t="s">
        <v>32</v>
      </c>
      <c r="C113" s="66">
        <f>COUNTIFS(TblUniv2019[C2],C$44,TblUniv2019[Program Pendidikan],$C$102)/$C$104*100%</f>
        <v>4.7619047619047616E-2</v>
      </c>
      <c r="D113" s="66">
        <f>COUNTIFS(TblUniv2019[C2],D$44,TblUniv2019[Program Pendidikan],$C$102)/$C$104*100%</f>
        <v>0.95238095238095233</v>
      </c>
      <c r="E113" s="66">
        <f>COUNTIFS(TblUniv2019[C2],E$44,TblUniv2019[Program Pendidikan],$C$102)/$C$104*100%</f>
        <v>0</v>
      </c>
      <c r="F113" s="66">
        <f>COUNTIFS(TblUniv2019[C2],F$44,TblUniv2019[Program Pendidikan],$C$102)/$C$104*100%</f>
        <v>0</v>
      </c>
      <c r="G113" s="62">
        <f t="shared" si="9"/>
        <v>1</v>
      </c>
    </row>
    <row r="114" spans="2:7" ht="16.5" x14ac:dyDescent="0.3">
      <c r="B114" s="60"/>
      <c r="C114" s="61">
        <f>AVERAGE(C112:C113)</f>
        <v>0.16666666666666666</v>
      </c>
      <c r="D114" s="61">
        <f>AVERAGE(D112:D113)</f>
        <v>0.83333333333333326</v>
      </c>
      <c r="E114" s="61">
        <f>AVERAGE(E112:E113)</f>
        <v>0</v>
      </c>
      <c r="F114" s="61">
        <f>AVERAGE(F112:F113)</f>
        <v>0</v>
      </c>
      <c r="G114" s="62">
        <f t="shared" si="9"/>
        <v>0.99999999999999989</v>
      </c>
    </row>
    <row r="115" spans="2:7" ht="16.5" x14ac:dyDescent="0.3">
      <c r="B115" s="57" t="s">
        <v>33</v>
      </c>
      <c r="C115" s="66">
        <f>COUNTIFS(TblUniv2019[D1],C$44,TblUniv2019[Program Pendidikan],$C$102)/$C$104*100%</f>
        <v>0</v>
      </c>
      <c r="D115" s="66">
        <f>COUNTIFS(TblUniv2019[D1],D$44,TblUniv2019[Program Pendidikan],$C$102)/$C$104*100%</f>
        <v>0.47619047619047616</v>
      </c>
      <c r="E115" s="66">
        <f>COUNTIFS(TblUniv2019[D1],E$44,TblUniv2019[Program Pendidikan],$C$102)/$C$104*100%</f>
        <v>0.52380952380952384</v>
      </c>
      <c r="F115" s="66">
        <f>COUNTIFS(TblUniv2019[D1],F$44,TblUniv2019[Program Pendidikan],$C$102)/$C$104*100%</f>
        <v>0</v>
      </c>
      <c r="G115" s="62">
        <f t="shared" si="9"/>
        <v>1</v>
      </c>
    </row>
    <row r="116" spans="2:7" ht="16.5" x14ac:dyDescent="0.3">
      <c r="B116" s="57" t="s">
        <v>34</v>
      </c>
      <c r="C116" s="66">
        <f>COUNTIFS(TblUniv2019[D2],C$44,TblUniv2019[Program Pendidikan],$C$102)/$C$104*100%</f>
        <v>0</v>
      </c>
      <c r="D116" s="66">
        <f>COUNTIFS(TblUniv2019[D2],D$44,TblUniv2019[Program Pendidikan],$C$102)/$C$104*100%</f>
        <v>0.5714285714285714</v>
      </c>
      <c r="E116" s="66">
        <f>COUNTIFS(TblUniv2019[D2],E$44,TblUniv2019[Program Pendidikan],$C$102)/$C$104*100%</f>
        <v>0.42857142857142855</v>
      </c>
      <c r="F116" s="66">
        <f>COUNTIFS(TblUniv2019[D2],F$44,TblUniv2019[Program Pendidikan],$C$102)/$C$104*100%</f>
        <v>0</v>
      </c>
      <c r="G116" s="62">
        <f t="shared" si="9"/>
        <v>1</v>
      </c>
    </row>
    <row r="117" spans="2:7" ht="16.5" x14ac:dyDescent="0.3">
      <c r="B117" s="60"/>
      <c r="C117" s="61">
        <f>AVERAGE(C115:C116)</f>
        <v>0</v>
      </c>
      <c r="D117" s="61">
        <f>AVERAGE(D115:D116)</f>
        <v>0.52380952380952372</v>
      </c>
      <c r="E117" s="61">
        <f>AVERAGE(E115:E116)</f>
        <v>0.47619047619047616</v>
      </c>
      <c r="F117" s="61">
        <f>AVERAGE(F115:F116)</f>
        <v>0</v>
      </c>
      <c r="G117" s="62">
        <f t="shared" si="9"/>
        <v>0.99999999999999989</v>
      </c>
    </row>
    <row r="118" spans="2:7" ht="16.5" x14ac:dyDescent="0.3">
      <c r="B118" s="57" t="s">
        <v>35</v>
      </c>
      <c r="C118" s="66">
        <f>COUNTIFS(TblUniv2019[E1],C$44,TblUniv2019[Program Pendidikan],$C$102)/$C$104*100%</f>
        <v>0.47619047619047616</v>
      </c>
      <c r="D118" s="66">
        <f>COUNTIFS(TblUniv2019[E1],D$44,TblUniv2019[Program Pendidikan],$C$102)/$C$104*100%</f>
        <v>0.52380952380952384</v>
      </c>
      <c r="E118" s="66">
        <f>COUNTIFS(TblUniv2019[E1],E$44,TblUniv2019[Program Pendidikan],$C$102)/$C$104*100%</f>
        <v>0</v>
      </c>
      <c r="F118" s="66">
        <f>COUNTIFS(TblUniv2019[E1],F$44,TblUniv2019[Program Pendidikan],$C$102)/$C$104*100%</f>
        <v>0</v>
      </c>
      <c r="G118" s="62">
        <f t="shared" si="9"/>
        <v>1</v>
      </c>
    </row>
    <row r="119" spans="2:7" ht="16.5" x14ac:dyDescent="0.3">
      <c r="B119" s="57" t="s">
        <v>36</v>
      </c>
      <c r="C119" s="66">
        <f>COUNTIFS(TblUniv2019[E2],C$44,TblUniv2019[Program Pendidikan],$C$102)/$C$104*100%</f>
        <v>0.47619047619047616</v>
      </c>
      <c r="D119" s="66">
        <f>COUNTIFS(TblUniv2019[E2],D$44,TblUniv2019[Program Pendidikan],$C$102)/$C$104*100%</f>
        <v>0.52380952380952384</v>
      </c>
      <c r="E119" s="66">
        <f>COUNTIFS(TblUniv2019[E2],E$44,TblUniv2019[Program Pendidikan],$C$102)/$C$104*100%</f>
        <v>0</v>
      </c>
      <c r="F119" s="66">
        <f>COUNTIFS(TblUniv2019[E2],F$44,TblUniv2019[Program Pendidikan],$C$102)/$C$104*100%</f>
        <v>0</v>
      </c>
      <c r="G119" s="62">
        <f t="shared" si="9"/>
        <v>1</v>
      </c>
    </row>
    <row r="120" spans="2:7" ht="16.5" x14ac:dyDescent="0.3">
      <c r="B120" s="60"/>
      <c r="C120" s="61">
        <f>AVERAGE(C118:C119)</f>
        <v>0.47619047619047616</v>
      </c>
      <c r="D120" s="61">
        <f>AVERAGE(D118:D119)</f>
        <v>0.52380952380952384</v>
      </c>
      <c r="E120" s="61">
        <f>AVERAGE(E118:E119)</f>
        <v>0</v>
      </c>
      <c r="F120" s="61">
        <f>AVERAGE(F118:F119)</f>
        <v>0</v>
      </c>
      <c r="G120" s="62">
        <f t="shared" si="9"/>
        <v>1</v>
      </c>
    </row>
    <row r="121" spans="2:7" ht="16.5" x14ac:dyDescent="0.3">
      <c r="B121" s="57" t="s">
        <v>37</v>
      </c>
      <c r="C121" s="66">
        <f>COUNTIFS(TblUniv2019[F1],C$44,TblUniv2019[Program Pendidikan],$C$102)/$C$104*100%</f>
        <v>0.33333333333333331</v>
      </c>
      <c r="D121" s="66">
        <f>COUNTIFS(TblUniv2019[F1],D$44,TblUniv2019[Program Pendidikan],$C$102)/$C$104*100%</f>
        <v>0.66666666666666663</v>
      </c>
      <c r="E121" s="66">
        <f>COUNTIFS(TblUniv2019[F1],E$44,TblUniv2019[Program Pendidikan],$C$102)/$C$104*100%</f>
        <v>0</v>
      </c>
      <c r="F121" s="66">
        <f>COUNTIFS(TblUniv2019[F1],F$44,TblUniv2019[Program Pendidikan],$C$102)/$C$104*100%</f>
        <v>0</v>
      </c>
      <c r="G121" s="62">
        <f t="shared" si="9"/>
        <v>1</v>
      </c>
    </row>
    <row r="122" spans="2:7" ht="16.5" x14ac:dyDescent="0.3">
      <c r="B122" s="57" t="s">
        <v>38</v>
      </c>
      <c r="C122" s="66">
        <f>COUNTIFS(TblUniv2019[F2],C$44,TblUniv2019[Program Pendidikan],$C$102)/$C$104*100%</f>
        <v>0.19047619047619047</v>
      </c>
      <c r="D122" s="66">
        <f>COUNTIFS(TblUniv2019[F2],D$44,TblUniv2019[Program Pendidikan],$C$102)/$C$104*100%</f>
        <v>0.80952380952380953</v>
      </c>
      <c r="E122" s="66">
        <f>COUNTIFS(TblUniv2019[F2],E$44,TblUniv2019[Program Pendidikan],$C$102)/$C$104*100%</f>
        <v>0</v>
      </c>
      <c r="F122" s="66">
        <f>COUNTIFS(TblUniv2019[F2],F$44,TblUniv2019[Program Pendidikan],$C$102)/$C$104*100%</f>
        <v>0</v>
      </c>
      <c r="G122" s="62">
        <f t="shared" si="9"/>
        <v>1</v>
      </c>
    </row>
    <row r="123" spans="2:7" ht="16.5" x14ac:dyDescent="0.3">
      <c r="B123" s="57" t="s">
        <v>39</v>
      </c>
      <c r="C123" s="66">
        <f>COUNTIFS(TblUniv2019[F3],C$44,TblUniv2019[Program Pendidikan],$C$102)/$C$104*100%</f>
        <v>0.14285714285714285</v>
      </c>
      <c r="D123" s="66">
        <f>COUNTIFS(TblUniv2019[F3],D$44,TblUniv2019[Program Pendidikan],$C$102)/$C$104*100%</f>
        <v>0.8571428571428571</v>
      </c>
      <c r="E123" s="66">
        <f>COUNTIFS(TblUniv2019[F3],E$44,TblUniv2019[Program Pendidikan],$C$102)/$C$104*100%</f>
        <v>0</v>
      </c>
      <c r="F123" s="66">
        <f>COUNTIFS(TblUniv2019[F3],F$44,TblUniv2019[Program Pendidikan],$C$102)/$C$104*100%</f>
        <v>0</v>
      </c>
      <c r="G123" s="62">
        <f t="shared" si="9"/>
        <v>1</v>
      </c>
    </row>
    <row r="124" spans="2:7" ht="16.5" x14ac:dyDescent="0.3">
      <c r="B124" s="60"/>
      <c r="C124" s="61">
        <f>AVERAGE(C121:C123)</f>
        <v>0.22222222222222218</v>
      </c>
      <c r="D124" s="61">
        <f>AVERAGE(D121:D123)</f>
        <v>0.77777777777777779</v>
      </c>
      <c r="E124" s="61">
        <f>AVERAGE(E121:E123)</f>
        <v>0</v>
      </c>
      <c r="F124" s="61">
        <f>AVERAGE(F121:F123)</f>
        <v>0</v>
      </c>
      <c r="G124" s="62">
        <f t="shared" si="9"/>
        <v>1</v>
      </c>
    </row>
    <row r="125" spans="2:7" ht="16.5" x14ac:dyDescent="0.3">
      <c r="B125" s="57" t="s">
        <v>40</v>
      </c>
      <c r="C125" s="66">
        <f>COUNTIFS(TblUniv2019[G1],C$44,TblUniv2019[Program Pendidikan],$C$102)/$C$104*100%</f>
        <v>4.7619047619047616E-2</v>
      </c>
      <c r="D125" s="66">
        <f>COUNTIFS(TblUniv2019[G1],D$44,TblUniv2019[Program Pendidikan],$C$102)/$C$104*100%</f>
        <v>0.95238095238095233</v>
      </c>
      <c r="E125" s="66">
        <f>COUNTIFS(TblUniv2019[G1],E$44,TblUniv2019[Program Pendidikan],$C$102)/$C$104*100%</f>
        <v>0</v>
      </c>
      <c r="F125" s="66">
        <f>COUNTIFS(TblUniv2019[G1],F$44,TblUniv2019[Program Pendidikan],$C$102)/$C$104*100%</f>
        <v>0</v>
      </c>
      <c r="G125" s="62">
        <f t="shared" si="9"/>
        <v>1</v>
      </c>
    </row>
    <row r="126" spans="2:7" ht="16.5" x14ac:dyDescent="0.3">
      <c r="B126" s="57" t="s">
        <v>41</v>
      </c>
      <c r="C126" s="66">
        <f>COUNTIFS(TblUniv2019[G2],C$44,TblUniv2019[Program Pendidikan],$C$102)/$C$104*100%</f>
        <v>0.23809523809523808</v>
      </c>
      <c r="D126" s="66">
        <f>COUNTIFS(TblUniv2019[G2],D$44,TblUniv2019[Program Pendidikan],$C$102)/$C$104*100%</f>
        <v>0.76190476190476186</v>
      </c>
      <c r="E126" s="66">
        <f>COUNTIFS(TblUniv2019[G2],E$44,TblUniv2019[Program Pendidikan],$C$102)/$C$104*100%</f>
        <v>0</v>
      </c>
      <c r="F126" s="66">
        <f>COUNTIFS(TblUniv2019[G2],F$44,TblUniv2019[Program Pendidikan],$C$102)/$C$104*100%</f>
        <v>0</v>
      </c>
      <c r="G126" s="62">
        <f t="shared" si="9"/>
        <v>1</v>
      </c>
    </row>
    <row r="127" spans="2:7" ht="16.5" x14ac:dyDescent="0.3">
      <c r="B127" s="60"/>
      <c r="C127" s="61">
        <f>AVERAGE(C125:C126)</f>
        <v>0.14285714285714285</v>
      </c>
      <c r="D127" s="61">
        <f>AVERAGE(D125:D126)</f>
        <v>0.8571428571428571</v>
      </c>
      <c r="E127" s="61">
        <f>AVERAGE(E125:E126)</f>
        <v>0</v>
      </c>
      <c r="F127" s="61">
        <f>AVERAGE(F125:F126)</f>
        <v>0</v>
      </c>
      <c r="G127" s="62">
        <f t="shared" si="9"/>
        <v>1</v>
      </c>
    </row>
    <row r="128" spans="2:7" ht="16.5" x14ac:dyDescent="0.3">
      <c r="B128" s="57" t="s">
        <v>42</v>
      </c>
      <c r="C128" s="66">
        <f>COUNTIFS(TblUniv2019[H1],C$44,TblUniv2019[Program Pendidikan],$C$102)/$C$104*100%</f>
        <v>0.19047619047619047</v>
      </c>
      <c r="D128" s="66">
        <f>COUNTIFS(TblUniv2019[H1],D$44,TblUniv2019[Program Pendidikan],$C$102)/$C$104*100%</f>
        <v>0.80952380952380953</v>
      </c>
      <c r="E128" s="66">
        <f>COUNTIFS(TblUniv2019[H1],E$44,TblUniv2019[Program Pendidikan],$C$102)/$C$104*100%</f>
        <v>0</v>
      </c>
      <c r="F128" s="66">
        <f>COUNTIFS(TblUniv2019[H1],F$44,TblUniv2019[Program Pendidikan],$C$102)/$C$104*100%</f>
        <v>0</v>
      </c>
      <c r="G128" s="62">
        <f t="shared" si="9"/>
        <v>1</v>
      </c>
    </row>
    <row r="129" spans="2:7" ht="16.5" x14ac:dyDescent="0.3">
      <c r="B129" s="57" t="s">
        <v>43</v>
      </c>
      <c r="C129" s="66">
        <f>COUNTIFS(TblUniv2019[H1],C$44,TblUniv2019[Program Pendidikan],$C$102)/$C$104*100%</f>
        <v>0.19047619047619047</v>
      </c>
      <c r="D129" s="66">
        <f>COUNTIFS(TblUniv2019[H1],D$44,TblUniv2019[Program Pendidikan],$C$102)/$C$104*100%</f>
        <v>0.80952380952380953</v>
      </c>
      <c r="E129" s="66">
        <f>COUNTIFS(TblUniv2019[H1],E$44,TblUniv2019[Program Pendidikan],$C$102)/$C$104*100%</f>
        <v>0</v>
      </c>
      <c r="F129" s="66">
        <f>COUNTIFS(TblUniv2019[H1],F$44,TblUniv2019[Program Pendidikan],$C$102)/$C$104*100%</f>
        <v>0</v>
      </c>
      <c r="G129" s="62">
        <f t="shared" si="9"/>
        <v>1</v>
      </c>
    </row>
    <row r="130" spans="2:7" ht="16.5" x14ac:dyDescent="0.3">
      <c r="B130" s="57" t="s">
        <v>44</v>
      </c>
      <c r="C130" s="66">
        <f>COUNTIFS(TblUniv2019[H3],C$44,TblUniv2019[Program Pendidikan],$C$102)/$C$104*100%</f>
        <v>0.23809523809523808</v>
      </c>
      <c r="D130" s="66">
        <f>COUNTIFS(TblUniv2019[H3],D$44,TblUniv2019[Program Pendidikan],$C$102)/$C$104*100%</f>
        <v>0.5714285714285714</v>
      </c>
      <c r="E130" s="66">
        <f>COUNTIFS(TblUniv2019[H3],E$44,TblUniv2019[Program Pendidikan],$C$102)/$C$104*100%</f>
        <v>0.19047619047619047</v>
      </c>
      <c r="F130" s="66">
        <f>COUNTIFS(TblUniv2019[H3],F$44,TblUniv2019[Program Pendidikan],$C$102)/$C$104*100%</f>
        <v>0</v>
      </c>
      <c r="G130" s="62">
        <f t="shared" si="9"/>
        <v>1</v>
      </c>
    </row>
    <row r="131" spans="2:7" ht="16.5" x14ac:dyDescent="0.3">
      <c r="B131" s="57" t="s">
        <v>45</v>
      </c>
      <c r="C131" s="66">
        <f>COUNTIFS(TblUniv2019[H4],C$44,TblUniv2019[Program Pendidikan],$C$102)/$C$104*100%</f>
        <v>0</v>
      </c>
      <c r="D131" s="66">
        <f>COUNTIFS(TblUniv2019[H4],D$44,TblUniv2019[Program Pendidikan],$C$102)/$C$104*100%</f>
        <v>0.80952380952380953</v>
      </c>
      <c r="E131" s="66">
        <f>COUNTIFS(TblUniv2019[H4],E$44,TblUniv2019[Program Pendidikan],$C$102)/$C$104*100%</f>
        <v>0.19047619047619047</v>
      </c>
      <c r="F131" s="66">
        <f>COUNTIFS(TblUniv2019[H4],F$44,TblUniv2019[Program Pendidikan],$C$102)/$C$104*100%</f>
        <v>0</v>
      </c>
      <c r="G131" s="62">
        <f t="shared" si="9"/>
        <v>1</v>
      </c>
    </row>
    <row r="132" spans="2:7" ht="16.5" x14ac:dyDescent="0.3">
      <c r="B132" s="60"/>
      <c r="C132" s="61">
        <f>AVERAGE(C128:C131)</f>
        <v>0.15476190476190477</v>
      </c>
      <c r="D132" s="61">
        <f>AVERAGE(D128:D131)</f>
        <v>0.75</v>
      </c>
      <c r="E132" s="61">
        <f>AVERAGE(E128:E131)</f>
        <v>9.5238095238095233E-2</v>
      </c>
      <c r="F132" s="61">
        <f>AVERAGE(F128:F131)</f>
        <v>0</v>
      </c>
      <c r="G132" s="62">
        <f t="shared" si="9"/>
        <v>1</v>
      </c>
    </row>
    <row r="133" spans="2:7" ht="16.5" x14ac:dyDescent="0.3">
      <c r="B133" s="57" t="s">
        <v>648</v>
      </c>
      <c r="C133" s="66">
        <f>COUNTIFS(TblUniv2019[I. a1],C$44,TblUniv2019[Program Pendidikan],$C$102)/$C$104*100%</f>
        <v>0.2857142857142857</v>
      </c>
      <c r="D133" s="66">
        <f>COUNTIFS(TblUniv2019[I. a1],D$44,TblUniv2019[Program Pendidikan],$C$102)/$C$104*100%</f>
        <v>0.7142857142857143</v>
      </c>
      <c r="E133" s="66">
        <f>COUNTIFS(TblUniv2019[I. a1],E$44,TblUniv2019[Program Pendidikan],$C$102)/$C$104*100%</f>
        <v>0</v>
      </c>
      <c r="F133" s="66">
        <f>COUNTIFS(TblUniv2019[I. a1],F$44,TblUniv2019[Program Pendidikan],$C$102)/$C$104*100%</f>
        <v>0</v>
      </c>
      <c r="G133" s="62">
        <f t="shared" si="9"/>
        <v>1</v>
      </c>
    </row>
    <row r="134" spans="2:7" ht="16.5" x14ac:dyDescent="0.3">
      <c r="B134" s="57" t="s">
        <v>649</v>
      </c>
      <c r="C134" s="66">
        <f>COUNTIFS(TblUniv2019[I. a2],C$44,TblUniv2019[Program Pendidikan],$C$102)/$C$104*100%</f>
        <v>0</v>
      </c>
      <c r="D134" s="66">
        <f>COUNTIFS(TblUniv2019[I. a2],D$44,TblUniv2019[Program Pendidikan],$C$102)/$C$104*100%</f>
        <v>1</v>
      </c>
      <c r="E134" s="66">
        <f>COUNTIFS(TblUniv2019[I. a2],E$44,TblUniv2019[Program Pendidikan],$C$102)/$C$104*100%</f>
        <v>0</v>
      </c>
      <c r="F134" s="66">
        <f>COUNTIFS(TblUniv2019[I. a2],F$44,TblUniv2019[Program Pendidikan],$C$102)/$C$104*100%</f>
        <v>0</v>
      </c>
      <c r="G134" s="62">
        <f t="shared" si="9"/>
        <v>1</v>
      </c>
    </row>
    <row r="135" spans="2:7" ht="16.5" x14ac:dyDescent="0.3">
      <c r="B135" s="57" t="s">
        <v>650</v>
      </c>
      <c r="C135" s="66">
        <f>COUNTIFS(TblUniv2019[I. a3],C$44,TblUniv2019[Program Pendidikan],$C$102)/$C$104*100%</f>
        <v>0.2857142857142857</v>
      </c>
      <c r="D135" s="66">
        <f>COUNTIFS(TblUniv2019[I. a3],D$44,TblUniv2019[Program Pendidikan],$C$102)/$C$104*100%</f>
        <v>0.7142857142857143</v>
      </c>
      <c r="E135" s="66">
        <f>COUNTIFS(TblUniv2019[I. a3],E$44,TblUniv2019[Program Pendidikan],$C$102)/$C$104*100%</f>
        <v>0</v>
      </c>
      <c r="F135" s="66">
        <f>COUNTIFS(TblUniv2019[I. a3],F$44,TblUniv2019[Program Pendidikan],$C$102)/$C$104*100%</f>
        <v>0</v>
      </c>
      <c r="G135" s="62">
        <f t="shared" si="9"/>
        <v>1</v>
      </c>
    </row>
    <row r="136" spans="2:7" ht="16.5" x14ac:dyDescent="0.3">
      <c r="B136" s="57" t="s">
        <v>651</v>
      </c>
      <c r="C136" s="66">
        <f>COUNTIFS(TblUniv2019[I. a4],C$44,TblUniv2019[Program Pendidikan],$C$102)/$C$104*100%</f>
        <v>0</v>
      </c>
      <c r="D136" s="66">
        <f>COUNTIFS(TblUniv2019[I. a4],D$44,TblUniv2019[Program Pendidikan],$C$102)/$C$104*100%</f>
        <v>1</v>
      </c>
      <c r="E136" s="66">
        <f>COUNTIFS(TblUniv2019[I. a4],E$44,TblUniv2019[Program Pendidikan],$C$102)/$C$104*100%</f>
        <v>0</v>
      </c>
      <c r="F136" s="66">
        <f>COUNTIFS(TblUniv2019[I. a4],F$44,TblUniv2019[Program Pendidikan],$C$102)/$C$104*100%</f>
        <v>0</v>
      </c>
      <c r="G136" s="62">
        <f t="shared" si="9"/>
        <v>1</v>
      </c>
    </row>
    <row r="137" spans="2:7" ht="16.5" x14ac:dyDescent="0.3">
      <c r="B137" s="57" t="s">
        <v>652</v>
      </c>
      <c r="C137" s="66">
        <f>COUNTIFS(TblUniv2019[I. a5],C$44,TblUniv2019[Program Pendidikan],$C$102)/$C$104*100%</f>
        <v>0.42857142857142855</v>
      </c>
      <c r="D137" s="66">
        <f>COUNTIFS(TblUniv2019[I. a5],D$44,TblUniv2019[Program Pendidikan],$C$102)/$C$104*100%</f>
        <v>0.5714285714285714</v>
      </c>
      <c r="E137" s="66">
        <f>COUNTIFS(TblUniv2019[I. a5],E$44,TblUniv2019[Program Pendidikan],$C$102)/$C$104*100%</f>
        <v>0</v>
      </c>
      <c r="F137" s="66">
        <f>COUNTIFS(TblUniv2019[I. a5],F$44,TblUniv2019[Program Pendidikan],$C$102)/$C$104*100%</f>
        <v>0</v>
      </c>
      <c r="G137" s="62">
        <f t="shared" si="9"/>
        <v>1</v>
      </c>
    </row>
    <row r="138" spans="2:7" ht="16.5" x14ac:dyDescent="0.3">
      <c r="B138" s="60"/>
      <c r="C138" s="61">
        <f>AVERAGE(C133:C137)</f>
        <v>0.2</v>
      </c>
      <c r="D138" s="61">
        <f>AVERAGE(D133:D137)</f>
        <v>0.8</v>
      </c>
      <c r="E138" s="61">
        <f>AVERAGE(E133:E137)</f>
        <v>0</v>
      </c>
      <c r="F138" s="61">
        <f>AVERAGE(F133:F137)</f>
        <v>0</v>
      </c>
      <c r="G138" s="62">
        <f t="shared" si="9"/>
        <v>1</v>
      </c>
    </row>
    <row r="139" spans="2:7" ht="16.5" x14ac:dyDescent="0.3">
      <c r="B139" s="57" t="s">
        <v>653</v>
      </c>
      <c r="C139" s="66">
        <f>COUNTIFS(TblUniv2019[I. b1],C$44,TblUniv2019[Program Pendidikan],$C$102)/$C$104*100%</f>
        <v>0.23809523809523808</v>
      </c>
      <c r="D139" s="66">
        <f>COUNTIFS(TblUniv2019[I. b1],D$44,TblUniv2019[Program Pendidikan],$C$102)/$C$104*100%</f>
        <v>0.47619047619047616</v>
      </c>
      <c r="E139" s="66">
        <f>COUNTIFS(TblUniv2019[I. b1],E$44,TblUniv2019[Program Pendidikan],$C$102)/$C$104*100%</f>
        <v>0.2857142857142857</v>
      </c>
      <c r="F139" s="66">
        <f>COUNTIFS(TblUniv2019[I. b1],F$44,TblUniv2019[Program Pendidikan],$C$102)/$C$104*100%</f>
        <v>0</v>
      </c>
      <c r="G139" s="62">
        <f t="shared" si="9"/>
        <v>0.99999999999999989</v>
      </c>
    </row>
    <row r="140" spans="2:7" ht="16.5" x14ac:dyDescent="0.3">
      <c r="B140" s="57" t="s">
        <v>654</v>
      </c>
      <c r="C140" s="66">
        <f>COUNTIFS(TblUniv2019[I. b2],C$44,TblUniv2019[Program Pendidikan],$C$102)/$C$104*100%</f>
        <v>0</v>
      </c>
      <c r="D140" s="66">
        <f>COUNTIFS(TblUniv2019[I. b2],D$44,TblUniv2019[Program Pendidikan],$C$102)/$C$104*100%</f>
        <v>1</v>
      </c>
      <c r="E140" s="66">
        <f>COUNTIFS(TblUniv2019[I. b2],E$44,TblUniv2019[Program Pendidikan],$C$102)/$C$104*100%</f>
        <v>0</v>
      </c>
      <c r="F140" s="66">
        <f>COUNTIFS(TblUniv2019[I. b2],F$44,TblUniv2019[Program Pendidikan],$C$102)/$C$104*100%</f>
        <v>0</v>
      </c>
      <c r="G140" s="62">
        <f t="shared" si="9"/>
        <v>1</v>
      </c>
    </row>
    <row r="141" spans="2:7" ht="16.5" x14ac:dyDescent="0.3">
      <c r="B141" s="57" t="s">
        <v>655</v>
      </c>
      <c r="C141" s="66">
        <f>COUNTIFS(TblUniv2019[I. b3],C$44,TblUniv2019[Program Pendidikan],$C$102)/$C$104*100%</f>
        <v>0</v>
      </c>
      <c r="D141" s="66">
        <f>COUNTIFS(TblUniv2019[I. b3],D$44,TblUniv2019[Program Pendidikan],$C$102)/$C$104*100%</f>
        <v>0.80952380952380953</v>
      </c>
      <c r="E141" s="66">
        <f>COUNTIFS(TblUniv2019[I. b3],E$44,TblUniv2019[Program Pendidikan],$C$102)/$C$104*100%</f>
        <v>0.19047619047619047</v>
      </c>
      <c r="F141" s="66">
        <f>COUNTIFS(TblUniv2019[I. b3],F$44,TblUniv2019[Program Pendidikan],$C$102)/$C$104*100%</f>
        <v>0</v>
      </c>
      <c r="G141" s="62">
        <f t="shared" si="9"/>
        <v>1</v>
      </c>
    </row>
    <row r="142" spans="2:7" ht="16.5" x14ac:dyDescent="0.3">
      <c r="B142" s="57" t="s">
        <v>656</v>
      </c>
      <c r="C142" s="66">
        <f>COUNTIFS(TblUniv2019[I. b4],C$44,TblUniv2019[Program Pendidikan],$C$102)/$C$104*100%</f>
        <v>0.23809523809523808</v>
      </c>
      <c r="D142" s="66">
        <f>COUNTIFS(TblUniv2019[I. b4],D$44,TblUniv2019[Program Pendidikan],$C$102)/$C$104*100%</f>
        <v>0.76190476190476186</v>
      </c>
      <c r="E142" s="66">
        <f>COUNTIFS(TblUniv2019[I. b4],E$44,TblUniv2019[Program Pendidikan],$C$102)/$C$104*100%</f>
        <v>0</v>
      </c>
      <c r="F142" s="66">
        <f>COUNTIFS(TblUniv2019[I. b4],F$44,TblUniv2019[Program Pendidikan],$C$102)/$C$104*100%</f>
        <v>0</v>
      </c>
      <c r="G142" s="62">
        <f t="shared" si="9"/>
        <v>1</v>
      </c>
    </row>
    <row r="143" spans="2:7" ht="17.25" thickBot="1" x14ac:dyDescent="0.35">
      <c r="B143" s="67"/>
      <c r="C143" s="68">
        <f>AVERAGE(C139:C142)</f>
        <v>0.11904761904761904</v>
      </c>
      <c r="D143" s="68">
        <f>AVERAGE(D139:D142)</f>
        <v>0.76190476190476186</v>
      </c>
      <c r="E143" s="68">
        <f>AVERAGE(E139:E142)</f>
        <v>0.11904761904761904</v>
      </c>
      <c r="F143" s="68">
        <f>AVERAGE(F139:F142)</f>
        <v>0</v>
      </c>
      <c r="G143" s="62">
        <f t="shared" si="9"/>
        <v>1</v>
      </c>
    </row>
    <row r="144" spans="2:7" ht="15.75" thickBot="1" x14ac:dyDescent="0.3"/>
    <row r="145" spans="2:6" ht="17.25" thickBot="1" x14ac:dyDescent="0.3">
      <c r="B145" s="64" t="s">
        <v>14</v>
      </c>
      <c r="C145" s="65" t="str">
        <f>C102</f>
        <v>Sarjana</v>
      </c>
    </row>
    <row r="146" spans="2:6" ht="17.25" thickBot="1" x14ac:dyDescent="0.3">
      <c r="B146" s="64" t="s">
        <v>647</v>
      </c>
      <c r="C146" s="65">
        <f>C103</f>
        <v>2019</v>
      </c>
    </row>
    <row r="147" spans="2:6" ht="17.25" thickBot="1" x14ac:dyDescent="0.3">
      <c r="B147" s="64" t="s">
        <v>646</v>
      </c>
      <c r="C147" s="65">
        <f>C104</f>
        <v>21</v>
      </c>
    </row>
    <row r="148" spans="2:6" ht="15.75" thickBot="1" x14ac:dyDescent="0.3">
      <c r="B148" s="222" t="s">
        <v>658</v>
      </c>
      <c r="C148" s="223" t="s">
        <v>664</v>
      </c>
      <c r="D148" s="223"/>
      <c r="E148" s="223"/>
      <c r="F148" s="223"/>
    </row>
    <row r="149" spans="2:6" ht="15.75" thickBot="1" x14ac:dyDescent="0.3">
      <c r="B149" s="222"/>
      <c r="C149" s="72" t="s">
        <v>645</v>
      </c>
      <c r="D149" s="72" t="s">
        <v>665</v>
      </c>
      <c r="E149" s="72" t="s">
        <v>666</v>
      </c>
      <c r="F149" s="72" t="s">
        <v>667</v>
      </c>
    </row>
    <row r="150" spans="2:6" x14ac:dyDescent="0.25">
      <c r="B150" s="73">
        <v>2</v>
      </c>
      <c r="C150" s="71">
        <v>3</v>
      </c>
      <c r="D150" s="71">
        <v>4</v>
      </c>
      <c r="E150" s="71">
        <v>5</v>
      </c>
      <c r="F150" s="74">
        <v>6</v>
      </c>
    </row>
    <row r="151" spans="2:6" x14ac:dyDescent="0.25">
      <c r="B151" s="75" t="s">
        <v>659</v>
      </c>
      <c r="C151" s="58">
        <f>C111</f>
        <v>0.17142857142857143</v>
      </c>
      <c r="D151" s="58">
        <f>D111</f>
        <v>0.79047619047619044</v>
      </c>
      <c r="E151" s="58">
        <f>E111</f>
        <v>3.8095238095238092E-2</v>
      </c>
      <c r="F151" s="59">
        <f>F111</f>
        <v>0</v>
      </c>
    </row>
    <row r="152" spans="2:6" x14ac:dyDescent="0.25">
      <c r="B152" s="75" t="s">
        <v>660</v>
      </c>
      <c r="C152" s="58">
        <f>C114</f>
        <v>0.16666666666666666</v>
      </c>
      <c r="D152" s="58">
        <f>D114</f>
        <v>0.83333333333333326</v>
      </c>
      <c r="E152" s="58">
        <f>E114</f>
        <v>0</v>
      </c>
      <c r="F152" s="59">
        <f>F114</f>
        <v>0</v>
      </c>
    </row>
    <row r="153" spans="2:6" x14ac:dyDescent="0.25">
      <c r="B153" s="75" t="s">
        <v>661</v>
      </c>
      <c r="C153" s="58">
        <f>C117</f>
        <v>0</v>
      </c>
      <c r="D153" s="58">
        <f>D117</f>
        <v>0.52380952380952372</v>
      </c>
      <c r="E153" s="58">
        <f>E117</f>
        <v>0.47619047619047616</v>
      </c>
      <c r="F153" s="59">
        <f>F117</f>
        <v>0</v>
      </c>
    </row>
    <row r="154" spans="2:6" x14ac:dyDescent="0.25">
      <c r="B154" s="75" t="s">
        <v>662</v>
      </c>
      <c r="C154" s="58">
        <f>C120</f>
        <v>0.47619047619047616</v>
      </c>
      <c r="D154" s="58">
        <f>D120</f>
        <v>0.52380952380952384</v>
      </c>
      <c r="E154" s="58">
        <f>E120</f>
        <v>0</v>
      </c>
      <c r="F154" s="59">
        <f>F120</f>
        <v>0</v>
      </c>
    </row>
    <row r="155" spans="2:6" x14ac:dyDescent="0.25">
      <c r="B155" s="75" t="s">
        <v>663</v>
      </c>
      <c r="C155" s="58">
        <f>C124</f>
        <v>0.22222222222222218</v>
      </c>
      <c r="D155" s="58">
        <f>D124</f>
        <v>0.77777777777777779</v>
      </c>
      <c r="E155" s="58">
        <f>E124</f>
        <v>0</v>
      </c>
      <c r="F155" s="59">
        <f>F124</f>
        <v>0</v>
      </c>
    </row>
    <row r="156" spans="2:6" x14ac:dyDescent="0.25">
      <c r="B156" s="75" t="s">
        <v>617</v>
      </c>
      <c r="C156" s="58">
        <f>C127</f>
        <v>0.14285714285714285</v>
      </c>
      <c r="D156" s="58">
        <f>D127</f>
        <v>0.8571428571428571</v>
      </c>
      <c r="E156" s="58">
        <f>E127</f>
        <v>0</v>
      </c>
      <c r="F156" s="59">
        <f>F127</f>
        <v>0</v>
      </c>
    </row>
    <row r="157" spans="2:6" x14ac:dyDescent="0.25">
      <c r="B157" s="75" t="s">
        <v>330</v>
      </c>
      <c r="C157" s="58">
        <f>C132</f>
        <v>0.15476190476190477</v>
      </c>
      <c r="D157" s="58">
        <f>D132</f>
        <v>0.75</v>
      </c>
      <c r="E157" s="58">
        <f>E132</f>
        <v>9.5238095238095233E-2</v>
      </c>
      <c r="F157" s="59">
        <f>F132</f>
        <v>0</v>
      </c>
    </row>
    <row r="158" spans="2:6" x14ac:dyDescent="0.25">
      <c r="B158" s="75" t="s">
        <v>68</v>
      </c>
      <c r="C158" s="58">
        <f>C138</f>
        <v>0.2</v>
      </c>
      <c r="D158" s="58">
        <f>D138</f>
        <v>0.8</v>
      </c>
      <c r="E158" s="58">
        <f>E138</f>
        <v>0</v>
      </c>
      <c r="F158" s="59">
        <f>F138</f>
        <v>0</v>
      </c>
    </row>
    <row r="159" spans="2:6" ht="15.75" thickBot="1" x14ac:dyDescent="0.3">
      <c r="B159" s="76" t="s">
        <v>68</v>
      </c>
      <c r="C159" s="77">
        <f>C143</f>
        <v>0.11904761904761904</v>
      </c>
      <c r="D159" s="77">
        <f>D143</f>
        <v>0.76190476190476186</v>
      </c>
      <c r="E159" s="77">
        <f>E143</f>
        <v>0.11904761904761904</v>
      </c>
      <c r="F159" s="78">
        <f>F143</f>
        <v>0</v>
      </c>
    </row>
    <row r="160" spans="2:6" x14ac:dyDescent="0.25">
      <c r="B160" s="79" t="s">
        <v>669</v>
      </c>
      <c r="C160" s="81">
        <f>SUM(C151:C159)</f>
        <v>1.6531746031746029</v>
      </c>
      <c r="D160" s="81">
        <f>SUM(D151:D159)</f>
        <v>6.6182539682539678</v>
      </c>
      <c r="E160" s="81">
        <f>SUM(E151:E159)</f>
        <v>0.72857142857142854</v>
      </c>
      <c r="F160" s="84">
        <f>SUM(F151:F159)</f>
        <v>0</v>
      </c>
    </row>
    <row r="161" spans="2:7" ht="15.75" thickBot="1" x14ac:dyDescent="0.3">
      <c r="B161" s="80" t="s">
        <v>670</v>
      </c>
      <c r="C161" s="82">
        <f>AVERAGE(C151:C159)</f>
        <v>0.18368606701940032</v>
      </c>
      <c r="D161" s="82">
        <f>AVERAGE(D151:D159)</f>
        <v>0.73536155202821862</v>
      </c>
      <c r="E161" s="82">
        <f>AVERAGE(E151:E159)</f>
        <v>8.0952380952380942E-2</v>
      </c>
      <c r="F161" s="85">
        <f>AVERAGE(F151:F159)</f>
        <v>0</v>
      </c>
    </row>
    <row r="163" spans="2:7" ht="15.75" thickBot="1" x14ac:dyDescent="0.3"/>
    <row r="164" spans="2:7" ht="33.75" thickBot="1" x14ac:dyDescent="0.3">
      <c r="B164" s="64" t="s">
        <v>66</v>
      </c>
      <c r="C164" s="86" t="s">
        <v>128</v>
      </c>
    </row>
    <row r="165" spans="2:7" ht="17.25" thickBot="1" x14ac:dyDescent="0.3">
      <c r="B165" s="64" t="s">
        <v>647</v>
      </c>
      <c r="C165" s="65">
        <v>2019</v>
      </c>
    </row>
    <row r="166" spans="2:7" ht="17.25" thickBot="1" x14ac:dyDescent="0.3">
      <c r="B166" s="64" t="s">
        <v>646</v>
      </c>
      <c r="C166" s="65">
        <f>COUNTIFS(TblUniv2019[th lulus],C165,TblUniv2019[Program Pendidikan],C164)</f>
        <v>0</v>
      </c>
    </row>
    <row r="167" spans="2:7" ht="16.5" x14ac:dyDescent="0.3">
      <c r="B167" s="55"/>
      <c r="C167" s="56" t="s">
        <v>69</v>
      </c>
      <c r="D167" s="56" t="s">
        <v>1</v>
      </c>
      <c r="E167" s="56" t="s">
        <v>75</v>
      </c>
      <c r="F167" s="56" t="s">
        <v>168</v>
      </c>
      <c r="G167" s="56"/>
    </row>
    <row r="168" spans="2:7" ht="16.5" x14ac:dyDescent="0.3">
      <c r="B168" s="57" t="s">
        <v>26</v>
      </c>
      <c r="C168" s="66" t="e">
        <f>COUNTIFS(TblUniv2019[B1],C$44,TblUniv2019[Program Pendidikan],$C$164)/$C$166*100%</f>
        <v>#DIV/0!</v>
      </c>
      <c r="D168" s="66" t="e">
        <f>COUNTIFS(TblUniv2019[B1],D$44,TblUniv2019[Program Pendidikan],$C$164)/$C$166*100%</f>
        <v>#DIV/0!</v>
      </c>
      <c r="E168" s="66" t="e">
        <f>COUNTIFS(TblUniv2019[B1],E$44,TblUniv2019[Program Pendidikan],$C$164)/$C$166*100%</f>
        <v>#DIV/0!</v>
      </c>
      <c r="F168" s="66" t="e">
        <f>COUNTIFS(TblUniv2019[B1],F$44,TblUniv2019[Program Pendidikan],$C$164)/$C$166*100%</f>
        <v>#DIV/0!</v>
      </c>
      <c r="G168" s="62" t="e">
        <f t="shared" ref="G168:G205" si="10">SUM(C168:F168)</f>
        <v>#DIV/0!</v>
      </c>
    </row>
    <row r="169" spans="2:7" ht="16.5" x14ac:dyDescent="0.3">
      <c r="B169" s="57" t="s">
        <v>27</v>
      </c>
      <c r="C169" s="66" t="e">
        <f>COUNTIFS(TblUniv2019[B2],C$44,TblUniv2019[Program Pendidikan],$C$164)/$C$166*100%</f>
        <v>#DIV/0!</v>
      </c>
      <c r="D169" s="66" t="e">
        <f>COUNTIFS(TblUniv2019[B2],D$44,TblUniv2019[Program Pendidikan],$C$164)/$C$166*100%</f>
        <v>#DIV/0!</v>
      </c>
      <c r="E169" s="66" t="e">
        <f>COUNTIFS(TblUniv2019[B2],E$44,TblUniv2019[Program Pendidikan],$C$164)/$C$166*100%</f>
        <v>#DIV/0!</v>
      </c>
      <c r="F169" s="66" t="e">
        <f>COUNTIFS(TblUniv2019[B2],F$44,TblUniv2019[Program Pendidikan],$C$164)/$C$166*100%</f>
        <v>#DIV/0!</v>
      </c>
      <c r="G169" s="62" t="e">
        <f t="shared" si="10"/>
        <v>#DIV/0!</v>
      </c>
    </row>
    <row r="170" spans="2:7" ht="16.5" x14ac:dyDescent="0.3">
      <c r="B170" s="57" t="s">
        <v>28</v>
      </c>
      <c r="C170" s="66" t="e">
        <f>COUNTIFS(TblUniv2019[B3],C$44,TblUniv2019[Program Pendidikan],$C$164)/$C$166*100%</f>
        <v>#DIV/0!</v>
      </c>
      <c r="D170" s="66" t="e">
        <f>COUNTIFS(TblUniv2019[B3],D$44,TblUniv2019[Program Pendidikan],$C$164)/$C$166*100%</f>
        <v>#DIV/0!</v>
      </c>
      <c r="E170" s="66" t="e">
        <f>COUNTIFS(TblUniv2019[B3],E$44,TblUniv2019[Program Pendidikan],$C$164)/$C$166*100%</f>
        <v>#DIV/0!</v>
      </c>
      <c r="F170" s="66" t="e">
        <f>COUNTIFS(TblUniv2019[B3],F$44,TblUniv2019[Program Pendidikan],$C$164)/$C$166*100%</f>
        <v>#DIV/0!</v>
      </c>
      <c r="G170" s="62" t="e">
        <f t="shared" si="10"/>
        <v>#DIV/0!</v>
      </c>
    </row>
    <row r="171" spans="2:7" ht="16.5" x14ac:dyDescent="0.3">
      <c r="B171" s="57" t="s">
        <v>29</v>
      </c>
      <c r="C171" s="66" t="e">
        <f>COUNTIFS(TblUniv2019[B4],C$44,TblUniv2019[Program Pendidikan],$C$164)/$C$166*100%</f>
        <v>#DIV/0!</v>
      </c>
      <c r="D171" s="66" t="e">
        <f>COUNTIFS(TblUniv2019[B4],D$44,TblUniv2019[Program Pendidikan],$C$164)/$C$166*100%</f>
        <v>#DIV/0!</v>
      </c>
      <c r="E171" s="66" t="e">
        <f>COUNTIFS(TblUniv2019[B4],E$44,TblUniv2019[Program Pendidikan],$C$164)/$C$166*100%</f>
        <v>#DIV/0!</v>
      </c>
      <c r="F171" s="66" t="e">
        <f>COUNTIFS(TblUniv2019[B4],F$44,TblUniv2019[Program Pendidikan],$C$164)/$C$166*100%</f>
        <v>#DIV/0!</v>
      </c>
      <c r="G171" s="62" t="e">
        <f t="shared" si="10"/>
        <v>#DIV/0!</v>
      </c>
    </row>
    <row r="172" spans="2:7" ht="16.5" x14ac:dyDescent="0.3">
      <c r="B172" s="57" t="s">
        <v>30</v>
      </c>
      <c r="C172" s="66" t="e">
        <f>COUNTIFS(TblUniv2019[B5],C$44,TblUniv2019[Program Pendidikan],$C$164)/$C$166*100%</f>
        <v>#DIV/0!</v>
      </c>
      <c r="D172" s="66" t="e">
        <f>COUNTIFS(TblUniv2019[B5],D$44,TblUniv2019[Program Pendidikan],$C$164)/$C$166*100%</f>
        <v>#DIV/0!</v>
      </c>
      <c r="E172" s="66" t="e">
        <f>COUNTIFS(TblUniv2019[B5],E$44,TblUniv2019[Program Pendidikan],$C$164)/$C$166*100%</f>
        <v>#DIV/0!</v>
      </c>
      <c r="F172" s="66" t="e">
        <f>COUNTIFS(TblUniv2019[B5],F$44,TblUniv2019[Program Pendidikan],$C$164)/$C$166*100%</f>
        <v>#DIV/0!</v>
      </c>
      <c r="G172" s="62" t="e">
        <f t="shared" si="10"/>
        <v>#DIV/0!</v>
      </c>
    </row>
    <row r="173" spans="2:7" ht="16.5" x14ac:dyDescent="0.3">
      <c r="B173" s="60"/>
      <c r="C173" s="61" t="e">
        <f>AVERAGE(C168:C172)</f>
        <v>#DIV/0!</v>
      </c>
      <c r="D173" s="61" t="e">
        <f>AVERAGE(D168:D172)</f>
        <v>#DIV/0!</v>
      </c>
      <c r="E173" s="61" t="e">
        <f>AVERAGE(E168:E172)</f>
        <v>#DIV/0!</v>
      </c>
      <c r="F173" s="61" t="e">
        <f>AVERAGE(F168:F172)</f>
        <v>#DIV/0!</v>
      </c>
      <c r="G173" s="62" t="e">
        <f t="shared" si="10"/>
        <v>#DIV/0!</v>
      </c>
    </row>
    <row r="174" spans="2:7" ht="16.5" x14ac:dyDescent="0.3">
      <c r="B174" s="57" t="s">
        <v>31</v>
      </c>
      <c r="C174" s="66" t="e">
        <f>COUNTIFS(TblUniv2019[C1],C$44,TblUniv2019[Program Pendidikan],$C$164)/$C$166*100%</f>
        <v>#DIV/0!</v>
      </c>
      <c r="D174" s="66" t="e">
        <f>COUNTIFS(TblUniv2019[C1],D$44,TblUniv2019[Program Pendidikan],$C$164)/$C$166*100%</f>
        <v>#DIV/0!</v>
      </c>
      <c r="E174" s="66" t="e">
        <f>COUNTIFS(TblUniv2019[C1],E$44,TblUniv2019[Program Pendidikan],$C$164)/$C$166*100%</f>
        <v>#DIV/0!</v>
      </c>
      <c r="F174" s="66" t="e">
        <f>COUNTIFS(TblUniv2019[C1],F$44,TblUniv2019[Program Pendidikan],$C$164)/$C$166*100%</f>
        <v>#DIV/0!</v>
      </c>
      <c r="G174" s="62" t="e">
        <f t="shared" si="10"/>
        <v>#DIV/0!</v>
      </c>
    </row>
    <row r="175" spans="2:7" ht="16.5" x14ac:dyDescent="0.3">
      <c r="B175" s="57" t="s">
        <v>32</v>
      </c>
      <c r="C175" s="66" t="e">
        <f>COUNTIFS(TblUniv2019[C2],C$44,TblUniv2019[Program Pendidikan],$C$164)/$C$166*100%</f>
        <v>#DIV/0!</v>
      </c>
      <c r="D175" s="66" t="e">
        <f>COUNTIFS(TblUniv2019[C2],D$44,TblUniv2019[Program Pendidikan],$C$164)/$C$166*100%</f>
        <v>#DIV/0!</v>
      </c>
      <c r="E175" s="66" t="e">
        <f>COUNTIFS(TblUniv2019[C2],E$44,TblUniv2019[Program Pendidikan],$C$164)/$C$166*100%</f>
        <v>#DIV/0!</v>
      </c>
      <c r="F175" s="66" t="e">
        <f>COUNTIFS(TblUniv2019[C2],F$44,TblUniv2019[Program Pendidikan],$C$164)/$C$166*100%</f>
        <v>#DIV/0!</v>
      </c>
      <c r="G175" s="62" t="e">
        <f t="shared" si="10"/>
        <v>#DIV/0!</v>
      </c>
    </row>
    <row r="176" spans="2:7" ht="16.5" x14ac:dyDescent="0.3">
      <c r="B176" s="60"/>
      <c r="C176" s="61" t="e">
        <f>AVERAGE(C174:C175)</f>
        <v>#DIV/0!</v>
      </c>
      <c r="D176" s="61" t="e">
        <f>AVERAGE(D174:D175)</f>
        <v>#DIV/0!</v>
      </c>
      <c r="E176" s="61" t="e">
        <f>AVERAGE(E174:E175)</f>
        <v>#DIV/0!</v>
      </c>
      <c r="F176" s="61" t="e">
        <f>AVERAGE(F174:F175)</f>
        <v>#DIV/0!</v>
      </c>
      <c r="G176" s="62" t="e">
        <f t="shared" si="10"/>
        <v>#DIV/0!</v>
      </c>
    </row>
    <row r="177" spans="2:7" ht="16.5" x14ac:dyDescent="0.3">
      <c r="B177" s="57" t="s">
        <v>33</v>
      </c>
      <c r="C177" s="66" t="e">
        <f>COUNTIFS(TblUniv2019[D1],C$44,TblUniv2019[Program Pendidikan],$C$164)/$C$166*100%</f>
        <v>#DIV/0!</v>
      </c>
      <c r="D177" s="66" t="e">
        <f>COUNTIFS(TblUniv2019[D1],D$44,TblUniv2019[Program Pendidikan],$C$164)/$C$166*100%</f>
        <v>#DIV/0!</v>
      </c>
      <c r="E177" s="66" t="e">
        <f>COUNTIFS(TblUniv2019[D1],E$44,TblUniv2019[Program Pendidikan],$C$164)/$C$166*100%</f>
        <v>#DIV/0!</v>
      </c>
      <c r="F177" s="66" t="e">
        <f>COUNTIFS(TblUniv2019[D1],F$44,TblUniv2019[Program Pendidikan],$C$164)/$C$166*100%</f>
        <v>#DIV/0!</v>
      </c>
      <c r="G177" s="62" t="e">
        <f t="shared" si="10"/>
        <v>#DIV/0!</v>
      </c>
    </row>
    <row r="178" spans="2:7" ht="16.5" x14ac:dyDescent="0.3">
      <c r="B178" s="57" t="s">
        <v>34</v>
      </c>
      <c r="C178" s="66" t="e">
        <f>COUNTIFS(TblUniv2019[D2],C$44,TblUniv2019[Program Pendidikan],$C$164)/$C$166*100%</f>
        <v>#DIV/0!</v>
      </c>
      <c r="D178" s="66" t="e">
        <f>COUNTIFS(TblUniv2019[D2],D$44,TblUniv2019[Program Pendidikan],$C$164)/$C$166*100%</f>
        <v>#DIV/0!</v>
      </c>
      <c r="E178" s="66" t="e">
        <f>COUNTIFS(TblUniv2019[D2],E$44,TblUniv2019[Program Pendidikan],$C$164)/$C$166*100%</f>
        <v>#DIV/0!</v>
      </c>
      <c r="F178" s="66" t="e">
        <f>COUNTIFS(TblUniv2019[D2],F$44,TblUniv2019[Program Pendidikan],$C$164)/$C$166*100%</f>
        <v>#DIV/0!</v>
      </c>
      <c r="G178" s="62" t="e">
        <f t="shared" si="10"/>
        <v>#DIV/0!</v>
      </c>
    </row>
    <row r="179" spans="2:7" ht="16.5" x14ac:dyDescent="0.3">
      <c r="B179" s="60"/>
      <c r="C179" s="61" t="e">
        <f>AVERAGE(C177:C178)</f>
        <v>#DIV/0!</v>
      </c>
      <c r="D179" s="61" t="e">
        <f>AVERAGE(D177:D178)</f>
        <v>#DIV/0!</v>
      </c>
      <c r="E179" s="61" t="e">
        <f>AVERAGE(E177:E178)</f>
        <v>#DIV/0!</v>
      </c>
      <c r="F179" s="61" t="e">
        <f>AVERAGE(F177:F178)</f>
        <v>#DIV/0!</v>
      </c>
      <c r="G179" s="62" t="e">
        <f t="shared" si="10"/>
        <v>#DIV/0!</v>
      </c>
    </row>
    <row r="180" spans="2:7" ht="16.5" x14ac:dyDescent="0.3">
      <c r="B180" s="57" t="s">
        <v>35</v>
      </c>
      <c r="C180" s="66" t="e">
        <f>COUNTIFS(TblUniv2019[E1],C$44,TblUniv2019[Program Pendidikan],$C$164)/$C$166*100%</f>
        <v>#DIV/0!</v>
      </c>
      <c r="D180" s="66" t="e">
        <f>COUNTIFS(TblUniv2019[E1],D$44,TblUniv2019[Program Pendidikan],$C$164)/$C$166*100%</f>
        <v>#DIV/0!</v>
      </c>
      <c r="E180" s="66" t="e">
        <f>COUNTIFS(TblUniv2019[E1],E$44,TblUniv2019[Program Pendidikan],$C$164)/$C$166*100%</f>
        <v>#DIV/0!</v>
      </c>
      <c r="F180" s="66" t="e">
        <f>COUNTIFS(TblUniv2019[E1],F$44,TblUniv2019[Program Pendidikan],$C$164)/$C$166*100%</f>
        <v>#DIV/0!</v>
      </c>
      <c r="G180" s="62" t="e">
        <f t="shared" si="10"/>
        <v>#DIV/0!</v>
      </c>
    </row>
    <row r="181" spans="2:7" ht="16.5" x14ac:dyDescent="0.3">
      <c r="B181" s="57" t="s">
        <v>36</v>
      </c>
      <c r="C181" s="66" t="e">
        <f>COUNTIFS(TblUniv2019[E2],C$44,TblUniv2019[Program Pendidikan],$C$164)/$C$166*100%</f>
        <v>#DIV/0!</v>
      </c>
      <c r="D181" s="66" t="e">
        <f>COUNTIFS(TblUniv2019[E2],D$44,TblUniv2019[Program Pendidikan],$C$164)/$C$166*100%</f>
        <v>#DIV/0!</v>
      </c>
      <c r="E181" s="66" t="e">
        <f>COUNTIFS(TblUniv2019[E2],E$44,TblUniv2019[Program Pendidikan],$C$164)/$C$166*100%</f>
        <v>#DIV/0!</v>
      </c>
      <c r="F181" s="66" t="e">
        <f>COUNTIFS(TblUniv2019[E2],F$44,TblUniv2019[Program Pendidikan],$C$164)/$C$166*100%</f>
        <v>#DIV/0!</v>
      </c>
      <c r="G181" s="62" t="e">
        <f t="shared" si="10"/>
        <v>#DIV/0!</v>
      </c>
    </row>
    <row r="182" spans="2:7" ht="16.5" x14ac:dyDescent="0.3">
      <c r="B182" s="60"/>
      <c r="C182" s="61" t="e">
        <f>AVERAGE(C180:C181)</f>
        <v>#DIV/0!</v>
      </c>
      <c r="D182" s="61" t="e">
        <f>AVERAGE(D180:D181)</f>
        <v>#DIV/0!</v>
      </c>
      <c r="E182" s="61" t="e">
        <f>AVERAGE(E180:E181)</f>
        <v>#DIV/0!</v>
      </c>
      <c r="F182" s="61" t="e">
        <f>AVERAGE(F180:F181)</f>
        <v>#DIV/0!</v>
      </c>
      <c r="G182" s="62" t="e">
        <f t="shared" si="10"/>
        <v>#DIV/0!</v>
      </c>
    </row>
    <row r="183" spans="2:7" ht="16.5" x14ac:dyDescent="0.3">
      <c r="B183" s="57" t="s">
        <v>37</v>
      </c>
      <c r="C183" s="66" t="e">
        <f>COUNTIFS(TblUniv2019[F1],C$44,TblUniv2019[Program Pendidikan],$C$164)/$C$166*100%</f>
        <v>#DIV/0!</v>
      </c>
      <c r="D183" s="66" t="e">
        <f>COUNTIFS(TblUniv2019[F1],D$44,TblUniv2019[Program Pendidikan],$C$164)/$C$166*100%</f>
        <v>#DIV/0!</v>
      </c>
      <c r="E183" s="66" t="e">
        <f>COUNTIFS(TblUniv2019[F1],E$44,TblUniv2019[Program Pendidikan],$C$164)/$C$166*100%</f>
        <v>#DIV/0!</v>
      </c>
      <c r="F183" s="66" t="e">
        <f>COUNTIFS(TblUniv2019[F1],F$44,TblUniv2019[Program Pendidikan],$C$164)/$C$166*100%</f>
        <v>#DIV/0!</v>
      </c>
      <c r="G183" s="62" t="e">
        <f t="shared" si="10"/>
        <v>#DIV/0!</v>
      </c>
    </row>
    <row r="184" spans="2:7" ht="16.5" x14ac:dyDescent="0.3">
      <c r="B184" s="57" t="s">
        <v>38</v>
      </c>
      <c r="C184" s="66" t="e">
        <f>COUNTIFS(TblUniv2019[F2],C$44,TblUniv2019[Program Pendidikan],$C$164)/$C$166*100%</f>
        <v>#DIV/0!</v>
      </c>
      <c r="D184" s="66" t="e">
        <f>COUNTIFS(TblUniv2019[F2],D$44,TblUniv2019[Program Pendidikan],$C$164)/$C$166*100%</f>
        <v>#DIV/0!</v>
      </c>
      <c r="E184" s="66" t="e">
        <f>COUNTIFS(TblUniv2019[F2],E$44,TblUniv2019[Program Pendidikan],$C$164)/$C$166*100%</f>
        <v>#DIV/0!</v>
      </c>
      <c r="F184" s="66" t="e">
        <f>COUNTIFS(TblUniv2019[F2],F$44,TblUniv2019[Program Pendidikan],$C$164)/$C$166*100%</f>
        <v>#DIV/0!</v>
      </c>
      <c r="G184" s="62" t="e">
        <f t="shared" si="10"/>
        <v>#DIV/0!</v>
      </c>
    </row>
    <row r="185" spans="2:7" ht="16.5" x14ac:dyDescent="0.3">
      <c r="B185" s="57" t="s">
        <v>39</v>
      </c>
      <c r="C185" s="66" t="e">
        <f>COUNTIFS(TblUniv2019[F3],C$44,TblUniv2019[Program Pendidikan],$C$164)/$C$166*100%</f>
        <v>#DIV/0!</v>
      </c>
      <c r="D185" s="66" t="e">
        <f>COUNTIFS(TblUniv2019[F3],D$44,TblUniv2019[Program Pendidikan],$C$164)/$C$166*100%</f>
        <v>#DIV/0!</v>
      </c>
      <c r="E185" s="66" t="e">
        <f>COUNTIFS(TblUniv2019[F3],E$44,TblUniv2019[Program Pendidikan],$C$164)/$C$166*100%</f>
        <v>#DIV/0!</v>
      </c>
      <c r="F185" s="66" t="e">
        <f>COUNTIFS(TblUniv2019[F3],F$44,TblUniv2019[Program Pendidikan],$C$164)/$C$166*100%</f>
        <v>#DIV/0!</v>
      </c>
      <c r="G185" s="62" t="e">
        <f t="shared" si="10"/>
        <v>#DIV/0!</v>
      </c>
    </row>
    <row r="186" spans="2:7" ht="16.5" x14ac:dyDescent="0.3">
      <c r="B186" s="60"/>
      <c r="C186" s="61" t="e">
        <f>AVERAGE(C183:C185)</f>
        <v>#DIV/0!</v>
      </c>
      <c r="D186" s="61" t="e">
        <f>AVERAGE(D183:D185)</f>
        <v>#DIV/0!</v>
      </c>
      <c r="E186" s="61" t="e">
        <f>AVERAGE(E183:E185)</f>
        <v>#DIV/0!</v>
      </c>
      <c r="F186" s="61" t="e">
        <f>AVERAGE(F183:F185)</f>
        <v>#DIV/0!</v>
      </c>
      <c r="G186" s="62" t="e">
        <f t="shared" si="10"/>
        <v>#DIV/0!</v>
      </c>
    </row>
    <row r="187" spans="2:7" ht="16.5" x14ac:dyDescent="0.3">
      <c r="B187" s="57" t="s">
        <v>40</v>
      </c>
      <c r="C187" s="66" t="e">
        <f>COUNTIFS(TblUniv2019[G1],C$44,TblUniv2019[Program Pendidikan],$C$164)/$C$166*100%</f>
        <v>#DIV/0!</v>
      </c>
      <c r="D187" s="66" t="e">
        <f>COUNTIFS(TblUniv2019[G1],D$44,TblUniv2019[Program Pendidikan],$C$164)/$C$166*100%</f>
        <v>#DIV/0!</v>
      </c>
      <c r="E187" s="66" t="e">
        <f>COUNTIFS(TblUniv2019[G1],E$44,TblUniv2019[Program Pendidikan],$C$164)/$C$166*100%</f>
        <v>#DIV/0!</v>
      </c>
      <c r="F187" s="66" t="e">
        <f>COUNTIFS(TblUniv2019[G1],F$44,TblUniv2019[Program Pendidikan],$C$164)/$C$166*100%</f>
        <v>#DIV/0!</v>
      </c>
      <c r="G187" s="62" t="e">
        <f t="shared" si="10"/>
        <v>#DIV/0!</v>
      </c>
    </row>
    <row r="188" spans="2:7" ht="16.5" x14ac:dyDescent="0.3">
      <c r="B188" s="57" t="s">
        <v>41</v>
      </c>
      <c r="C188" s="66" t="e">
        <f>COUNTIFS(TblUniv2019[G2],C$44,TblUniv2019[Program Pendidikan],$C$164)/$C$166*100%</f>
        <v>#DIV/0!</v>
      </c>
      <c r="D188" s="66" t="e">
        <f>COUNTIFS(TblUniv2019[G2],D$44,TblUniv2019[Program Pendidikan],$C$164)/$C$166*100%</f>
        <v>#DIV/0!</v>
      </c>
      <c r="E188" s="66" t="e">
        <f>COUNTIFS(TblUniv2019[G2],E$44,TblUniv2019[Program Pendidikan],$C$164)/$C$166*100%</f>
        <v>#DIV/0!</v>
      </c>
      <c r="F188" s="66" t="e">
        <f>COUNTIFS(TblUniv2019[G2],F$44,TblUniv2019[Program Pendidikan],$C$164)/$C$166*100%</f>
        <v>#DIV/0!</v>
      </c>
      <c r="G188" s="62" t="e">
        <f t="shared" si="10"/>
        <v>#DIV/0!</v>
      </c>
    </row>
    <row r="189" spans="2:7" ht="16.5" x14ac:dyDescent="0.3">
      <c r="B189" s="60"/>
      <c r="C189" s="61" t="e">
        <f>AVERAGE(C187:C188)</f>
        <v>#DIV/0!</v>
      </c>
      <c r="D189" s="61" t="e">
        <f>AVERAGE(D187:D188)</f>
        <v>#DIV/0!</v>
      </c>
      <c r="E189" s="61" t="e">
        <f>AVERAGE(E187:E188)</f>
        <v>#DIV/0!</v>
      </c>
      <c r="F189" s="61" t="e">
        <f>AVERAGE(F187:F188)</f>
        <v>#DIV/0!</v>
      </c>
      <c r="G189" s="62" t="e">
        <f t="shared" si="10"/>
        <v>#DIV/0!</v>
      </c>
    </row>
    <row r="190" spans="2:7" ht="16.5" x14ac:dyDescent="0.3">
      <c r="B190" s="57" t="s">
        <v>42</v>
      </c>
      <c r="C190" s="66" t="e">
        <f>COUNTIFS(TblUniv2019[H1],C$44,TblUniv2019[Program Pendidikan],$C$164)/$C$166*100%</f>
        <v>#DIV/0!</v>
      </c>
      <c r="D190" s="66" t="e">
        <f>COUNTIFS(TblUniv2019[H1],D$44,TblUniv2019[Program Pendidikan],$C$164)/$C$166*100%</f>
        <v>#DIV/0!</v>
      </c>
      <c r="E190" s="66" t="e">
        <f>COUNTIFS(TblUniv2019[H1],E$44,TblUniv2019[Program Pendidikan],$C$164)/$C$166*100%</f>
        <v>#DIV/0!</v>
      </c>
      <c r="F190" s="66" t="e">
        <f>COUNTIFS(TblUniv2019[H1],F$44,TblUniv2019[Program Pendidikan],$C$164)/$C$166*100%</f>
        <v>#DIV/0!</v>
      </c>
      <c r="G190" s="62" t="e">
        <f t="shared" si="10"/>
        <v>#DIV/0!</v>
      </c>
    </row>
    <row r="191" spans="2:7" ht="16.5" x14ac:dyDescent="0.3">
      <c r="B191" s="57" t="s">
        <v>43</v>
      </c>
      <c r="C191" s="66" t="e">
        <f>COUNTIFS(TblUniv2019[H1],C$44,TblUniv2019[Program Pendidikan],$C$164)/$C$166*100%</f>
        <v>#DIV/0!</v>
      </c>
      <c r="D191" s="66" t="e">
        <f>COUNTIFS(TblUniv2019[H1],D$44,TblUniv2019[Program Pendidikan],$C$164)/$C$166*100%</f>
        <v>#DIV/0!</v>
      </c>
      <c r="E191" s="66" t="e">
        <f>COUNTIFS(TblUniv2019[H1],E$44,TblUniv2019[Program Pendidikan],$C$164)/$C$166*100%</f>
        <v>#DIV/0!</v>
      </c>
      <c r="F191" s="66" t="e">
        <f>COUNTIFS(TblUniv2019[H1],F$44,TblUniv2019[Program Pendidikan],$C$164)/$C$166*100%</f>
        <v>#DIV/0!</v>
      </c>
      <c r="G191" s="62" t="e">
        <f t="shared" si="10"/>
        <v>#DIV/0!</v>
      </c>
    </row>
    <row r="192" spans="2:7" ht="16.5" x14ac:dyDescent="0.3">
      <c r="B192" s="57" t="s">
        <v>44</v>
      </c>
      <c r="C192" s="66" t="e">
        <f>COUNTIFS(TblUniv2019[H3],C$44,TblUniv2019[Program Pendidikan],$C$164)/$C$166*100%</f>
        <v>#DIV/0!</v>
      </c>
      <c r="D192" s="66" t="e">
        <f>COUNTIFS(TblUniv2019[H3],D$44,TblUniv2019[Program Pendidikan],$C$164)/$C$166*100%</f>
        <v>#DIV/0!</v>
      </c>
      <c r="E192" s="66" t="e">
        <f>COUNTIFS(TblUniv2019[H3],E$44,TblUniv2019[Program Pendidikan],$C$164)/$C$166*100%</f>
        <v>#DIV/0!</v>
      </c>
      <c r="F192" s="66" t="e">
        <f>COUNTIFS(TblUniv2019[H3],F$44,TblUniv2019[Program Pendidikan],$C$164)/$C$166*100%</f>
        <v>#DIV/0!</v>
      </c>
      <c r="G192" s="62" t="e">
        <f t="shared" si="10"/>
        <v>#DIV/0!</v>
      </c>
    </row>
    <row r="193" spans="2:7" ht="16.5" x14ac:dyDescent="0.3">
      <c r="B193" s="57" t="s">
        <v>45</v>
      </c>
      <c r="C193" s="66" t="e">
        <f>COUNTIFS(TblUniv2019[H4],C$44,TblUniv2019[Program Pendidikan],$C$164)/$C$166*100%</f>
        <v>#DIV/0!</v>
      </c>
      <c r="D193" s="66" t="e">
        <f>COUNTIFS(TblUniv2019[H4],D$44,TblUniv2019[Program Pendidikan],$C$164)/$C$166*100%</f>
        <v>#DIV/0!</v>
      </c>
      <c r="E193" s="66" t="e">
        <f>COUNTIFS(TblUniv2019[H4],E$44,TblUniv2019[Program Pendidikan],$C$164)/$C$166*100%</f>
        <v>#DIV/0!</v>
      </c>
      <c r="F193" s="66" t="e">
        <f>COUNTIFS(TblUniv2019[H4],F$44,TblUniv2019[Program Pendidikan],$C$164)/$C$166*100%</f>
        <v>#DIV/0!</v>
      </c>
      <c r="G193" s="62" t="e">
        <f t="shared" si="10"/>
        <v>#DIV/0!</v>
      </c>
    </row>
    <row r="194" spans="2:7" ht="16.5" x14ac:dyDescent="0.3">
      <c r="B194" s="60"/>
      <c r="C194" s="61" t="e">
        <f>AVERAGE(C190:C193)</f>
        <v>#DIV/0!</v>
      </c>
      <c r="D194" s="61" t="e">
        <f>AVERAGE(D190:D193)</f>
        <v>#DIV/0!</v>
      </c>
      <c r="E194" s="61" t="e">
        <f>AVERAGE(E190:E193)</f>
        <v>#DIV/0!</v>
      </c>
      <c r="F194" s="61" t="e">
        <f>AVERAGE(F190:F193)</f>
        <v>#DIV/0!</v>
      </c>
      <c r="G194" s="62" t="e">
        <f t="shared" si="10"/>
        <v>#DIV/0!</v>
      </c>
    </row>
    <row r="195" spans="2:7" ht="16.5" x14ac:dyDescent="0.3">
      <c r="B195" s="57" t="s">
        <v>648</v>
      </c>
      <c r="C195" s="66" t="e">
        <f>COUNTIFS(TblUniv2019[I. a1],C$44,TblUniv2019[Program Pendidikan],$C$164)/$C$166*100%</f>
        <v>#DIV/0!</v>
      </c>
      <c r="D195" s="66" t="e">
        <f>COUNTIFS(TblUniv2019[I. a1],D$44,TblUniv2019[Program Pendidikan],$C$164)/$C$166*100%</f>
        <v>#DIV/0!</v>
      </c>
      <c r="E195" s="66" t="e">
        <f>COUNTIFS(TblUniv2019[I. a1],E$44,TblUniv2019[Program Pendidikan],$C$164)/$C$166*100%</f>
        <v>#DIV/0!</v>
      </c>
      <c r="F195" s="66" t="e">
        <f>COUNTIFS(TblUniv2019[I. a1],F$44,TblUniv2019[Program Pendidikan],$C$164)/$C$166*100%</f>
        <v>#DIV/0!</v>
      </c>
      <c r="G195" s="62" t="e">
        <f t="shared" si="10"/>
        <v>#DIV/0!</v>
      </c>
    </row>
    <row r="196" spans="2:7" ht="16.5" x14ac:dyDescent="0.3">
      <c r="B196" s="57" t="s">
        <v>649</v>
      </c>
      <c r="C196" s="66" t="e">
        <f>COUNTIFS(TblUniv2019[I. a2],C$44,TblUniv2019[Program Pendidikan],$C$164)/$C$166*100%</f>
        <v>#DIV/0!</v>
      </c>
      <c r="D196" s="66" t="e">
        <f>COUNTIFS(TblUniv2019[I. a2],D$44,TblUniv2019[Program Pendidikan],$C$164)/$C$166*100%</f>
        <v>#DIV/0!</v>
      </c>
      <c r="E196" s="66" t="e">
        <f>COUNTIFS(TblUniv2019[I. a2],E$44,TblUniv2019[Program Pendidikan],$C$164)/$C$166*100%</f>
        <v>#DIV/0!</v>
      </c>
      <c r="F196" s="66" t="e">
        <f>COUNTIFS(TblUniv2019[I. a2],F$44,TblUniv2019[Program Pendidikan],$C$164)/$C$166*100%</f>
        <v>#DIV/0!</v>
      </c>
      <c r="G196" s="62" t="e">
        <f t="shared" si="10"/>
        <v>#DIV/0!</v>
      </c>
    </row>
    <row r="197" spans="2:7" ht="16.5" x14ac:dyDescent="0.3">
      <c r="B197" s="57" t="s">
        <v>650</v>
      </c>
      <c r="C197" s="66" t="e">
        <f>COUNTIFS(TblUniv2019[I. a3],C$44,TblUniv2019[Program Pendidikan],$C$164)/$C$166*100%</f>
        <v>#DIV/0!</v>
      </c>
      <c r="D197" s="66" t="e">
        <f>COUNTIFS(TblUniv2019[I. a3],D$44,TblUniv2019[Program Pendidikan],$C$164)/$C$166*100%</f>
        <v>#DIV/0!</v>
      </c>
      <c r="E197" s="66" t="e">
        <f>COUNTIFS(TblUniv2019[I. a3],E$44,TblUniv2019[Program Pendidikan],$C$164)/$C$166*100%</f>
        <v>#DIV/0!</v>
      </c>
      <c r="F197" s="66" t="e">
        <f>COUNTIFS(TblUniv2019[I. a3],F$44,TblUniv2019[Program Pendidikan],$C$164)/$C$166*100%</f>
        <v>#DIV/0!</v>
      </c>
      <c r="G197" s="62" t="e">
        <f t="shared" si="10"/>
        <v>#DIV/0!</v>
      </c>
    </row>
    <row r="198" spans="2:7" ht="16.5" x14ac:dyDescent="0.3">
      <c r="B198" s="57" t="s">
        <v>651</v>
      </c>
      <c r="C198" s="66" t="e">
        <f>COUNTIFS(TblUniv2019[I. a4],C$44,TblUniv2019[Program Pendidikan],$C$164)/$C$166*100%</f>
        <v>#DIV/0!</v>
      </c>
      <c r="D198" s="66" t="e">
        <f>COUNTIFS(TblUniv2019[I. a4],D$44,TblUniv2019[Program Pendidikan],$C$164)/$C$166*100%</f>
        <v>#DIV/0!</v>
      </c>
      <c r="E198" s="66" t="e">
        <f>COUNTIFS(TblUniv2019[I. a4],E$44,TblUniv2019[Program Pendidikan],$C$164)/$C$166*100%</f>
        <v>#DIV/0!</v>
      </c>
      <c r="F198" s="66" t="e">
        <f>COUNTIFS(TblUniv2019[I. a4],F$44,TblUniv2019[Program Pendidikan],$C$164)/$C$166*100%</f>
        <v>#DIV/0!</v>
      </c>
      <c r="G198" s="62" t="e">
        <f t="shared" si="10"/>
        <v>#DIV/0!</v>
      </c>
    </row>
    <row r="199" spans="2:7" ht="16.5" x14ac:dyDescent="0.3">
      <c r="B199" s="57" t="s">
        <v>652</v>
      </c>
      <c r="C199" s="66" t="e">
        <f>COUNTIFS(TblUniv2019[I. a5],C$44,TblUniv2019[Program Pendidikan],$C$164)/$C$166*100%</f>
        <v>#DIV/0!</v>
      </c>
      <c r="D199" s="66" t="e">
        <f>COUNTIFS(TblUniv2019[I. a5],D$44,TblUniv2019[Program Pendidikan],$C$164)/$C$166*100%</f>
        <v>#DIV/0!</v>
      </c>
      <c r="E199" s="66" t="e">
        <f>COUNTIFS(TblUniv2019[I. a5],E$44,TblUniv2019[Program Pendidikan],$C$164)/$C$166*100%</f>
        <v>#DIV/0!</v>
      </c>
      <c r="F199" s="66" t="e">
        <f>COUNTIFS(TblUniv2019[I. a5],F$44,TblUniv2019[Program Pendidikan],$C$164)/$C$166*100%</f>
        <v>#DIV/0!</v>
      </c>
      <c r="G199" s="62" t="e">
        <f t="shared" si="10"/>
        <v>#DIV/0!</v>
      </c>
    </row>
    <row r="200" spans="2:7" ht="16.5" x14ac:dyDescent="0.3">
      <c r="B200" s="60"/>
      <c r="C200" s="61" t="e">
        <f>AVERAGE(C195:C199)</f>
        <v>#DIV/0!</v>
      </c>
      <c r="D200" s="61" t="e">
        <f>AVERAGE(D195:D199)</f>
        <v>#DIV/0!</v>
      </c>
      <c r="E200" s="61" t="e">
        <f>AVERAGE(E195:E199)</f>
        <v>#DIV/0!</v>
      </c>
      <c r="F200" s="61" t="e">
        <f>AVERAGE(F195:F199)</f>
        <v>#DIV/0!</v>
      </c>
      <c r="G200" s="62" t="e">
        <f t="shared" si="10"/>
        <v>#DIV/0!</v>
      </c>
    </row>
    <row r="201" spans="2:7" ht="16.5" x14ac:dyDescent="0.3">
      <c r="B201" s="57" t="s">
        <v>653</v>
      </c>
      <c r="C201" s="66" t="e">
        <f>COUNTIFS(TblUniv2019[I. b1],C$44,TblUniv2019[Program Pendidikan],$C$164)/$C$166*100%</f>
        <v>#DIV/0!</v>
      </c>
      <c r="D201" s="66" t="e">
        <f>COUNTIFS(TblUniv2019[I. b1],D$44,TblUniv2019[Program Pendidikan],$C$164)/$C$166*100%</f>
        <v>#DIV/0!</v>
      </c>
      <c r="E201" s="66" t="e">
        <f>COUNTIFS(TblUniv2019[I. b1],E$44,TblUniv2019[Program Pendidikan],$C$164)/$C$166*100%</f>
        <v>#DIV/0!</v>
      </c>
      <c r="F201" s="66" t="e">
        <f>COUNTIFS(TblUniv2019[I. b1],F$44,TblUniv2019[Program Pendidikan],$C$164)/$C$166*100%</f>
        <v>#DIV/0!</v>
      </c>
      <c r="G201" s="62" t="e">
        <f t="shared" si="10"/>
        <v>#DIV/0!</v>
      </c>
    </row>
    <row r="202" spans="2:7" ht="16.5" x14ac:dyDescent="0.3">
      <c r="B202" s="57" t="s">
        <v>654</v>
      </c>
      <c r="C202" s="66" t="e">
        <f>COUNTIFS(TblUniv2019[I. b2],C$44,TblUniv2019[Program Pendidikan],$C$164)/$C$166*100%</f>
        <v>#DIV/0!</v>
      </c>
      <c r="D202" s="66" t="e">
        <f>COUNTIFS(TblUniv2019[I. b2],D$44,TblUniv2019[Program Pendidikan],$C$164)/$C$166*100%</f>
        <v>#DIV/0!</v>
      </c>
      <c r="E202" s="66" t="e">
        <f>COUNTIFS(TblUniv2019[I. b2],E$44,TblUniv2019[Program Pendidikan],$C$164)/$C$166*100%</f>
        <v>#DIV/0!</v>
      </c>
      <c r="F202" s="66" t="e">
        <f>COUNTIFS(TblUniv2019[I. b2],F$44,TblUniv2019[Program Pendidikan],$C$164)/$C$166*100%</f>
        <v>#DIV/0!</v>
      </c>
      <c r="G202" s="62" t="e">
        <f t="shared" si="10"/>
        <v>#DIV/0!</v>
      </c>
    </row>
    <row r="203" spans="2:7" ht="16.5" x14ac:dyDescent="0.3">
      <c r="B203" s="57" t="s">
        <v>655</v>
      </c>
      <c r="C203" s="66" t="e">
        <f>COUNTIFS(TblUniv2019[I. b3],C$44,TblUniv2019[Program Pendidikan],$C$164)/$C$166*100%</f>
        <v>#DIV/0!</v>
      </c>
      <c r="D203" s="66" t="e">
        <f>COUNTIFS(TblUniv2019[I. b3],D$44,TblUniv2019[Program Pendidikan],$C$164)/$C$166*100%</f>
        <v>#DIV/0!</v>
      </c>
      <c r="E203" s="66" t="e">
        <f>COUNTIFS(TblUniv2019[I. b3],E$44,TblUniv2019[Program Pendidikan],$C$164)/$C$166*100%</f>
        <v>#DIV/0!</v>
      </c>
      <c r="F203" s="66" t="e">
        <f>COUNTIFS(TblUniv2019[I. b3],F$44,TblUniv2019[Program Pendidikan],$C$164)/$C$166*100%</f>
        <v>#DIV/0!</v>
      </c>
      <c r="G203" s="62" t="e">
        <f t="shared" si="10"/>
        <v>#DIV/0!</v>
      </c>
    </row>
    <row r="204" spans="2:7" ht="16.5" x14ac:dyDescent="0.3">
      <c r="B204" s="57" t="s">
        <v>656</v>
      </c>
      <c r="C204" s="66" t="e">
        <f>COUNTIFS(TblUniv2019[I. b4],C$44,TblUniv2019[Program Pendidikan],$C$164)/$C$166*100%</f>
        <v>#DIV/0!</v>
      </c>
      <c r="D204" s="66" t="e">
        <f>COUNTIFS(TblUniv2019[I. b4],D$44,TblUniv2019[Program Pendidikan],$C$164)/$C$166*100%</f>
        <v>#DIV/0!</v>
      </c>
      <c r="E204" s="66" t="e">
        <f>COUNTIFS(TblUniv2019[I. b4],E$44,TblUniv2019[Program Pendidikan],$C$164)/$C$166*100%</f>
        <v>#DIV/0!</v>
      </c>
      <c r="F204" s="66" t="e">
        <f>COUNTIFS(TblUniv2019[I. b4],F$44,TblUniv2019[Program Pendidikan],$C$164)/$C$166*100%</f>
        <v>#DIV/0!</v>
      </c>
      <c r="G204" s="62" t="e">
        <f t="shared" si="10"/>
        <v>#DIV/0!</v>
      </c>
    </row>
    <row r="205" spans="2:7" ht="17.25" thickBot="1" x14ac:dyDescent="0.35">
      <c r="B205" s="67"/>
      <c r="C205" s="68" t="e">
        <f>AVERAGE(C201:C204)</f>
        <v>#DIV/0!</v>
      </c>
      <c r="D205" s="68" t="e">
        <f>AVERAGE(D201:D204)</f>
        <v>#DIV/0!</v>
      </c>
      <c r="E205" s="68" t="e">
        <f>AVERAGE(E201:E204)</f>
        <v>#DIV/0!</v>
      </c>
      <c r="F205" s="68" t="e">
        <f>AVERAGE(F201:F204)</f>
        <v>#DIV/0!</v>
      </c>
      <c r="G205" s="62" t="e">
        <f t="shared" si="10"/>
        <v>#DIV/0!</v>
      </c>
    </row>
    <row r="206" spans="2:7" ht="15.75" thickBot="1" x14ac:dyDescent="0.3"/>
    <row r="207" spans="2:7" ht="17.25" thickBot="1" x14ac:dyDescent="0.3">
      <c r="B207" s="64" t="s">
        <v>14</v>
      </c>
      <c r="C207" s="65" t="str">
        <f>C164</f>
        <v>Diploma Empat/ Sarjana Terapan</v>
      </c>
      <c r="G207" s="1" t="s">
        <v>73</v>
      </c>
    </row>
    <row r="208" spans="2:7" ht="33.75" thickBot="1" x14ac:dyDescent="0.3">
      <c r="B208" s="64" t="s">
        <v>647</v>
      </c>
      <c r="C208" s="65">
        <f>C165</f>
        <v>2019</v>
      </c>
      <c r="G208" s="83" t="s">
        <v>128</v>
      </c>
    </row>
    <row r="209" spans="2:6" ht="17.25" thickBot="1" x14ac:dyDescent="0.3">
      <c r="B209" s="64" t="s">
        <v>646</v>
      </c>
      <c r="C209" s="65">
        <f>C166</f>
        <v>0</v>
      </c>
    </row>
    <row r="210" spans="2:6" ht="15.75" thickBot="1" x14ac:dyDescent="0.3">
      <c r="B210" s="222" t="s">
        <v>658</v>
      </c>
      <c r="C210" s="223" t="s">
        <v>664</v>
      </c>
      <c r="D210" s="223"/>
      <c r="E210" s="223"/>
      <c r="F210" s="223"/>
    </row>
    <row r="211" spans="2:6" ht="15.75" thickBot="1" x14ac:dyDescent="0.3">
      <c r="B211" s="222"/>
      <c r="C211" s="72" t="s">
        <v>645</v>
      </c>
      <c r="D211" s="72" t="s">
        <v>665</v>
      </c>
      <c r="E211" s="72" t="s">
        <v>666</v>
      </c>
      <c r="F211" s="72" t="s">
        <v>667</v>
      </c>
    </row>
    <row r="212" spans="2:6" x14ac:dyDescent="0.25">
      <c r="B212" s="73">
        <v>2</v>
      </c>
      <c r="C212" s="71">
        <v>3</v>
      </c>
      <c r="D212" s="71">
        <v>4</v>
      </c>
      <c r="E212" s="71">
        <v>5</v>
      </c>
      <c r="F212" s="74">
        <v>6</v>
      </c>
    </row>
    <row r="213" spans="2:6" x14ac:dyDescent="0.25">
      <c r="B213" s="75" t="s">
        <v>659</v>
      </c>
      <c r="C213" s="58" t="e">
        <f>C173</f>
        <v>#DIV/0!</v>
      </c>
      <c r="D213" s="58" t="e">
        <f>D173</f>
        <v>#DIV/0!</v>
      </c>
      <c r="E213" s="58" t="e">
        <f>E173</f>
        <v>#DIV/0!</v>
      </c>
      <c r="F213" s="59" t="e">
        <f>F173</f>
        <v>#DIV/0!</v>
      </c>
    </row>
    <row r="214" spans="2:6" x14ac:dyDescent="0.25">
      <c r="B214" s="75" t="s">
        <v>660</v>
      </c>
      <c r="C214" s="58" t="e">
        <f>C176</f>
        <v>#DIV/0!</v>
      </c>
      <c r="D214" s="58" t="e">
        <f>D176</f>
        <v>#DIV/0!</v>
      </c>
      <c r="E214" s="58" t="e">
        <f>E176</f>
        <v>#DIV/0!</v>
      </c>
      <c r="F214" s="59" t="e">
        <f>F176</f>
        <v>#DIV/0!</v>
      </c>
    </row>
    <row r="215" spans="2:6" x14ac:dyDescent="0.25">
      <c r="B215" s="75" t="s">
        <v>661</v>
      </c>
      <c r="C215" s="58" t="e">
        <f>C179</f>
        <v>#DIV/0!</v>
      </c>
      <c r="D215" s="58" t="e">
        <f>D179</f>
        <v>#DIV/0!</v>
      </c>
      <c r="E215" s="58" t="e">
        <f>E179</f>
        <v>#DIV/0!</v>
      </c>
      <c r="F215" s="59" t="e">
        <f>F179</f>
        <v>#DIV/0!</v>
      </c>
    </row>
    <row r="216" spans="2:6" x14ac:dyDescent="0.25">
      <c r="B216" s="75" t="s">
        <v>662</v>
      </c>
      <c r="C216" s="58" t="e">
        <f>C182</f>
        <v>#DIV/0!</v>
      </c>
      <c r="D216" s="58" t="e">
        <f>D182</f>
        <v>#DIV/0!</v>
      </c>
      <c r="E216" s="58" t="e">
        <f>E182</f>
        <v>#DIV/0!</v>
      </c>
      <c r="F216" s="59" t="e">
        <f>F182</f>
        <v>#DIV/0!</v>
      </c>
    </row>
    <row r="217" spans="2:6" x14ac:dyDescent="0.25">
      <c r="B217" s="75" t="s">
        <v>663</v>
      </c>
      <c r="C217" s="58" t="e">
        <f>C186</f>
        <v>#DIV/0!</v>
      </c>
      <c r="D217" s="58" t="e">
        <f>D186</f>
        <v>#DIV/0!</v>
      </c>
      <c r="E217" s="58" t="e">
        <f>E186</f>
        <v>#DIV/0!</v>
      </c>
      <c r="F217" s="59" t="e">
        <f>F186</f>
        <v>#DIV/0!</v>
      </c>
    </row>
    <row r="218" spans="2:6" x14ac:dyDescent="0.25">
      <c r="B218" s="75" t="s">
        <v>617</v>
      </c>
      <c r="C218" s="58" t="e">
        <f>C189</f>
        <v>#DIV/0!</v>
      </c>
      <c r="D218" s="58" t="e">
        <f>D189</f>
        <v>#DIV/0!</v>
      </c>
      <c r="E218" s="58" t="e">
        <f>E189</f>
        <v>#DIV/0!</v>
      </c>
      <c r="F218" s="59" t="e">
        <f>F189</f>
        <v>#DIV/0!</v>
      </c>
    </row>
    <row r="219" spans="2:6" x14ac:dyDescent="0.25">
      <c r="B219" s="75" t="s">
        <v>330</v>
      </c>
      <c r="C219" s="58" t="e">
        <f>C194</f>
        <v>#DIV/0!</v>
      </c>
      <c r="D219" s="58" t="e">
        <f>D194</f>
        <v>#DIV/0!</v>
      </c>
      <c r="E219" s="58" t="e">
        <f>E194</f>
        <v>#DIV/0!</v>
      </c>
      <c r="F219" s="59" t="e">
        <f>F194</f>
        <v>#DIV/0!</v>
      </c>
    </row>
    <row r="220" spans="2:6" x14ac:dyDescent="0.25">
      <c r="B220" s="75" t="s">
        <v>68</v>
      </c>
      <c r="C220" s="58" t="e">
        <f>C200</f>
        <v>#DIV/0!</v>
      </c>
      <c r="D220" s="58" t="e">
        <f>D200</f>
        <v>#DIV/0!</v>
      </c>
      <c r="E220" s="58" t="e">
        <f>E200</f>
        <v>#DIV/0!</v>
      </c>
      <c r="F220" s="59" t="e">
        <f>F200</f>
        <v>#DIV/0!</v>
      </c>
    </row>
    <row r="221" spans="2:6" ht="15.75" thickBot="1" x14ac:dyDescent="0.3">
      <c r="B221" s="76" t="s">
        <v>68</v>
      </c>
      <c r="C221" s="77" t="e">
        <f>C205</f>
        <v>#DIV/0!</v>
      </c>
      <c r="D221" s="77" t="e">
        <f>D205</f>
        <v>#DIV/0!</v>
      </c>
      <c r="E221" s="77" t="e">
        <f>E205</f>
        <v>#DIV/0!</v>
      </c>
      <c r="F221" s="78" t="e">
        <f>F205</f>
        <v>#DIV/0!</v>
      </c>
    </row>
    <row r="222" spans="2:6" x14ac:dyDescent="0.25">
      <c r="B222" s="79" t="s">
        <v>669</v>
      </c>
      <c r="C222" s="81" t="e">
        <f>SUM(C213:C221)</f>
        <v>#DIV/0!</v>
      </c>
      <c r="D222" s="81" t="e">
        <f>SUM(D213:D221)</f>
        <v>#DIV/0!</v>
      </c>
      <c r="E222" s="81" t="e">
        <f>SUM(E213:E221)</f>
        <v>#DIV/0!</v>
      </c>
      <c r="F222" s="84" t="e">
        <f>SUM(F213:F221)</f>
        <v>#DIV/0!</v>
      </c>
    </row>
    <row r="223" spans="2:6" ht="15.75" thickBot="1" x14ac:dyDescent="0.3">
      <c r="B223" s="80" t="s">
        <v>670</v>
      </c>
      <c r="C223" s="82" t="e">
        <f>AVERAGE(C213:C221)</f>
        <v>#DIV/0!</v>
      </c>
      <c r="D223" s="82" t="e">
        <f>AVERAGE(D213:D221)</f>
        <v>#DIV/0!</v>
      </c>
      <c r="E223" s="82" t="e">
        <f>AVERAGE(E213:E221)</f>
        <v>#DIV/0!</v>
      </c>
      <c r="F223" s="85" t="e">
        <f>AVERAGE(F213:F221)</f>
        <v>#DIV/0!</v>
      </c>
    </row>
    <row r="225" spans="2:7" ht="15.75" thickBot="1" x14ac:dyDescent="0.3"/>
    <row r="226" spans="2:7" ht="17.25" thickBot="1" x14ac:dyDescent="0.3">
      <c r="B226" s="64" t="s">
        <v>66</v>
      </c>
      <c r="C226" s="86" t="s">
        <v>73</v>
      </c>
    </row>
    <row r="227" spans="2:7" ht="17.25" thickBot="1" x14ac:dyDescent="0.3">
      <c r="B227" s="64" t="s">
        <v>647</v>
      </c>
      <c r="C227" s="65">
        <v>2019</v>
      </c>
    </row>
    <row r="228" spans="2:7" ht="17.25" thickBot="1" x14ac:dyDescent="0.3">
      <c r="B228" s="64" t="s">
        <v>646</v>
      </c>
      <c r="C228" s="65">
        <f>COUNTIFS(TblUniv2019[th lulus],C227,TblUniv2019[Program Pendidikan],C226)</f>
        <v>0</v>
      </c>
    </row>
    <row r="229" spans="2:7" ht="16.5" x14ac:dyDescent="0.3">
      <c r="B229" s="55"/>
      <c r="C229" s="56" t="s">
        <v>69</v>
      </c>
      <c r="D229" s="56" t="s">
        <v>1</v>
      </c>
      <c r="E229" s="56" t="s">
        <v>75</v>
      </c>
      <c r="F229" s="56" t="s">
        <v>168</v>
      </c>
      <c r="G229" s="56"/>
    </row>
    <row r="230" spans="2:7" ht="16.5" x14ac:dyDescent="0.3">
      <c r="B230" s="57" t="s">
        <v>26</v>
      </c>
      <c r="C230" s="66" t="e">
        <f>COUNTIFS(TblUniv2019[B1],C$44,TblUniv2019[Program Pendidikan],$C$226)/$C$228*100%</f>
        <v>#DIV/0!</v>
      </c>
      <c r="D230" s="66" t="e">
        <f>COUNTIFS(TblUniv2019[B1],D$44,TblUniv2019[Program Pendidikan],$C$226)/$C$228*100%</f>
        <v>#DIV/0!</v>
      </c>
      <c r="E230" s="66" t="e">
        <f>COUNTIFS(TblUniv2019[B1],E$44,TblUniv2019[Program Pendidikan],$C$226)/$C$228*100%</f>
        <v>#DIV/0!</v>
      </c>
      <c r="F230" s="66" t="e">
        <f>COUNTIFS(TblUniv2019[B1],F$44,TblUniv2019[Program Pendidikan],$C$226)/$C$228*100%</f>
        <v>#DIV/0!</v>
      </c>
      <c r="G230" s="62" t="e">
        <f t="shared" ref="G230:G267" si="11">SUM(C230:F230)</f>
        <v>#DIV/0!</v>
      </c>
    </row>
    <row r="231" spans="2:7" ht="16.5" x14ac:dyDescent="0.3">
      <c r="B231" s="57" t="s">
        <v>27</v>
      </c>
      <c r="C231" s="66" t="e">
        <f>COUNTIFS(TblUniv2019[B2],C$44,TblUniv2019[Program Pendidikan],$C$226)/$C$228*100%</f>
        <v>#DIV/0!</v>
      </c>
      <c r="D231" s="66" t="e">
        <f>COUNTIFS(TblUniv2019[B2],D$44,TblUniv2019[Program Pendidikan],$C$226)/$C$228*100%</f>
        <v>#DIV/0!</v>
      </c>
      <c r="E231" s="66" t="e">
        <f>COUNTIFS(TblUniv2019[B2],E$44,TblUniv2019[Program Pendidikan],$C$226)/$C$228*100%</f>
        <v>#DIV/0!</v>
      </c>
      <c r="F231" s="66" t="e">
        <f>COUNTIFS(TblUniv2019[B2],F$44,TblUniv2019[Program Pendidikan],$C$226)/$C$228*100%</f>
        <v>#DIV/0!</v>
      </c>
      <c r="G231" s="62" t="e">
        <f t="shared" si="11"/>
        <v>#DIV/0!</v>
      </c>
    </row>
    <row r="232" spans="2:7" ht="16.5" x14ac:dyDescent="0.3">
      <c r="B232" s="57" t="s">
        <v>28</v>
      </c>
      <c r="C232" s="66" t="e">
        <f>COUNTIFS(TblUniv2019[B3],C$44,TblUniv2019[Program Pendidikan],$C$226)/$C$228*100%</f>
        <v>#DIV/0!</v>
      </c>
      <c r="D232" s="66" t="e">
        <f>COUNTIFS(TblUniv2019[B3],D$44,TblUniv2019[Program Pendidikan],$C$226)/$C$228*100%</f>
        <v>#DIV/0!</v>
      </c>
      <c r="E232" s="66" t="e">
        <f>COUNTIFS(TblUniv2019[B3],E$44,TblUniv2019[Program Pendidikan],$C$226)/$C$228*100%</f>
        <v>#DIV/0!</v>
      </c>
      <c r="F232" s="66" t="e">
        <f>COUNTIFS(TblUniv2019[B3],F$44,TblUniv2019[Program Pendidikan],$C$226)/$C$228*100%</f>
        <v>#DIV/0!</v>
      </c>
      <c r="G232" s="62" t="e">
        <f t="shared" si="11"/>
        <v>#DIV/0!</v>
      </c>
    </row>
    <row r="233" spans="2:7" ht="16.5" x14ac:dyDescent="0.3">
      <c r="B233" s="57" t="s">
        <v>29</v>
      </c>
      <c r="C233" s="66" t="e">
        <f>COUNTIFS(TblUniv2019[B4],C$44,TblUniv2019[Program Pendidikan],$C$226)/$C$228*100%</f>
        <v>#DIV/0!</v>
      </c>
      <c r="D233" s="66" t="e">
        <f>COUNTIFS(TblUniv2019[B4],D$44,TblUniv2019[Program Pendidikan],$C$226)/$C$228*100%</f>
        <v>#DIV/0!</v>
      </c>
      <c r="E233" s="66" t="e">
        <f>COUNTIFS(TblUniv2019[B4],E$44,TblUniv2019[Program Pendidikan],$C$226)/$C$228*100%</f>
        <v>#DIV/0!</v>
      </c>
      <c r="F233" s="66" t="e">
        <f>COUNTIFS(TblUniv2019[B4],F$44,TblUniv2019[Program Pendidikan],$C$226)/$C$228*100%</f>
        <v>#DIV/0!</v>
      </c>
      <c r="G233" s="62" t="e">
        <f t="shared" si="11"/>
        <v>#DIV/0!</v>
      </c>
    </row>
    <row r="234" spans="2:7" ht="16.5" x14ac:dyDescent="0.3">
      <c r="B234" s="57" t="s">
        <v>30</v>
      </c>
      <c r="C234" s="66" t="e">
        <f>COUNTIFS(TblUniv2019[B5],C$44,TblUniv2019[Program Pendidikan],$C$226)/$C$228*100%</f>
        <v>#DIV/0!</v>
      </c>
      <c r="D234" s="66" t="e">
        <f>COUNTIFS(TblUniv2019[B5],D$44,TblUniv2019[Program Pendidikan],$C$226)/$C$228*100%</f>
        <v>#DIV/0!</v>
      </c>
      <c r="E234" s="66" t="e">
        <f>COUNTIFS(TblUniv2019[B5],E$44,TblUniv2019[Program Pendidikan],$C$226)/$C$228*100%</f>
        <v>#DIV/0!</v>
      </c>
      <c r="F234" s="66" t="e">
        <f>COUNTIFS(TblUniv2019[B5],F$44,TblUniv2019[Program Pendidikan],$C$226)/$C$228*100%</f>
        <v>#DIV/0!</v>
      </c>
      <c r="G234" s="62" t="e">
        <f t="shared" si="11"/>
        <v>#DIV/0!</v>
      </c>
    </row>
    <row r="235" spans="2:7" ht="16.5" x14ac:dyDescent="0.3">
      <c r="B235" s="60"/>
      <c r="C235" s="61" t="e">
        <f>AVERAGE(C230:C234)</f>
        <v>#DIV/0!</v>
      </c>
      <c r="D235" s="61" t="e">
        <f>AVERAGE(D230:D234)</f>
        <v>#DIV/0!</v>
      </c>
      <c r="E235" s="61" t="e">
        <f>AVERAGE(E230:E234)</f>
        <v>#DIV/0!</v>
      </c>
      <c r="F235" s="61" t="e">
        <f>AVERAGE(F230:F234)</f>
        <v>#DIV/0!</v>
      </c>
      <c r="G235" s="62" t="e">
        <f t="shared" si="11"/>
        <v>#DIV/0!</v>
      </c>
    </row>
    <row r="236" spans="2:7" ht="16.5" x14ac:dyDescent="0.3">
      <c r="B236" s="57" t="s">
        <v>31</v>
      </c>
      <c r="C236" s="66" t="e">
        <f>COUNTIFS(TblUniv2019[C1],C$44,TblUniv2019[Program Pendidikan],$C$226)/$C$228*100%</f>
        <v>#DIV/0!</v>
      </c>
      <c r="D236" s="66" t="e">
        <f>COUNTIFS(TblUniv2019[C1],D$44,TblUniv2019[Program Pendidikan],$C$226)/$C$228*100%</f>
        <v>#DIV/0!</v>
      </c>
      <c r="E236" s="66" t="e">
        <f>COUNTIFS(TblUniv2019[C1],E$44,TblUniv2019[Program Pendidikan],$C$226)/$C$228*100%</f>
        <v>#DIV/0!</v>
      </c>
      <c r="F236" s="66" t="e">
        <f>COUNTIFS(TblUniv2019[C1],F$44,TblUniv2019[Program Pendidikan],$C$226)/$C$228*100%</f>
        <v>#DIV/0!</v>
      </c>
      <c r="G236" s="62" t="e">
        <f t="shared" si="11"/>
        <v>#DIV/0!</v>
      </c>
    </row>
    <row r="237" spans="2:7" ht="16.5" x14ac:dyDescent="0.3">
      <c r="B237" s="57" t="s">
        <v>32</v>
      </c>
      <c r="C237" s="66" t="e">
        <f>COUNTIFS(TblUniv2019[C2],C$44,TblUniv2019[Program Pendidikan],$C$226)/$C$228*100%</f>
        <v>#DIV/0!</v>
      </c>
      <c r="D237" s="66" t="e">
        <f>COUNTIFS(TblUniv2019[C2],D$44,TblUniv2019[Program Pendidikan],$C$226)/$C$228*100%</f>
        <v>#DIV/0!</v>
      </c>
      <c r="E237" s="66" t="e">
        <f>COUNTIFS(TblUniv2019[C2],E$44,TblUniv2019[Program Pendidikan],$C$226)/$C$228*100%</f>
        <v>#DIV/0!</v>
      </c>
      <c r="F237" s="66" t="e">
        <f>COUNTIFS(TblUniv2019[C2],F$44,TblUniv2019[Program Pendidikan],$C$226)/$C$228*100%</f>
        <v>#DIV/0!</v>
      </c>
      <c r="G237" s="62" t="e">
        <f t="shared" si="11"/>
        <v>#DIV/0!</v>
      </c>
    </row>
    <row r="238" spans="2:7" ht="16.5" x14ac:dyDescent="0.3">
      <c r="B238" s="60"/>
      <c r="C238" s="61" t="e">
        <f>AVERAGE(C236:C237)</f>
        <v>#DIV/0!</v>
      </c>
      <c r="D238" s="61" t="e">
        <f>AVERAGE(D236:D237)</f>
        <v>#DIV/0!</v>
      </c>
      <c r="E238" s="61" t="e">
        <f>AVERAGE(E236:E237)</f>
        <v>#DIV/0!</v>
      </c>
      <c r="F238" s="61" t="e">
        <f>AVERAGE(F236:F237)</f>
        <v>#DIV/0!</v>
      </c>
      <c r="G238" s="62" t="e">
        <f t="shared" si="11"/>
        <v>#DIV/0!</v>
      </c>
    </row>
    <row r="239" spans="2:7" ht="16.5" x14ac:dyDescent="0.3">
      <c r="B239" s="57" t="s">
        <v>33</v>
      </c>
      <c r="C239" s="66" t="e">
        <f>COUNTIFS(TblUniv2019[D1],C$44,TblUniv2019[Program Pendidikan],$C$226)/$C$228*100%</f>
        <v>#DIV/0!</v>
      </c>
      <c r="D239" s="66" t="e">
        <f>COUNTIFS(TblUniv2019[D1],D$44,TblUniv2019[Program Pendidikan],$C$226)/$C$228*100%</f>
        <v>#DIV/0!</v>
      </c>
      <c r="E239" s="66" t="e">
        <f>COUNTIFS(TblUniv2019[D1],E$44,TblUniv2019[Program Pendidikan],$C$226)/$C$228*100%</f>
        <v>#DIV/0!</v>
      </c>
      <c r="F239" s="66" t="e">
        <f>COUNTIFS(TblUniv2019[D1],F$44,TblUniv2019[Program Pendidikan],$C$226)/$C$228*100%</f>
        <v>#DIV/0!</v>
      </c>
      <c r="G239" s="62" t="e">
        <f t="shared" si="11"/>
        <v>#DIV/0!</v>
      </c>
    </row>
    <row r="240" spans="2:7" ht="16.5" x14ac:dyDescent="0.3">
      <c r="B240" s="57" t="s">
        <v>34</v>
      </c>
      <c r="C240" s="66" t="e">
        <f>COUNTIFS(TblUniv2019[D2],C$44,TblUniv2019[Program Pendidikan],$C$226)/$C$228*100%</f>
        <v>#DIV/0!</v>
      </c>
      <c r="D240" s="66" t="e">
        <f>COUNTIFS(TblUniv2019[D2],D$44,TblUniv2019[Program Pendidikan],$C$226)/$C$228*100%</f>
        <v>#DIV/0!</v>
      </c>
      <c r="E240" s="66" t="e">
        <f>COUNTIFS(TblUniv2019[D2],E$44,TblUniv2019[Program Pendidikan],$C$226)/$C$228*100%</f>
        <v>#DIV/0!</v>
      </c>
      <c r="F240" s="66" t="e">
        <f>COUNTIFS(TblUniv2019[D2],F$44,TblUniv2019[Program Pendidikan],$C$226)/$C$228*100%</f>
        <v>#DIV/0!</v>
      </c>
      <c r="G240" s="62" t="e">
        <f t="shared" si="11"/>
        <v>#DIV/0!</v>
      </c>
    </row>
    <row r="241" spans="2:7" ht="16.5" x14ac:dyDescent="0.3">
      <c r="B241" s="60"/>
      <c r="C241" s="61" t="e">
        <f>AVERAGE(C239:C240)</f>
        <v>#DIV/0!</v>
      </c>
      <c r="D241" s="61" t="e">
        <f>AVERAGE(D239:D240)</f>
        <v>#DIV/0!</v>
      </c>
      <c r="E241" s="61" t="e">
        <f>AVERAGE(E239:E240)</f>
        <v>#DIV/0!</v>
      </c>
      <c r="F241" s="61" t="e">
        <f>AVERAGE(F239:F240)</f>
        <v>#DIV/0!</v>
      </c>
      <c r="G241" s="62" t="e">
        <f t="shared" si="11"/>
        <v>#DIV/0!</v>
      </c>
    </row>
    <row r="242" spans="2:7" ht="16.5" x14ac:dyDescent="0.3">
      <c r="B242" s="57" t="s">
        <v>35</v>
      </c>
      <c r="C242" s="66" t="e">
        <f>COUNTIFS(TblUniv2019[E1],C$44,TblUniv2019[Program Pendidikan],$C$226)/$C$228*100%</f>
        <v>#DIV/0!</v>
      </c>
      <c r="D242" s="66" t="e">
        <f>COUNTIFS(TblUniv2019[E1],D$44,TblUniv2019[Program Pendidikan],$C$226)/$C$228*100%</f>
        <v>#DIV/0!</v>
      </c>
      <c r="E242" s="66" t="e">
        <f>COUNTIFS(TblUniv2019[E1],E$44,TblUniv2019[Program Pendidikan],$C$226)/$C$228*100%</f>
        <v>#DIV/0!</v>
      </c>
      <c r="F242" s="66" t="e">
        <f>COUNTIFS(TblUniv2019[E1],F$44,TblUniv2019[Program Pendidikan],$C$226)/$C$228*100%</f>
        <v>#DIV/0!</v>
      </c>
      <c r="G242" s="62" t="e">
        <f t="shared" si="11"/>
        <v>#DIV/0!</v>
      </c>
    </row>
    <row r="243" spans="2:7" ht="16.5" x14ac:dyDescent="0.3">
      <c r="B243" s="57" t="s">
        <v>36</v>
      </c>
      <c r="C243" s="66" t="e">
        <f>COUNTIFS(TblUniv2019[E2],C$44,TblUniv2019[Program Pendidikan],$C$226)/$C$228*100%</f>
        <v>#DIV/0!</v>
      </c>
      <c r="D243" s="66" t="e">
        <f>COUNTIFS(TblUniv2019[E2],D$44,TblUniv2019[Program Pendidikan],$C$226)/$C$228*100%</f>
        <v>#DIV/0!</v>
      </c>
      <c r="E243" s="66" t="e">
        <f>COUNTIFS(TblUniv2019[E2],E$44,TblUniv2019[Program Pendidikan],$C$226)/$C$228*100%</f>
        <v>#DIV/0!</v>
      </c>
      <c r="F243" s="66" t="e">
        <f>COUNTIFS(TblUniv2019[E2],F$44,TblUniv2019[Program Pendidikan],$C$226)/$C$228*100%</f>
        <v>#DIV/0!</v>
      </c>
      <c r="G243" s="62" t="e">
        <f t="shared" si="11"/>
        <v>#DIV/0!</v>
      </c>
    </row>
    <row r="244" spans="2:7" ht="16.5" x14ac:dyDescent="0.3">
      <c r="B244" s="60"/>
      <c r="C244" s="61" t="e">
        <f>AVERAGE(C242:C243)</f>
        <v>#DIV/0!</v>
      </c>
      <c r="D244" s="61" t="e">
        <f>AVERAGE(D242:D243)</f>
        <v>#DIV/0!</v>
      </c>
      <c r="E244" s="61" t="e">
        <f>AVERAGE(E242:E243)</f>
        <v>#DIV/0!</v>
      </c>
      <c r="F244" s="61" t="e">
        <f>AVERAGE(F242:F243)</f>
        <v>#DIV/0!</v>
      </c>
      <c r="G244" s="62" t="e">
        <f t="shared" si="11"/>
        <v>#DIV/0!</v>
      </c>
    </row>
    <row r="245" spans="2:7" ht="16.5" x14ac:dyDescent="0.3">
      <c r="B245" s="57" t="s">
        <v>37</v>
      </c>
      <c r="C245" s="66" t="e">
        <f>COUNTIFS(TblUniv2019[F1],C$44,TblUniv2019[Program Pendidikan],$C$226)/$C$228*100%</f>
        <v>#DIV/0!</v>
      </c>
      <c r="D245" s="66" t="e">
        <f>COUNTIFS(TblUniv2019[F1],D$44,TblUniv2019[Program Pendidikan],$C$226)/$C$228*100%</f>
        <v>#DIV/0!</v>
      </c>
      <c r="E245" s="66" t="e">
        <f>COUNTIFS(TblUniv2019[F1],E$44,TblUniv2019[Program Pendidikan],$C$226)/$C$228*100%</f>
        <v>#DIV/0!</v>
      </c>
      <c r="F245" s="66" t="e">
        <f>COUNTIFS(TblUniv2019[F1],F$44,TblUniv2019[Program Pendidikan],$C$226)/$C$228*100%</f>
        <v>#DIV/0!</v>
      </c>
      <c r="G245" s="62" t="e">
        <f t="shared" si="11"/>
        <v>#DIV/0!</v>
      </c>
    </row>
    <row r="246" spans="2:7" ht="16.5" x14ac:dyDescent="0.3">
      <c r="B246" s="57" t="s">
        <v>38</v>
      </c>
      <c r="C246" s="66" t="e">
        <f>COUNTIFS(TblUniv2019[F2],C$44,TblUniv2019[Program Pendidikan],$C$226)/$C$228*100%</f>
        <v>#DIV/0!</v>
      </c>
      <c r="D246" s="66" t="e">
        <f>COUNTIFS(TblUniv2019[F2],D$44,TblUniv2019[Program Pendidikan],$C$226)/$C$228*100%</f>
        <v>#DIV/0!</v>
      </c>
      <c r="E246" s="66" t="e">
        <f>COUNTIFS(TblUniv2019[F2],E$44,TblUniv2019[Program Pendidikan],$C$226)/$C$228*100%</f>
        <v>#DIV/0!</v>
      </c>
      <c r="F246" s="66" t="e">
        <f>COUNTIFS(TblUniv2019[F2],F$44,TblUniv2019[Program Pendidikan],$C$226)/$C$228*100%</f>
        <v>#DIV/0!</v>
      </c>
      <c r="G246" s="62" t="e">
        <f t="shared" si="11"/>
        <v>#DIV/0!</v>
      </c>
    </row>
    <row r="247" spans="2:7" ht="16.5" x14ac:dyDescent="0.3">
      <c r="B247" s="57" t="s">
        <v>39</v>
      </c>
      <c r="C247" s="66" t="e">
        <f>COUNTIFS(TblUniv2019[F3],C$44,TblUniv2019[Program Pendidikan],$C$226)/$C$228*100%</f>
        <v>#DIV/0!</v>
      </c>
      <c r="D247" s="66" t="e">
        <f>COUNTIFS(TblUniv2019[F3],D$44,TblUniv2019[Program Pendidikan],$C$226)/$C$228*100%</f>
        <v>#DIV/0!</v>
      </c>
      <c r="E247" s="66" t="e">
        <f>COUNTIFS(TblUniv2019[F3],E$44,TblUniv2019[Program Pendidikan],$C$226)/$C$228*100%</f>
        <v>#DIV/0!</v>
      </c>
      <c r="F247" s="66" t="e">
        <f>COUNTIFS(TblUniv2019[F3],F$44,TblUniv2019[Program Pendidikan],$C$226)/$C$228*100%</f>
        <v>#DIV/0!</v>
      </c>
      <c r="G247" s="62" t="e">
        <f t="shared" si="11"/>
        <v>#DIV/0!</v>
      </c>
    </row>
    <row r="248" spans="2:7" ht="16.5" x14ac:dyDescent="0.3">
      <c r="B248" s="60"/>
      <c r="C248" s="61" t="e">
        <f>AVERAGE(C245:C247)</f>
        <v>#DIV/0!</v>
      </c>
      <c r="D248" s="61" t="e">
        <f>AVERAGE(D245:D247)</f>
        <v>#DIV/0!</v>
      </c>
      <c r="E248" s="61" t="e">
        <f>AVERAGE(E245:E247)</f>
        <v>#DIV/0!</v>
      </c>
      <c r="F248" s="61" t="e">
        <f>AVERAGE(F245:F247)</f>
        <v>#DIV/0!</v>
      </c>
      <c r="G248" s="62" t="e">
        <f t="shared" si="11"/>
        <v>#DIV/0!</v>
      </c>
    </row>
    <row r="249" spans="2:7" ht="16.5" x14ac:dyDescent="0.3">
      <c r="B249" s="57" t="s">
        <v>40</v>
      </c>
      <c r="C249" s="66" t="e">
        <f>COUNTIFS(TblUniv2019[G1],C$44,TblUniv2019[Program Pendidikan],$C$226)/$C$228*100%</f>
        <v>#DIV/0!</v>
      </c>
      <c r="D249" s="66" t="e">
        <f>COUNTIFS(TblUniv2019[G1],D$44,TblUniv2019[Program Pendidikan],$C$226)/$C$228*100%</f>
        <v>#DIV/0!</v>
      </c>
      <c r="E249" s="66" t="e">
        <f>COUNTIFS(TblUniv2019[G1],E$44,TblUniv2019[Program Pendidikan],$C$226)/$C$228*100%</f>
        <v>#DIV/0!</v>
      </c>
      <c r="F249" s="66" t="e">
        <f>COUNTIFS(TblUniv2019[G1],F$44,TblUniv2019[Program Pendidikan],$C$226)/$C$228*100%</f>
        <v>#DIV/0!</v>
      </c>
      <c r="G249" s="62" t="e">
        <f t="shared" si="11"/>
        <v>#DIV/0!</v>
      </c>
    </row>
    <row r="250" spans="2:7" ht="16.5" x14ac:dyDescent="0.3">
      <c r="B250" s="57" t="s">
        <v>41</v>
      </c>
      <c r="C250" s="66" t="e">
        <f>COUNTIFS(TblUniv2019[G2],C$44,TblUniv2019[Program Pendidikan],$C$226)/$C$228*100%</f>
        <v>#DIV/0!</v>
      </c>
      <c r="D250" s="66" t="e">
        <f>COUNTIFS(TblUniv2019[G2],D$44,TblUniv2019[Program Pendidikan],$C$226)/$C$228*100%</f>
        <v>#DIV/0!</v>
      </c>
      <c r="E250" s="66" t="e">
        <f>COUNTIFS(TblUniv2019[G2],E$44,TblUniv2019[Program Pendidikan],$C$226)/$C$228*100%</f>
        <v>#DIV/0!</v>
      </c>
      <c r="F250" s="66" t="e">
        <f>COUNTIFS(TblUniv2019[G2],F$44,TblUniv2019[Program Pendidikan],$C$226)/$C$228*100%</f>
        <v>#DIV/0!</v>
      </c>
      <c r="G250" s="62" t="e">
        <f t="shared" si="11"/>
        <v>#DIV/0!</v>
      </c>
    </row>
    <row r="251" spans="2:7" ht="16.5" x14ac:dyDescent="0.3">
      <c r="B251" s="60"/>
      <c r="C251" s="61" t="e">
        <f>AVERAGE(C249:C250)</f>
        <v>#DIV/0!</v>
      </c>
      <c r="D251" s="61" t="e">
        <f>AVERAGE(D249:D250)</f>
        <v>#DIV/0!</v>
      </c>
      <c r="E251" s="61" t="e">
        <f>AVERAGE(E249:E250)</f>
        <v>#DIV/0!</v>
      </c>
      <c r="F251" s="61" t="e">
        <f>AVERAGE(F249:F250)</f>
        <v>#DIV/0!</v>
      </c>
      <c r="G251" s="62" t="e">
        <f t="shared" si="11"/>
        <v>#DIV/0!</v>
      </c>
    </row>
    <row r="252" spans="2:7" ht="16.5" x14ac:dyDescent="0.3">
      <c r="B252" s="57" t="s">
        <v>42</v>
      </c>
      <c r="C252" s="66" t="e">
        <f>COUNTIFS(TblUniv2019[H1],C$44,TblUniv2019[Program Pendidikan],$C$226)/$C$228*100%</f>
        <v>#DIV/0!</v>
      </c>
      <c r="D252" s="66" t="e">
        <f>COUNTIFS(TblUniv2019[H1],D$44,TblUniv2019[Program Pendidikan],$C$226)/$C$228*100%</f>
        <v>#DIV/0!</v>
      </c>
      <c r="E252" s="66" t="e">
        <f>COUNTIFS(TblUniv2019[H1],E$44,TblUniv2019[Program Pendidikan],$C$226)/$C$228*100%</f>
        <v>#DIV/0!</v>
      </c>
      <c r="F252" s="66" t="e">
        <f>COUNTIFS(TblUniv2019[H1],F$44,TblUniv2019[Program Pendidikan],$C$226)/$C$228*100%</f>
        <v>#DIV/0!</v>
      </c>
      <c r="G252" s="62" t="e">
        <f t="shared" si="11"/>
        <v>#DIV/0!</v>
      </c>
    </row>
    <row r="253" spans="2:7" ht="16.5" x14ac:dyDescent="0.3">
      <c r="B253" s="57" t="s">
        <v>43</v>
      </c>
      <c r="C253" s="66" t="e">
        <f>COUNTIFS(TblUniv2019[H1],C$44,TblUniv2019[Program Pendidikan],$C$226)/$C$228*100%</f>
        <v>#DIV/0!</v>
      </c>
      <c r="D253" s="66" t="e">
        <f>COUNTIFS(TblUniv2019[H1],D$44,TblUniv2019[Program Pendidikan],$C$226)/$C$228*100%</f>
        <v>#DIV/0!</v>
      </c>
      <c r="E253" s="66" t="e">
        <f>COUNTIFS(TblUniv2019[H1],E$44,TblUniv2019[Program Pendidikan],$C$226)/$C$228*100%</f>
        <v>#DIV/0!</v>
      </c>
      <c r="F253" s="66" t="e">
        <f>COUNTIFS(TblUniv2019[H1],F$44,TblUniv2019[Program Pendidikan],$C$226)/$C$228*100%</f>
        <v>#DIV/0!</v>
      </c>
      <c r="G253" s="62" t="e">
        <f t="shared" si="11"/>
        <v>#DIV/0!</v>
      </c>
    </row>
    <row r="254" spans="2:7" ht="16.5" x14ac:dyDescent="0.3">
      <c r="B254" s="57" t="s">
        <v>44</v>
      </c>
      <c r="C254" s="66" t="e">
        <f>COUNTIFS(TblUniv2019[H3],C$44,TblUniv2019[Program Pendidikan],$C$226)/$C$228*100%</f>
        <v>#DIV/0!</v>
      </c>
      <c r="D254" s="66" t="e">
        <f>COUNTIFS(TblUniv2019[H3],D$44,TblUniv2019[Program Pendidikan],$C$226)/$C$228*100%</f>
        <v>#DIV/0!</v>
      </c>
      <c r="E254" s="66" t="e">
        <f>COUNTIFS(TblUniv2019[H3],E$44,TblUniv2019[Program Pendidikan],$C$226)/$C$228*100%</f>
        <v>#DIV/0!</v>
      </c>
      <c r="F254" s="66" t="e">
        <f>COUNTIFS(TblUniv2019[H3],F$44,TblUniv2019[Program Pendidikan],$C$226)/$C$228*100%</f>
        <v>#DIV/0!</v>
      </c>
      <c r="G254" s="62" t="e">
        <f t="shared" si="11"/>
        <v>#DIV/0!</v>
      </c>
    </row>
    <row r="255" spans="2:7" ht="16.5" x14ac:dyDescent="0.3">
      <c r="B255" s="57" t="s">
        <v>45</v>
      </c>
      <c r="C255" s="66" t="e">
        <f>COUNTIFS(TblUniv2019[H4],C$44,TblUniv2019[Program Pendidikan],$C$226)/$C$228*100%</f>
        <v>#DIV/0!</v>
      </c>
      <c r="D255" s="66" t="e">
        <f>COUNTIFS(TblUniv2019[H4],D$44,TblUniv2019[Program Pendidikan],$C$226)/$C$228*100%</f>
        <v>#DIV/0!</v>
      </c>
      <c r="E255" s="66" t="e">
        <f>COUNTIFS(TblUniv2019[H4],E$44,TblUniv2019[Program Pendidikan],$C$226)/$C$228*100%</f>
        <v>#DIV/0!</v>
      </c>
      <c r="F255" s="66" t="e">
        <f>COUNTIFS(TblUniv2019[H4],F$44,TblUniv2019[Program Pendidikan],$C$226)/$C$228*100%</f>
        <v>#DIV/0!</v>
      </c>
      <c r="G255" s="62" t="e">
        <f t="shared" si="11"/>
        <v>#DIV/0!</v>
      </c>
    </row>
    <row r="256" spans="2:7" ht="16.5" x14ac:dyDescent="0.3">
      <c r="B256" s="60"/>
      <c r="C256" s="61" t="e">
        <f>AVERAGE(C252:C255)</f>
        <v>#DIV/0!</v>
      </c>
      <c r="D256" s="61" t="e">
        <f>AVERAGE(D252:D255)</f>
        <v>#DIV/0!</v>
      </c>
      <c r="E256" s="61" t="e">
        <f>AVERAGE(E252:E255)</f>
        <v>#DIV/0!</v>
      </c>
      <c r="F256" s="61" t="e">
        <f>AVERAGE(F252:F255)</f>
        <v>#DIV/0!</v>
      </c>
      <c r="G256" s="62" t="e">
        <f t="shared" si="11"/>
        <v>#DIV/0!</v>
      </c>
    </row>
    <row r="257" spans="2:7" ht="16.5" x14ac:dyDescent="0.3">
      <c r="B257" s="57" t="s">
        <v>648</v>
      </c>
      <c r="C257" s="66" t="e">
        <f>COUNTIFS(TblUniv2019[I. a1],C$44,TblUniv2019[Program Pendidikan],$C$226)/$C$228*100%</f>
        <v>#DIV/0!</v>
      </c>
      <c r="D257" s="66" t="e">
        <f>COUNTIFS(TblUniv2019[I. a1],D$44,TblUniv2019[Program Pendidikan],$C$226)/$C$228*100%</f>
        <v>#DIV/0!</v>
      </c>
      <c r="E257" s="66" t="e">
        <f>COUNTIFS(TblUniv2019[I. a1],E$44,TblUniv2019[Program Pendidikan],$C$226)/$C$228*100%</f>
        <v>#DIV/0!</v>
      </c>
      <c r="F257" s="66" t="e">
        <f>COUNTIFS(TblUniv2019[I. a1],F$44,TblUniv2019[Program Pendidikan],$C$226)/$C$228*100%</f>
        <v>#DIV/0!</v>
      </c>
      <c r="G257" s="62" t="e">
        <f t="shared" si="11"/>
        <v>#DIV/0!</v>
      </c>
    </row>
    <row r="258" spans="2:7" ht="16.5" x14ac:dyDescent="0.3">
      <c r="B258" s="57" t="s">
        <v>649</v>
      </c>
      <c r="C258" s="66" t="e">
        <f>COUNTIFS(TblUniv2019[I. a2],C$44,TblUniv2019[Program Pendidikan],$C$226)/$C$228*100%</f>
        <v>#DIV/0!</v>
      </c>
      <c r="D258" s="66" t="e">
        <f>COUNTIFS(TblUniv2019[I. a2],D$44,TblUniv2019[Program Pendidikan],$C$226)/$C$228*100%</f>
        <v>#DIV/0!</v>
      </c>
      <c r="E258" s="66" t="e">
        <f>COUNTIFS(TblUniv2019[I. a2],E$44,TblUniv2019[Program Pendidikan],$C$226)/$C$228*100%</f>
        <v>#DIV/0!</v>
      </c>
      <c r="F258" s="66" t="e">
        <f>COUNTIFS(TblUniv2019[I. a2],F$44,TblUniv2019[Program Pendidikan],$C$226)/$C$228*100%</f>
        <v>#DIV/0!</v>
      </c>
      <c r="G258" s="62" t="e">
        <f t="shared" si="11"/>
        <v>#DIV/0!</v>
      </c>
    </row>
    <row r="259" spans="2:7" ht="16.5" x14ac:dyDescent="0.3">
      <c r="B259" s="57" t="s">
        <v>650</v>
      </c>
      <c r="C259" s="66" t="e">
        <f>COUNTIFS(TblUniv2019[I. a3],C$44,TblUniv2019[Program Pendidikan],$C$226)/$C$228*100%</f>
        <v>#DIV/0!</v>
      </c>
      <c r="D259" s="66" t="e">
        <f>COUNTIFS(TblUniv2019[I. a3],D$44,TblUniv2019[Program Pendidikan],$C$226)/$C$228*100%</f>
        <v>#DIV/0!</v>
      </c>
      <c r="E259" s="66" t="e">
        <f>COUNTIFS(TblUniv2019[I. a3],E$44,TblUniv2019[Program Pendidikan],$C$226)/$C$228*100%</f>
        <v>#DIV/0!</v>
      </c>
      <c r="F259" s="66" t="e">
        <f>COUNTIFS(TblUniv2019[I. a3],F$44,TblUniv2019[Program Pendidikan],$C$226)/$C$228*100%</f>
        <v>#DIV/0!</v>
      </c>
      <c r="G259" s="62" t="e">
        <f t="shared" si="11"/>
        <v>#DIV/0!</v>
      </c>
    </row>
    <row r="260" spans="2:7" ht="16.5" x14ac:dyDescent="0.3">
      <c r="B260" s="57" t="s">
        <v>651</v>
      </c>
      <c r="C260" s="66" t="e">
        <f>COUNTIFS(TblUniv2019[I. a4],C$44,TblUniv2019[Program Pendidikan],$C$226)/$C$228*100%</f>
        <v>#DIV/0!</v>
      </c>
      <c r="D260" s="66" t="e">
        <f>COUNTIFS(TblUniv2019[I. a4],D$44,TblUniv2019[Program Pendidikan],$C$226)/$C$228*100%</f>
        <v>#DIV/0!</v>
      </c>
      <c r="E260" s="66" t="e">
        <f>COUNTIFS(TblUniv2019[I. a4],E$44,TblUniv2019[Program Pendidikan],$C$226)/$C$228*100%</f>
        <v>#DIV/0!</v>
      </c>
      <c r="F260" s="66" t="e">
        <f>COUNTIFS(TblUniv2019[I. a4],F$44,TblUniv2019[Program Pendidikan],$C$226)/$C$228*100%</f>
        <v>#DIV/0!</v>
      </c>
      <c r="G260" s="62" t="e">
        <f t="shared" si="11"/>
        <v>#DIV/0!</v>
      </c>
    </row>
    <row r="261" spans="2:7" ht="16.5" x14ac:dyDescent="0.3">
      <c r="B261" s="57" t="s">
        <v>652</v>
      </c>
      <c r="C261" s="66" t="e">
        <f>COUNTIFS(TblUniv2019[I. a5],C$44,TblUniv2019[Program Pendidikan],$C$226)/$C$228*100%</f>
        <v>#DIV/0!</v>
      </c>
      <c r="D261" s="66" t="e">
        <f>COUNTIFS(TblUniv2019[I. a5],D$44,TblUniv2019[Program Pendidikan],$C$226)/$C$228*100%</f>
        <v>#DIV/0!</v>
      </c>
      <c r="E261" s="66" t="e">
        <f>COUNTIFS(TblUniv2019[I. a5],E$44,TblUniv2019[Program Pendidikan],$C$226)/$C$228*100%</f>
        <v>#DIV/0!</v>
      </c>
      <c r="F261" s="66" t="e">
        <f>COUNTIFS(TblUniv2019[I. a5],F$44,TblUniv2019[Program Pendidikan],$C$226)/$C$228*100%</f>
        <v>#DIV/0!</v>
      </c>
      <c r="G261" s="62" t="e">
        <f t="shared" si="11"/>
        <v>#DIV/0!</v>
      </c>
    </row>
    <row r="262" spans="2:7" ht="16.5" x14ac:dyDescent="0.3">
      <c r="B262" s="60"/>
      <c r="C262" s="61" t="e">
        <f>AVERAGE(C257:C261)</f>
        <v>#DIV/0!</v>
      </c>
      <c r="D262" s="61" t="e">
        <f>AVERAGE(D257:D261)</f>
        <v>#DIV/0!</v>
      </c>
      <c r="E262" s="61" t="e">
        <f>AVERAGE(E257:E261)</f>
        <v>#DIV/0!</v>
      </c>
      <c r="F262" s="61" t="e">
        <f>AVERAGE(F257:F261)</f>
        <v>#DIV/0!</v>
      </c>
      <c r="G262" s="62" t="e">
        <f t="shared" si="11"/>
        <v>#DIV/0!</v>
      </c>
    </row>
    <row r="263" spans="2:7" ht="16.5" x14ac:dyDescent="0.3">
      <c r="B263" s="57" t="s">
        <v>653</v>
      </c>
      <c r="C263" s="66" t="e">
        <f>COUNTIFS(TblUniv2019[I. b1],C$44,TblUniv2019[Program Pendidikan],$C$226)/$C$228*100%</f>
        <v>#DIV/0!</v>
      </c>
      <c r="D263" s="66" t="e">
        <f>COUNTIFS(TblUniv2019[I. b1],D$44,TblUniv2019[Program Pendidikan],$C$226)/$C$228*100%</f>
        <v>#DIV/0!</v>
      </c>
      <c r="E263" s="66" t="e">
        <f>COUNTIFS(TblUniv2019[I. b1],E$44,TblUniv2019[Program Pendidikan],$C$226)/$C$228*100%</f>
        <v>#DIV/0!</v>
      </c>
      <c r="F263" s="66" t="e">
        <f>COUNTIFS(TblUniv2019[I. b1],F$44,TblUniv2019[Program Pendidikan],$C$226)/$C$228*100%</f>
        <v>#DIV/0!</v>
      </c>
      <c r="G263" s="62" t="e">
        <f t="shared" si="11"/>
        <v>#DIV/0!</v>
      </c>
    </row>
    <row r="264" spans="2:7" ht="16.5" x14ac:dyDescent="0.3">
      <c r="B264" s="57" t="s">
        <v>654</v>
      </c>
      <c r="C264" s="66" t="e">
        <f>COUNTIFS(TblUniv2019[I. b2],C$44,TblUniv2019[Program Pendidikan],$C$226)/$C$228*100%</f>
        <v>#DIV/0!</v>
      </c>
      <c r="D264" s="66" t="e">
        <f>COUNTIFS(TblUniv2019[I. b2],D$44,TblUniv2019[Program Pendidikan],$C$226)/$C$228*100%</f>
        <v>#DIV/0!</v>
      </c>
      <c r="E264" s="66" t="e">
        <f>COUNTIFS(TblUniv2019[I. b2],E$44,TblUniv2019[Program Pendidikan],$C$226)/$C$228*100%</f>
        <v>#DIV/0!</v>
      </c>
      <c r="F264" s="66" t="e">
        <f>COUNTIFS(TblUniv2019[I. b2],F$44,TblUniv2019[Program Pendidikan],$C$226)/$C$228*100%</f>
        <v>#DIV/0!</v>
      </c>
      <c r="G264" s="62" t="e">
        <f t="shared" si="11"/>
        <v>#DIV/0!</v>
      </c>
    </row>
    <row r="265" spans="2:7" ht="16.5" x14ac:dyDescent="0.3">
      <c r="B265" s="57" t="s">
        <v>655</v>
      </c>
      <c r="C265" s="66" t="e">
        <f>COUNTIFS(TblUniv2019[I. b3],C$44,TblUniv2019[Program Pendidikan],$C$226)/$C$228*100%</f>
        <v>#DIV/0!</v>
      </c>
      <c r="D265" s="66" t="e">
        <f>COUNTIFS(TblUniv2019[I. b3],D$44,TblUniv2019[Program Pendidikan],$C$226)/$C$228*100%</f>
        <v>#DIV/0!</v>
      </c>
      <c r="E265" s="66" t="e">
        <f>COUNTIFS(TblUniv2019[I. b3],E$44,TblUniv2019[Program Pendidikan],$C$226)/$C$228*100%</f>
        <v>#DIV/0!</v>
      </c>
      <c r="F265" s="66" t="e">
        <f>COUNTIFS(TblUniv2019[I. b3],F$44,TblUniv2019[Program Pendidikan],$C$226)/$C$228*100%</f>
        <v>#DIV/0!</v>
      </c>
      <c r="G265" s="62" t="e">
        <f t="shared" si="11"/>
        <v>#DIV/0!</v>
      </c>
    </row>
    <row r="266" spans="2:7" ht="16.5" x14ac:dyDescent="0.3">
      <c r="B266" s="57" t="s">
        <v>656</v>
      </c>
      <c r="C266" s="66" t="e">
        <f>COUNTIFS(TblUniv2019[I. b4],C$44,TblUniv2019[Program Pendidikan],$C$226)/$C$228*100%</f>
        <v>#DIV/0!</v>
      </c>
      <c r="D266" s="66" t="e">
        <f>COUNTIFS(TblUniv2019[I. b4],D$44,TblUniv2019[Program Pendidikan],$C$226)/$C$228*100%</f>
        <v>#DIV/0!</v>
      </c>
      <c r="E266" s="66" t="e">
        <f>COUNTIFS(TblUniv2019[I. b4],E$44,TblUniv2019[Program Pendidikan],$C$226)/$C$228*100%</f>
        <v>#DIV/0!</v>
      </c>
      <c r="F266" s="66" t="e">
        <f>COUNTIFS(TblUniv2019[I. b4],F$44,TblUniv2019[Program Pendidikan],$C$226)/$C$228*100%</f>
        <v>#DIV/0!</v>
      </c>
      <c r="G266" s="62" t="e">
        <f t="shared" si="11"/>
        <v>#DIV/0!</v>
      </c>
    </row>
    <row r="267" spans="2:7" ht="17.25" thickBot="1" x14ac:dyDescent="0.35">
      <c r="B267" s="67"/>
      <c r="C267" s="68" t="e">
        <f>AVERAGE(C263:C266)</f>
        <v>#DIV/0!</v>
      </c>
      <c r="D267" s="68" t="e">
        <f>AVERAGE(D263:D266)</f>
        <v>#DIV/0!</v>
      </c>
      <c r="E267" s="68" t="e">
        <f>AVERAGE(E263:E266)</f>
        <v>#DIV/0!</v>
      </c>
      <c r="F267" s="68" t="e">
        <f>AVERAGE(F263:F266)</f>
        <v>#DIV/0!</v>
      </c>
      <c r="G267" s="62" t="e">
        <f t="shared" si="11"/>
        <v>#DIV/0!</v>
      </c>
    </row>
    <row r="268" spans="2:7" ht="15.75" thickBot="1" x14ac:dyDescent="0.3"/>
    <row r="269" spans="2:7" ht="17.25" thickBot="1" x14ac:dyDescent="0.3">
      <c r="B269" s="64" t="s">
        <v>14</v>
      </c>
      <c r="C269" s="65" t="str">
        <f>C226</f>
        <v>Diploma Tiga</v>
      </c>
      <c r="G269" s="1" t="s">
        <v>73</v>
      </c>
    </row>
    <row r="270" spans="2:7" ht="33.75" thickBot="1" x14ac:dyDescent="0.3">
      <c r="B270" s="64" t="s">
        <v>647</v>
      </c>
      <c r="C270" s="65">
        <f>C227</f>
        <v>2019</v>
      </c>
      <c r="G270" s="83" t="s">
        <v>128</v>
      </c>
    </row>
    <row r="271" spans="2:7" ht="17.25" thickBot="1" x14ac:dyDescent="0.3">
      <c r="B271" s="64" t="s">
        <v>646</v>
      </c>
      <c r="C271" s="65">
        <f>C228</f>
        <v>0</v>
      </c>
    </row>
    <row r="272" spans="2:7" ht="15.75" thickBot="1" x14ac:dyDescent="0.3">
      <c r="B272" s="222" t="s">
        <v>658</v>
      </c>
      <c r="C272" s="223" t="s">
        <v>664</v>
      </c>
      <c r="D272" s="223"/>
      <c r="E272" s="223"/>
      <c r="F272" s="223"/>
    </row>
    <row r="273" spans="2:6" ht="15.75" thickBot="1" x14ac:dyDescent="0.3">
      <c r="B273" s="222"/>
      <c r="C273" s="72" t="s">
        <v>645</v>
      </c>
      <c r="D273" s="72" t="s">
        <v>665</v>
      </c>
      <c r="E273" s="72" t="s">
        <v>666</v>
      </c>
      <c r="F273" s="72" t="s">
        <v>667</v>
      </c>
    </row>
    <row r="274" spans="2:6" x14ac:dyDescent="0.25">
      <c r="B274" s="73">
        <v>2</v>
      </c>
      <c r="C274" s="71">
        <v>3</v>
      </c>
      <c r="D274" s="71">
        <v>4</v>
      </c>
      <c r="E274" s="71">
        <v>5</v>
      </c>
      <c r="F274" s="74">
        <v>6</v>
      </c>
    </row>
    <row r="275" spans="2:6" x14ac:dyDescent="0.25">
      <c r="B275" s="75" t="s">
        <v>659</v>
      </c>
      <c r="C275" s="58" t="e">
        <f>C235</f>
        <v>#DIV/0!</v>
      </c>
      <c r="D275" s="58" t="e">
        <f>D235</f>
        <v>#DIV/0!</v>
      </c>
      <c r="E275" s="58" t="e">
        <f>E235</f>
        <v>#DIV/0!</v>
      </c>
      <c r="F275" s="59" t="e">
        <f>F235</f>
        <v>#DIV/0!</v>
      </c>
    </row>
    <row r="276" spans="2:6" x14ac:dyDescent="0.25">
      <c r="B276" s="75" t="s">
        <v>660</v>
      </c>
      <c r="C276" s="58" t="e">
        <f>C238</f>
        <v>#DIV/0!</v>
      </c>
      <c r="D276" s="58" t="e">
        <f>D238</f>
        <v>#DIV/0!</v>
      </c>
      <c r="E276" s="58" t="e">
        <f>E238</f>
        <v>#DIV/0!</v>
      </c>
      <c r="F276" s="59" t="e">
        <f>F238</f>
        <v>#DIV/0!</v>
      </c>
    </row>
    <row r="277" spans="2:6" x14ac:dyDescent="0.25">
      <c r="B277" s="75" t="s">
        <v>661</v>
      </c>
      <c r="C277" s="58" t="e">
        <f>C241</f>
        <v>#DIV/0!</v>
      </c>
      <c r="D277" s="58" t="e">
        <f>D241</f>
        <v>#DIV/0!</v>
      </c>
      <c r="E277" s="58" t="e">
        <f>E241</f>
        <v>#DIV/0!</v>
      </c>
      <c r="F277" s="59" t="e">
        <f>F241</f>
        <v>#DIV/0!</v>
      </c>
    </row>
    <row r="278" spans="2:6" x14ac:dyDescent="0.25">
      <c r="B278" s="75" t="s">
        <v>662</v>
      </c>
      <c r="C278" s="58" t="e">
        <f>C244</f>
        <v>#DIV/0!</v>
      </c>
      <c r="D278" s="58" t="e">
        <f>D244</f>
        <v>#DIV/0!</v>
      </c>
      <c r="E278" s="58" t="e">
        <f>E244</f>
        <v>#DIV/0!</v>
      </c>
      <c r="F278" s="59" t="e">
        <f>F244</f>
        <v>#DIV/0!</v>
      </c>
    </row>
    <row r="279" spans="2:6" x14ac:dyDescent="0.25">
      <c r="B279" s="75" t="s">
        <v>663</v>
      </c>
      <c r="C279" s="58" t="e">
        <f>C248</f>
        <v>#DIV/0!</v>
      </c>
      <c r="D279" s="58" t="e">
        <f>D248</f>
        <v>#DIV/0!</v>
      </c>
      <c r="E279" s="58" t="e">
        <f>E248</f>
        <v>#DIV/0!</v>
      </c>
      <c r="F279" s="59" t="e">
        <f>F248</f>
        <v>#DIV/0!</v>
      </c>
    </row>
    <row r="280" spans="2:6" x14ac:dyDescent="0.25">
      <c r="B280" s="75" t="s">
        <v>617</v>
      </c>
      <c r="C280" s="58" t="e">
        <f>C251</f>
        <v>#DIV/0!</v>
      </c>
      <c r="D280" s="58" t="e">
        <f>D251</f>
        <v>#DIV/0!</v>
      </c>
      <c r="E280" s="58" t="e">
        <f>E251</f>
        <v>#DIV/0!</v>
      </c>
      <c r="F280" s="59" t="e">
        <f>F251</f>
        <v>#DIV/0!</v>
      </c>
    </row>
    <row r="281" spans="2:6" x14ac:dyDescent="0.25">
      <c r="B281" s="75" t="s">
        <v>330</v>
      </c>
      <c r="C281" s="58" t="e">
        <f>C256</f>
        <v>#DIV/0!</v>
      </c>
      <c r="D281" s="58" t="e">
        <f>D256</f>
        <v>#DIV/0!</v>
      </c>
      <c r="E281" s="58" t="e">
        <f>E256</f>
        <v>#DIV/0!</v>
      </c>
      <c r="F281" s="59" t="e">
        <f>F256</f>
        <v>#DIV/0!</v>
      </c>
    </row>
    <row r="282" spans="2:6" x14ac:dyDescent="0.25">
      <c r="B282" s="75" t="s">
        <v>68</v>
      </c>
      <c r="C282" s="58" t="e">
        <f>C262</f>
        <v>#DIV/0!</v>
      </c>
      <c r="D282" s="58" t="e">
        <f>D262</f>
        <v>#DIV/0!</v>
      </c>
      <c r="E282" s="58" t="e">
        <f>E262</f>
        <v>#DIV/0!</v>
      </c>
      <c r="F282" s="59" t="e">
        <f>F262</f>
        <v>#DIV/0!</v>
      </c>
    </row>
    <row r="283" spans="2:6" ht="15.75" thickBot="1" x14ac:dyDescent="0.3">
      <c r="B283" s="76" t="s">
        <v>68</v>
      </c>
      <c r="C283" s="77" t="e">
        <f>C267</f>
        <v>#DIV/0!</v>
      </c>
      <c r="D283" s="77" t="e">
        <f>D267</f>
        <v>#DIV/0!</v>
      </c>
      <c r="E283" s="77" t="e">
        <f>E267</f>
        <v>#DIV/0!</v>
      </c>
      <c r="F283" s="78" t="e">
        <f>F267</f>
        <v>#DIV/0!</v>
      </c>
    </row>
    <row r="284" spans="2:6" x14ac:dyDescent="0.25">
      <c r="B284" s="79" t="s">
        <v>669</v>
      </c>
      <c r="C284" s="81" t="e">
        <f>SUM(C275:C283)</f>
        <v>#DIV/0!</v>
      </c>
      <c r="D284" s="81" t="e">
        <f>SUM(D275:D283)</f>
        <v>#DIV/0!</v>
      </c>
      <c r="E284" s="81" t="e">
        <f>SUM(E275:E283)</f>
        <v>#DIV/0!</v>
      </c>
      <c r="F284" s="84" t="e">
        <f>SUM(F275:F283)</f>
        <v>#DIV/0!</v>
      </c>
    </row>
    <row r="285" spans="2:6" ht="15.75" thickBot="1" x14ac:dyDescent="0.3">
      <c r="B285" s="80" t="s">
        <v>670</v>
      </c>
      <c r="C285" s="82" t="e">
        <f>AVERAGE(C275:C283)</f>
        <v>#DIV/0!</v>
      </c>
      <c r="D285" s="82" t="e">
        <f>AVERAGE(D275:D283)</f>
        <v>#DIV/0!</v>
      </c>
      <c r="E285" s="82" t="e">
        <f>AVERAGE(E275:E283)</f>
        <v>#DIV/0!</v>
      </c>
      <c r="F285" s="85" t="e">
        <f>AVERAGE(F275:F283)</f>
        <v>#DIV/0!</v>
      </c>
    </row>
  </sheetData>
  <mergeCells count="37">
    <mergeCell ref="AA1:AC1"/>
    <mergeCell ref="G1:O1"/>
    <mergeCell ref="P1:T1"/>
    <mergeCell ref="U1:V1"/>
    <mergeCell ref="W1:X1"/>
    <mergeCell ref="Y1:Z1"/>
    <mergeCell ref="BC1:BE1"/>
    <mergeCell ref="B87:B88"/>
    <mergeCell ref="C87:F87"/>
    <mergeCell ref="I87:I88"/>
    <mergeCell ref="J87:M87"/>
    <mergeCell ref="P87:P88"/>
    <mergeCell ref="Q87:T87"/>
    <mergeCell ref="W87:W88"/>
    <mergeCell ref="X87:AA87"/>
    <mergeCell ref="AD87:AD88"/>
    <mergeCell ref="AD1:AE1"/>
    <mergeCell ref="AF1:AI1"/>
    <mergeCell ref="AJ1:AN1"/>
    <mergeCell ref="AO1:AR1"/>
    <mergeCell ref="AS1:AV1"/>
    <mergeCell ref="AW1:BB1"/>
    <mergeCell ref="BF87:BF88"/>
    <mergeCell ref="BG87:BJ87"/>
    <mergeCell ref="B210:B211"/>
    <mergeCell ref="C210:F210"/>
    <mergeCell ref="B272:B273"/>
    <mergeCell ref="C272:F272"/>
    <mergeCell ref="AY87:AY88"/>
    <mergeCell ref="AZ87:BC87"/>
    <mergeCell ref="AE87:AH87"/>
    <mergeCell ref="AK87:AK88"/>
    <mergeCell ref="AL87:AO87"/>
    <mergeCell ref="AR87:AR88"/>
    <mergeCell ref="AS87:AV87"/>
    <mergeCell ref="B148:B149"/>
    <mergeCell ref="C148:F148"/>
  </mergeCells>
  <conditionalFormatting sqref="E2">
    <cfRule type="duplicateValues" dxfId="36" priority="10"/>
  </conditionalFormatting>
  <conditionalFormatting sqref="E3:E4">
    <cfRule type="duplicateValues" dxfId="35" priority="6"/>
    <cfRule type="duplicateValues" dxfId="34" priority="7"/>
  </conditionalFormatting>
  <conditionalFormatting sqref="E5">
    <cfRule type="duplicateValues" dxfId="33" priority="4"/>
    <cfRule type="duplicateValues" dxfId="32" priority="5"/>
  </conditionalFormatting>
  <conditionalFormatting sqref="E6:E12">
    <cfRule type="duplicateValues" dxfId="31" priority="8"/>
    <cfRule type="duplicateValues" dxfId="30" priority="9"/>
  </conditionalFormatting>
  <conditionalFormatting sqref="F5">
    <cfRule type="duplicateValues" dxfId="29" priority="1"/>
    <cfRule type="duplicateValues" dxfId="28" priority="2"/>
    <cfRule type="duplicateValues" dxfId="27" priority="3"/>
  </conditionalFormatting>
  <hyperlinks>
    <hyperlink ref="I7" r:id="rId1"/>
    <hyperlink ref="I8" r:id="rId2"/>
    <hyperlink ref="I6" r:id="rId3"/>
    <hyperlink ref="I10" r:id="rId4"/>
  </hyperlinks>
  <pageMargins left="0.7" right="0.7" top="0.75" bottom="0.75" header="0.3" footer="0.3"/>
  <pageSetup paperSize="9" orientation="portrait" horizontalDpi="0" verticalDpi="0"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X291"/>
  <sheetViews>
    <sheetView topLeftCell="BE87" zoomScale="85" zoomScaleNormal="85" workbookViewId="0">
      <selection activeCell="BN104" sqref="BN104"/>
    </sheetView>
  </sheetViews>
  <sheetFormatPr defaultRowHeight="15" x14ac:dyDescent="0.25"/>
  <cols>
    <col min="1" max="1" width="2.5703125" customWidth="1"/>
    <col min="2" max="2" width="24.42578125" customWidth="1"/>
    <col min="3" max="3" width="32.85546875" bestFit="1" customWidth="1"/>
    <col min="4" max="4" width="34.140625" customWidth="1"/>
    <col min="5" max="5" width="24.5703125" customWidth="1"/>
    <col min="6" max="6" width="42.7109375" customWidth="1"/>
    <col min="7" max="7" width="26.140625" bestFit="1" customWidth="1"/>
    <col min="8" max="8" width="18.140625" customWidth="1"/>
    <col min="9" max="9" width="46.7109375" bestFit="1" customWidth="1"/>
    <col min="10" max="10" width="23.42578125" customWidth="1"/>
    <col min="11" max="11" width="23.5703125" customWidth="1"/>
    <col min="12" max="12" width="15.28515625" customWidth="1"/>
    <col min="13" max="13" width="18.28515625" customWidth="1"/>
    <col min="14" max="14" width="14" customWidth="1"/>
    <col min="15" max="15" width="6.28515625" customWidth="1"/>
    <col min="16" max="16" width="46.7109375" bestFit="1" customWidth="1"/>
    <col min="17" max="17" width="16.85546875" bestFit="1" customWidth="1"/>
    <col min="18" max="18" width="10.5703125" customWidth="1"/>
    <col min="19" max="19" width="8.7109375" customWidth="1"/>
    <col min="20" max="20" width="11.855468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7.85546875" bestFit="1"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12.140625" customWidth="1"/>
    <col min="48" max="48" width="30.7109375" customWidth="1"/>
    <col min="49" max="49" width="30" customWidth="1"/>
    <col min="50" max="50" width="7.85546875" bestFit="1" customWidth="1"/>
    <col min="51" max="51" width="17" customWidth="1"/>
    <col min="52" max="52" width="19.5703125" customWidth="1"/>
    <col min="53" max="53" width="7.85546875" bestFit="1" customWidth="1"/>
    <col min="54" max="54" width="39.28515625" customWidth="1"/>
    <col min="55" max="55" width="10.42578125" bestFit="1" customWidth="1"/>
    <col min="56" max="56" width="34.7109375" customWidth="1"/>
    <col min="57" max="57" width="11.28515625" customWidth="1"/>
    <col min="58" max="58" width="19.7109375" customWidth="1"/>
    <col min="59" max="59" width="16.7109375" bestFit="1" customWidth="1"/>
    <col min="60" max="60" width="10.28515625" bestFit="1" customWidth="1"/>
    <col min="61" max="62" width="8.85546875" bestFit="1" customWidth="1"/>
  </cols>
  <sheetData>
    <row r="1" spans="2:57"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7" ht="16.5" x14ac:dyDescent="0.25">
      <c r="B2" s="1" t="s">
        <v>13</v>
      </c>
      <c r="C2" s="1" t="s">
        <v>66</v>
      </c>
      <c r="D2" s="1" t="s">
        <v>14</v>
      </c>
      <c r="E2" s="40" t="s">
        <v>20</v>
      </c>
      <c r="F2" s="40" t="s">
        <v>21</v>
      </c>
      <c r="G2" s="40" t="s">
        <v>22</v>
      </c>
      <c r="H2" s="40" t="s">
        <v>23</v>
      </c>
      <c r="I2" s="40" t="s">
        <v>24</v>
      </c>
      <c r="J2" s="40" t="s">
        <v>25</v>
      </c>
      <c r="K2" s="41" t="s">
        <v>26</v>
      </c>
      <c r="L2" s="41" t="s">
        <v>27</v>
      </c>
      <c r="M2" s="41" t="s">
        <v>28</v>
      </c>
      <c r="N2" s="41" t="s">
        <v>29</v>
      </c>
      <c r="O2" s="41" t="s">
        <v>30</v>
      </c>
      <c r="P2" s="42" t="s">
        <v>31</v>
      </c>
      <c r="Q2" s="42" t="s">
        <v>32</v>
      </c>
      <c r="R2" s="43" t="s">
        <v>33</v>
      </c>
      <c r="S2" s="43" t="s">
        <v>34</v>
      </c>
      <c r="T2" s="44" t="s">
        <v>35</v>
      </c>
      <c r="U2" s="44" t="s">
        <v>36</v>
      </c>
      <c r="V2" s="45" t="s">
        <v>37</v>
      </c>
      <c r="W2" s="45" t="s">
        <v>38</v>
      </c>
      <c r="X2" s="45" t="s">
        <v>39</v>
      </c>
      <c r="Y2" s="46" t="s">
        <v>40</v>
      </c>
      <c r="Z2" s="46" t="s">
        <v>41</v>
      </c>
      <c r="AA2" s="47" t="s">
        <v>42</v>
      </c>
      <c r="AB2" s="47" t="s">
        <v>43</v>
      </c>
      <c r="AC2" s="47" t="s">
        <v>44</v>
      </c>
      <c r="AD2" s="47" t="s">
        <v>45</v>
      </c>
      <c r="AE2" s="48" t="s">
        <v>46</v>
      </c>
      <c r="AF2" s="48" t="s">
        <v>47</v>
      </c>
      <c r="AG2" s="48" t="s">
        <v>48</v>
      </c>
      <c r="AH2" s="48" t="s">
        <v>49</v>
      </c>
      <c r="AI2" s="48" t="s">
        <v>50</v>
      </c>
      <c r="AJ2" s="49" t="s">
        <v>51</v>
      </c>
      <c r="AK2" s="49" t="s">
        <v>52</v>
      </c>
      <c r="AL2" s="49" t="s">
        <v>53</v>
      </c>
      <c r="AM2" s="49" t="s">
        <v>54</v>
      </c>
      <c r="AN2" s="50" t="s">
        <v>55</v>
      </c>
      <c r="AO2" s="50" t="s">
        <v>56</v>
      </c>
      <c r="AP2" s="50" t="s">
        <v>57</v>
      </c>
      <c r="AQ2" s="50" t="s">
        <v>58</v>
      </c>
      <c r="AR2" s="51" t="s">
        <v>11</v>
      </c>
      <c r="AS2" s="51" t="s">
        <v>59</v>
      </c>
      <c r="AT2" s="51" t="s">
        <v>60</v>
      </c>
      <c r="AU2" s="51" t="s">
        <v>61</v>
      </c>
      <c r="AV2" s="51" t="s">
        <v>62</v>
      </c>
      <c r="AW2" s="51" t="s">
        <v>63</v>
      </c>
      <c r="AX2" s="52" t="s">
        <v>12</v>
      </c>
      <c r="AY2" s="52" t="s">
        <v>64</v>
      </c>
      <c r="AZ2" s="53" t="s">
        <v>65</v>
      </c>
      <c r="BA2" s="112" t="s">
        <v>1077</v>
      </c>
    </row>
    <row r="3" spans="2:57" ht="82.5" hidden="1" x14ac:dyDescent="0.25">
      <c r="B3" s="87">
        <v>2020</v>
      </c>
      <c r="C3" s="87" t="s">
        <v>141</v>
      </c>
      <c r="D3" s="87" t="s">
        <v>142</v>
      </c>
      <c r="E3" s="3" t="s">
        <v>1132</v>
      </c>
      <c r="F3" s="6" t="s">
        <v>1133</v>
      </c>
      <c r="G3" s="6">
        <v>89518638877</v>
      </c>
      <c r="H3" s="6" t="s">
        <v>74</v>
      </c>
      <c r="I3" s="6">
        <v>2</v>
      </c>
      <c r="J3" s="6">
        <v>24</v>
      </c>
      <c r="K3" s="7" t="s">
        <v>1</v>
      </c>
      <c r="L3" s="7" t="s">
        <v>1</v>
      </c>
      <c r="M3" s="7" t="s">
        <v>1</v>
      </c>
      <c r="N3" s="7" t="s">
        <v>1</v>
      </c>
      <c r="O3" s="7" t="s">
        <v>69</v>
      </c>
      <c r="P3" s="8" t="s">
        <v>69</v>
      </c>
      <c r="Q3" s="8" t="s">
        <v>1</v>
      </c>
      <c r="R3" s="9" t="s">
        <v>69</v>
      </c>
      <c r="S3" s="9" t="s">
        <v>69</v>
      </c>
      <c r="T3" s="10" t="s">
        <v>1</v>
      </c>
      <c r="U3" s="10" t="s">
        <v>1</v>
      </c>
      <c r="V3" s="11" t="s">
        <v>69</v>
      </c>
      <c r="W3" s="11" t="s">
        <v>69</v>
      </c>
      <c r="X3" s="11" t="s">
        <v>75</v>
      </c>
      <c r="Y3" s="12" t="s">
        <v>1</v>
      </c>
      <c r="Z3" s="12" t="s">
        <v>1</v>
      </c>
      <c r="AA3" s="13" t="s">
        <v>1</v>
      </c>
      <c r="AB3" s="13" t="s">
        <v>69</v>
      </c>
      <c r="AC3" s="13" t="s">
        <v>1</v>
      </c>
      <c r="AD3" s="13" t="s">
        <v>1</v>
      </c>
      <c r="AE3" s="14" t="s">
        <v>1</v>
      </c>
      <c r="AF3" s="14" t="s">
        <v>1</v>
      </c>
      <c r="AG3" s="14" t="s">
        <v>1</v>
      </c>
      <c r="AH3" s="14" t="s">
        <v>1</v>
      </c>
      <c r="AI3" s="14" t="s">
        <v>69</v>
      </c>
      <c r="AJ3" s="15" t="s">
        <v>75</v>
      </c>
      <c r="AK3" s="15" t="s">
        <v>1</v>
      </c>
      <c r="AL3" s="15" t="s">
        <v>1</v>
      </c>
      <c r="AM3" s="15" t="s">
        <v>1</v>
      </c>
      <c r="AN3" s="16"/>
      <c r="AO3" s="16" t="s">
        <v>1134</v>
      </c>
      <c r="AP3" s="16" t="s">
        <v>1135</v>
      </c>
      <c r="AQ3" s="16"/>
      <c r="AR3" s="17" t="s">
        <v>71</v>
      </c>
      <c r="AS3" s="17" t="s">
        <v>71</v>
      </c>
      <c r="AT3" s="17" t="s">
        <v>71</v>
      </c>
      <c r="AU3" s="17" t="s">
        <v>71</v>
      </c>
      <c r="AV3" s="17" t="s">
        <v>71</v>
      </c>
      <c r="AW3" s="17" t="s">
        <v>1136</v>
      </c>
      <c r="AX3" s="18" t="s">
        <v>1</v>
      </c>
      <c r="AY3" s="19" t="s">
        <v>140</v>
      </c>
      <c r="AZ3" s="20" t="s">
        <v>1137</v>
      </c>
      <c r="BA3" s="90" t="s">
        <v>141</v>
      </c>
    </row>
    <row r="4" spans="2:57" ht="33" hidden="1" x14ac:dyDescent="0.25">
      <c r="B4" s="87">
        <v>2020</v>
      </c>
      <c r="C4" s="87" t="s">
        <v>141</v>
      </c>
      <c r="D4" s="87" t="s">
        <v>142</v>
      </c>
      <c r="E4" s="3" t="s">
        <v>1390</v>
      </c>
      <c r="F4" s="6" t="s">
        <v>1396</v>
      </c>
      <c r="G4" s="4" t="s">
        <v>68</v>
      </c>
      <c r="H4" s="6" t="s">
        <v>1398</v>
      </c>
      <c r="I4" s="6">
        <v>1</v>
      </c>
      <c r="J4" s="6">
        <v>2</v>
      </c>
      <c r="K4" s="7" t="s">
        <v>69</v>
      </c>
      <c r="L4" s="7" t="s">
        <v>1</v>
      </c>
      <c r="M4" s="7" t="s">
        <v>69</v>
      </c>
      <c r="N4" s="7" t="s">
        <v>1</v>
      </c>
      <c r="O4" s="7" t="s">
        <v>1</v>
      </c>
      <c r="P4" s="8" t="s">
        <v>69</v>
      </c>
      <c r="Q4" s="8" t="s">
        <v>1</v>
      </c>
      <c r="R4" s="9" t="s">
        <v>75</v>
      </c>
      <c r="S4" s="9" t="s">
        <v>1</v>
      </c>
      <c r="T4" s="10" t="s">
        <v>1</v>
      </c>
      <c r="U4" s="10" t="s">
        <v>69</v>
      </c>
      <c r="V4" s="11" t="s">
        <v>1</v>
      </c>
      <c r="W4" s="11" t="s">
        <v>1</v>
      </c>
      <c r="X4" s="11" t="s">
        <v>69</v>
      </c>
      <c r="Y4" s="12" t="s">
        <v>1</v>
      </c>
      <c r="Z4" s="12" t="s">
        <v>1</v>
      </c>
      <c r="AA4" s="13" t="s">
        <v>69</v>
      </c>
      <c r="AB4" s="13" t="s">
        <v>69</v>
      </c>
      <c r="AC4" s="13" t="s">
        <v>1</v>
      </c>
      <c r="AD4" s="13" t="s">
        <v>69</v>
      </c>
      <c r="AE4" s="14" t="s">
        <v>1</v>
      </c>
      <c r="AF4" s="14" t="s">
        <v>1</v>
      </c>
      <c r="AG4" s="14" t="s">
        <v>1</v>
      </c>
      <c r="AH4" s="14" t="s">
        <v>1</v>
      </c>
      <c r="AI4" s="14" t="s">
        <v>69</v>
      </c>
      <c r="AJ4" s="15" t="s">
        <v>75</v>
      </c>
      <c r="AK4" s="15" t="s">
        <v>1</v>
      </c>
      <c r="AL4" s="15" t="s">
        <v>1</v>
      </c>
      <c r="AM4" s="15" t="s">
        <v>1</v>
      </c>
      <c r="AN4" s="16"/>
      <c r="AO4" s="16" t="s">
        <v>68</v>
      </c>
      <c r="AP4" s="16" t="s">
        <v>1135</v>
      </c>
      <c r="AQ4" s="16"/>
      <c r="AR4" s="17" t="s">
        <v>71</v>
      </c>
      <c r="AS4" s="17" t="s">
        <v>71</v>
      </c>
      <c r="AT4" s="17" t="s">
        <v>71</v>
      </c>
      <c r="AU4" s="17" t="s">
        <v>71</v>
      </c>
      <c r="AV4" s="17" t="s">
        <v>71</v>
      </c>
      <c r="AW4" s="17" t="s">
        <v>68</v>
      </c>
      <c r="AX4" s="18" t="s">
        <v>1</v>
      </c>
      <c r="AY4" s="19" t="s">
        <v>140</v>
      </c>
      <c r="AZ4" s="20" t="s">
        <v>68</v>
      </c>
      <c r="BA4" s="90"/>
    </row>
    <row r="5" spans="2:57" ht="66" hidden="1" x14ac:dyDescent="0.25">
      <c r="B5" s="87">
        <v>2020</v>
      </c>
      <c r="C5" s="87" t="s">
        <v>141</v>
      </c>
      <c r="D5" s="87" t="s">
        <v>142</v>
      </c>
      <c r="E5" s="3" t="s">
        <v>1391</v>
      </c>
      <c r="F5" s="6" t="s">
        <v>1397</v>
      </c>
      <c r="G5" s="4" t="s">
        <v>68</v>
      </c>
      <c r="H5" s="6" t="s">
        <v>1400</v>
      </c>
      <c r="I5" s="6">
        <v>1</v>
      </c>
      <c r="J5" s="6">
        <v>3</v>
      </c>
      <c r="K5" s="7" t="s">
        <v>69</v>
      </c>
      <c r="L5" s="7" t="s">
        <v>69</v>
      </c>
      <c r="M5" s="7" t="s">
        <v>1</v>
      </c>
      <c r="N5" s="7" t="s">
        <v>69</v>
      </c>
      <c r="O5" s="7" t="s">
        <v>1</v>
      </c>
      <c r="P5" s="8" t="s">
        <v>69</v>
      </c>
      <c r="Q5" s="8" t="s">
        <v>1</v>
      </c>
      <c r="R5" s="9" t="s">
        <v>1</v>
      </c>
      <c r="S5" s="9" t="s">
        <v>69</v>
      </c>
      <c r="T5" s="10" t="s">
        <v>69</v>
      </c>
      <c r="U5" s="10" t="s">
        <v>69</v>
      </c>
      <c r="V5" s="11" t="s">
        <v>69</v>
      </c>
      <c r="W5" s="11" t="s">
        <v>1</v>
      </c>
      <c r="X5" s="11" t="s">
        <v>1</v>
      </c>
      <c r="Y5" s="12" t="s">
        <v>69</v>
      </c>
      <c r="Z5" s="12" t="s">
        <v>1</v>
      </c>
      <c r="AA5" s="13" t="s">
        <v>1</v>
      </c>
      <c r="AB5" s="13" t="s">
        <v>69</v>
      </c>
      <c r="AC5" s="13" t="s">
        <v>69</v>
      </c>
      <c r="AD5" s="13" t="s">
        <v>1</v>
      </c>
      <c r="AE5" s="14" t="s">
        <v>69</v>
      </c>
      <c r="AF5" s="14" t="s">
        <v>69</v>
      </c>
      <c r="AG5" s="14" t="s">
        <v>69</v>
      </c>
      <c r="AH5" s="14" t="s">
        <v>69</v>
      </c>
      <c r="AI5" s="14" t="s">
        <v>69</v>
      </c>
      <c r="AJ5" s="15" t="s">
        <v>69</v>
      </c>
      <c r="AK5" s="15" t="s">
        <v>69</v>
      </c>
      <c r="AL5" s="15" t="s">
        <v>69</v>
      </c>
      <c r="AM5" s="15" t="s">
        <v>69</v>
      </c>
      <c r="AN5" s="16" t="s">
        <v>70</v>
      </c>
      <c r="AO5" s="16" t="s">
        <v>68</v>
      </c>
      <c r="AP5" s="16" t="s">
        <v>71</v>
      </c>
      <c r="AQ5" s="16" t="s">
        <v>71</v>
      </c>
      <c r="AR5" s="17" t="s">
        <v>71</v>
      </c>
      <c r="AS5" s="17" t="s">
        <v>71</v>
      </c>
      <c r="AT5" s="17" t="s">
        <v>71</v>
      </c>
      <c r="AU5" s="17" t="s">
        <v>68</v>
      </c>
      <c r="AV5" s="17" t="s">
        <v>71</v>
      </c>
      <c r="AW5" s="17" t="s">
        <v>1420</v>
      </c>
      <c r="AX5" s="18" t="s">
        <v>1194</v>
      </c>
      <c r="AY5" s="19"/>
      <c r="AZ5" s="20"/>
      <c r="BA5" s="90"/>
    </row>
    <row r="6" spans="2:57" ht="16.5" hidden="1" x14ac:dyDescent="0.25">
      <c r="B6" s="87">
        <v>2020</v>
      </c>
      <c r="C6" s="87" t="s">
        <v>141</v>
      </c>
      <c r="D6" s="87" t="s">
        <v>142</v>
      </c>
      <c r="E6" s="3" t="s">
        <v>1392</v>
      </c>
      <c r="F6" s="6" t="s">
        <v>1402</v>
      </c>
      <c r="G6" s="4" t="s">
        <v>68</v>
      </c>
      <c r="H6" s="6" t="s">
        <v>1399</v>
      </c>
      <c r="I6" s="6">
        <v>1</v>
      </c>
      <c r="J6" s="6">
        <v>4</v>
      </c>
      <c r="K6" s="7" t="s">
        <v>1</v>
      </c>
      <c r="L6" s="7" t="s">
        <v>69</v>
      </c>
      <c r="M6" s="7" t="s">
        <v>69</v>
      </c>
      <c r="N6" s="7" t="s">
        <v>69</v>
      </c>
      <c r="O6" s="7" t="s">
        <v>69</v>
      </c>
      <c r="P6" s="8" t="s">
        <v>69</v>
      </c>
      <c r="Q6" s="8" t="s">
        <v>69</v>
      </c>
      <c r="R6" s="9" t="s">
        <v>69</v>
      </c>
      <c r="S6" s="9" t="s">
        <v>69</v>
      </c>
      <c r="T6" s="10" t="s">
        <v>69</v>
      </c>
      <c r="U6" s="10" t="s">
        <v>1</v>
      </c>
      <c r="V6" s="11" t="s">
        <v>69</v>
      </c>
      <c r="W6" s="11" t="s">
        <v>1</v>
      </c>
      <c r="X6" s="11" t="s">
        <v>69</v>
      </c>
      <c r="Y6" s="12" t="s">
        <v>1</v>
      </c>
      <c r="Z6" s="12" t="s">
        <v>1</v>
      </c>
      <c r="AA6" s="13" t="s">
        <v>69</v>
      </c>
      <c r="AB6" s="13" t="s">
        <v>1</v>
      </c>
      <c r="AC6" s="13" t="s">
        <v>69</v>
      </c>
      <c r="AD6" s="13" t="s">
        <v>69</v>
      </c>
      <c r="AE6" s="14" t="s">
        <v>1</v>
      </c>
      <c r="AF6" s="14" t="s">
        <v>1</v>
      </c>
      <c r="AG6" s="14" t="s">
        <v>69</v>
      </c>
      <c r="AH6" s="14" t="s">
        <v>1</v>
      </c>
      <c r="AI6" s="14" t="s">
        <v>1</v>
      </c>
      <c r="AJ6" s="15" t="s">
        <v>1</v>
      </c>
      <c r="AK6" s="15" t="s">
        <v>1</v>
      </c>
      <c r="AL6" s="15" t="s">
        <v>69</v>
      </c>
      <c r="AM6" s="15" t="s">
        <v>1</v>
      </c>
      <c r="AN6" s="16" t="s">
        <v>70</v>
      </c>
      <c r="AO6" s="16" t="s">
        <v>68</v>
      </c>
      <c r="AP6" s="16" t="s">
        <v>71</v>
      </c>
      <c r="AQ6" s="16" t="s">
        <v>71</v>
      </c>
      <c r="AR6" s="17" t="s">
        <v>71</v>
      </c>
      <c r="AS6" s="17" t="s">
        <v>71</v>
      </c>
      <c r="AT6" s="17" t="s">
        <v>71</v>
      </c>
      <c r="AU6" s="17" t="s">
        <v>72</v>
      </c>
      <c r="AV6" s="17" t="s">
        <v>71</v>
      </c>
      <c r="AW6" s="17" t="s">
        <v>68</v>
      </c>
      <c r="AX6" s="18" t="s">
        <v>68</v>
      </c>
      <c r="AY6" s="19" t="s">
        <v>68</v>
      </c>
      <c r="AZ6" s="20" t="s">
        <v>68</v>
      </c>
      <c r="BA6" s="90"/>
    </row>
    <row r="7" spans="2:57" ht="66" hidden="1" x14ac:dyDescent="0.25">
      <c r="B7" s="87">
        <v>2020</v>
      </c>
      <c r="C7" s="87" t="s">
        <v>141</v>
      </c>
      <c r="D7" s="87" t="s">
        <v>142</v>
      </c>
      <c r="E7" s="3" t="s">
        <v>1393</v>
      </c>
      <c r="F7" s="6" t="s">
        <v>1401</v>
      </c>
      <c r="G7" s="4" t="s">
        <v>68</v>
      </c>
      <c r="H7" s="6" t="s">
        <v>1405</v>
      </c>
      <c r="I7" s="6">
        <v>1</v>
      </c>
      <c r="J7" s="6">
        <v>1</v>
      </c>
      <c r="K7" s="7" t="s">
        <v>69</v>
      </c>
      <c r="L7" s="7" t="s">
        <v>69</v>
      </c>
      <c r="M7" s="7" t="s">
        <v>69</v>
      </c>
      <c r="N7" s="7" t="s">
        <v>1</v>
      </c>
      <c r="O7" s="7" t="s">
        <v>1</v>
      </c>
      <c r="P7" s="8" t="s">
        <v>1</v>
      </c>
      <c r="Q7" s="8" t="s">
        <v>1</v>
      </c>
      <c r="R7" s="9" t="s">
        <v>69</v>
      </c>
      <c r="S7" s="9" t="s">
        <v>1</v>
      </c>
      <c r="T7" s="10" t="s">
        <v>69</v>
      </c>
      <c r="U7" s="10" t="s">
        <v>69</v>
      </c>
      <c r="V7" s="11" t="s">
        <v>1</v>
      </c>
      <c r="W7" s="11" t="s">
        <v>75</v>
      </c>
      <c r="X7" s="11" t="s">
        <v>1</v>
      </c>
      <c r="Y7" s="12" t="s">
        <v>69</v>
      </c>
      <c r="Z7" s="12" t="s">
        <v>1</v>
      </c>
      <c r="AA7" s="13" t="s">
        <v>69</v>
      </c>
      <c r="AB7" s="13" t="s">
        <v>69</v>
      </c>
      <c r="AC7" s="13" t="s">
        <v>1</v>
      </c>
      <c r="AD7" s="13" t="s">
        <v>1</v>
      </c>
      <c r="AE7" s="14" t="s">
        <v>1</v>
      </c>
      <c r="AF7" s="14" t="s">
        <v>1</v>
      </c>
      <c r="AG7" s="14" t="s">
        <v>1</v>
      </c>
      <c r="AH7" s="14" t="s">
        <v>1</v>
      </c>
      <c r="AI7" s="14" t="s">
        <v>1</v>
      </c>
      <c r="AJ7" s="15" t="s">
        <v>1</v>
      </c>
      <c r="AK7" s="15" t="s">
        <v>1</v>
      </c>
      <c r="AL7" s="15" t="s">
        <v>1</v>
      </c>
      <c r="AM7" s="15" t="s">
        <v>1</v>
      </c>
      <c r="AN7" s="16" t="s">
        <v>70</v>
      </c>
      <c r="AO7" s="16" t="s">
        <v>68</v>
      </c>
      <c r="AP7" s="16" t="s">
        <v>71</v>
      </c>
      <c r="AQ7" s="16" t="s">
        <v>974</v>
      </c>
      <c r="AR7" s="17" t="s">
        <v>203</v>
      </c>
      <c r="AS7" s="17" t="s">
        <v>71</v>
      </c>
      <c r="AT7" s="17" t="s">
        <v>71</v>
      </c>
      <c r="AU7" s="17" t="s">
        <v>72</v>
      </c>
      <c r="AV7" s="17" t="s">
        <v>71</v>
      </c>
      <c r="AW7" s="17" t="s">
        <v>68</v>
      </c>
      <c r="AX7" s="18" t="s">
        <v>1</v>
      </c>
      <c r="AY7" s="19" t="s">
        <v>68</v>
      </c>
      <c r="AZ7" s="20" t="s">
        <v>68</v>
      </c>
      <c r="BA7" s="90"/>
    </row>
    <row r="8" spans="2:57" ht="33" hidden="1" x14ac:dyDescent="0.25">
      <c r="B8" s="87">
        <v>2020</v>
      </c>
      <c r="C8" s="87" t="s">
        <v>141</v>
      </c>
      <c r="D8" s="87" t="s">
        <v>142</v>
      </c>
      <c r="E8" s="3" t="s">
        <v>1394</v>
      </c>
      <c r="F8" s="6" t="s">
        <v>1403</v>
      </c>
      <c r="G8" s="4" t="s">
        <v>68</v>
      </c>
      <c r="H8" s="6" t="s">
        <v>1404</v>
      </c>
      <c r="I8" s="6">
        <v>3</v>
      </c>
      <c r="J8" s="6">
        <v>2</v>
      </c>
      <c r="K8" s="7" t="s">
        <v>69</v>
      </c>
      <c r="L8" s="7" t="s">
        <v>1</v>
      </c>
      <c r="M8" s="7" t="s">
        <v>1</v>
      </c>
      <c r="N8" s="7" t="s">
        <v>1</v>
      </c>
      <c r="O8" s="7" t="s">
        <v>69</v>
      </c>
      <c r="P8" s="8" t="s">
        <v>69</v>
      </c>
      <c r="Q8" s="8" t="s">
        <v>69</v>
      </c>
      <c r="R8" s="9" t="s">
        <v>75</v>
      </c>
      <c r="S8" s="9" t="s">
        <v>1</v>
      </c>
      <c r="T8" s="10" t="s">
        <v>1</v>
      </c>
      <c r="U8" s="10" t="s">
        <v>1</v>
      </c>
      <c r="V8" s="11" t="s">
        <v>69</v>
      </c>
      <c r="W8" s="11" t="s">
        <v>1</v>
      </c>
      <c r="X8" s="11" t="s">
        <v>1</v>
      </c>
      <c r="Y8" s="12" t="s">
        <v>1</v>
      </c>
      <c r="Z8" s="12" t="s">
        <v>1</v>
      </c>
      <c r="AA8" s="13" t="s">
        <v>69</v>
      </c>
      <c r="AB8" s="13" t="s">
        <v>1</v>
      </c>
      <c r="AC8" s="13" t="s">
        <v>1</v>
      </c>
      <c r="AD8" s="13" t="s">
        <v>1</v>
      </c>
      <c r="AE8" s="14" t="s">
        <v>1</v>
      </c>
      <c r="AF8" s="14" t="s">
        <v>1</v>
      </c>
      <c r="AG8" s="14" t="s">
        <v>1</v>
      </c>
      <c r="AH8" s="14" t="s">
        <v>1</v>
      </c>
      <c r="AI8" s="14" t="s">
        <v>69</v>
      </c>
      <c r="AJ8" s="15" t="s">
        <v>75</v>
      </c>
      <c r="AK8" s="15" t="s">
        <v>1</v>
      </c>
      <c r="AL8" s="15" t="s">
        <v>1</v>
      </c>
      <c r="AM8" s="15" t="s">
        <v>1</v>
      </c>
      <c r="AN8" s="16"/>
      <c r="AO8" s="16" t="s">
        <v>68</v>
      </c>
      <c r="AP8" s="16" t="s">
        <v>1135</v>
      </c>
      <c r="AQ8" s="16"/>
      <c r="AR8" s="17" t="s">
        <v>71</v>
      </c>
      <c r="AS8" s="17" t="s">
        <v>71</v>
      </c>
      <c r="AT8" s="17" t="s">
        <v>71</v>
      </c>
      <c r="AU8" s="17" t="s">
        <v>71</v>
      </c>
      <c r="AV8" s="17" t="s">
        <v>71</v>
      </c>
      <c r="AW8" s="17" t="s">
        <v>68</v>
      </c>
      <c r="AX8" s="18" t="s">
        <v>1</v>
      </c>
      <c r="AY8" s="19" t="s">
        <v>68</v>
      </c>
      <c r="AZ8" s="20" t="s">
        <v>68</v>
      </c>
      <c r="BA8" s="90"/>
    </row>
    <row r="9" spans="2:57" ht="16.5" hidden="1" x14ac:dyDescent="0.25">
      <c r="B9" s="87">
        <v>2020</v>
      </c>
      <c r="C9" s="87" t="s">
        <v>141</v>
      </c>
      <c r="D9" s="87" t="s">
        <v>142</v>
      </c>
      <c r="E9" s="3" t="s">
        <v>1395</v>
      </c>
      <c r="F9" s="6" t="s">
        <v>1406</v>
      </c>
      <c r="G9" s="4" t="s">
        <v>68</v>
      </c>
      <c r="H9" s="6" t="s">
        <v>1407</v>
      </c>
      <c r="I9" s="6">
        <v>1</v>
      </c>
      <c r="J9" s="6">
        <v>2</v>
      </c>
      <c r="K9" s="7" t="s">
        <v>1</v>
      </c>
      <c r="L9" s="7" t="s">
        <v>75</v>
      </c>
      <c r="M9" s="7" t="s">
        <v>69</v>
      </c>
      <c r="N9" s="7" t="s">
        <v>1</v>
      </c>
      <c r="O9" s="7" t="s">
        <v>69</v>
      </c>
      <c r="P9" s="8" t="s">
        <v>69</v>
      </c>
      <c r="Q9" s="8" t="s">
        <v>69</v>
      </c>
      <c r="R9" s="9" t="s">
        <v>69</v>
      </c>
      <c r="S9" s="9" t="s">
        <v>1</v>
      </c>
      <c r="T9" s="10" t="s">
        <v>1</v>
      </c>
      <c r="U9" s="10" t="s">
        <v>69</v>
      </c>
      <c r="V9" s="11" t="s">
        <v>69</v>
      </c>
      <c r="W9" s="11" t="s">
        <v>1</v>
      </c>
      <c r="X9" s="11" t="s">
        <v>69</v>
      </c>
      <c r="Y9" s="12" t="s">
        <v>1</v>
      </c>
      <c r="Z9" s="12" t="s">
        <v>1</v>
      </c>
      <c r="AA9" s="13" t="s">
        <v>69</v>
      </c>
      <c r="AB9" s="13" t="s">
        <v>1</v>
      </c>
      <c r="AC9" s="13" t="s">
        <v>1</v>
      </c>
      <c r="AD9" s="13" t="s">
        <v>1</v>
      </c>
      <c r="AE9" s="14" t="s">
        <v>1</v>
      </c>
      <c r="AF9" s="14" t="s">
        <v>1</v>
      </c>
      <c r="AG9" s="14" t="s">
        <v>1</v>
      </c>
      <c r="AH9" s="14" t="s">
        <v>1</v>
      </c>
      <c r="AI9" s="14" t="s">
        <v>69</v>
      </c>
      <c r="AJ9" s="15" t="s">
        <v>75</v>
      </c>
      <c r="AK9" s="15" t="s">
        <v>1</v>
      </c>
      <c r="AL9" s="15" t="s">
        <v>1</v>
      </c>
      <c r="AM9" s="15" t="s">
        <v>1</v>
      </c>
      <c r="AN9" s="16"/>
      <c r="AO9" s="16" t="s">
        <v>68</v>
      </c>
      <c r="AP9" s="16" t="s">
        <v>1135</v>
      </c>
      <c r="AQ9" s="16"/>
      <c r="AR9" s="17" t="s">
        <v>71</v>
      </c>
      <c r="AS9" s="17" t="s">
        <v>71</v>
      </c>
      <c r="AT9" s="17" t="s">
        <v>71</v>
      </c>
      <c r="AU9" s="17" t="s">
        <v>71</v>
      </c>
      <c r="AV9" s="17" t="s">
        <v>71</v>
      </c>
      <c r="AW9" s="17" t="s">
        <v>68</v>
      </c>
      <c r="AX9" s="18" t="s">
        <v>1</v>
      </c>
      <c r="AY9" s="19" t="s">
        <v>68</v>
      </c>
      <c r="AZ9" s="20" t="s">
        <v>68</v>
      </c>
      <c r="BA9" s="90"/>
    </row>
    <row r="10" spans="2:57" ht="33" hidden="1" x14ac:dyDescent="0.25">
      <c r="B10" s="87">
        <v>2020</v>
      </c>
      <c r="C10" s="87" t="s">
        <v>141</v>
      </c>
      <c r="D10" s="87" t="s">
        <v>142</v>
      </c>
      <c r="E10" s="3" t="s">
        <v>1408</v>
      </c>
      <c r="F10" s="6" t="s">
        <v>1409</v>
      </c>
      <c r="G10" s="4" t="s">
        <v>68</v>
      </c>
      <c r="H10" s="6" t="s">
        <v>1410</v>
      </c>
      <c r="I10" s="6">
        <v>1</v>
      </c>
      <c r="J10" s="6">
        <v>2</v>
      </c>
      <c r="K10" s="7" t="s">
        <v>69</v>
      </c>
      <c r="L10" s="7" t="s">
        <v>69</v>
      </c>
      <c r="M10" s="7" t="s">
        <v>1</v>
      </c>
      <c r="N10" s="7" t="s">
        <v>69</v>
      </c>
      <c r="O10" s="7" t="s">
        <v>1</v>
      </c>
      <c r="P10" s="8" t="s">
        <v>69</v>
      </c>
      <c r="Q10" s="8" t="s">
        <v>1</v>
      </c>
      <c r="R10" s="9" t="s">
        <v>69</v>
      </c>
      <c r="S10" s="9" t="s">
        <v>1</v>
      </c>
      <c r="T10" s="10" t="s">
        <v>69</v>
      </c>
      <c r="U10" s="10" t="s">
        <v>1</v>
      </c>
      <c r="V10" s="11" t="s">
        <v>69</v>
      </c>
      <c r="W10" s="11" t="s">
        <v>1</v>
      </c>
      <c r="X10" s="11" t="s">
        <v>69</v>
      </c>
      <c r="Y10" s="12" t="s">
        <v>69</v>
      </c>
      <c r="Z10" s="12" t="s">
        <v>69</v>
      </c>
      <c r="AA10" s="13" t="s">
        <v>1</v>
      </c>
      <c r="AB10" s="13" t="s">
        <v>69</v>
      </c>
      <c r="AC10" s="13" t="s">
        <v>1</v>
      </c>
      <c r="AD10" s="13" t="s">
        <v>69</v>
      </c>
      <c r="AE10" s="14" t="s">
        <v>69</v>
      </c>
      <c r="AF10" s="14" t="s">
        <v>69</v>
      </c>
      <c r="AG10" s="14" t="s">
        <v>69</v>
      </c>
      <c r="AH10" s="14" t="s">
        <v>69</v>
      </c>
      <c r="AI10" s="14" t="s">
        <v>69</v>
      </c>
      <c r="AJ10" s="15" t="s">
        <v>69</v>
      </c>
      <c r="AK10" s="15" t="s">
        <v>69</v>
      </c>
      <c r="AL10" s="15" t="s">
        <v>69</v>
      </c>
      <c r="AM10" s="15" t="s">
        <v>69</v>
      </c>
      <c r="AN10" s="16" t="s">
        <v>70</v>
      </c>
      <c r="AO10" s="16" t="s">
        <v>68</v>
      </c>
      <c r="AP10" s="16" t="s">
        <v>71</v>
      </c>
      <c r="AQ10" s="16" t="s">
        <v>71</v>
      </c>
      <c r="AR10" s="17" t="s">
        <v>71</v>
      </c>
      <c r="AS10" s="17" t="s">
        <v>71</v>
      </c>
      <c r="AT10" s="17" t="s">
        <v>71</v>
      </c>
      <c r="AU10" s="17" t="s">
        <v>1192</v>
      </c>
      <c r="AV10" s="17" t="s">
        <v>71</v>
      </c>
      <c r="AW10" s="17" t="s">
        <v>68</v>
      </c>
      <c r="AX10" s="18" t="s">
        <v>1</v>
      </c>
      <c r="AY10" s="19"/>
      <c r="AZ10" s="20"/>
      <c r="BA10" s="90"/>
    </row>
    <row r="11" spans="2:57" ht="66" hidden="1" x14ac:dyDescent="0.25">
      <c r="B11" s="87">
        <v>2020</v>
      </c>
      <c r="C11" s="87" t="s">
        <v>141</v>
      </c>
      <c r="D11" s="87" t="s">
        <v>1138</v>
      </c>
      <c r="E11" s="3" t="s">
        <v>1189</v>
      </c>
      <c r="F11" s="6" t="s">
        <v>1190</v>
      </c>
      <c r="G11" s="4">
        <v>315342508</v>
      </c>
      <c r="H11" s="6" t="s">
        <v>1191</v>
      </c>
      <c r="I11" s="6">
        <v>2</v>
      </c>
      <c r="J11" s="6">
        <v>24</v>
      </c>
      <c r="K11" s="7" t="s">
        <v>1</v>
      </c>
      <c r="L11" s="7" t="s">
        <v>1</v>
      </c>
      <c r="M11" s="7" t="s">
        <v>1</v>
      </c>
      <c r="N11" s="7" t="s">
        <v>1</v>
      </c>
      <c r="O11" s="7" t="s">
        <v>1</v>
      </c>
      <c r="P11" s="8" t="s">
        <v>1</v>
      </c>
      <c r="Q11" s="8" t="s">
        <v>69</v>
      </c>
      <c r="R11" s="9" t="s">
        <v>1</v>
      </c>
      <c r="S11" s="9" t="s">
        <v>1586</v>
      </c>
      <c r="T11" s="10" t="s">
        <v>69</v>
      </c>
      <c r="U11" s="10" t="s">
        <v>69</v>
      </c>
      <c r="V11" s="11" t="s">
        <v>69</v>
      </c>
      <c r="W11" s="11" t="s">
        <v>1</v>
      </c>
      <c r="X11" s="11" t="s">
        <v>69</v>
      </c>
      <c r="Y11" s="12" t="s">
        <v>69</v>
      </c>
      <c r="Z11" s="12" t="s">
        <v>69</v>
      </c>
      <c r="AA11" s="13" t="s">
        <v>69</v>
      </c>
      <c r="AB11" s="13" t="s">
        <v>69</v>
      </c>
      <c r="AC11" s="13" t="s">
        <v>69</v>
      </c>
      <c r="AD11" s="13" t="s">
        <v>1</v>
      </c>
      <c r="AE11" s="14" t="s">
        <v>69</v>
      </c>
      <c r="AF11" s="14" t="s">
        <v>69</v>
      </c>
      <c r="AG11" s="14" t="s">
        <v>69</v>
      </c>
      <c r="AH11" s="14" t="s">
        <v>69</v>
      </c>
      <c r="AI11" s="14" t="s">
        <v>69</v>
      </c>
      <c r="AJ11" s="15" t="s">
        <v>69</v>
      </c>
      <c r="AK11" s="15" t="s">
        <v>69</v>
      </c>
      <c r="AL11" s="15" t="s">
        <v>69</v>
      </c>
      <c r="AM11" s="15" t="s">
        <v>69</v>
      </c>
      <c r="AN11" s="16" t="s">
        <v>70</v>
      </c>
      <c r="AO11" s="16" t="s">
        <v>70</v>
      </c>
      <c r="AP11" s="16" t="s">
        <v>71</v>
      </c>
      <c r="AQ11" s="16" t="s">
        <v>71</v>
      </c>
      <c r="AR11" s="17" t="s">
        <v>71</v>
      </c>
      <c r="AS11" s="17" t="s">
        <v>71</v>
      </c>
      <c r="AT11" s="17" t="s">
        <v>71</v>
      </c>
      <c r="AU11" s="17" t="s">
        <v>1192</v>
      </c>
      <c r="AV11" s="17" t="s">
        <v>69</v>
      </c>
      <c r="AW11" s="17" t="s">
        <v>1193</v>
      </c>
      <c r="AX11" s="18" t="s">
        <v>1194</v>
      </c>
      <c r="AY11" s="19"/>
      <c r="AZ11" s="20"/>
      <c r="BA11" s="90" t="s">
        <v>141</v>
      </c>
    </row>
    <row r="12" spans="2:57" ht="33" hidden="1" x14ac:dyDescent="0.25">
      <c r="B12" s="87">
        <v>2020</v>
      </c>
      <c r="C12" s="87" t="s">
        <v>1240</v>
      </c>
      <c r="D12" s="87" t="s">
        <v>90</v>
      </c>
      <c r="E12" s="3" t="s">
        <v>1284</v>
      </c>
      <c r="F12" s="6" t="s">
        <v>1285</v>
      </c>
      <c r="G12" s="4" t="s">
        <v>1287</v>
      </c>
      <c r="H12" s="6" t="s">
        <v>1288</v>
      </c>
      <c r="I12" s="6">
        <v>1</v>
      </c>
      <c r="J12" s="6">
        <v>6</v>
      </c>
      <c r="K12" s="24" t="s">
        <v>69</v>
      </c>
      <c r="L12" s="24" t="s">
        <v>1</v>
      </c>
      <c r="M12" s="24" t="s">
        <v>1</v>
      </c>
      <c r="N12" s="24" t="s">
        <v>69</v>
      </c>
      <c r="O12" s="24" t="s">
        <v>69</v>
      </c>
      <c r="P12" s="25" t="s">
        <v>1</v>
      </c>
      <c r="Q12" s="25" t="s">
        <v>69</v>
      </c>
      <c r="R12" s="9" t="s">
        <v>69</v>
      </c>
      <c r="S12" s="9" t="s">
        <v>69</v>
      </c>
      <c r="T12" s="10" t="s">
        <v>69</v>
      </c>
      <c r="U12" s="10" t="s">
        <v>69</v>
      </c>
      <c r="V12" s="11" t="s">
        <v>69</v>
      </c>
      <c r="W12" s="11" t="s">
        <v>69</v>
      </c>
      <c r="X12" s="11" t="s">
        <v>1</v>
      </c>
      <c r="Y12" s="12" t="s">
        <v>69</v>
      </c>
      <c r="Z12" s="12" t="s">
        <v>69</v>
      </c>
      <c r="AA12" s="13" t="s">
        <v>69</v>
      </c>
      <c r="AB12" s="13" t="s">
        <v>1</v>
      </c>
      <c r="AC12" s="13" t="s">
        <v>69</v>
      </c>
      <c r="AD12" s="13" t="s">
        <v>69</v>
      </c>
      <c r="AE12" s="31" t="s">
        <v>1</v>
      </c>
      <c r="AF12" s="31" t="s">
        <v>1</v>
      </c>
      <c r="AG12" s="31" t="s">
        <v>69</v>
      </c>
      <c r="AH12" s="31" t="s">
        <v>1</v>
      </c>
      <c r="AI12" s="31" t="s">
        <v>1</v>
      </c>
      <c r="AJ12" s="32" t="s">
        <v>1</v>
      </c>
      <c r="AK12" s="32" t="s">
        <v>1</v>
      </c>
      <c r="AL12" s="32" t="s">
        <v>69</v>
      </c>
      <c r="AM12" s="32" t="s">
        <v>1</v>
      </c>
      <c r="AN12" s="16" t="s">
        <v>70</v>
      </c>
      <c r="AO12" s="16" t="s">
        <v>70</v>
      </c>
      <c r="AP12" s="16" t="s">
        <v>71</v>
      </c>
      <c r="AQ12" s="16" t="s">
        <v>71</v>
      </c>
      <c r="AR12" s="17" t="s">
        <v>71</v>
      </c>
      <c r="AS12" s="17" t="s">
        <v>71</v>
      </c>
      <c r="AT12" s="17" t="s">
        <v>71</v>
      </c>
      <c r="AU12" s="34" t="s">
        <v>72</v>
      </c>
      <c r="AV12" s="17" t="s">
        <v>69</v>
      </c>
      <c r="AW12" s="17" t="s">
        <v>68</v>
      </c>
      <c r="AX12" s="18" t="s">
        <v>68</v>
      </c>
      <c r="AY12" s="19" t="s">
        <v>68</v>
      </c>
      <c r="AZ12" s="20" t="s">
        <v>68</v>
      </c>
      <c r="BA12" s="90"/>
    </row>
    <row r="13" spans="2:57" ht="181.5" x14ac:dyDescent="0.25">
      <c r="B13" s="87">
        <v>2020</v>
      </c>
      <c r="C13" s="87" t="s">
        <v>141</v>
      </c>
      <c r="D13" s="87" t="s">
        <v>197</v>
      </c>
      <c r="E13" s="21" t="s">
        <v>971</v>
      </c>
      <c r="F13" s="23" t="s">
        <v>702</v>
      </c>
      <c r="G13" s="22" t="s">
        <v>198</v>
      </c>
      <c r="H13" s="23" t="s">
        <v>972</v>
      </c>
      <c r="I13" s="23">
        <v>8</v>
      </c>
      <c r="J13" s="23">
        <v>60</v>
      </c>
      <c r="K13" s="24" t="s">
        <v>1</v>
      </c>
      <c r="L13" s="24" t="s">
        <v>69</v>
      </c>
      <c r="M13" s="24" t="s">
        <v>1</v>
      </c>
      <c r="N13" s="24" t="s">
        <v>1</v>
      </c>
      <c r="O13" s="24" t="s">
        <v>69</v>
      </c>
      <c r="P13" s="25" t="s">
        <v>69</v>
      </c>
      <c r="Q13" s="25" t="s">
        <v>1</v>
      </c>
      <c r="R13" s="26" t="s">
        <v>69</v>
      </c>
      <c r="S13" s="26" t="s">
        <v>1</v>
      </c>
      <c r="T13" s="27" t="s">
        <v>69</v>
      </c>
      <c r="U13" s="27" t="s">
        <v>69</v>
      </c>
      <c r="V13" s="28" t="s">
        <v>1</v>
      </c>
      <c r="W13" s="28" t="s">
        <v>1</v>
      </c>
      <c r="X13" s="28" t="s">
        <v>69</v>
      </c>
      <c r="Y13" s="29" t="s">
        <v>1</v>
      </c>
      <c r="Z13" s="29" t="s">
        <v>1</v>
      </c>
      <c r="AA13" s="30" t="s">
        <v>69</v>
      </c>
      <c r="AB13" s="30" t="s">
        <v>1</v>
      </c>
      <c r="AC13" s="30" t="s">
        <v>1</v>
      </c>
      <c r="AD13" s="30" t="s">
        <v>69</v>
      </c>
      <c r="AE13" s="31" t="s">
        <v>1</v>
      </c>
      <c r="AF13" s="31" t="s">
        <v>1</v>
      </c>
      <c r="AG13" s="31" t="s">
        <v>1</v>
      </c>
      <c r="AH13" s="31" t="s">
        <v>1</v>
      </c>
      <c r="AI13" s="31" t="s">
        <v>1</v>
      </c>
      <c r="AJ13" s="32" t="s">
        <v>1</v>
      </c>
      <c r="AK13" s="32" t="s">
        <v>1</v>
      </c>
      <c r="AL13" s="32" t="s">
        <v>1</v>
      </c>
      <c r="AM13" s="32" t="s">
        <v>1</v>
      </c>
      <c r="AN13" s="33" t="s">
        <v>70</v>
      </c>
      <c r="AO13" s="33" t="s">
        <v>973</v>
      </c>
      <c r="AP13" s="33" t="s">
        <v>71</v>
      </c>
      <c r="AQ13" s="33" t="s">
        <v>974</v>
      </c>
      <c r="AR13" s="34" t="s">
        <v>203</v>
      </c>
      <c r="AS13" s="34" t="s">
        <v>71</v>
      </c>
      <c r="AT13" s="34" t="s">
        <v>71</v>
      </c>
      <c r="AU13" s="34" t="s">
        <v>72</v>
      </c>
      <c r="AV13" s="34" t="s">
        <v>71</v>
      </c>
      <c r="AW13" s="34" t="s">
        <v>975</v>
      </c>
      <c r="AX13" s="35" t="s">
        <v>1</v>
      </c>
      <c r="AY13" s="36" t="s">
        <v>976</v>
      </c>
      <c r="AZ13" s="37" t="s">
        <v>977</v>
      </c>
      <c r="BA13" s="90" t="s">
        <v>141</v>
      </c>
    </row>
    <row r="14" spans="2:57" ht="99" hidden="1" x14ac:dyDescent="0.25">
      <c r="B14" s="87">
        <v>2020</v>
      </c>
      <c r="C14" s="87" t="s">
        <v>141</v>
      </c>
      <c r="D14" s="87" t="s">
        <v>618</v>
      </c>
      <c r="E14" s="3" t="s">
        <v>701</v>
      </c>
      <c r="F14" s="6" t="s">
        <v>702</v>
      </c>
      <c r="G14" s="4" t="s">
        <v>198</v>
      </c>
      <c r="H14" s="6" t="s">
        <v>74</v>
      </c>
      <c r="I14" s="6">
        <v>3</v>
      </c>
      <c r="J14" s="6">
        <v>12</v>
      </c>
      <c r="K14" s="7" t="s">
        <v>69</v>
      </c>
      <c r="L14" s="7" t="s">
        <v>69</v>
      </c>
      <c r="M14" s="7" t="s">
        <v>1</v>
      </c>
      <c r="N14" s="7" t="s">
        <v>69</v>
      </c>
      <c r="O14" s="7" t="s">
        <v>69</v>
      </c>
      <c r="P14" s="8" t="s">
        <v>69</v>
      </c>
      <c r="Q14" s="8" t="s">
        <v>69</v>
      </c>
      <c r="R14" s="9" t="s">
        <v>69</v>
      </c>
      <c r="S14" s="9" t="s">
        <v>69</v>
      </c>
      <c r="T14" s="10" t="s">
        <v>69</v>
      </c>
      <c r="U14" s="10" t="s">
        <v>1</v>
      </c>
      <c r="V14" s="11" t="s">
        <v>69</v>
      </c>
      <c r="W14" s="11" t="s">
        <v>69</v>
      </c>
      <c r="X14" s="11" t="s">
        <v>1</v>
      </c>
      <c r="Y14" s="12" t="s">
        <v>69</v>
      </c>
      <c r="Z14" s="12" t="s">
        <v>1</v>
      </c>
      <c r="AA14" s="13" t="s">
        <v>69</v>
      </c>
      <c r="AB14" s="13" t="s">
        <v>69</v>
      </c>
      <c r="AC14" s="13" t="s">
        <v>69</v>
      </c>
      <c r="AD14" s="13" t="s">
        <v>1</v>
      </c>
      <c r="AE14" s="14" t="s">
        <v>1</v>
      </c>
      <c r="AF14" s="14" t="s">
        <v>1</v>
      </c>
      <c r="AG14" s="14" t="s">
        <v>69</v>
      </c>
      <c r="AH14" s="14" t="s">
        <v>69</v>
      </c>
      <c r="AI14" s="14" t="s">
        <v>69</v>
      </c>
      <c r="AJ14" s="15" t="s">
        <v>1</v>
      </c>
      <c r="AK14" s="15" t="s">
        <v>1</v>
      </c>
      <c r="AL14" s="15" t="s">
        <v>1</v>
      </c>
      <c r="AM14" s="15" t="s">
        <v>69</v>
      </c>
      <c r="AN14" s="16" t="s">
        <v>70</v>
      </c>
      <c r="AO14" s="16" t="s">
        <v>1042</v>
      </c>
      <c r="AP14" s="16" t="s">
        <v>71</v>
      </c>
      <c r="AQ14" s="16" t="s">
        <v>1043</v>
      </c>
      <c r="AR14" s="17" t="s">
        <v>71</v>
      </c>
      <c r="AS14" s="17" t="s">
        <v>71</v>
      </c>
      <c r="AT14" s="17" t="s">
        <v>71</v>
      </c>
      <c r="AU14" s="17" t="s">
        <v>71</v>
      </c>
      <c r="AV14" s="17" t="s">
        <v>72</v>
      </c>
      <c r="AW14" s="17" t="s">
        <v>1044</v>
      </c>
      <c r="AX14" s="18" t="s">
        <v>69</v>
      </c>
      <c r="AY14" s="19" t="s">
        <v>94</v>
      </c>
      <c r="AZ14" s="20" t="s">
        <v>1045</v>
      </c>
      <c r="BA14" s="90" t="s">
        <v>141</v>
      </c>
    </row>
    <row r="15" spans="2:57" ht="115.5" hidden="1" x14ac:dyDescent="0.25">
      <c r="B15" s="87">
        <v>2020</v>
      </c>
      <c r="C15" s="87" t="s">
        <v>141</v>
      </c>
      <c r="D15" s="87" t="s">
        <v>1195</v>
      </c>
      <c r="E15" s="3" t="s">
        <v>701</v>
      </c>
      <c r="F15" s="6" t="s">
        <v>1196</v>
      </c>
      <c r="G15" s="4" t="s">
        <v>1197</v>
      </c>
      <c r="H15" s="6" t="s">
        <v>74</v>
      </c>
      <c r="I15" s="6">
        <v>3</v>
      </c>
      <c r="J15" s="6">
        <v>19</v>
      </c>
      <c r="K15" s="7" t="s">
        <v>69</v>
      </c>
      <c r="L15" s="7" t="s">
        <v>1</v>
      </c>
      <c r="M15" s="7" t="s">
        <v>1</v>
      </c>
      <c r="N15" s="7" t="s">
        <v>69</v>
      </c>
      <c r="O15" s="7" t="s">
        <v>1</v>
      </c>
      <c r="P15" s="8" t="s">
        <v>69</v>
      </c>
      <c r="Q15" s="8" t="s">
        <v>69</v>
      </c>
      <c r="R15" s="9" t="s">
        <v>69</v>
      </c>
      <c r="S15" s="9" t="s">
        <v>1</v>
      </c>
      <c r="T15" s="10" t="s">
        <v>1</v>
      </c>
      <c r="U15" s="10" t="s">
        <v>69</v>
      </c>
      <c r="V15" s="11" t="s">
        <v>1</v>
      </c>
      <c r="W15" s="11" t="s">
        <v>69</v>
      </c>
      <c r="X15" s="11" t="s">
        <v>69</v>
      </c>
      <c r="Y15" s="12" t="s">
        <v>1</v>
      </c>
      <c r="Z15" s="12" t="s">
        <v>69</v>
      </c>
      <c r="AA15" s="13" t="s">
        <v>69</v>
      </c>
      <c r="AB15" s="13" t="s">
        <v>1</v>
      </c>
      <c r="AC15" s="13" t="s">
        <v>69</v>
      </c>
      <c r="AD15" s="13" t="s">
        <v>69</v>
      </c>
      <c r="AE15" s="14" t="s">
        <v>69</v>
      </c>
      <c r="AF15" s="14" t="s">
        <v>69</v>
      </c>
      <c r="AG15" s="14" t="s">
        <v>69</v>
      </c>
      <c r="AH15" s="14" t="s">
        <v>69</v>
      </c>
      <c r="AI15" s="14" t="s">
        <v>69</v>
      </c>
      <c r="AJ15" s="15" t="s">
        <v>69</v>
      </c>
      <c r="AK15" s="15" t="s">
        <v>69</v>
      </c>
      <c r="AL15" s="15" t="s">
        <v>1</v>
      </c>
      <c r="AM15" s="15" t="s">
        <v>69</v>
      </c>
      <c r="AN15" s="16" t="s">
        <v>76</v>
      </c>
      <c r="AO15" s="16" t="s">
        <v>1198</v>
      </c>
      <c r="AP15" s="16" t="s">
        <v>71</v>
      </c>
      <c r="AQ15" s="16" t="s">
        <v>71</v>
      </c>
      <c r="AR15" s="17" t="s">
        <v>71</v>
      </c>
      <c r="AS15" s="17" t="s">
        <v>71</v>
      </c>
      <c r="AT15" s="17" t="s">
        <v>71</v>
      </c>
      <c r="AU15" s="17" t="s">
        <v>74</v>
      </c>
      <c r="AV15" s="17" t="s">
        <v>69</v>
      </c>
      <c r="AW15" s="17" t="s">
        <v>94</v>
      </c>
      <c r="AX15" s="18" t="s">
        <v>69</v>
      </c>
      <c r="AY15" s="19" t="s">
        <v>1199</v>
      </c>
      <c r="AZ15" s="20"/>
      <c r="BA15" s="90" t="s">
        <v>141</v>
      </c>
    </row>
    <row r="16" spans="2:57" ht="115.5" hidden="1" x14ac:dyDescent="0.25">
      <c r="B16" s="87">
        <v>2020</v>
      </c>
      <c r="C16" s="87" t="s">
        <v>141</v>
      </c>
      <c r="D16" s="87" t="s">
        <v>1138</v>
      </c>
      <c r="E16" s="3" t="s">
        <v>1201</v>
      </c>
      <c r="F16" s="6" t="s">
        <v>1202</v>
      </c>
      <c r="G16" s="4" t="s">
        <v>1203</v>
      </c>
      <c r="H16" s="6" t="s">
        <v>93</v>
      </c>
      <c r="I16" s="6">
        <v>1</v>
      </c>
      <c r="J16" s="6">
        <v>1</v>
      </c>
      <c r="K16" s="7" t="s">
        <v>69</v>
      </c>
      <c r="L16" s="7" t="s">
        <v>1</v>
      </c>
      <c r="M16" s="7" t="s">
        <v>69</v>
      </c>
      <c r="N16" s="7" t="s">
        <v>1</v>
      </c>
      <c r="O16" s="7" t="s">
        <v>1</v>
      </c>
      <c r="P16" s="8" t="s">
        <v>69</v>
      </c>
      <c r="Q16" s="8" t="s">
        <v>1</v>
      </c>
      <c r="R16" s="9" t="s">
        <v>69</v>
      </c>
      <c r="S16" s="9" t="s">
        <v>75</v>
      </c>
      <c r="T16" s="10" t="s">
        <v>69</v>
      </c>
      <c r="U16" s="10" t="s">
        <v>69</v>
      </c>
      <c r="V16" s="11" t="s">
        <v>69</v>
      </c>
      <c r="W16" s="11" t="s">
        <v>1</v>
      </c>
      <c r="X16" s="11" t="s">
        <v>69</v>
      </c>
      <c r="Y16" s="12" t="s">
        <v>69</v>
      </c>
      <c r="Z16" s="12" t="s">
        <v>69</v>
      </c>
      <c r="AA16" s="13" t="s">
        <v>1</v>
      </c>
      <c r="AB16" s="13" t="s">
        <v>1</v>
      </c>
      <c r="AC16" s="13" t="s">
        <v>69</v>
      </c>
      <c r="AD16" s="13" t="s">
        <v>69</v>
      </c>
      <c r="AE16" s="14" t="s">
        <v>69</v>
      </c>
      <c r="AF16" s="14" t="s">
        <v>69</v>
      </c>
      <c r="AG16" s="14" t="s">
        <v>69</v>
      </c>
      <c r="AH16" s="14" t="s">
        <v>69</v>
      </c>
      <c r="AI16" s="14" t="s">
        <v>69</v>
      </c>
      <c r="AJ16" s="15" t="s">
        <v>69</v>
      </c>
      <c r="AK16" s="15" t="s">
        <v>69</v>
      </c>
      <c r="AL16" s="15" t="s">
        <v>69</v>
      </c>
      <c r="AM16" s="15" t="s">
        <v>69</v>
      </c>
      <c r="AN16" s="16" t="s">
        <v>70</v>
      </c>
      <c r="AO16" s="16" t="s">
        <v>559</v>
      </c>
      <c r="AP16" s="16" t="s">
        <v>71</v>
      </c>
      <c r="AQ16" s="16" t="s">
        <v>560</v>
      </c>
      <c r="AR16" s="17" t="s">
        <v>71</v>
      </c>
      <c r="AS16" s="17" t="s">
        <v>71</v>
      </c>
      <c r="AT16" s="17" t="s">
        <v>482</v>
      </c>
      <c r="AU16" s="17" t="s">
        <v>71</v>
      </c>
      <c r="AV16" s="17" t="s">
        <v>71</v>
      </c>
      <c r="AW16" s="17" t="s">
        <v>561</v>
      </c>
      <c r="AX16" s="18" t="s">
        <v>645</v>
      </c>
      <c r="AY16" s="19" t="s">
        <v>562</v>
      </c>
      <c r="AZ16" s="20" t="s">
        <v>1204</v>
      </c>
      <c r="BA16" s="90" t="s">
        <v>141</v>
      </c>
    </row>
    <row r="17" spans="2:53" ht="49.5" hidden="1" x14ac:dyDescent="0.25">
      <c r="B17" s="87">
        <v>2020</v>
      </c>
      <c r="C17" s="87" t="s">
        <v>141</v>
      </c>
      <c r="D17" s="87" t="s">
        <v>1357</v>
      </c>
      <c r="E17" s="3" t="s">
        <v>1353</v>
      </c>
      <c r="F17" s="6" t="s">
        <v>1354</v>
      </c>
      <c r="G17" s="4">
        <v>317879881</v>
      </c>
      <c r="H17" s="6" t="s">
        <v>1355</v>
      </c>
      <c r="I17" s="6">
        <v>2</v>
      </c>
      <c r="J17" s="6">
        <v>1</v>
      </c>
      <c r="K17" s="7" t="s">
        <v>1</v>
      </c>
      <c r="L17" s="7" t="s">
        <v>69</v>
      </c>
      <c r="M17" s="7" t="s">
        <v>69</v>
      </c>
      <c r="N17" s="7" t="s">
        <v>75</v>
      </c>
      <c r="O17" s="7" t="s">
        <v>1</v>
      </c>
      <c r="P17" s="8" t="s">
        <v>1</v>
      </c>
      <c r="Q17" s="8" t="s">
        <v>1</v>
      </c>
      <c r="R17" s="9" t="s">
        <v>69</v>
      </c>
      <c r="S17" s="9" t="s">
        <v>1</v>
      </c>
      <c r="T17" s="10" t="s">
        <v>69</v>
      </c>
      <c r="U17" s="10" t="s">
        <v>69</v>
      </c>
      <c r="V17" s="11" t="s">
        <v>69</v>
      </c>
      <c r="W17" s="11" t="s">
        <v>69</v>
      </c>
      <c r="X17" s="11" t="s">
        <v>69</v>
      </c>
      <c r="Y17" s="12" t="s">
        <v>1</v>
      </c>
      <c r="Z17" s="12" t="s">
        <v>69</v>
      </c>
      <c r="AA17" s="13" t="s">
        <v>1</v>
      </c>
      <c r="AB17" s="13" t="s">
        <v>69</v>
      </c>
      <c r="AC17" s="13" t="s">
        <v>1</v>
      </c>
      <c r="AD17" s="13" t="s">
        <v>1</v>
      </c>
      <c r="AE17" s="14" t="s">
        <v>69</v>
      </c>
      <c r="AF17" s="14" t="s">
        <v>1</v>
      </c>
      <c r="AG17" s="14" t="s">
        <v>69</v>
      </c>
      <c r="AH17" s="14" t="s">
        <v>1</v>
      </c>
      <c r="AI17" s="14" t="s">
        <v>1</v>
      </c>
      <c r="AJ17" s="15" t="s">
        <v>1</v>
      </c>
      <c r="AK17" s="15" t="s">
        <v>1</v>
      </c>
      <c r="AL17" s="15" t="s">
        <v>1</v>
      </c>
      <c r="AM17" s="15" t="s">
        <v>1</v>
      </c>
      <c r="AN17" s="16" t="s">
        <v>76</v>
      </c>
      <c r="AO17" s="16" t="s">
        <v>68</v>
      </c>
      <c r="AP17" s="16" t="s">
        <v>76</v>
      </c>
      <c r="AQ17" s="16" t="s">
        <v>72</v>
      </c>
      <c r="AR17" s="17" t="s">
        <v>71</v>
      </c>
      <c r="AS17" s="17" t="s">
        <v>71</v>
      </c>
      <c r="AT17" s="17" t="s">
        <v>71</v>
      </c>
      <c r="AU17" s="17" t="s">
        <v>71</v>
      </c>
      <c r="AV17" s="17" t="s">
        <v>71</v>
      </c>
      <c r="AW17" s="17" t="s">
        <v>68</v>
      </c>
      <c r="AX17" s="18" t="s">
        <v>645</v>
      </c>
      <c r="AY17" s="19" t="s">
        <v>1356</v>
      </c>
      <c r="AZ17" s="20"/>
      <c r="BA17" s="90"/>
    </row>
    <row r="18" spans="2:53" ht="49.5" hidden="1" x14ac:dyDescent="0.25">
      <c r="B18" s="87">
        <v>2020</v>
      </c>
      <c r="C18" s="87" t="s">
        <v>1240</v>
      </c>
      <c r="D18" s="87" t="s">
        <v>67</v>
      </c>
      <c r="E18" s="3" t="s">
        <v>1353</v>
      </c>
      <c r="F18" s="6" t="s">
        <v>1354</v>
      </c>
      <c r="G18" s="4">
        <v>317879881</v>
      </c>
      <c r="H18" s="6" t="s">
        <v>1355</v>
      </c>
      <c r="I18" s="6">
        <v>2</v>
      </c>
      <c r="J18" s="6">
        <v>1</v>
      </c>
      <c r="K18" s="7" t="s">
        <v>1</v>
      </c>
      <c r="L18" s="7" t="s">
        <v>1</v>
      </c>
      <c r="M18" s="7" t="s">
        <v>1</v>
      </c>
      <c r="N18" s="7" t="s">
        <v>1</v>
      </c>
      <c r="O18" s="7" t="s">
        <v>1</v>
      </c>
      <c r="P18" s="8" t="s">
        <v>69</v>
      </c>
      <c r="Q18" s="8" t="s">
        <v>69</v>
      </c>
      <c r="R18" s="9" t="s">
        <v>1</v>
      </c>
      <c r="S18" s="9" t="s">
        <v>69</v>
      </c>
      <c r="T18" s="10" t="s">
        <v>1</v>
      </c>
      <c r="U18" s="10" t="s">
        <v>69</v>
      </c>
      <c r="V18" s="11" t="s">
        <v>1</v>
      </c>
      <c r="W18" s="11" t="s">
        <v>69</v>
      </c>
      <c r="X18" s="11" t="s">
        <v>1</v>
      </c>
      <c r="Y18" s="12" t="s">
        <v>69</v>
      </c>
      <c r="Z18" s="12" t="s">
        <v>1</v>
      </c>
      <c r="AA18" s="13" t="s">
        <v>69</v>
      </c>
      <c r="AB18" s="13" t="s">
        <v>1</v>
      </c>
      <c r="AC18" s="13" t="s">
        <v>69</v>
      </c>
      <c r="AD18" s="13" t="s">
        <v>1</v>
      </c>
      <c r="AE18" s="14" t="s">
        <v>69</v>
      </c>
      <c r="AF18" s="14" t="s">
        <v>1</v>
      </c>
      <c r="AG18" s="14" t="s">
        <v>69</v>
      </c>
      <c r="AH18" s="14" t="s">
        <v>1</v>
      </c>
      <c r="AI18" s="14" t="s">
        <v>1</v>
      </c>
      <c r="AJ18" s="15" t="s">
        <v>1</v>
      </c>
      <c r="AK18" s="15" t="s">
        <v>1</v>
      </c>
      <c r="AL18" s="15" t="s">
        <v>1</v>
      </c>
      <c r="AM18" s="15" t="s">
        <v>1</v>
      </c>
      <c r="AN18" s="16" t="s">
        <v>76</v>
      </c>
      <c r="AO18" s="16" t="s">
        <v>68</v>
      </c>
      <c r="AP18" s="16" t="s">
        <v>76</v>
      </c>
      <c r="AQ18" s="16" t="s">
        <v>72</v>
      </c>
      <c r="AR18" s="17" t="s">
        <v>71</v>
      </c>
      <c r="AS18" s="17" t="s">
        <v>71</v>
      </c>
      <c r="AT18" s="17" t="s">
        <v>71</v>
      </c>
      <c r="AU18" s="17" t="s">
        <v>71</v>
      </c>
      <c r="AV18" s="17" t="s">
        <v>71</v>
      </c>
      <c r="AW18" s="17" t="s">
        <v>68</v>
      </c>
      <c r="AX18" s="18" t="s">
        <v>645</v>
      </c>
      <c r="AY18" s="19" t="s">
        <v>1356</v>
      </c>
      <c r="AZ18" s="20"/>
      <c r="BA18" s="90"/>
    </row>
    <row r="19" spans="2:53" ht="33" x14ac:dyDescent="0.25">
      <c r="B19" s="87">
        <v>2020</v>
      </c>
      <c r="C19" s="87" t="s">
        <v>141</v>
      </c>
      <c r="D19" s="87" t="s">
        <v>197</v>
      </c>
      <c r="E19" s="3" t="s">
        <v>1358</v>
      </c>
      <c r="F19" s="6" t="s">
        <v>1359</v>
      </c>
      <c r="G19" s="4" t="s">
        <v>1360</v>
      </c>
      <c r="H19" s="6" t="s">
        <v>1361</v>
      </c>
      <c r="I19" s="6">
        <v>2</v>
      </c>
      <c r="J19" s="6">
        <v>15</v>
      </c>
      <c r="K19" s="7" t="s">
        <v>1</v>
      </c>
      <c r="L19" s="7" t="s">
        <v>1</v>
      </c>
      <c r="M19" s="7" t="s">
        <v>1</v>
      </c>
      <c r="N19" s="7" t="s">
        <v>1</v>
      </c>
      <c r="O19" s="7" t="s">
        <v>1</v>
      </c>
      <c r="P19" s="8" t="s">
        <v>1</v>
      </c>
      <c r="Q19" s="8" t="s">
        <v>1</v>
      </c>
      <c r="R19" s="9" t="s">
        <v>1</v>
      </c>
      <c r="S19" s="9" t="s">
        <v>1</v>
      </c>
      <c r="T19" s="10" t="s">
        <v>1</v>
      </c>
      <c r="U19" s="10" t="s">
        <v>1</v>
      </c>
      <c r="V19" s="11" t="s">
        <v>1</v>
      </c>
      <c r="W19" s="11" t="s">
        <v>1</v>
      </c>
      <c r="X19" s="11" t="s">
        <v>1</v>
      </c>
      <c r="Y19" s="12" t="s">
        <v>1</v>
      </c>
      <c r="Z19" s="12" t="s">
        <v>1</v>
      </c>
      <c r="AA19" s="13" t="s">
        <v>1</v>
      </c>
      <c r="AB19" s="13" t="s">
        <v>1</v>
      </c>
      <c r="AC19" s="13" t="s">
        <v>1</v>
      </c>
      <c r="AD19" s="13" t="s">
        <v>1</v>
      </c>
      <c r="AE19" s="14" t="s">
        <v>1</v>
      </c>
      <c r="AF19" s="14" t="s">
        <v>1</v>
      </c>
      <c r="AG19" s="14" t="s">
        <v>1</v>
      </c>
      <c r="AH19" s="14" t="s">
        <v>1</v>
      </c>
      <c r="AI19" s="14" t="s">
        <v>1</v>
      </c>
      <c r="AJ19" s="15" t="s">
        <v>1</v>
      </c>
      <c r="AK19" s="15" t="s">
        <v>1</v>
      </c>
      <c r="AL19" s="15" t="s">
        <v>1</v>
      </c>
      <c r="AM19" s="15" t="s">
        <v>1</v>
      </c>
      <c r="AN19" s="16" t="s">
        <v>70</v>
      </c>
      <c r="AO19" s="16" t="s">
        <v>68</v>
      </c>
      <c r="AP19" s="16" t="s">
        <v>76</v>
      </c>
      <c r="AQ19" s="16" t="s">
        <v>72</v>
      </c>
      <c r="AR19" s="17" t="s">
        <v>71</v>
      </c>
      <c r="AS19" s="17" t="s">
        <v>71</v>
      </c>
      <c r="AT19" s="17" t="s">
        <v>71</v>
      </c>
      <c r="AU19" s="17" t="s">
        <v>71</v>
      </c>
      <c r="AV19" s="17" t="s">
        <v>71</v>
      </c>
      <c r="AW19" s="17" t="s">
        <v>1362</v>
      </c>
      <c r="AX19" s="18" t="s">
        <v>1363</v>
      </c>
      <c r="AY19" s="19" t="s">
        <v>1364</v>
      </c>
      <c r="AZ19" s="20"/>
      <c r="BA19" s="90"/>
    </row>
    <row r="20" spans="2:53" ht="33" hidden="1" x14ac:dyDescent="0.25">
      <c r="B20" s="87">
        <v>2020</v>
      </c>
      <c r="C20" s="87" t="s">
        <v>141</v>
      </c>
      <c r="D20" s="87" t="s">
        <v>1357</v>
      </c>
      <c r="E20" s="3" t="s">
        <v>1365</v>
      </c>
      <c r="F20" s="6" t="s">
        <v>1366</v>
      </c>
      <c r="G20" s="4" t="s">
        <v>1367</v>
      </c>
      <c r="H20" s="6" t="s">
        <v>74</v>
      </c>
      <c r="I20" s="6">
        <v>1</v>
      </c>
      <c r="J20" s="6">
        <v>3</v>
      </c>
      <c r="K20" s="7" t="s">
        <v>69</v>
      </c>
      <c r="L20" s="7" t="s">
        <v>69</v>
      </c>
      <c r="M20" s="7" t="s">
        <v>69</v>
      </c>
      <c r="N20" s="7" t="s">
        <v>69</v>
      </c>
      <c r="O20" s="7" t="s">
        <v>69</v>
      </c>
      <c r="P20" s="8" t="s">
        <v>69</v>
      </c>
      <c r="Q20" s="8" t="s">
        <v>69</v>
      </c>
      <c r="R20" s="9" t="s">
        <v>69</v>
      </c>
      <c r="S20" s="9" t="s">
        <v>69</v>
      </c>
      <c r="T20" s="10" t="s">
        <v>69</v>
      </c>
      <c r="U20" s="10" t="s">
        <v>69</v>
      </c>
      <c r="V20" s="11" t="s">
        <v>69</v>
      </c>
      <c r="W20" s="11" t="s">
        <v>69</v>
      </c>
      <c r="X20" s="11" t="s">
        <v>69</v>
      </c>
      <c r="Y20" s="12" t="s">
        <v>69</v>
      </c>
      <c r="Z20" s="12" t="s">
        <v>69</v>
      </c>
      <c r="AA20" s="13" t="s">
        <v>69</v>
      </c>
      <c r="AB20" s="13" t="s">
        <v>69</v>
      </c>
      <c r="AC20" s="13" t="s">
        <v>69</v>
      </c>
      <c r="AD20" s="13" t="s">
        <v>69</v>
      </c>
      <c r="AE20" s="14" t="s">
        <v>69</v>
      </c>
      <c r="AF20" s="14" t="s">
        <v>69</v>
      </c>
      <c r="AG20" s="14" t="s">
        <v>69</v>
      </c>
      <c r="AH20" s="14" t="s">
        <v>69</v>
      </c>
      <c r="AI20" s="14" t="s">
        <v>69</v>
      </c>
      <c r="AJ20" s="15" t="s">
        <v>69</v>
      </c>
      <c r="AK20" s="15" t="s">
        <v>69</v>
      </c>
      <c r="AL20" s="15" t="s">
        <v>69</v>
      </c>
      <c r="AM20" s="15" t="s">
        <v>69</v>
      </c>
      <c r="AN20" s="16" t="s">
        <v>76</v>
      </c>
      <c r="AO20" s="16" t="s">
        <v>68</v>
      </c>
      <c r="AP20" s="16" t="s">
        <v>76</v>
      </c>
      <c r="AQ20" s="16" t="s">
        <v>72</v>
      </c>
      <c r="AR20" s="17" t="s">
        <v>71</v>
      </c>
      <c r="AS20" s="17" t="s">
        <v>72</v>
      </c>
      <c r="AT20" s="17" t="s">
        <v>72</v>
      </c>
      <c r="AU20" s="17" t="s">
        <v>72</v>
      </c>
      <c r="AV20" s="17" t="s">
        <v>72</v>
      </c>
      <c r="AW20" s="17" t="s">
        <v>68</v>
      </c>
      <c r="AX20" s="18" t="s">
        <v>68</v>
      </c>
      <c r="AY20" s="19" t="s">
        <v>68</v>
      </c>
      <c r="AZ20" s="20" t="s">
        <v>68</v>
      </c>
      <c r="BA20" s="90"/>
    </row>
    <row r="21" spans="2:53" ht="33" x14ac:dyDescent="0.25">
      <c r="B21" s="87">
        <v>2020</v>
      </c>
      <c r="C21" s="87" t="s">
        <v>141</v>
      </c>
      <c r="D21" s="87" t="s">
        <v>197</v>
      </c>
      <c r="E21" s="3" t="s">
        <v>1368</v>
      </c>
      <c r="F21" s="6" t="s">
        <v>1369</v>
      </c>
      <c r="G21" s="4" t="s">
        <v>68</v>
      </c>
      <c r="H21" s="6" t="s">
        <v>1338</v>
      </c>
      <c r="I21" s="6">
        <v>1</v>
      </c>
      <c r="J21" s="6">
        <v>2</v>
      </c>
      <c r="K21" s="7" t="s">
        <v>69</v>
      </c>
      <c r="L21" s="7" t="s">
        <v>69</v>
      </c>
      <c r="M21" s="7" t="s">
        <v>69</v>
      </c>
      <c r="N21" s="7" t="s">
        <v>69</v>
      </c>
      <c r="O21" s="7" t="s">
        <v>69</v>
      </c>
      <c r="P21" s="8" t="s">
        <v>69</v>
      </c>
      <c r="Q21" s="8" t="s">
        <v>69</v>
      </c>
      <c r="R21" s="9" t="s">
        <v>69</v>
      </c>
      <c r="S21" s="9" t="s">
        <v>69</v>
      </c>
      <c r="T21" s="10" t="s">
        <v>69</v>
      </c>
      <c r="U21" s="10" t="s">
        <v>69</v>
      </c>
      <c r="V21" s="11" t="s">
        <v>69</v>
      </c>
      <c r="W21" s="11" t="s">
        <v>69</v>
      </c>
      <c r="X21" s="11" t="s">
        <v>69</v>
      </c>
      <c r="Y21" s="12" t="s">
        <v>69</v>
      </c>
      <c r="Z21" s="12" t="s">
        <v>69</v>
      </c>
      <c r="AA21" s="13" t="s">
        <v>69</v>
      </c>
      <c r="AB21" s="13" t="s">
        <v>69</v>
      </c>
      <c r="AC21" s="13" t="s">
        <v>69</v>
      </c>
      <c r="AD21" s="13" t="s">
        <v>69</v>
      </c>
      <c r="AE21" s="14" t="s">
        <v>69</v>
      </c>
      <c r="AF21" s="14" t="s">
        <v>69</v>
      </c>
      <c r="AG21" s="14" t="s">
        <v>69</v>
      </c>
      <c r="AH21" s="14" t="s">
        <v>69</v>
      </c>
      <c r="AI21" s="14" t="s">
        <v>69</v>
      </c>
      <c r="AJ21" s="15" t="s">
        <v>69</v>
      </c>
      <c r="AK21" s="15" t="s">
        <v>69</v>
      </c>
      <c r="AL21" s="15" t="s">
        <v>69</v>
      </c>
      <c r="AM21" s="15" t="s">
        <v>69</v>
      </c>
      <c r="AN21" s="16" t="s">
        <v>76</v>
      </c>
      <c r="AO21" s="16" t="s">
        <v>68</v>
      </c>
      <c r="AP21" s="16" t="s">
        <v>76</v>
      </c>
      <c r="AQ21" s="16" t="s">
        <v>72</v>
      </c>
      <c r="AR21" s="17" t="s">
        <v>71</v>
      </c>
      <c r="AS21" s="17" t="s">
        <v>72</v>
      </c>
      <c r="AT21" s="17" t="s">
        <v>72</v>
      </c>
      <c r="AU21" s="17" t="s">
        <v>72</v>
      </c>
      <c r="AV21" s="17" t="s">
        <v>72</v>
      </c>
      <c r="AW21" s="17" t="s">
        <v>68</v>
      </c>
      <c r="AX21" s="18" t="s">
        <v>68</v>
      </c>
      <c r="AY21" s="19" t="s">
        <v>68</v>
      </c>
      <c r="AZ21" s="20" t="s">
        <v>68</v>
      </c>
      <c r="BA21" s="90"/>
    </row>
    <row r="22" spans="2:53" ht="33" x14ac:dyDescent="0.25">
      <c r="B22" s="87">
        <v>2020</v>
      </c>
      <c r="C22" s="87" t="s">
        <v>141</v>
      </c>
      <c r="D22" s="87" t="s">
        <v>197</v>
      </c>
      <c r="E22" s="3" t="s">
        <v>1370</v>
      </c>
      <c r="F22" s="6" t="s">
        <v>1371</v>
      </c>
      <c r="G22" s="4" t="s">
        <v>68</v>
      </c>
      <c r="H22" s="6" t="s">
        <v>1372</v>
      </c>
      <c r="I22" s="6">
        <v>1</v>
      </c>
      <c r="J22" s="6">
        <v>3</v>
      </c>
      <c r="K22" s="7" t="s">
        <v>1</v>
      </c>
      <c r="L22" s="7" t="s">
        <v>1</v>
      </c>
      <c r="M22" s="7" t="s">
        <v>75</v>
      </c>
      <c r="N22" s="7" t="s">
        <v>1</v>
      </c>
      <c r="O22" s="7" t="s">
        <v>1</v>
      </c>
      <c r="P22" s="8" t="s">
        <v>1</v>
      </c>
      <c r="Q22" s="8" t="s">
        <v>1</v>
      </c>
      <c r="R22" s="9" t="s">
        <v>75</v>
      </c>
      <c r="S22" s="9" t="s">
        <v>75</v>
      </c>
      <c r="T22" s="10" t="s">
        <v>69</v>
      </c>
      <c r="U22" s="10" t="s">
        <v>69</v>
      </c>
      <c r="V22" s="11" t="s">
        <v>1</v>
      </c>
      <c r="W22" s="11" t="s">
        <v>1</v>
      </c>
      <c r="X22" s="11" t="s">
        <v>1</v>
      </c>
      <c r="Y22" s="12" t="s">
        <v>1</v>
      </c>
      <c r="Z22" s="12" t="s">
        <v>1</v>
      </c>
      <c r="AA22" s="13" t="s">
        <v>1</v>
      </c>
      <c r="AB22" s="13" t="s">
        <v>1</v>
      </c>
      <c r="AC22" s="13" t="s">
        <v>75</v>
      </c>
      <c r="AD22" s="13" t="s">
        <v>75</v>
      </c>
      <c r="AE22" s="14" t="s">
        <v>1</v>
      </c>
      <c r="AF22" s="14" t="s">
        <v>1</v>
      </c>
      <c r="AG22" s="14" t="s">
        <v>1</v>
      </c>
      <c r="AH22" s="14" t="s">
        <v>1</v>
      </c>
      <c r="AI22" s="14" t="s">
        <v>69</v>
      </c>
      <c r="AJ22" s="15" t="s">
        <v>75</v>
      </c>
      <c r="AK22" s="15" t="s">
        <v>1</v>
      </c>
      <c r="AL22" s="15" t="s">
        <v>1</v>
      </c>
      <c r="AM22" s="15" t="s">
        <v>1</v>
      </c>
      <c r="AN22" s="16"/>
      <c r="AO22" s="16" t="s">
        <v>68</v>
      </c>
      <c r="AP22" s="16" t="s">
        <v>1135</v>
      </c>
      <c r="AQ22" s="16"/>
      <c r="AR22" s="17" t="s">
        <v>71</v>
      </c>
      <c r="AS22" s="17" t="s">
        <v>71</v>
      </c>
      <c r="AT22" s="17" t="s">
        <v>71</v>
      </c>
      <c r="AU22" s="17" t="s">
        <v>71</v>
      </c>
      <c r="AV22" s="17" t="s">
        <v>71</v>
      </c>
      <c r="AW22" s="17" t="s">
        <v>68</v>
      </c>
      <c r="AX22" s="18" t="s">
        <v>1</v>
      </c>
      <c r="AY22" s="19" t="s">
        <v>140</v>
      </c>
      <c r="AZ22" s="20" t="s">
        <v>68</v>
      </c>
      <c r="BA22" s="90"/>
    </row>
    <row r="23" spans="2:53" ht="66" x14ac:dyDescent="0.25">
      <c r="B23" s="87">
        <v>2020</v>
      </c>
      <c r="C23" s="87" t="s">
        <v>141</v>
      </c>
      <c r="D23" s="87" t="s">
        <v>197</v>
      </c>
      <c r="E23" s="3" t="s">
        <v>1373</v>
      </c>
      <c r="F23" s="6" t="s">
        <v>1378</v>
      </c>
      <c r="G23" s="4" t="s">
        <v>68</v>
      </c>
      <c r="H23" s="6" t="s">
        <v>1338</v>
      </c>
      <c r="I23" s="6">
        <v>1</v>
      </c>
      <c r="J23" s="6">
        <v>3</v>
      </c>
      <c r="K23" s="7" t="s">
        <v>1</v>
      </c>
      <c r="L23" s="7" t="s">
        <v>1</v>
      </c>
      <c r="M23" s="7" t="s">
        <v>1</v>
      </c>
      <c r="N23" s="7" t="s">
        <v>1</v>
      </c>
      <c r="O23" s="7" t="s">
        <v>1</v>
      </c>
      <c r="P23" s="8" t="s">
        <v>1</v>
      </c>
      <c r="Q23" s="8" t="s">
        <v>1</v>
      </c>
      <c r="R23" s="9" t="s">
        <v>1</v>
      </c>
      <c r="S23" s="9" t="s">
        <v>1</v>
      </c>
      <c r="T23" s="10" t="s">
        <v>1</v>
      </c>
      <c r="U23" s="10" t="s">
        <v>1</v>
      </c>
      <c r="V23" s="11" t="s">
        <v>1</v>
      </c>
      <c r="W23" s="11" t="s">
        <v>1</v>
      </c>
      <c r="X23" s="11" t="s">
        <v>1</v>
      </c>
      <c r="Y23" s="12" t="s">
        <v>1</v>
      </c>
      <c r="Z23" s="12" t="s">
        <v>1</v>
      </c>
      <c r="AA23" s="13" t="s">
        <v>1</v>
      </c>
      <c r="AB23" s="13" t="s">
        <v>1</v>
      </c>
      <c r="AC23" s="13" t="s">
        <v>1</v>
      </c>
      <c r="AD23" s="13" t="s">
        <v>1</v>
      </c>
      <c r="AE23" s="14" t="s">
        <v>69</v>
      </c>
      <c r="AF23" s="14" t="s">
        <v>69</v>
      </c>
      <c r="AG23" s="14" t="s">
        <v>69</v>
      </c>
      <c r="AH23" s="14" t="s">
        <v>69</v>
      </c>
      <c r="AI23" s="14" t="s">
        <v>69</v>
      </c>
      <c r="AJ23" s="15" t="s">
        <v>69</v>
      </c>
      <c r="AK23" s="15" t="s">
        <v>69</v>
      </c>
      <c r="AL23" s="15" t="s">
        <v>69</v>
      </c>
      <c r="AM23" s="15" t="s">
        <v>69</v>
      </c>
      <c r="AN23" s="16" t="s">
        <v>70</v>
      </c>
      <c r="AO23" s="16" t="s">
        <v>68</v>
      </c>
      <c r="AP23" s="16" t="s">
        <v>71</v>
      </c>
      <c r="AQ23" s="16" t="s">
        <v>71</v>
      </c>
      <c r="AR23" s="17" t="s">
        <v>71</v>
      </c>
      <c r="AS23" s="17" t="s">
        <v>71</v>
      </c>
      <c r="AT23" s="17" t="s">
        <v>71</v>
      </c>
      <c r="AU23" s="17" t="s">
        <v>72</v>
      </c>
      <c r="AV23" s="17" t="s">
        <v>69</v>
      </c>
      <c r="AW23" s="17" t="s">
        <v>1246</v>
      </c>
      <c r="AX23" s="18" t="s">
        <v>1194</v>
      </c>
      <c r="AY23" s="19"/>
      <c r="AZ23" s="20"/>
      <c r="BA23" s="90"/>
    </row>
    <row r="24" spans="2:53" ht="33" x14ac:dyDescent="0.25">
      <c r="B24" s="87">
        <v>2020</v>
      </c>
      <c r="C24" s="87" t="s">
        <v>141</v>
      </c>
      <c r="D24" s="87" t="s">
        <v>197</v>
      </c>
      <c r="E24" s="3" t="s">
        <v>1374</v>
      </c>
      <c r="F24" s="6" t="s">
        <v>1379</v>
      </c>
      <c r="G24" s="4" t="s">
        <v>68</v>
      </c>
      <c r="H24" s="6" t="s">
        <v>74</v>
      </c>
      <c r="I24" s="6">
        <v>1</v>
      </c>
      <c r="J24" s="6">
        <v>4</v>
      </c>
      <c r="K24" s="24" t="s">
        <v>69</v>
      </c>
      <c r="L24" s="24" t="s">
        <v>1</v>
      </c>
      <c r="M24" s="24" t="s">
        <v>1</v>
      </c>
      <c r="N24" s="24" t="s">
        <v>1</v>
      </c>
      <c r="O24" s="24" t="s">
        <v>1</v>
      </c>
      <c r="P24" s="25" t="s">
        <v>69</v>
      </c>
      <c r="Q24" s="25" t="s">
        <v>1</v>
      </c>
      <c r="R24" s="9" t="s">
        <v>1</v>
      </c>
      <c r="S24" s="9" t="s">
        <v>1</v>
      </c>
      <c r="T24" s="10" t="s">
        <v>69</v>
      </c>
      <c r="U24" s="10" t="s">
        <v>69</v>
      </c>
      <c r="V24" s="11" t="s">
        <v>1</v>
      </c>
      <c r="W24" s="11" t="s">
        <v>1</v>
      </c>
      <c r="X24" s="11" t="s">
        <v>1</v>
      </c>
      <c r="Y24" s="12" t="s">
        <v>1</v>
      </c>
      <c r="Z24" s="12" t="s">
        <v>1</v>
      </c>
      <c r="AA24" s="13" t="s">
        <v>1</v>
      </c>
      <c r="AB24" s="13" t="s">
        <v>1</v>
      </c>
      <c r="AC24" s="13" t="s">
        <v>75</v>
      </c>
      <c r="AD24" s="13" t="s">
        <v>75</v>
      </c>
      <c r="AE24" s="31" t="s">
        <v>1</v>
      </c>
      <c r="AF24" s="31" t="s">
        <v>1</v>
      </c>
      <c r="AG24" s="31" t="s">
        <v>69</v>
      </c>
      <c r="AH24" s="31" t="s">
        <v>1</v>
      </c>
      <c r="AI24" s="31" t="s">
        <v>1</v>
      </c>
      <c r="AJ24" s="32" t="s">
        <v>1</v>
      </c>
      <c r="AK24" s="32" t="s">
        <v>1</v>
      </c>
      <c r="AL24" s="32" t="s">
        <v>69</v>
      </c>
      <c r="AM24" s="32" t="s">
        <v>1</v>
      </c>
      <c r="AN24" s="16" t="s">
        <v>70</v>
      </c>
      <c r="AO24" s="16" t="s">
        <v>68</v>
      </c>
      <c r="AP24" s="16" t="s">
        <v>71</v>
      </c>
      <c r="AQ24" s="16" t="s">
        <v>71</v>
      </c>
      <c r="AR24" s="17" t="s">
        <v>71</v>
      </c>
      <c r="AS24" s="17" t="s">
        <v>71</v>
      </c>
      <c r="AT24" s="17" t="s">
        <v>71</v>
      </c>
      <c r="AU24" s="34" t="s">
        <v>72</v>
      </c>
      <c r="AV24" s="17" t="s">
        <v>69</v>
      </c>
      <c r="AW24" s="17" t="s">
        <v>68</v>
      </c>
      <c r="AX24" s="18" t="s">
        <v>68</v>
      </c>
      <c r="AY24" s="19" t="s">
        <v>68</v>
      </c>
      <c r="AZ24" s="20" t="s">
        <v>68</v>
      </c>
      <c r="BA24" s="90"/>
    </row>
    <row r="25" spans="2:53" ht="33" x14ac:dyDescent="0.25">
      <c r="B25" s="87">
        <v>2020</v>
      </c>
      <c r="C25" s="87" t="s">
        <v>141</v>
      </c>
      <c r="D25" s="87" t="s">
        <v>197</v>
      </c>
      <c r="E25" s="3" t="s">
        <v>1375</v>
      </c>
      <c r="F25" s="6" t="s">
        <v>1376</v>
      </c>
      <c r="G25" s="4" t="s">
        <v>68</v>
      </c>
      <c r="H25" s="6" t="s">
        <v>1377</v>
      </c>
      <c r="I25" s="6">
        <v>1</v>
      </c>
      <c r="J25" s="6">
        <v>3</v>
      </c>
      <c r="K25" s="24" t="s">
        <v>69</v>
      </c>
      <c r="L25" s="24" t="s">
        <v>1</v>
      </c>
      <c r="M25" s="24" t="s">
        <v>1</v>
      </c>
      <c r="N25" s="24" t="s">
        <v>1</v>
      </c>
      <c r="O25" s="24" t="s">
        <v>1</v>
      </c>
      <c r="P25" s="25" t="s">
        <v>69</v>
      </c>
      <c r="Q25" s="25" t="s">
        <v>1</v>
      </c>
      <c r="R25" s="26" t="s">
        <v>75</v>
      </c>
      <c r="S25" s="26" t="s">
        <v>75</v>
      </c>
      <c r="T25" s="27" t="s">
        <v>69</v>
      </c>
      <c r="U25" s="27" t="s">
        <v>69</v>
      </c>
      <c r="V25" s="28" t="s">
        <v>1</v>
      </c>
      <c r="W25" s="28" t="s">
        <v>1</v>
      </c>
      <c r="X25" s="28" t="s">
        <v>1</v>
      </c>
      <c r="Y25" s="29" t="s">
        <v>69</v>
      </c>
      <c r="Z25" s="29" t="s">
        <v>1</v>
      </c>
      <c r="AA25" s="30" t="s">
        <v>1</v>
      </c>
      <c r="AB25" s="30" t="s">
        <v>1</v>
      </c>
      <c r="AC25" s="30" t="s">
        <v>1</v>
      </c>
      <c r="AD25" s="30" t="s">
        <v>1</v>
      </c>
      <c r="AE25" s="31" t="s">
        <v>1</v>
      </c>
      <c r="AF25" s="31" t="s">
        <v>1</v>
      </c>
      <c r="AG25" s="31" t="s">
        <v>1</v>
      </c>
      <c r="AH25" s="31" t="s">
        <v>1</v>
      </c>
      <c r="AI25" s="31" t="s">
        <v>1</v>
      </c>
      <c r="AJ25" s="32" t="s">
        <v>1</v>
      </c>
      <c r="AK25" s="32" t="s">
        <v>1</v>
      </c>
      <c r="AL25" s="32" t="s">
        <v>1</v>
      </c>
      <c r="AM25" s="32" t="s">
        <v>1</v>
      </c>
      <c r="AN25" s="33" t="s">
        <v>70</v>
      </c>
      <c r="AO25" s="16" t="s">
        <v>68</v>
      </c>
      <c r="AP25" s="33" t="s">
        <v>71</v>
      </c>
      <c r="AQ25" s="33" t="s">
        <v>68</v>
      </c>
      <c r="AR25" s="34" t="s">
        <v>203</v>
      </c>
      <c r="AS25" s="34" t="s">
        <v>71</v>
      </c>
      <c r="AT25" s="34" t="s">
        <v>71</v>
      </c>
      <c r="AU25" s="34" t="s">
        <v>72</v>
      </c>
      <c r="AV25" s="34" t="s">
        <v>71</v>
      </c>
      <c r="AW25" s="34" t="s">
        <v>68</v>
      </c>
      <c r="AX25" s="35" t="s">
        <v>1</v>
      </c>
      <c r="AY25" s="36" t="s">
        <v>68</v>
      </c>
      <c r="AZ25" s="37" t="s">
        <v>68</v>
      </c>
      <c r="BA25" s="90"/>
    </row>
    <row r="26" spans="2:53" ht="33" hidden="1" x14ac:dyDescent="0.25">
      <c r="B26" s="87">
        <v>2020</v>
      </c>
      <c r="C26" s="87" t="s">
        <v>141</v>
      </c>
      <c r="D26" s="87" t="s">
        <v>618</v>
      </c>
      <c r="E26" s="3" t="s">
        <v>1380</v>
      </c>
      <c r="F26" s="6" t="s">
        <v>1381</v>
      </c>
      <c r="G26" s="4" t="s">
        <v>68</v>
      </c>
      <c r="H26" s="6" t="s">
        <v>84</v>
      </c>
      <c r="I26" s="6">
        <v>1</v>
      </c>
      <c r="J26" s="6">
        <v>2</v>
      </c>
      <c r="K26" s="7" t="s">
        <v>1</v>
      </c>
      <c r="L26" s="7" t="s">
        <v>1</v>
      </c>
      <c r="M26" s="7" t="s">
        <v>75</v>
      </c>
      <c r="N26" s="7" t="s">
        <v>1</v>
      </c>
      <c r="O26" s="7" t="s">
        <v>1</v>
      </c>
      <c r="P26" s="8" t="s">
        <v>1</v>
      </c>
      <c r="Q26" s="8" t="s">
        <v>1</v>
      </c>
      <c r="R26" s="9" t="s">
        <v>75</v>
      </c>
      <c r="S26" s="9" t="s">
        <v>75</v>
      </c>
      <c r="T26" s="10" t="s">
        <v>69</v>
      </c>
      <c r="U26" s="10" t="s">
        <v>69</v>
      </c>
      <c r="V26" s="11" t="s">
        <v>1</v>
      </c>
      <c r="W26" s="11" t="s">
        <v>1</v>
      </c>
      <c r="X26" s="11" t="s">
        <v>1</v>
      </c>
      <c r="Y26" s="12" t="s">
        <v>1</v>
      </c>
      <c r="Z26" s="12" t="s">
        <v>1</v>
      </c>
      <c r="AA26" s="13" t="s">
        <v>1</v>
      </c>
      <c r="AB26" s="13" t="s">
        <v>1</v>
      </c>
      <c r="AC26" s="13" t="s">
        <v>75</v>
      </c>
      <c r="AD26" s="13" t="s">
        <v>75</v>
      </c>
      <c r="AE26" s="14" t="s">
        <v>1</v>
      </c>
      <c r="AF26" s="14" t="s">
        <v>1</v>
      </c>
      <c r="AG26" s="14" t="s">
        <v>1</v>
      </c>
      <c r="AH26" s="14" t="s">
        <v>1</v>
      </c>
      <c r="AI26" s="14" t="s">
        <v>69</v>
      </c>
      <c r="AJ26" s="15" t="s">
        <v>75</v>
      </c>
      <c r="AK26" s="15" t="s">
        <v>1</v>
      </c>
      <c r="AL26" s="15" t="s">
        <v>1</v>
      </c>
      <c r="AM26" s="15" t="s">
        <v>1</v>
      </c>
      <c r="AN26" s="16"/>
      <c r="AO26" s="16" t="s">
        <v>68</v>
      </c>
      <c r="AP26" s="16" t="s">
        <v>1135</v>
      </c>
      <c r="AQ26" s="16"/>
      <c r="AR26" s="17" t="s">
        <v>71</v>
      </c>
      <c r="AS26" s="17" t="s">
        <v>71</v>
      </c>
      <c r="AT26" s="17" t="s">
        <v>71</v>
      </c>
      <c r="AU26" s="17" t="s">
        <v>71</v>
      </c>
      <c r="AV26" s="17" t="s">
        <v>71</v>
      </c>
      <c r="AW26" s="17" t="s">
        <v>68</v>
      </c>
      <c r="AX26" s="18" t="s">
        <v>1</v>
      </c>
      <c r="AY26" s="19" t="s">
        <v>140</v>
      </c>
      <c r="AZ26" s="20" t="s">
        <v>68</v>
      </c>
      <c r="BA26" s="90"/>
    </row>
    <row r="27" spans="2:53" ht="33" hidden="1" x14ac:dyDescent="0.25">
      <c r="B27" s="87">
        <v>2020</v>
      </c>
      <c r="C27" s="87" t="s">
        <v>141</v>
      </c>
      <c r="D27" s="87" t="s">
        <v>618</v>
      </c>
      <c r="E27" s="3" t="s">
        <v>1382</v>
      </c>
      <c r="F27" s="6" t="s">
        <v>1383</v>
      </c>
      <c r="G27" s="4" t="s">
        <v>68</v>
      </c>
      <c r="H27" s="6" t="s">
        <v>1338</v>
      </c>
      <c r="I27" s="6">
        <v>1</v>
      </c>
      <c r="J27" s="6">
        <v>2</v>
      </c>
      <c r="K27" s="7" t="s">
        <v>1</v>
      </c>
      <c r="L27" s="7" t="s">
        <v>1</v>
      </c>
      <c r="M27" s="7" t="s">
        <v>1</v>
      </c>
      <c r="N27" s="7" t="s">
        <v>1</v>
      </c>
      <c r="O27" s="7" t="s">
        <v>1</v>
      </c>
      <c r="P27" s="8" t="s">
        <v>1</v>
      </c>
      <c r="Q27" s="8" t="s">
        <v>1</v>
      </c>
      <c r="R27" s="9" t="s">
        <v>1</v>
      </c>
      <c r="S27" s="9" t="s">
        <v>1</v>
      </c>
      <c r="T27" s="10" t="s">
        <v>1</v>
      </c>
      <c r="U27" s="10" t="s">
        <v>1</v>
      </c>
      <c r="V27" s="11" t="s">
        <v>1</v>
      </c>
      <c r="W27" s="11" t="s">
        <v>1</v>
      </c>
      <c r="X27" s="11" t="s">
        <v>1</v>
      </c>
      <c r="Y27" s="12" t="s">
        <v>1</v>
      </c>
      <c r="Z27" s="12" t="s">
        <v>1</v>
      </c>
      <c r="AA27" s="13" t="s">
        <v>1</v>
      </c>
      <c r="AB27" s="13" t="s">
        <v>1</v>
      </c>
      <c r="AC27" s="13" t="s">
        <v>1</v>
      </c>
      <c r="AD27" s="13" t="s">
        <v>1</v>
      </c>
      <c r="AE27" s="14" t="s">
        <v>69</v>
      </c>
      <c r="AF27" s="14" t="s">
        <v>69</v>
      </c>
      <c r="AG27" s="14" t="s">
        <v>69</v>
      </c>
      <c r="AH27" s="14" t="s">
        <v>69</v>
      </c>
      <c r="AI27" s="14" t="s">
        <v>69</v>
      </c>
      <c r="AJ27" s="15" t="s">
        <v>69</v>
      </c>
      <c r="AK27" s="15" t="s">
        <v>69</v>
      </c>
      <c r="AL27" s="15" t="s">
        <v>69</v>
      </c>
      <c r="AM27" s="15" t="s">
        <v>69</v>
      </c>
      <c r="AN27" s="16" t="s">
        <v>70</v>
      </c>
      <c r="AO27" s="16" t="s">
        <v>68</v>
      </c>
      <c r="AP27" s="16" t="s">
        <v>71</v>
      </c>
      <c r="AQ27" s="16" t="s">
        <v>71</v>
      </c>
      <c r="AR27" s="17" t="s">
        <v>71</v>
      </c>
      <c r="AS27" s="17" t="s">
        <v>71</v>
      </c>
      <c r="AT27" s="17" t="s">
        <v>71</v>
      </c>
      <c r="AU27" s="17" t="s">
        <v>1192</v>
      </c>
      <c r="AV27" s="17" t="s">
        <v>69</v>
      </c>
      <c r="AW27" s="17" t="s">
        <v>68</v>
      </c>
      <c r="AX27" s="18" t="s">
        <v>68</v>
      </c>
      <c r="AY27" s="19"/>
      <c r="AZ27" s="20"/>
      <c r="BA27" s="90"/>
    </row>
    <row r="28" spans="2:53" ht="33" hidden="1" x14ac:dyDescent="0.25">
      <c r="B28" s="87">
        <v>2020</v>
      </c>
      <c r="C28" s="87" t="s">
        <v>141</v>
      </c>
      <c r="D28" s="87" t="s">
        <v>618</v>
      </c>
      <c r="E28" s="3" t="s">
        <v>1384</v>
      </c>
      <c r="F28" s="6" t="s">
        <v>1385</v>
      </c>
      <c r="G28" s="4"/>
      <c r="H28" s="6" t="s">
        <v>1386</v>
      </c>
      <c r="I28" s="6">
        <v>1</v>
      </c>
      <c r="J28" s="6">
        <v>1</v>
      </c>
      <c r="K28" s="7" t="s">
        <v>69</v>
      </c>
      <c r="L28" s="7" t="s">
        <v>1</v>
      </c>
      <c r="M28" s="7" t="s">
        <v>1</v>
      </c>
      <c r="N28" s="7" t="s">
        <v>1</v>
      </c>
      <c r="O28" s="7" t="s">
        <v>1</v>
      </c>
      <c r="P28" s="8" t="s">
        <v>69</v>
      </c>
      <c r="Q28" s="8" t="s">
        <v>1</v>
      </c>
      <c r="R28" s="9" t="s">
        <v>1</v>
      </c>
      <c r="S28" s="9" t="s">
        <v>1</v>
      </c>
      <c r="T28" s="10" t="s">
        <v>69</v>
      </c>
      <c r="U28" s="10" t="s">
        <v>69</v>
      </c>
      <c r="V28" s="11" t="s">
        <v>1</v>
      </c>
      <c r="W28" s="11" t="s">
        <v>1</v>
      </c>
      <c r="X28" s="11" t="s">
        <v>1</v>
      </c>
      <c r="Y28" s="12" t="s">
        <v>1</v>
      </c>
      <c r="Z28" s="12" t="s">
        <v>1</v>
      </c>
      <c r="AA28" s="13" t="s">
        <v>1</v>
      </c>
      <c r="AB28" s="13" t="s">
        <v>1</v>
      </c>
      <c r="AC28" s="13" t="s">
        <v>75</v>
      </c>
      <c r="AD28" s="13" t="s">
        <v>75</v>
      </c>
      <c r="AE28" s="14" t="s">
        <v>1</v>
      </c>
      <c r="AF28" s="14" t="s">
        <v>1</v>
      </c>
      <c r="AG28" s="14" t="s">
        <v>69</v>
      </c>
      <c r="AH28" s="14" t="s">
        <v>1</v>
      </c>
      <c r="AI28" s="14" t="s">
        <v>1</v>
      </c>
      <c r="AJ28" s="15" t="s">
        <v>1</v>
      </c>
      <c r="AK28" s="15" t="s">
        <v>1</v>
      </c>
      <c r="AL28" s="15" t="s">
        <v>69</v>
      </c>
      <c r="AM28" s="15" t="s">
        <v>1</v>
      </c>
      <c r="AN28" s="16" t="s">
        <v>70</v>
      </c>
      <c r="AO28" s="16" t="s">
        <v>68</v>
      </c>
      <c r="AP28" s="16" t="s">
        <v>71</v>
      </c>
      <c r="AQ28" s="16" t="s">
        <v>71</v>
      </c>
      <c r="AR28" s="17" t="s">
        <v>71</v>
      </c>
      <c r="AS28" s="17" t="s">
        <v>71</v>
      </c>
      <c r="AT28" s="17" t="s">
        <v>71</v>
      </c>
      <c r="AU28" s="17" t="s">
        <v>72</v>
      </c>
      <c r="AV28" s="17" t="s">
        <v>69</v>
      </c>
      <c r="AW28" s="17" t="s">
        <v>68</v>
      </c>
      <c r="AX28" s="18" t="s">
        <v>68</v>
      </c>
      <c r="AY28" s="19" t="s">
        <v>68</v>
      </c>
      <c r="AZ28" s="20" t="s">
        <v>68</v>
      </c>
      <c r="BA28" s="90"/>
    </row>
    <row r="29" spans="2:53" ht="33" hidden="1" x14ac:dyDescent="0.25">
      <c r="B29" s="87">
        <v>2020</v>
      </c>
      <c r="C29" s="87" t="s">
        <v>141</v>
      </c>
      <c r="D29" s="87" t="s">
        <v>618</v>
      </c>
      <c r="E29" s="3" t="s">
        <v>1387</v>
      </c>
      <c r="F29" s="6" t="s">
        <v>1388</v>
      </c>
      <c r="G29" s="4" t="s">
        <v>68</v>
      </c>
      <c r="H29" s="6" t="s">
        <v>1389</v>
      </c>
      <c r="I29" s="6">
        <v>1</v>
      </c>
      <c r="J29" s="6">
        <v>1</v>
      </c>
      <c r="K29" s="7" t="s">
        <v>69</v>
      </c>
      <c r="L29" s="7" t="s">
        <v>1</v>
      </c>
      <c r="M29" s="7" t="s">
        <v>1</v>
      </c>
      <c r="N29" s="7" t="s">
        <v>1</v>
      </c>
      <c r="O29" s="7" t="s">
        <v>1</v>
      </c>
      <c r="P29" s="8" t="s">
        <v>69</v>
      </c>
      <c r="Q29" s="8" t="s">
        <v>1</v>
      </c>
      <c r="R29" s="9" t="s">
        <v>75</v>
      </c>
      <c r="S29" s="9" t="s">
        <v>75</v>
      </c>
      <c r="T29" s="10" t="s">
        <v>69</v>
      </c>
      <c r="U29" s="10" t="s">
        <v>69</v>
      </c>
      <c r="V29" s="11" t="s">
        <v>1</v>
      </c>
      <c r="W29" s="11" t="s">
        <v>1</v>
      </c>
      <c r="X29" s="11" t="s">
        <v>1</v>
      </c>
      <c r="Y29" s="12" t="s">
        <v>69</v>
      </c>
      <c r="Z29" s="12" t="s">
        <v>1</v>
      </c>
      <c r="AA29" s="13" t="s">
        <v>1</v>
      </c>
      <c r="AB29" s="13" t="s">
        <v>1</v>
      </c>
      <c r="AC29" s="13" t="s">
        <v>1</v>
      </c>
      <c r="AD29" s="13" t="s">
        <v>1</v>
      </c>
      <c r="AE29" s="14" t="s">
        <v>1</v>
      </c>
      <c r="AF29" s="14" t="s">
        <v>1</v>
      </c>
      <c r="AG29" s="14" t="s">
        <v>1</v>
      </c>
      <c r="AH29" s="14" t="s">
        <v>1</v>
      </c>
      <c r="AI29" s="14" t="s">
        <v>1</v>
      </c>
      <c r="AJ29" s="15" t="s">
        <v>1</v>
      </c>
      <c r="AK29" s="15" t="s">
        <v>1</v>
      </c>
      <c r="AL29" s="15" t="s">
        <v>1</v>
      </c>
      <c r="AM29" s="15" t="s">
        <v>1</v>
      </c>
      <c r="AN29" s="16" t="s">
        <v>70</v>
      </c>
      <c r="AO29" s="16" t="s">
        <v>68</v>
      </c>
      <c r="AP29" s="16" t="s">
        <v>71</v>
      </c>
      <c r="AQ29" s="16" t="s">
        <v>68</v>
      </c>
      <c r="AR29" s="17" t="s">
        <v>203</v>
      </c>
      <c r="AS29" s="17" t="s">
        <v>71</v>
      </c>
      <c r="AT29" s="17" t="s">
        <v>71</v>
      </c>
      <c r="AU29" s="17" t="s">
        <v>72</v>
      </c>
      <c r="AV29" s="17" t="s">
        <v>71</v>
      </c>
      <c r="AW29" s="17" t="s">
        <v>68</v>
      </c>
      <c r="AX29" s="18" t="s">
        <v>1</v>
      </c>
      <c r="AY29" s="19" t="s">
        <v>976</v>
      </c>
      <c r="AZ29" s="20" t="s">
        <v>68</v>
      </c>
      <c r="BA29" s="90"/>
    </row>
    <row r="30" spans="2:53" ht="16.5" hidden="1" x14ac:dyDescent="0.25">
      <c r="B30" s="87">
        <v>2020</v>
      </c>
      <c r="C30" s="87" t="s">
        <v>141</v>
      </c>
      <c r="D30" s="87" t="s">
        <v>142</v>
      </c>
      <c r="E30" s="3" t="s">
        <v>1656</v>
      </c>
      <c r="F30" s="6" t="s">
        <v>1661</v>
      </c>
      <c r="G30" s="6" t="s">
        <v>68</v>
      </c>
      <c r="H30" s="6" t="s">
        <v>1616</v>
      </c>
      <c r="I30" s="6"/>
      <c r="J30" s="6"/>
      <c r="K30" s="7" t="s">
        <v>1</v>
      </c>
      <c r="L30" s="7" t="s">
        <v>1</v>
      </c>
      <c r="M30" s="7" t="s">
        <v>1</v>
      </c>
      <c r="N30" s="7" t="s">
        <v>1</v>
      </c>
      <c r="O30" s="7" t="s">
        <v>1</v>
      </c>
      <c r="P30" s="8" t="s">
        <v>1</v>
      </c>
      <c r="Q30" s="8" t="s">
        <v>69</v>
      </c>
      <c r="R30" s="9" t="s">
        <v>1</v>
      </c>
      <c r="S30" s="9" t="s">
        <v>1586</v>
      </c>
      <c r="T30" s="10" t="s">
        <v>69</v>
      </c>
      <c r="U30" s="10" t="s">
        <v>69</v>
      </c>
      <c r="V30" s="11" t="s">
        <v>69</v>
      </c>
      <c r="W30" s="11" t="s">
        <v>1</v>
      </c>
      <c r="X30" s="11" t="s">
        <v>69</v>
      </c>
      <c r="Y30" s="12" t="s">
        <v>69</v>
      </c>
      <c r="Z30" s="12" t="s">
        <v>69</v>
      </c>
      <c r="AA30" s="13" t="s">
        <v>69</v>
      </c>
      <c r="AB30" s="13" t="s">
        <v>69</v>
      </c>
      <c r="AC30" s="13" t="s">
        <v>69</v>
      </c>
      <c r="AD30" s="13" t="s">
        <v>1</v>
      </c>
      <c r="AE30" s="14" t="s">
        <v>1</v>
      </c>
      <c r="AF30" s="14" t="s">
        <v>1</v>
      </c>
      <c r="AG30" s="14" t="s">
        <v>1</v>
      </c>
      <c r="AH30" s="14" t="s">
        <v>1</v>
      </c>
      <c r="AI30" s="14" t="s">
        <v>69</v>
      </c>
      <c r="AJ30" s="15" t="s">
        <v>69</v>
      </c>
      <c r="AK30" s="15" t="s">
        <v>69</v>
      </c>
      <c r="AL30" s="15" t="s">
        <v>1</v>
      </c>
      <c r="AM30" s="15" t="s">
        <v>69</v>
      </c>
      <c r="AN30" s="16" t="s">
        <v>70</v>
      </c>
      <c r="AO30" s="16" t="s">
        <v>68</v>
      </c>
      <c r="AP30" s="16" t="s">
        <v>71</v>
      </c>
      <c r="AQ30" s="16" t="s">
        <v>71</v>
      </c>
      <c r="AR30" s="17" t="s">
        <v>71</v>
      </c>
      <c r="AS30" s="17" t="s">
        <v>71</v>
      </c>
      <c r="AT30" s="17" t="s">
        <v>71</v>
      </c>
      <c r="AU30" s="17" t="s">
        <v>72</v>
      </c>
      <c r="AV30" s="17" t="s">
        <v>71</v>
      </c>
      <c r="AW30" s="17" t="s">
        <v>68</v>
      </c>
      <c r="AX30" s="18" t="s">
        <v>68</v>
      </c>
      <c r="AY30" s="19" t="s">
        <v>68</v>
      </c>
      <c r="AZ30" s="20" t="s">
        <v>68</v>
      </c>
      <c r="BA30" s="90"/>
    </row>
    <row r="31" spans="2:53" ht="33" hidden="1" x14ac:dyDescent="0.25">
      <c r="B31" s="87">
        <v>2020</v>
      </c>
      <c r="C31" s="87" t="s">
        <v>141</v>
      </c>
      <c r="D31" s="87" t="s">
        <v>142</v>
      </c>
      <c r="E31" s="3" t="s">
        <v>1391</v>
      </c>
      <c r="F31" s="6" t="s">
        <v>1662</v>
      </c>
      <c r="G31" s="6"/>
      <c r="H31" s="6" t="s">
        <v>1288</v>
      </c>
      <c r="I31" s="6"/>
      <c r="J31" s="6"/>
      <c r="K31" s="7" t="s">
        <v>69</v>
      </c>
      <c r="L31" s="7" t="s">
        <v>1</v>
      </c>
      <c r="M31" s="7" t="s">
        <v>1</v>
      </c>
      <c r="N31" s="7" t="s">
        <v>69</v>
      </c>
      <c r="O31" s="7" t="s">
        <v>69</v>
      </c>
      <c r="P31" s="8" t="s">
        <v>1</v>
      </c>
      <c r="Q31" s="8" t="s">
        <v>69</v>
      </c>
      <c r="R31" s="9" t="s">
        <v>69</v>
      </c>
      <c r="S31" s="9" t="s">
        <v>69</v>
      </c>
      <c r="T31" s="10" t="s">
        <v>69</v>
      </c>
      <c r="U31" s="10" t="s">
        <v>69</v>
      </c>
      <c r="V31" s="11" t="s">
        <v>69</v>
      </c>
      <c r="W31" s="11" t="s">
        <v>69</v>
      </c>
      <c r="X31" s="11" t="s">
        <v>1</v>
      </c>
      <c r="Y31" s="12" t="s">
        <v>69</v>
      </c>
      <c r="Z31" s="12" t="s">
        <v>69</v>
      </c>
      <c r="AA31" s="13" t="s">
        <v>69</v>
      </c>
      <c r="AB31" s="13" t="s">
        <v>1</v>
      </c>
      <c r="AC31" s="13" t="s">
        <v>69</v>
      </c>
      <c r="AD31" s="13" t="s">
        <v>69</v>
      </c>
      <c r="AE31" s="14" t="s">
        <v>1</v>
      </c>
      <c r="AF31" s="14" t="s">
        <v>1</v>
      </c>
      <c r="AG31" s="14" t="s">
        <v>1</v>
      </c>
      <c r="AH31" s="14" t="s">
        <v>1</v>
      </c>
      <c r="AI31" s="14" t="s">
        <v>69</v>
      </c>
      <c r="AJ31" s="15" t="s">
        <v>1</v>
      </c>
      <c r="AK31" s="15" t="s">
        <v>1</v>
      </c>
      <c r="AL31" s="15" t="s">
        <v>69</v>
      </c>
      <c r="AM31" s="15" t="s">
        <v>69</v>
      </c>
      <c r="AN31" s="16" t="s">
        <v>70</v>
      </c>
      <c r="AO31" s="16" t="s">
        <v>68</v>
      </c>
      <c r="AP31" s="16" t="s">
        <v>71</v>
      </c>
      <c r="AQ31" s="16" t="s">
        <v>71</v>
      </c>
      <c r="AR31" s="17" t="s">
        <v>71</v>
      </c>
      <c r="AS31" s="17" t="s">
        <v>71</v>
      </c>
      <c r="AT31" s="17" t="s">
        <v>71</v>
      </c>
      <c r="AU31" s="17" t="s">
        <v>72</v>
      </c>
      <c r="AV31" s="17" t="s">
        <v>71</v>
      </c>
      <c r="AW31" s="17" t="s">
        <v>68</v>
      </c>
      <c r="AX31" s="18" t="s">
        <v>68</v>
      </c>
      <c r="AY31" s="19" t="s">
        <v>68</v>
      </c>
      <c r="AZ31" s="20" t="s">
        <v>68</v>
      </c>
      <c r="BA31" s="90"/>
    </row>
    <row r="32" spans="2:53" ht="16.5" hidden="1" x14ac:dyDescent="0.25">
      <c r="B32" s="87">
        <v>2020</v>
      </c>
      <c r="C32" s="87" t="s">
        <v>141</v>
      </c>
      <c r="D32" s="87" t="s">
        <v>142</v>
      </c>
      <c r="E32" s="3" t="s">
        <v>1659</v>
      </c>
      <c r="F32" s="6" t="s">
        <v>1663</v>
      </c>
      <c r="G32" s="6"/>
      <c r="H32" s="6" t="s">
        <v>1667</v>
      </c>
      <c r="I32" s="6"/>
      <c r="J32" s="6"/>
      <c r="K32" s="24" t="s">
        <v>1</v>
      </c>
      <c r="L32" s="24" t="s">
        <v>69</v>
      </c>
      <c r="M32" s="24" t="s">
        <v>1</v>
      </c>
      <c r="N32" s="24" t="s">
        <v>1</v>
      </c>
      <c r="O32" s="24" t="s">
        <v>69</v>
      </c>
      <c r="P32" s="25" t="s">
        <v>69</v>
      </c>
      <c r="Q32" s="25" t="s">
        <v>1</v>
      </c>
      <c r="R32" s="9" t="s">
        <v>69</v>
      </c>
      <c r="S32" s="9" t="s">
        <v>1</v>
      </c>
      <c r="T32" s="10" t="s">
        <v>69</v>
      </c>
      <c r="U32" s="10" t="s">
        <v>69</v>
      </c>
      <c r="V32" s="11" t="s">
        <v>1</v>
      </c>
      <c r="W32" s="11" t="s">
        <v>1</v>
      </c>
      <c r="X32" s="11" t="s">
        <v>69</v>
      </c>
      <c r="Y32" s="12" t="s">
        <v>1</v>
      </c>
      <c r="Z32" s="12" t="s">
        <v>1</v>
      </c>
      <c r="AA32" s="13" t="s">
        <v>69</v>
      </c>
      <c r="AB32" s="13" t="s">
        <v>1</v>
      </c>
      <c r="AC32" s="13" t="s">
        <v>1</v>
      </c>
      <c r="AD32" s="13" t="s">
        <v>69</v>
      </c>
      <c r="AE32" s="14" t="s">
        <v>1</v>
      </c>
      <c r="AF32" s="14" t="s">
        <v>1</v>
      </c>
      <c r="AG32" s="14" t="s">
        <v>1</v>
      </c>
      <c r="AH32" s="14" t="s">
        <v>1</v>
      </c>
      <c r="AI32" s="14" t="s">
        <v>69</v>
      </c>
      <c r="AJ32" s="15" t="s">
        <v>69</v>
      </c>
      <c r="AK32" s="15" t="s">
        <v>1</v>
      </c>
      <c r="AL32" s="15" t="s">
        <v>69</v>
      </c>
      <c r="AM32" s="15" t="s">
        <v>1</v>
      </c>
      <c r="AN32" s="16" t="s">
        <v>70</v>
      </c>
      <c r="AO32" s="16" t="s">
        <v>68</v>
      </c>
      <c r="AP32" s="16" t="s">
        <v>71</v>
      </c>
      <c r="AQ32" s="16" t="s">
        <v>71</v>
      </c>
      <c r="AR32" s="17" t="s">
        <v>71</v>
      </c>
      <c r="AS32" s="17" t="s">
        <v>71</v>
      </c>
      <c r="AT32" s="17" t="s">
        <v>71</v>
      </c>
      <c r="AU32" s="34" t="s">
        <v>72</v>
      </c>
      <c r="AV32" s="17" t="s">
        <v>71</v>
      </c>
      <c r="AW32" s="17" t="s">
        <v>68</v>
      </c>
      <c r="AX32" s="18" t="s">
        <v>68</v>
      </c>
      <c r="AY32" s="19" t="s">
        <v>68</v>
      </c>
      <c r="AZ32" s="20" t="s">
        <v>68</v>
      </c>
      <c r="BA32" s="90"/>
    </row>
    <row r="33" spans="2:70" ht="16.5" hidden="1" x14ac:dyDescent="0.25">
      <c r="B33" s="87">
        <v>2020</v>
      </c>
      <c r="C33" s="87" t="s">
        <v>141</v>
      </c>
      <c r="D33" s="87" t="s">
        <v>142</v>
      </c>
      <c r="E33" s="3" t="s">
        <v>1390</v>
      </c>
      <c r="F33" s="6" t="s">
        <v>1664</v>
      </c>
      <c r="G33" s="6"/>
      <c r="H33" s="6" t="s">
        <v>1304</v>
      </c>
      <c r="I33" s="6"/>
      <c r="J33" s="6"/>
      <c r="K33" s="24" t="s">
        <v>69</v>
      </c>
      <c r="L33" s="24" t="s">
        <v>69</v>
      </c>
      <c r="M33" s="24" t="s">
        <v>1</v>
      </c>
      <c r="N33" s="24" t="s">
        <v>69</v>
      </c>
      <c r="O33" s="24" t="s">
        <v>69</v>
      </c>
      <c r="P33" s="25" t="s">
        <v>69</v>
      </c>
      <c r="Q33" s="25" t="s">
        <v>69</v>
      </c>
      <c r="R33" s="26" t="s">
        <v>69</v>
      </c>
      <c r="S33" s="26" t="s">
        <v>69</v>
      </c>
      <c r="T33" s="27" t="s">
        <v>69</v>
      </c>
      <c r="U33" s="27" t="s">
        <v>1</v>
      </c>
      <c r="V33" s="28" t="s">
        <v>69</v>
      </c>
      <c r="W33" s="28" t="s">
        <v>69</v>
      </c>
      <c r="X33" s="28" t="s">
        <v>1</v>
      </c>
      <c r="Y33" s="29" t="s">
        <v>69</v>
      </c>
      <c r="Z33" s="29" t="s">
        <v>1</v>
      </c>
      <c r="AA33" s="30" t="s">
        <v>69</v>
      </c>
      <c r="AB33" s="30" t="s">
        <v>69</v>
      </c>
      <c r="AC33" s="30" t="s">
        <v>69</v>
      </c>
      <c r="AD33" s="30" t="s">
        <v>1</v>
      </c>
      <c r="AE33" s="14" t="s">
        <v>1</v>
      </c>
      <c r="AF33" s="14" t="s">
        <v>1</v>
      </c>
      <c r="AG33" s="14" t="s">
        <v>1</v>
      </c>
      <c r="AH33" s="14" t="s">
        <v>1</v>
      </c>
      <c r="AI33" s="14" t="s">
        <v>69</v>
      </c>
      <c r="AJ33" s="15" t="s">
        <v>69</v>
      </c>
      <c r="AK33" s="15" t="s">
        <v>69</v>
      </c>
      <c r="AL33" s="15" t="s">
        <v>1</v>
      </c>
      <c r="AM33" s="15" t="s">
        <v>69</v>
      </c>
      <c r="AN33" s="33" t="s">
        <v>70</v>
      </c>
      <c r="AO33" s="16" t="s">
        <v>68</v>
      </c>
      <c r="AP33" s="33" t="s">
        <v>71</v>
      </c>
      <c r="AQ33" s="33" t="s">
        <v>71</v>
      </c>
      <c r="AR33" s="34" t="s">
        <v>71</v>
      </c>
      <c r="AS33" s="34" t="s">
        <v>71</v>
      </c>
      <c r="AT33" s="34" t="s">
        <v>71</v>
      </c>
      <c r="AU33" s="34" t="s">
        <v>72</v>
      </c>
      <c r="AV33" s="17" t="s">
        <v>71</v>
      </c>
      <c r="AW33" s="34" t="s">
        <v>68</v>
      </c>
      <c r="AX33" s="35" t="s">
        <v>68</v>
      </c>
      <c r="AY33" s="36" t="s">
        <v>68</v>
      </c>
      <c r="AZ33" s="37" t="s">
        <v>68</v>
      </c>
      <c r="BA33" s="90"/>
    </row>
    <row r="34" spans="2:70" ht="16.5" hidden="1" x14ac:dyDescent="0.25">
      <c r="B34" s="87">
        <v>2020</v>
      </c>
      <c r="C34" s="87" t="s">
        <v>141</v>
      </c>
      <c r="D34" s="87" t="s">
        <v>142</v>
      </c>
      <c r="E34" s="3" t="s">
        <v>1657</v>
      </c>
      <c r="F34" s="6" t="s">
        <v>1663</v>
      </c>
      <c r="G34" s="6"/>
      <c r="H34" s="6" t="s">
        <v>1304</v>
      </c>
      <c r="I34" s="6"/>
      <c r="J34" s="6"/>
      <c r="K34" s="7" t="s">
        <v>69</v>
      </c>
      <c r="L34" s="7" t="s">
        <v>1</v>
      </c>
      <c r="M34" s="7" t="s">
        <v>1</v>
      </c>
      <c r="N34" s="7" t="s">
        <v>69</v>
      </c>
      <c r="O34" s="7" t="s">
        <v>1</v>
      </c>
      <c r="P34" s="8" t="s">
        <v>69</v>
      </c>
      <c r="Q34" s="8" t="s">
        <v>69</v>
      </c>
      <c r="R34" s="9" t="s">
        <v>69</v>
      </c>
      <c r="S34" s="9" t="s">
        <v>1</v>
      </c>
      <c r="T34" s="10" t="s">
        <v>1</v>
      </c>
      <c r="U34" s="10" t="s">
        <v>69</v>
      </c>
      <c r="V34" s="11" t="s">
        <v>1</v>
      </c>
      <c r="W34" s="11" t="s">
        <v>69</v>
      </c>
      <c r="X34" s="11" t="s">
        <v>69</v>
      </c>
      <c r="Y34" s="12" t="s">
        <v>1</v>
      </c>
      <c r="Z34" s="12" t="s">
        <v>69</v>
      </c>
      <c r="AA34" s="13" t="s">
        <v>69</v>
      </c>
      <c r="AB34" s="13" t="s">
        <v>1</v>
      </c>
      <c r="AC34" s="13" t="s">
        <v>69</v>
      </c>
      <c r="AD34" s="13" t="s">
        <v>69</v>
      </c>
      <c r="AE34" s="14" t="s">
        <v>1</v>
      </c>
      <c r="AF34" s="14" t="s">
        <v>1</v>
      </c>
      <c r="AG34" s="14" t="s">
        <v>1</v>
      </c>
      <c r="AH34" s="14" t="s">
        <v>1</v>
      </c>
      <c r="AI34" s="14" t="s">
        <v>69</v>
      </c>
      <c r="AJ34" s="15" t="s">
        <v>1</v>
      </c>
      <c r="AK34" s="15" t="s">
        <v>1</v>
      </c>
      <c r="AL34" s="15" t="s">
        <v>1</v>
      </c>
      <c r="AM34" s="15" t="s">
        <v>69</v>
      </c>
      <c r="AN34" s="16" t="s">
        <v>70</v>
      </c>
      <c r="AO34" s="16" t="s">
        <v>68</v>
      </c>
      <c r="AP34" s="16" t="s">
        <v>71</v>
      </c>
      <c r="AQ34" s="16" t="s">
        <v>71</v>
      </c>
      <c r="AR34" s="17" t="s">
        <v>71</v>
      </c>
      <c r="AS34" s="17" t="s">
        <v>71</v>
      </c>
      <c r="AT34" s="17" t="s">
        <v>71</v>
      </c>
      <c r="AU34" s="17" t="s">
        <v>72</v>
      </c>
      <c r="AV34" s="17" t="s">
        <v>71</v>
      </c>
      <c r="AW34" s="17" t="s">
        <v>68</v>
      </c>
      <c r="AX34" s="18" t="s">
        <v>68</v>
      </c>
      <c r="AY34" s="19" t="s">
        <v>68</v>
      </c>
      <c r="AZ34" s="20" t="s">
        <v>68</v>
      </c>
      <c r="BA34" s="90"/>
    </row>
    <row r="35" spans="2:70" ht="33" hidden="1" x14ac:dyDescent="0.25">
      <c r="B35" s="87">
        <v>2020</v>
      </c>
      <c r="C35" s="87" t="s">
        <v>141</v>
      </c>
      <c r="D35" s="87" t="s">
        <v>142</v>
      </c>
      <c r="E35" s="3" t="s">
        <v>1658</v>
      </c>
      <c r="F35" s="6" t="s">
        <v>1665</v>
      </c>
      <c r="G35" s="6"/>
      <c r="H35" s="6" t="s">
        <v>1667</v>
      </c>
      <c r="I35" s="6"/>
      <c r="J35" s="6"/>
      <c r="K35" s="7" t="s">
        <v>69</v>
      </c>
      <c r="L35" s="7" t="s">
        <v>1</v>
      </c>
      <c r="M35" s="7" t="s">
        <v>69</v>
      </c>
      <c r="N35" s="7" t="s">
        <v>1</v>
      </c>
      <c r="O35" s="7" t="s">
        <v>1</v>
      </c>
      <c r="P35" s="8" t="s">
        <v>69</v>
      </c>
      <c r="Q35" s="8" t="s">
        <v>1</v>
      </c>
      <c r="R35" s="9" t="s">
        <v>69</v>
      </c>
      <c r="S35" s="9" t="s">
        <v>75</v>
      </c>
      <c r="T35" s="10" t="s">
        <v>69</v>
      </c>
      <c r="U35" s="10" t="s">
        <v>69</v>
      </c>
      <c r="V35" s="11" t="s">
        <v>69</v>
      </c>
      <c r="W35" s="11" t="s">
        <v>1</v>
      </c>
      <c r="X35" s="11" t="s">
        <v>69</v>
      </c>
      <c r="Y35" s="12" t="s">
        <v>69</v>
      </c>
      <c r="Z35" s="12" t="s">
        <v>69</v>
      </c>
      <c r="AA35" s="13" t="s">
        <v>1</v>
      </c>
      <c r="AB35" s="13" t="s">
        <v>1</v>
      </c>
      <c r="AC35" s="13" t="s">
        <v>69</v>
      </c>
      <c r="AD35" s="13" t="s">
        <v>69</v>
      </c>
      <c r="AE35" s="14" t="s">
        <v>1</v>
      </c>
      <c r="AF35" s="14" t="s">
        <v>1</v>
      </c>
      <c r="AG35" s="14" t="s">
        <v>1</v>
      </c>
      <c r="AH35" s="14" t="s">
        <v>1</v>
      </c>
      <c r="AI35" s="14" t="s">
        <v>69</v>
      </c>
      <c r="AJ35" s="15" t="s">
        <v>69</v>
      </c>
      <c r="AK35" s="15" t="s">
        <v>69</v>
      </c>
      <c r="AL35" s="15" t="s">
        <v>1</v>
      </c>
      <c r="AM35" s="15" t="s">
        <v>1</v>
      </c>
      <c r="AN35" s="16" t="s">
        <v>70</v>
      </c>
      <c r="AO35" s="16" t="s">
        <v>68</v>
      </c>
      <c r="AP35" s="16" t="s">
        <v>71</v>
      </c>
      <c r="AQ35" s="16" t="s">
        <v>71</v>
      </c>
      <c r="AR35" s="17" t="s">
        <v>71</v>
      </c>
      <c r="AS35" s="17" t="s">
        <v>71</v>
      </c>
      <c r="AT35" s="17" t="s">
        <v>71</v>
      </c>
      <c r="AU35" s="17" t="s">
        <v>72</v>
      </c>
      <c r="AV35" s="17" t="s">
        <v>71</v>
      </c>
      <c r="AW35" s="17" t="s">
        <v>68</v>
      </c>
      <c r="AX35" s="18" t="s">
        <v>68</v>
      </c>
      <c r="AY35" s="19" t="s">
        <v>68</v>
      </c>
      <c r="AZ35" s="20" t="s">
        <v>68</v>
      </c>
      <c r="BA35" s="90"/>
    </row>
    <row r="36" spans="2:70" ht="33" hidden="1" x14ac:dyDescent="0.25">
      <c r="B36" s="87">
        <v>2020</v>
      </c>
      <c r="C36" s="87" t="s">
        <v>141</v>
      </c>
      <c r="D36" s="87" t="s">
        <v>142</v>
      </c>
      <c r="E36" s="3" t="s">
        <v>1660</v>
      </c>
      <c r="F36" s="6" t="s">
        <v>1666</v>
      </c>
      <c r="G36" s="6"/>
      <c r="H36" s="6" t="s">
        <v>1619</v>
      </c>
      <c r="I36" s="6"/>
      <c r="J36" s="6"/>
      <c r="K36" s="7" t="s">
        <v>1</v>
      </c>
      <c r="L36" s="7" t="s">
        <v>69</v>
      </c>
      <c r="M36" s="7" t="s">
        <v>69</v>
      </c>
      <c r="N36" s="7" t="s">
        <v>75</v>
      </c>
      <c r="O36" s="7" t="s">
        <v>1</v>
      </c>
      <c r="P36" s="8" t="s">
        <v>1</v>
      </c>
      <c r="Q36" s="8" t="s">
        <v>1</v>
      </c>
      <c r="R36" s="9" t="s">
        <v>69</v>
      </c>
      <c r="S36" s="9" t="s">
        <v>1</v>
      </c>
      <c r="T36" s="10" t="s">
        <v>69</v>
      </c>
      <c r="U36" s="10" t="s">
        <v>69</v>
      </c>
      <c r="V36" s="11" t="s">
        <v>69</v>
      </c>
      <c r="W36" s="11" t="s">
        <v>69</v>
      </c>
      <c r="X36" s="11" t="s">
        <v>69</v>
      </c>
      <c r="Y36" s="12" t="s">
        <v>1</v>
      </c>
      <c r="Z36" s="12" t="s">
        <v>69</v>
      </c>
      <c r="AA36" s="13" t="s">
        <v>1</v>
      </c>
      <c r="AB36" s="13" t="s">
        <v>69</v>
      </c>
      <c r="AC36" s="13" t="s">
        <v>1</v>
      </c>
      <c r="AD36" s="13" t="s">
        <v>1</v>
      </c>
      <c r="AE36" s="14" t="s">
        <v>1</v>
      </c>
      <c r="AF36" s="14" t="s">
        <v>1</v>
      </c>
      <c r="AG36" s="14" t="s">
        <v>1</v>
      </c>
      <c r="AH36" s="14" t="s">
        <v>1</v>
      </c>
      <c r="AI36" s="14" t="s">
        <v>69</v>
      </c>
      <c r="AJ36" s="15" t="s">
        <v>69</v>
      </c>
      <c r="AK36" s="15" t="s">
        <v>1</v>
      </c>
      <c r="AL36" s="15" t="s">
        <v>69</v>
      </c>
      <c r="AM36" s="15" t="s">
        <v>69</v>
      </c>
      <c r="AN36" s="16" t="s">
        <v>70</v>
      </c>
      <c r="AO36" s="16" t="s">
        <v>68</v>
      </c>
      <c r="AP36" s="16" t="s">
        <v>71</v>
      </c>
      <c r="AQ36" s="16" t="s">
        <v>71</v>
      </c>
      <c r="AR36" s="17" t="s">
        <v>71</v>
      </c>
      <c r="AS36" s="17" t="s">
        <v>71</v>
      </c>
      <c r="AT36" s="17" t="s">
        <v>71</v>
      </c>
      <c r="AU36" s="17" t="s">
        <v>72</v>
      </c>
      <c r="AV36" s="17" t="s">
        <v>71</v>
      </c>
      <c r="AW36" s="17" t="s">
        <v>68</v>
      </c>
      <c r="AX36" s="18" t="s">
        <v>68</v>
      </c>
      <c r="AY36" s="19" t="s">
        <v>68</v>
      </c>
      <c r="AZ36" s="20" t="s">
        <v>68</v>
      </c>
      <c r="BA36" s="90"/>
    </row>
    <row r="37" spans="2:70" ht="33" hidden="1" x14ac:dyDescent="0.25">
      <c r="B37" s="87">
        <v>2020</v>
      </c>
      <c r="C37" s="87" t="s">
        <v>1240</v>
      </c>
      <c r="D37" s="87" t="s">
        <v>127</v>
      </c>
      <c r="E37" s="3" t="s">
        <v>1411</v>
      </c>
      <c r="F37" s="6" t="s">
        <v>1412</v>
      </c>
      <c r="G37" s="4" t="s">
        <v>68</v>
      </c>
      <c r="H37" s="6" t="s">
        <v>1413</v>
      </c>
      <c r="I37" s="6">
        <v>1</v>
      </c>
      <c r="J37" s="6">
        <v>1</v>
      </c>
      <c r="K37" s="24" t="s">
        <v>69</v>
      </c>
      <c r="L37" s="24" t="s">
        <v>1</v>
      </c>
      <c r="M37" s="24" t="s">
        <v>1</v>
      </c>
      <c r="N37" s="24" t="s">
        <v>1</v>
      </c>
      <c r="O37" s="24" t="s">
        <v>1</v>
      </c>
      <c r="P37" s="25" t="s">
        <v>69</v>
      </c>
      <c r="Q37" s="25" t="s">
        <v>1</v>
      </c>
      <c r="R37" s="9" t="s">
        <v>1</v>
      </c>
      <c r="S37" s="9" t="s">
        <v>1</v>
      </c>
      <c r="T37" s="10" t="s">
        <v>69</v>
      </c>
      <c r="U37" s="10" t="s">
        <v>69</v>
      </c>
      <c r="V37" s="11" t="s">
        <v>1</v>
      </c>
      <c r="W37" s="11" t="s">
        <v>1</v>
      </c>
      <c r="X37" s="11" t="s">
        <v>1</v>
      </c>
      <c r="Y37" s="12" t="s">
        <v>1</v>
      </c>
      <c r="Z37" s="12" t="s">
        <v>1</v>
      </c>
      <c r="AA37" s="13" t="s">
        <v>1</v>
      </c>
      <c r="AB37" s="13" t="s">
        <v>1</v>
      </c>
      <c r="AC37" s="13" t="s">
        <v>75</v>
      </c>
      <c r="AD37" s="13" t="s">
        <v>75</v>
      </c>
      <c r="AE37" s="31" t="s">
        <v>1</v>
      </c>
      <c r="AF37" s="31" t="s">
        <v>1</v>
      </c>
      <c r="AG37" s="31" t="s">
        <v>69</v>
      </c>
      <c r="AH37" s="31" t="s">
        <v>1</v>
      </c>
      <c r="AI37" s="31" t="s">
        <v>1</v>
      </c>
      <c r="AJ37" s="32" t="s">
        <v>1</v>
      </c>
      <c r="AK37" s="32" t="s">
        <v>1</v>
      </c>
      <c r="AL37" s="32" t="s">
        <v>69</v>
      </c>
      <c r="AM37" s="32" t="s">
        <v>1</v>
      </c>
      <c r="AN37" s="16" t="s">
        <v>70</v>
      </c>
      <c r="AO37" s="16" t="s">
        <v>68</v>
      </c>
      <c r="AP37" s="16" t="s">
        <v>71</v>
      </c>
      <c r="AQ37" s="16" t="s">
        <v>71</v>
      </c>
      <c r="AR37" s="17" t="s">
        <v>71</v>
      </c>
      <c r="AS37" s="17" t="s">
        <v>71</v>
      </c>
      <c r="AT37" s="17" t="s">
        <v>71</v>
      </c>
      <c r="AU37" s="34" t="s">
        <v>72</v>
      </c>
      <c r="AV37" s="17" t="s">
        <v>69</v>
      </c>
      <c r="AW37" s="17" t="s">
        <v>68</v>
      </c>
      <c r="AX37" s="18" t="s">
        <v>68</v>
      </c>
      <c r="AY37" s="19" t="s">
        <v>68</v>
      </c>
      <c r="AZ37" s="20" t="s">
        <v>68</v>
      </c>
      <c r="BA37" s="90"/>
    </row>
    <row r="38" spans="2:70" ht="66" hidden="1" x14ac:dyDescent="0.25">
      <c r="B38" s="87">
        <v>2020</v>
      </c>
      <c r="C38" s="87" t="s">
        <v>1240</v>
      </c>
      <c r="D38" s="87" t="s">
        <v>67</v>
      </c>
      <c r="E38" s="3" t="s">
        <v>1414</v>
      </c>
      <c r="F38" s="6" t="s">
        <v>1416</v>
      </c>
      <c r="G38" s="4"/>
      <c r="H38" s="6" t="s">
        <v>1417</v>
      </c>
      <c r="I38" s="6">
        <v>1</v>
      </c>
      <c r="J38" s="6">
        <v>1</v>
      </c>
      <c r="K38" s="24" t="s">
        <v>69</v>
      </c>
      <c r="L38" s="24" t="s">
        <v>1</v>
      </c>
      <c r="M38" s="24" t="s">
        <v>1</v>
      </c>
      <c r="N38" s="24" t="s">
        <v>1</v>
      </c>
      <c r="O38" s="24" t="s">
        <v>1</v>
      </c>
      <c r="P38" s="25" t="s">
        <v>69</v>
      </c>
      <c r="Q38" s="25" t="s">
        <v>1</v>
      </c>
      <c r="R38" s="26" t="s">
        <v>75</v>
      </c>
      <c r="S38" s="26" t="s">
        <v>75</v>
      </c>
      <c r="T38" s="27" t="s">
        <v>69</v>
      </c>
      <c r="U38" s="27" t="s">
        <v>69</v>
      </c>
      <c r="V38" s="28" t="s">
        <v>1</v>
      </c>
      <c r="W38" s="28" t="s">
        <v>1</v>
      </c>
      <c r="X38" s="28" t="s">
        <v>1</v>
      </c>
      <c r="Y38" s="29" t="s">
        <v>69</v>
      </c>
      <c r="Z38" s="29" t="s">
        <v>1</v>
      </c>
      <c r="AA38" s="30" t="s">
        <v>1</v>
      </c>
      <c r="AB38" s="30" t="s">
        <v>1</v>
      </c>
      <c r="AC38" s="30" t="s">
        <v>1</v>
      </c>
      <c r="AD38" s="30" t="s">
        <v>1</v>
      </c>
      <c r="AE38" s="31" t="s">
        <v>1</v>
      </c>
      <c r="AF38" s="31" t="s">
        <v>1</v>
      </c>
      <c r="AG38" s="31" t="s">
        <v>1</v>
      </c>
      <c r="AH38" s="31" t="s">
        <v>1</v>
      </c>
      <c r="AI38" s="31" t="s">
        <v>1</v>
      </c>
      <c r="AJ38" s="32" t="s">
        <v>1</v>
      </c>
      <c r="AK38" s="32" t="s">
        <v>1</v>
      </c>
      <c r="AL38" s="32" t="s">
        <v>1</v>
      </c>
      <c r="AM38" s="32" t="s">
        <v>1</v>
      </c>
      <c r="AN38" s="33" t="s">
        <v>70</v>
      </c>
      <c r="AO38" s="16" t="s">
        <v>68</v>
      </c>
      <c r="AP38" s="33" t="s">
        <v>71</v>
      </c>
      <c r="AQ38" s="33" t="s">
        <v>974</v>
      </c>
      <c r="AR38" s="34" t="s">
        <v>203</v>
      </c>
      <c r="AS38" s="34" t="s">
        <v>71</v>
      </c>
      <c r="AT38" s="34" t="s">
        <v>71</v>
      </c>
      <c r="AU38" s="34" t="s">
        <v>72</v>
      </c>
      <c r="AV38" s="34" t="s">
        <v>71</v>
      </c>
      <c r="AW38" s="34" t="s">
        <v>68</v>
      </c>
      <c r="AX38" s="35" t="s">
        <v>1</v>
      </c>
      <c r="AY38" s="36" t="s">
        <v>68</v>
      </c>
      <c r="AZ38" s="37" t="s">
        <v>68</v>
      </c>
      <c r="BA38" s="90"/>
    </row>
    <row r="39" spans="2:70" ht="16.5" hidden="1" x14ac:dyDescent="0.25">
      <c r="B39" s="87">
        <v>2020</v>
      </c>
      <c r="C39" s="87" t="s">
        <v>1240</v>
      </c>
      <c r="D39" s="87" t="s">
        <v>67</v>
      </c>
      <c r="E39" s="3" t="s">
        <v>1415</v>
      </c>
      <c r="F39" s="6" t="s">
        <v>1418</v>
      </c>
      <c r="G39" s="4" t="s">
        <v>68</v>
      </c>
      <c r="H39" s="6" t="s">
        <v>1419</v>
      </c>
      <c r="I39" s="6">
        <v>1</v>
      </c>
      <c r="J39" s="6">
        <v>1</v>
      </c>
      <c r="K39" s="7" t="s">
        <v>1</v>
      </c>
      <c r="L39" s="7" t="s">
        <v>1</v>
      </c>
      <c r="M39" s="7" t="s">
        <v>75</v>
      </c>
      <c r="N39" s="7" t="s">
        <v>1</v>
      </c>
      <c r="O39" s="7" t="s">
        <v>1</v>
      </c>
      <c r="P39" s="8" t="s">
        <v>1</v>
      </c>
      <c r="Q39" s="8" t="s">
        <v>1</v>
      </c>
      <c r="R39" s="9" t="s">
        <v>75</v>
      </c>
      <c r="S39" s="9" t="s">
        <v>75</v>
      </c>
      <c r="T39" s="10" t="s">
        <v>69</v>
      </c>
      <c r="U39" s="10" t="s">
        <v>69</v>
      </c>
      <c r="V39" s="11" t="s">
        <v>1</v>
      </c>
      <c r="W39" s="11" t="s">
        <v>1</v>
      </c>
      <c r="X39" s="11" t="s">
        <v>1</v>
      </c>
      <c r="Y39" s="12" t="s">
        <v>1</v>
      </c>
      <c r="Z39" s="12" t="s">
        <v>1</v>
      </c>
      <c r="AA39" s="13" t="s">
        <v>1</v>
      </c>
      <c r="AB39" s="13" t="s">
        <v>1</v>
      </c>
      <c r="AC39" s="13" t="s">
        <v>75</v>
      </c>
      <c r="AD39" s="13" t="s">
        <v>75</v>
      </c>
      <c r="AE39" s="14" t="s">
        <v>1</v>
      </c>
      <c r="AF39" s="14" t="s">
        <v>1</v>
      </c>
      <c r="AG39" s="14" t="s">
        <v>1</v>
      </c>
      <c r="AH39" s="14" t="s">
        <v>1</v>
      </c>
      <c r="AI39" s="14" t="s">
        <v>69</v>
      </c>
      <c r="AJ39" s="15" t="s">
        <v>75</v>
      </c>
      <c r="AK39" s="15" t="s">
        <v>1</v>
      </c>
      <c r="AL39" s="15" t="s">
        <v>1</v>
      </c>
      <c r="AM39" s="15" t="s">
        <v>1</v>
      </c>
      <c r="AN39" s="16"/>
      <c r="AO39" s="16" t="s">
        <v>68</v>
      </c>
      <c r="AP39" s="16" t="s">
        <v>1135</v>
      </c>
      <c r="AQ39" s="16"/>
      <c r="AR39" s="17" t="s">
        <v>71</v>
      </c>
      <c r="AS39" s="17" t="s">
        <v>71</v>
      </c>
      <c r="AT39" s="17" t="s">
        <v>71</v>
      </c>
      <c r="AU39" s="17" t="s">
        <v>71</v>
      </c>
      <c r="AV39" s="17" t="s">
        <v>71</v>
      </c>
      <c r="AW39" s="17" t="s">
        <v>68</v>
      </c>
      <c r="AX39" s="18" t="s">
        <v>1</v>
      </c>
      <c r="AY39" s="19" t="s">
        <v>68</v>
      </c>
      <c r="AZ39" s="20" t="s">
        <v>68</v>
      </c>
      <c r="BA39" s="90"/>
    </row>
    <row r="40" spans="2:70" ht="16.5" x14ac:dyDescent="0.25">
      <c r="B40" s="139"/>
      <c r="C40" s="140"/>
      <c r="D40" s="139"/>
      <c r="E40" s="140"/>
      <c r="F40" s="140"/>
      <c r="G40" s="141"/>
      <c r="H40" s="156"/>
      <c r="I40" s="143"/>
      <c r="J40" s="141"/>
      <c r="K40" s="142"/>
      <c r="L40" s="142"/>
      <c r="M40" s="142"/>
      <c r="N40" s="142"/>
      <c r="O40" s="142"/>
      <c r="P40" s="144"/>
      <c r="Q40" s="144"/>
      <c r="R40" s="144"/>
      <c r="S40" s="144"/>
      <c r="T40" s="144"/>
      <c r="U40" s="145"/>
      <c r="V40" s="145"/>
      <c r="W40" s="146"/>
      <c r="X40" s="146"/>
      <c r="Y40" s="147"/>
      <c r="Z40" s="147"/>
      <c r="AA40" s="148"/>
      <c r="AB40" s="148"/>
      <c r="AC40" s="148"/>
      <c r="AD40" s="149"/>
      <c r="AE40" s="149"/>
      <c r="AF40" s="150"/>
      <c r="AG40" s="150"/>
      <c r="AH40" s="150"/>
      <c r="AI40" s="150"/>
      <c r="AJ40" s="151"/>
      <c r="AK40" s="151"/>
      <c r="AL40" s="151"/>
      <c r="AM40" s="151"/>
      <c r="AN40" s="151"/>
      <c r="AO40" s="152"/>
      <c r="AP40" s="152"/>
      <c r="AQ40" s="152"/>
      <c r="AR40" s="152"/>
      <c r="AS40" s="153"/>
      <c r="AT40" s="153"/>
      <c r="AU40" s="153"/>
      <c r="AV40" s="153"/>
      <c r="AW40" s="154"/>
      <c r="AX40" s="154"/>
      <c r="AY40" s="154"/>
      <c r="AZ40" s="154"/>
      <c r="BA40" s="154"/>
      <c r="BB40" s="154"/>
      <c r="BC40" s="155"/>
      <c r="BD40" s="54"/>
      <c r="BE40" s="54"/>
      <c r="BF40" s="54"/>
    </row>
    <row r="43" spans="2:70" ht="23.25" x14ac:dyDescent="0.35">
      <c r="B43" s="63" t="s">
        <v>657</v>
      </c>
      <c r="I43" s="63" t="s">
        <v>668</v>
      </c>
      <c r="AD43" s="63" t="s">
        <v>671</v>
      </c>
      <c r="AY43" s="63" t="s">
        <v>672</v>
      </c>
    </row>
    <row r="44" spans="2:70" ht="24" thickBot="1" x14ac:dyDescent="0.4">
      <c r="B44" s="63"/>
      <c r="I44" s="63"/>
    </row>
    <row r="45" spans="2:70" ht="17.25" customHeight="1" thickBot="1" x14ac:dyDescent="0.3">
      <c r="B45" s="64" t="s">
        <v>14</v>
      </c>
      <c r="C45" s="65" t="s">
        <v>673</v>
      </c>
      <c r="I45" s="64" t="s">
        <v>14</v>
      </c>
      <c r="J45" s="65" t="s">
        <v>618</v>
      </c>
      <c r="P45" s="64" t="s">
        <v>14</v>
      </c>
      <c r="Q45" s="1" t="s">
        <v>197</v>
      </c>
      <c r="W45" s="64" t="s">
        <v>14</v>
      </c>
      <c r="X45" s="1" t="s">
        <v>90</v>
      </c>
      <c r="AD45" s="64" t="s">
        <v>14</v>
      </c>
      <c r="AE45" s="65" t="s">
        <v>142</v>
      </c>
      <c r="AK45" s="64" t="s">
        <v>14</v>
      </c>
      <c r="AL45" s="86" t="s">
        <v>127</v>
      </c>
      <c r="AR45" s="64" t="s">
        <v>14</v>
      </c>
      <c r="AS45" s="86" t="s">
        <v>1195</v>
      </c>
      <c r="AY45" s="64" t="s">
        <v>14</v>
      </c>
      <c r="AZ45" s="86" t="s">
        <v>67</v>
      </c>
      <c r="BF45" s="64" t="s">
        <v>14</v>
      </c>
      <c r="BG45" s="86" t="s">
        <v>1108</v>
      </c>
      <c r="BM45" s="64" t="s">
        <v>14</v>
      </c>
      <c r="BN45" s="86" t="s">
        <v>1138</v>
      </c>
    </row>
    <row r="46" spans="2:70" ht="33.75" thickBot="1" x14ac:dyDescent="0.3">
      <c r="B46" s="64" t="s">
        <v>647</v>
      </c>
      <c r="C46" s="65">
        <v>2020</v>
      </c>
      <c r="I46" s="64" t="s">
        <v>647</v>
      </c>
      <c r="J46" s="65">
        <v>2020</v>
      </c>
      <c r="P46" s="64" t="s">
        <v>647</v>
      </c>
      <c r="Q46" s="65">
        <v>2020</v>
      </c>
      <c r="W46" s="64" t="s">
        <v>647</v>
      </c>
      <c r="X46" s="65">
        <v>2020</v>
      </c>
      <c r="AD46" s="64" t="s">
        <v>647</v>
      </c>
      <c r="AE46" s="65">
        <v>2020</v>
      </c>
      <c r="AK46" s="64" t="s">
        <v>647</v>
      </c>
      <c r="AL46" s="65">
        <v>2020</v>
      </c>
      <c r="AR46" s="64" t="s">
        <v>647</v>
      </c>
      <c r="AS46" s="65">
        <v>2020</v>
      </c>
      <c r="AY46" s="64" t="s">
        <v>647</v>
      </c>
      <c r="AZ46" s="65">
        <v>2020</v>
      </c>
      <c r="BF46" s="64" t="s">
        <v>647</v>
      </c>
      <c r="BG46" s="65">
        <v>2020</v>
      </c>
      <c r="BM46" s="64" t="s">
        <v>647</v>
      </c>
      <c r="BN46" s="65">
        <v>2020</v>
      </c>
    </row>
    <row r="47" spans="2:70" ht="33.75" thickBot="1" x14ac:dyDescent="0.3">
      <c r="B47" s="64" t="s">
        <v>646</v>
      </c>
      <c r="C47" s="65">
        <f>COUNTIF(TblUniv20196[th lulus],C46)</f>
        <v>37</v>
      </c>
      <c r="I47" s="64" t="s">
        <v>646</v>
      </c>
      <c r="J47" s="65">
        <f>COUNTIFS(TblUniv20196[th lulus],J46,TblUniv20196[Prodi],J45)</f>
        <v>5</v>
      </c>
      <c r="P47" s="64" t="s">
        <v>646</v>
      </c>
      <c r="Q47" s="65">
        <f>COUNTIFS(TblUniv20196[th lulus],Q46,TblUniv20196[Prodi],Q45)</f>
        <v>7</v>
      </c>
      <c r="W47" s="64" t="s">
        <v>646</v>
      </c>
      <c r="X47" s="65">
        <f>COUNTIFS(TblUniv20196[th lulus],X46,TblUniv20196[Prodi],X45)</f>
        <v>1</v>
      </c>
      <c r="AD47" s="64" t="s">
        <v>646</v>
      </c>
      <c r="AE47" s="65">
        <f>COUNTIFS(TblUniv20196[th lulus],AE46,TblUniv20196[Prodi],AE45)</f>
        <v>15</v>
      </c>
      <c r="AK47" s="64" t="s">
        <v>646</v>
      </c>
      <c r="AL47" s="65">
        <f>COUNTIFS(TblUniv20196[th lulus],AL46,TblUniv20196[Prodi],AL45)</f>
        <v>1</v>
      </c>
      <c r="AR47" s="64" t="s">
        <v>646</v>
      </c>
      <c r="AS47" s="65">
        <f>COUNTIFS(TblUniv20196[th lulus],AS46,TblUniv20196[Prodi],AS45)</f>
        <v>1</v>
      </c>
      <c r="AY47" s="64" t="s">
        <v>646</v>
      </c>
      <c r="AZ47" s="65">
        <f>COUNTIFS(TblUniv20196[th lulus],AZ46,TblUniv20196[Prodi],AZ45)</f>
        <v>3</v>
      </c>
      <c r="BF47" s="64" t="s">
        <v>646</v>
      </c>
      <c r="BG47" s="65">
        <f>COUNTIFS(TblUniv20196[th lulus],BG46,TblUniv20196[Prodi],BG45)</f>
        <v>2</v>
      </c>
      <c r="BM47" s="64" t="s">
        <v>646</v>
      </c>
      <c r="BN47" s="65">
        <f>COUNTIFS(TblUniv20196[th lulus],BN46,TblUniv20196[Prodi],BN45)</f>
        <v>2</v>
      </c>
    </row>
    <row r="48" spans="2:70" ht="16.5" x14ac:dyDescent="0.3">
      <c r="B48" s="55"/>
      <c r="C48" s="56" t="s">
        <v>69</v>
      </c>
      <c r="D48" s="56" t="s">
        <v>1</v>
      </c>
      <c r="E48" s="56" t="s">
        <v>75</v>
      </c>
      <c r="F48" s="56" t="s">
        <v>168</v>
      </c>
      <c r="G48" s="56"/>
      <c r="I48" s="55"/>
      <c r="J48" s="56" t="s">
        <v>69</v>
      </c>
      <c r="K48" s="56" t="s">
        <v>1</v>
      </c>
      <c r="L48" s="56" t="s">
        <v>75</v>
      </c>
      <c r="M48" s="56" t="s">
        <v>168</v>
      </c>
      <c r="N48" s="56"/>
      <c r="P48" s="55"/>
      <c r="Q48" s="56" t="s">
        <v>69</v>
      </c>
      <c r="R48" s="56" t="s">
        <v>1</v>
      </c>
      <c r="S48" s="56" t="s">
        <v>75</v>
      </c>
      <c r="T48" s="56" t="s">
        <v>168</v>
      </c>
      <c r="U48" s="56"/>
      <c r="W48" s="55"/>
      <c r="X48" s="56" t="s">
        <v>69</v>
      </c>
      <c r="Y48" s="56" t="s">
        <v>1</v>
      </c>
      <c r="Z48" s="56" t="s">
        <v>75</v>
      </c>
      <c r="AA48" s="56" t="s">
        <v>168</v>
      </c>
      <c r="AB48" s="56"/>
      <c r="AD48" s="55"/>
      <c r="AE48" s="56" t="s">
        <v>69</v>
      </c>
      <c r="AF48" s="56" t="s">
        <v>1</v>
      </c>
      <c r="AG48" s="56" t="s">
        <v>75</v>
      </c>
      <c r="AH48" s="56" t="s">
        <v>168</v>
      </c>
      <c r="AI48" s="56"/>
      <c r="AK48" s="55"/>
      <c r="AL48" s="56" t="s">
        <v>69</v>
      </c>
      <c r="AM48" s="56" t="s">
        <v>1</v>
      </c>
      <c r="AN48" s="56" t="s">
        <v>75</v>
      </c>
      <c r="AO48" s="56" t="s">
        <v>168</v>
      </c>
      <c r="AP48" s="56"/>
      <c r="AR48" s="55"/>
      <c r="AS48" s="56" t="s">
        <v>69</v>
      </c>
      <c r="AT48" s="56" t="s">
        <v>1</v>
      </c>
      <c r="AU48" s="56" t="s">
        <v>75</v>
      </c>
      <c r="AV48" s="56" t="s">
        <v>168</v>
      </c>
      <c r="AW48" s="56"/>
      <c r="AY48" s="55"/>
      <c r="AZ48" s="56" t="s">
        <v>69</v>
      </c>
      <c r="BA48" s="56" t="s">
        <v>1</v>
      </c>
      <c r="BB48" s="56" t="s">
        <v>75</v>
      </c>
      <c r="BC48" s="56" t="s">
        <v>168</v>
      </c>
      <c r="BD48" s="56"/>
      <c r="BF48" s="55"/>
      <c r="BG48" s="56" t="s">
        <v>69</v>
      </c>
      <c r="BH48" s="56" t="s">
        <v>1</v>
      </c>
      <c r="BI48" s="56" t="s">
        <v>75</v>
      </c>
      <c r="BJ48" s="56" t="s">
        <v>168</v>
      </c>
      <c r="BK48" s="56"/>
      <c r="BM48" s="55"/>
      <c r="BN48" s="56" t="s">
        <v>69</v>
      </c>
      <c r="BO48" s="56" t="s">
        <v>1</v>
      </c>
      <c r="BP48" s="56" t="s">
        <v>75</v>
      </c>
      <c r="BQ48" s="56" t="s">
        <v>168</v>
      </c>
      <c r="BR48" s="56"/>
    </row>
    <row r="49" spans="2:70" ht="16.5" x14ac:dyDescent="0.3">
      <c r="B49" s="57" t="s">
        <v>26</v>
      </c>
      <c r="C49" s="66">
        <f>COUNTIFS(TblUniv20196[B1],$C$48)/$C$47*100%</f>
        <v>0.56756756756756754</v>
      </c>
      <c r="D49" s="66">
        <f>COUNTIFS(TblUniv20196[B1],$D$48)/C47*100%</f>
        <v>0.43243243243243246</v>
      </c>
      <c r="E49" s="66">
        <f>COUNTIFS(TblUniv20196[B1],$E$48)/C47*100%</f>
        <v>0</v>
      </c>
      <c r="F49" s="66">
        <f>COUNTIFS(TblUniv20196[B1],$F$48)/C47*100%</f>
        <v>0</v>
      </c>
      <c r="G49" s="62">
        <f t="shared" ref="G49:G86" si="0">SUM(C49:F49)</f>
        <v>1</v>
      </c>
      <c r="I49" s="57" t="s">
        <v>26</v>
      </c>
      <c r="J49" s="66">
        <f>COUNTIFS(TblUniv20196[B1],J$48,TblUniv20196[Prodi],$J$45)/$J$47*100%</f>
        <v>0.6</v>
      </c>
      <c r="K49" s="66">
        <f>COUNTIFS(TblUniv20196[B1],K$48,TblUniv20196[Prodi],$J$45)/$J$47*100%</f>
        <v>0.4</v>
      </c>
      <c r="L49" s="66">
        <f>COUNTIFS(TblUniv20196[B1],L$48,TblUniv20196[Prodi],$J$45)/$J$47*100%</f>
        <v>0</v>
      </c>
      <c r="M49" s="66">
        <f>COUNTIFS(TblUniv20196[B1],M$48,TblUniv20196[Prodi],$J$45)/$J$47*100%</f>
        <v>0</v>
      </c>
      <c r="N49" s="62">
        <f t="shared" ref="N49:N86" si="1">SUM(J49:M49)</f>
        <v>1</v>
      </c>
      <c r="P49" s="57" t="s">
        <v>26</v>
      </c>
      <c r="Q49" s="66">
        <f>COUNTIFS(TblUniv20196[B1],Q$48,TblUniv20196[Prodi],$Q$45)/$Q$47*100%</f>
        <v>0.42857142857142855</v>
      </c>
      <c r="R49" s="66">
        <f>COUNTIFS(TblUniv20196[B1],R$48,TblUniv20196[Prodi],$Q$45)/$Q$47*100%</f>
        <v>0.5714285714285714</v>
      </c>
      <c r="S49" s="66">
        <f>COUNTIFS(TblUniv20196[B1],S$48,TblUniv20196[Prodi],$Q$45)/$Q$47*100%</f>
        <v>0</v>
      </c>
      <c r="T49" s="66">
        <f>COUNTIFS(TblUniv20196[B1],T$48,TblUniv20196[Prodi],$Q$45)/$Q$47*100%</f>
        <v>0</v>
      </c>
      <c r="U49" s="62">
        <f t="shared" ref="U49:U86" si="2">SUM(Q49:T49)</f>
        <v>1</v>
      </c>
      <c r="W49" s="57" t="s">
        <v>26</v>
      </c>
      <c r="X49" s="66">
        <f>COUNTIFS(TblUniv20196[B1],X$48,TblUniv20196[Prodi],$X$45)/$X$47*100%</f>
        <v>1</v>
      </c>
      <c r="Y49" s="66">
        <f>COUNTIFS(TblUniv20196[B1],Y$48,TblUniv20196[Prodi],$X$45)/$X$47*100%</f>
        <v>0</v>
      </c>
      <c r="Z49" s="66">
        <f>COUNTIFS(TblUniv20196[B1],Z$48,TblUniv20196[Prodi],$X$45)/$X$47*100%</f>
        <v>0</v>
      </c>
      <c r="AA49" s="66">
        <f>COUNTIFS(TblUniv20196[B1],AA$48,TblUniv20196[Prodi],$X$45)/$X$47*100%</f>
        <v>0</v>
      </c>
      <c r="AB49" s="62">
        <f t="shared" ref="AB49:AB86" si="3">SUM(X49:AA49)</f>
        <v>1</v>
      </c>
      <c r="AD49" s="57" t="s">
        <v>26</v>
      </c>
      <c r="AE49" s="66">
        <f>COUNTIFS(TblUniv20196[B1],AE$48,TblUniv20196[Prodi],$AE$45)/$AE$47*100%</f>
        <v>0.6</v>
      </c>
      <c r="AF49" s="66">
        <f>COUNTIFS(TblUniv20196[B1],AF$48,TblUniv20196[Prodi],$AE$45)/$AE$47*100%</f>
        <v>0.4</v>
      </c>
      <c r="AG49" s="66">
        <f>COUNTIFS(TblUniv20196[B1],AG$48,TblUniv20196[Prodi],$AE$45)/$AE$47*100%</f>
        <v>0</v>
      </c>
      <c r="AH49" s="66">
        <f>COUNTIFS(TblUniv20196[B1],AH$48,TblUniv20196[Prodi],$AE$45)/$AE$47*100%</f>
        <v>0</v>
      </c>
      <c r="AI49" s="62">
        <f t="shared" ref="AI49:AI86" si="4">SUM(AE49:AH49)</f>
        <v>1</v>
      </c>
      <c r="AK49" s="57" t="s">
        <v>26</v>
      </c>
      <c r="AL49" s="66">
        <f>COUNTIFS(TblUniv20196[B1],AL$48,TblUniv20196[Prodi],$AL$45)/$AL$47*100%</f>
        <v>1</v>
      </c>
      <c r="AM49" s="66">
        <f>COUNTIFS(TblUniv20196[B1],AM$48,TblUniv20196[Prodi],$AL$45)/$AL$47*100%</f>
        <v>0</v>
      </c>
      <c r="AN49" s="66">
        <f>COUNTIFS(TblUniv20196[B1],AN$48,TblUniv20196[Prodi],$AL$45)/$AL$47*100%</f>
        <v>0</v>
      </c>
      <c r="AO49" s="66">
        <f>COUNTIFS(TblUniv20196[B1],AO$48,TblUniv20196[Prodi],$AL$45)/$AL$47*100%</f>
        <v>0</v>
      </c>
      <c r="AP49" s="62">
        <f t="shared" ref="AP49:AP86" si="5">SUM(AL49:AO49)</f>
        <v>1</v>
      </c>
      <c r="AR49" s="57" t="s">
        <v>26</v>
      </c>
      <c r="AS49" s="66">
        <f>COUNTIFS(TblUniv20196[B1],AS$48,TblUniv20196[Prodi],$AS$45)/$AS$47*100%</f>
        <v>1</v>
      </c>
      <c r="AT49" s="66">
        <f>COUNTIFS(TblUniv20196[B1],AT$48,TblUniv20196[Prodi],$AS$45)/$AS$47*100%</f>
        <v>0</v>
      </c>
      <c r="AU49" s="66">
        <f>COUNTIFS(TblUniv20196[B1],AU$48,TblUniv20196[Prodi],$AS$45)/$AS$47*100%</f>
        <v>0</v>
      </c>
      <c r="AV49" s="66">
        <f>COUNTIFS(TblUniv20196[B1],AV$48,TblUniv20196[Prodi],$AS$45)/$AS$47*100%</f>
        <v>0</v>
      </c>
      <c r="AW49" s="62">
        <f t="shared" ref="AW49:AW86" si="6">SUM(AS49:AV49)</f>
        <v>1</v>
      </c>
      <c r="AY49" s="57" t="s">
        <v>26</v>
      </c>
      <c r="AZ49" s="66">
        <f>COUNTIFS(TblUniv20196[B1],AZ$48,TblUniv20196[Prodi],$AZ$45)/$AZ$47*100%</f>
        <v>0.33333333333333331</v>
      </c>
      <c r="BA49" s="66">
        <f>COUNTIFS(TblUniv20196[B1],BA$48,TblUniv20196[Prodi],$AZ$45)/$AZ$47*100%</f>
        <v>0.66666666666666663</v>
      </c>
      <c r="BB49" s="66">
        <f>COUNTIFS(TblUniv20196[B1],BB$48,TblUniv20196[Prodi],$AZ$45)/$AZ$47*100%</f>
        <v>0</v>
      </c>
      <c r="BC49" s="66">
        <f>COUNTIFS(TblUniv20196[B1],BC$48,TblUniv20196[Prodi],$AZ$45)/$AZ$47*100%</f>
        <v>0</v>
      </c>
      <c r="BD49" s="62">
        <f t="shared" ref="BD49:BD86" si="7">SUM(AZ49:BC49)</f>
        <v>1</v>
      </c>
      <c r="BF49" s="57" t="s">
        <v>26</v>
      </c>
      <c r="BG49" s="66">
        <f>COUNTIFS(TblUniv20196[B1],BG$48,TblUniv20196[Prodi],$BG$45)/$BG$47*100%</f>
        <v>0.5</v>
      </c>
      <c r="BH49" s="66">
        <f>COUNTIFS(TblUniv20196[B1],BH$48,TblUniv20196[Prodi],$BG$45)/$BG$47*100%</f>
        <v>0.5</v>
      </c>
      <c r="BI49" s="66">
        <f>COUNTIFS(TblUniv20196[B1],BI$48,TblUniv20196[Prodi],$BG$45)/$BG$47*100%</f>
        <v>0</v>
      </c>
      <c r="BJ49" s="66">
        <f>COUNTIFS(TblUniv20196[B1],BJ$48,TblUniv20196[Prodi],$BG$45)/$BG$47*100%</f>
        <v>0</v>
      </c>
      <c r="BK49" s="62">
        <f t="shared" ref="BK49:BK86" si="8">SUM(BG49:BJ49)</f>
        <v>1</v>
      </c>
      <c r="BM49" s="57" t="s">
        <v>26</v>
      </c>
      <c r="BN49" s="66">
        <f>COUNTIFS(TblUniv20196[B1],BN$48,TblUniv20196[Prodi],$BN$45)/$BN$47*100%</f>
        <v>0.5</v>
      </c>
      <c r="BO49" s="66">
        <f>COUNTIFS(TblUniv20196[B1],BO$48,TblUniv20196[Prodi],$BN$45)/$BN$47*100%</f>
        <v>0.5</v>
      </c>
      <c r="BP49" s="66">
        <f>COUNTIFS(TblUniv20196[B1],BP$48,TblUniv20196[Prodi],$BN$45)/$BN$47*100%</f>
        <v>0</v>
      </c>
      <c r="BQ49" s="66">
        <f>COUNTIFS(TblUniv20196[B1],BQ$48,TblUniv20196[Prodi],$BN$45)/$BN$47*100%</f>
        <v>0</v>
      </c>
      <c r="BR49" s="62">
        <f t="shared" ref="BR49:BR86" si="9">SUM(BN49:BQ49)</f>
        <v>1</v>
      </c>
    </row>
    <row r="50" spans="2:70" ht="16.5" x14ac:dyDescent="0.3">
      <c r="B50" s="57" t="s">
        <v>27</v>
      </c>
      <c r="C50" s="66">
        <f>COUNTIFS(TblUniv20196[B2],$C$48)/C47*100%</f>
        <v>0.32432432432432434</v>
      </c>
      <c r="D50" s="66">
        <f>COUNTIFS(TblUniv20196[B2],$D$48)/C47*100%</f>
        <v>0.64864864864864868</v>
      </c>
      <c r="E50" s="66">
        <f>COUNTIFS(TblUniv20196[B2],$E$48)/C47*100%</f>
        <v>2.7027027027027029E-2</v>
      </c>
      <c r="F50" s="66">
        <f>COUNTIFS(TblUniv20196[B2],$F$48)/C47*100%</f>
        <v>0</v>
      </c>
      <c r="G50" s="62">
        <f t="shared" si="0"/>
        <v>1</v>
      </c>
      <c r="I50" s="57" t="s">
        <v>27</v>
      </c>
      <c r="J50" s="66">
        <f>COUNTIFS(TblUniv20196[B2],J$48,TblUniv20196[Prodi],$J$45)/$J$47*100%</f>
        <v>0.2</v>
      </c>
      <c r="K50" s="66">
        <f>COUNTIFS(TblUniv20196[B2],K$48,TblUniv20196[Prodi],$J$45)/$J$47*100%</f>
        <v>0.8</v>
      </c>
      <c r="L50" s="66">
        <f>COUNTIFS(TblUniv20196[B2],L$48,TblUniv20196[Prodi],$J$45)/$J$47*100%</f>
        <v>0</v>
      </c>
      <c r="M50" s="66">
        <f>COUNTIFS(TblUniv20196[B2],M$48,TblUniv20196[Prodi],$J$45)/$J$47*100%</f>
        <v>0</v>
      </c>
      <c r="N50" s="62">
        <f t="shared" si="1"/>
        <v>1</v>
      </c>
      <c r="P50" s="57" t="s">
        <v>27</v>
      </c>
      <c r="Q50" s="66">
        <f>COUNTIFS(TblUniv20196[B2],Q$48,TblUniv20196[Prodi],$Q$45)/$Q$47*100%</f>
        <v>0.2857142857142857</v>
      </c>
      <c r="R50" s="66">
        <f>COUNTIFS(TblUniv20196[B2],R$48,TblUniv20196[Prodi],$Q$45)/$Q$47*100%</f>
        <v>0.7142857142857143</v>
      </c>
      <c r="S50" s="66">
        <f>COUNTIFS(TblUniv20196[B2],S$48,TblUniv20196[Prodi],$Q$45)/$Q$47*100%</f>
        <v>0</v>
      </c>
      <c r="T50" s="66">
        <f>COUNTIFS(TblUniv20196[B2],T$48,TblUniv20196[Prodi],$Q$45)/$Q$47*100%</f>
        <v>0</v>
      </c>
      <c r="U50" s="62">
        <f t="shared" si="2"/>
        <v>1</v>
      </c>
      <c r="W50" s="57" t="s">
        <v>27</v>
      </c>
      <c r="X50" s="66">
        <f>COUNTIFS(TblUniv20196[B2],X$48,TblUniv20196[Prodi],$X$45)/$X$47*100%</f>
        <v>0</v>
      </c>
      <c r="Y50" s="66">
        <f>COUNTIFS(TblUniv20196[B2],Y$48,TblUniv20196[Prodi],$X$45)/$X$47*100%</f>
        <v>1</v>
      </c>
      <c r="Z50" s="66">
        <f>COUNTIFS(TblUniv20196[B2],Z$48,TblUniv20196[Prodi],$X$45)/$X$47*100%</f>
        <v>0</v>
      </c>
      <c r="AA50" s="66">
        <f>COUNTIFS(TblUniv20196[B2],AA$48,TblUniv20196[Prodi],$X$45)/$X$47*100%</f>
        <v>0</v>
      </c>
      <c r="AB50" s="62">
        <f t="shared" si="3"/>
        <v>1</v>
      </c>
      <c r="AD50" s="57" t="s">
        <v>27</v>
      </c>
      <c r="AE50" s="66">
        <f>COUNTIFS(TblUniv20196[B2],AE$48,TblUniv20196[Prodi],$AE$45)/$AE$47*100%</f>
        <v>0.46666666666666667</v>
      </c>
      <c r="AF50" s="66">
        <f>COUNTIFS(TblUniv20196[B2],AF$48,TblUniv20196[Prodi],$AE$45)/$AE$47*100%</f>
        <v>0.46666666666666667</v>
      </c>
      <c r="AG50" s="66">
        <f>COUNTIFS(TblUniv20196[B2],AG$48,TblUniv20196[Prodi],$AE$45)/$AE$47*100%</f>
        <v>6.6666666666666666E-2</v>
      </c>
      <c r="AH50" s="66">
        <f>COUNTIFS(TblUniv20196[B2],AH$48,TblUniv20196[Prodi],$AE$45)/$AE$47*100%</f>
        <v>0</v>
      </c>
      <c r="AI50" s="62">
        <f t="shared" si="4"/>
        <v>1</v>
      </c>
      <c r="AK50" s="57" t="s">
        <v>27</v>
      </c>
      <c r="AL50" s="66">
        <f>COUNTIFS(TblUniv20196[B2],AL$48,TblUniv20196[Prodi],$AL$45)/$AL$47*100%</f>
        <v>0</v>
      </c>
      <c r="AM50" s="66">
        <f>COUNTIFS(TblUniv20196[B2],AM$48,TblUniv20196[Prodi],$AL$45)/$AL$47*100%</f>
        <v>1</v>
      </c>
      <c r="AN50" s="66">
        <f>COUNTIFS(TblUniv20196[B2],AN$48,TblUniv20196[Prodi],$AL$45)/$AL$47*100%</f>
        <v>0</v>
      </c>
      <c r="AO50" s="66">
        <f>COUNTIFS(TblUniv20196[B2],AO$48,TblUniv20196[Prodi],$AL$45)/$AL$47*100%</f>
        <v>0</v>
      </c>
      <c r="AP50" s="62">
        <f t="shared" si="5"/>
        <v>1</v>
      </c>
      <c r="AR50" s="57" t="s">
        <v>27</v>
      </c>
      <c r="AS50" s="66">
        <f>COUNTIFS(TblUniv20196[B2],AS$48,TblUniv20196[Prodi],$AS$45)/$AS$47*100%</f>
        <v>0</v>
      </c>
      <c r="AT50" s="66">
        <f>COUNTIFS(TblUniv20196[B2],AT$48,TblUniv20196[Prodi],$AS$45)/$AS$47*100%</f>
        <v>1</v>
      </c>
      <c r="AU50" s="66">
        <f>COUNTIFS(TblUniv20196[B2],AU$48,TblUniv20196[Prodi],$AS$45)/$AS$47*100%</f>
        <v>0</v>
      </c>
      <c r="AV50" s="66">
        <f>COUNTIFS(TblUniv20196[B2],AV$48,TblUniv20196[Prodi],$AS$45)/$AS$47*100%</f>
        <v>0</v>
      </c>
      <c r="AW50" s="62">
        <f t="shared" si="6"/>
        <v>1</v>
      </c>
      <c r="AY50" s="57" t="s">
        <v>27</v>
      </c>
      <c r="AZ50" s="66">
        <f>COUNTIFS(TblUniv20196[B2],AZ$48,TblUniv20196[Prodi],$AZ$45)/$AZ$47*100%</f>
        <v>0</v>
      </c>
      <c r="BA50" s="66">
        <f>COUNTIFS(TblUniv20196[B2],BA$48,TblUniv20196[Prodi],$AZ$45)/$AZ$47*100%</f>
        <v>1</v>
      </c>
      <c r="BB50" s="66">
        <f>COUNTIFS(TblUniv20196[B2],BB$48,TblUniv20196[Prodi],$AZ$45)/$AZ$47*100%</f>
        <v>0</v>
      </c>
      <c r="BC50" s="66">
        <f>COUNTIFS(TblUniv20196[B2],BC$48,TblUniv20196[Prodi],$AZ$45)/$AZ$47*100%</f>
        <v>0</v>
      </c>
      <c r="BD50" s="62">
        <f t="shared" si="7"/>
        <v>1</v>
      </c>
      <c r="BF50" s="57" t="s">
        <v>27</v>
      </c>
      <c r="BG50" s="66">
        <f>COUNTIFS(TblUniv20196[B2],BG$48,TblUniv20196[Prodi],$BG$45)/$BG$47*100%</f>
        <v>1</v>
      </c>
      <c r="BH50" s="66">
        <f>COUNTIFS(TblUniv20196[B2],BH$48,TblUniv20196[Prodi],$BG$45)/$BG$47*100%</f>
        <v>0</v>
      </c>
      <c r="BI50" s="66">
        <f>COUNTIFS(TblUniv20196[B2],BI$48,TblUniv20196[Prodi],$BG$45)/$BG$47*100%</f>
        <v>0</v>
      </c>
      <c r="BJ50" s="66">
        <f>COUNTIFS(TblUniv20196[B2],BJ$48,TblUniv20196[Prodi],$BG$45)/$BG$47*100%</f>
        <v>0</v>
      </c>
      <c r="BK50" s="62">
        <f t="shared" si="8"/>
        <v>1</v>
      </c>
      <c r="BM50" s="57" t="s">
        <v>27</v>
      </c>
      <c r="BN50" s="66">
        <f>COUNTIFS(TblUniv20196[B2],BN$48,TblUniv20196[Prodi],$BN$45)/$BN$47*100%</f>
        <v>0</v>
      </c>
      <c r="BO50" s="66">
        <f>COUNTIFS(TblUniv20196[B2],BO$48,TblUniv20196[Prodi],$BN$45)/$BN$47*100%</f>
        <v>1</v>
      </c>
      <c r="BP50" s="66">
        <f>COUNTIFS(TblUniv20196[B2],BP$48,TblUniv20196[Prodi],$BN$45)/$BN$47*100%</f>
        <v>0</v>
      </c>
      <c r="BQ50" s="66">
        <f>COUNTIFS(TblUniv20196[B2],BQ$48,TblUniv20196[Prodi],$BN$45)/$BN$47*100%</f>
        <v>0</v>
      </c>
      <c r="BR50" s="62">
        <f t="shared" si="9"/>
        <v>1</v>
      </c>
    </row>
    <row r="51" spans="2:70" ht="16.5" x14ac:dyDescent="0.3">
      <c r="B51" s="57" t="s">
        <v>28</v>
      </c>
      <c r="C51" s="66">
        <f>COUNTIFS(TblUniv20196[B3],$C$48)/C47*100%</f>
        <v>0.27027027027027029</v>
      </c>
      <c r="D51" s="66">
        <f>COUNTIFS(TblUniv20196[B3],$D$48)/C47*100%</f>
        <v>0.64864864864864868</v>
      </c>
      <c r="E51" s="66">
        <f>COUNTIFS(TblUniv20196[B3],$E$48)/C47*100%</f>
        <v>8.1081081081081086E-2</v>
      </c>
      <c r="F51" s="66">
        <f>COUNTIFS(TblUniv20196[B3],$F$48)/C47*100%</f>
        <v>0</v>
      </c>
      <c r="G51" s="62">
        <f t="shared" si="0"/>
        <v>1</v>
      </c>
      <c r="I51" s="57" t="s">
        <v>28</v>
      </c>
      <c r="J51" s="66">
        <f>COUNTIFS(TblUniv20196[B3],J$48,TblUniv20196[Prodi],$J$45)/$J$47*100%</f>
        <v>0</v>
      </c>
      <c r="K51" s="66">
        <f>COUNTIFS(TblUniv20196[B3],K$48,TblUniv20196[Prodi],$J$45)/$J$47*100%</f>
        <v>0.8</v>
      </c>
      <c r="L51" s="66">
        <f>COUNTIFS(TblUniv20196[B3],L$48,TblUniv20196[Prodi],$J$45)/$J$47*100%</f>
        <v>0.2</v>
      </c>
      <c r="M51" s="66">
        <f>COUNTIFS(TblUniv20196[B3],M$48,TblUniv20196[Prodi],$J$45)/$J$47*100%</f>
        <v>0</v>
      </c>
      <c r="N51" s="62">
        <f t="shared" si="1"/>
        <v>1</v>
      </c>
      <c r="P51" s="57" t="s">
        <v>28</v>
      </c>
      <c r="Q51" s="66">
        <f>COUNTIFS(TblUniv20196[B3],Q$48,TblUniv20196[Prodi],$Q$45)/$Q$47*100%</f>
        <v>0.14285714285714285</v>
      </c>
      <c r="R51" s="66">
        <f>COUNTIFS(TblUniv20196[B3],R$48,TblUniv20196[Prodi],$Q$45)/$Q$47*100%</f>
        <v>0.7142857142857143</v>
      </c>
      <c r="S51" s="66">
        <f>COUNTIFS(TblUniv20196[B3],S$48,TblUniv20196[Prodi],$Q$45)/$Q$47*100%</f>
        <v>0.14285714285714285</v>
      </c>
      <c r="T51" s="66">
        <f>COUNTIFS(TblUniv20196[B3],T$48,TblUniv20196[Prodi],$Q$45)/$Q$47*100%</f>
        <v>0</v>
      </c>
      <c r="U51" s="62">
        <f t="shared" si="2"/>
        <v>1</v>
      </c>
      <c r="W51" s="57" t="s">
        <v>28</v>
      </c>
      <c r="X51" s="66">
        <f>COUNTIFS(TblUniv20196[B3],X$48,TblUniv20196[Prodi],$X$45)/$X$47*100%</f>
        <v>0</v>
      </c>
      <c r="Y51" s="66">
        <f>COUNTIFS(TblUniv20196[B3],Y$48,TblUniv20196[Prodi],$X$45)/$X$47*100%</f>
        <v>1</v>
      </c>
      <c r="Z51" s="66">
        <f>COUNTIFS(TblUniv20196[B3],Z$48,TblUniv20196[Prodi],$X$45)/$X$47*100%</f>
        <v>0</v>
      </c>
      <c r="AA51" s="66">
        <f>COUNTIFS(TblUniv20196[B3],AA$48,TblUniv20196[Prodi],$X$45)/$X$47*100%</f>
        <v>0</v>
      </c>
      <c r="AB51" s="62">
        <f t="shared" si="3"/>
        <v>1</v>
      </c>
      <c r="AD51" s="57" t="s">
        <v>28</v>
      </c>
      <c r="AE51" s="66">
        <f>COUNTIFS(TblUniv20196[B3],AE$48,TblUniv20196[Prodi],$AE$45)/$AE$47*100%</f>
        <v>0.4</v>
      </c>
      <c r="AF51" s="66">
        <f>COUNTIFS(TblUniv20196[B3],AF$48,TblUniv20196[Prodi],$AE$45)/$AE$47*100%</f>
        <v>0.6</v>
      </c>
      <c r="AG51" s="66">
        <f>COUNTIFS(TblUniv20196[B3],AG$48,TblUniv20196[Prodi],$AE$45)/$AE$47*100%</f>
        <v>0</v>
      </c>
      <c r="AH51" s="66">
        <f>COUNTIFS(TblUniv20196[B3],AH$48,TblUniv20196[Prodi],$AE$45)/$AE$47*100%</f>
        <v>0</v>
      </c>
      <c r="AI51" s="62">
        <f t="shared" si="4"/>
        <v>1</v>
      </c>
      <c r="AK51" s="57" t="s">
        <v>28</v>
      </c>
      <c r="AL51" s="66">
        <f>COUNTIFS(TblUniv20196[B3],AL$48,TblUniv20196[Prodi],$AL$45)/$AL$47*100%</f>
        <v>0</v>
      </c>
      <c r="AM51" s="66">
        <f>COUNTIFS(TblUniv20196[B3],AM$48,TblUniv20196[Prodi],$AL$45)/$AL$47*100%</f>
        <v>1</v>
      </c>
      <c r="AN51" s="66">
        <f>COUNTIFS(TblUniv20196[B3],AN$48,TblUniv20196[Prodi],$AL$45)/$AL$47*100%</f>
        <v>0</v>
      </c>
      <c r="AO51" s="66">
        <f>COUNTIFS(TblUniv20196[B3],AO$48,TblUniv20196[Prodi],$AL$45)/$AL$47*100%</f>
        <v>0</v>
      </c>
      <c r="AP51" s="62">
        <f t="shared" si="5"/>
        <v>1</v>
      </c>
      <c r="AR51" s="57" t="s">
        <v>28</v>
      </c>
      <c r="AS51" s="66">
        <f>COUNTIFS(TblUniv20196[B3],AS$48,TblUniv20196[Prodi],$AS$45)/$AS$47*100%</f>
        <v>0</v>
      </c>
      <c r="AT51" s="66">
        <f>COUNTIFS(TblUniv20196[B3],AT$48,TblUniv20196[Prodi],$AS$45)/$AS$47*100%</f>
        <v>1</v>
      </c>
      <c r="AU51" s="66">
        <f>COUNTIFS(TblUniv20196[B3],AU$48,TblUniv20196[Prodi],$AS$45)/$AS$47*100%</f>
        <v>0</v>
      </c>
      <c r="AV51" s="66">
        <f>COUNTIFS(TblUniv20196[B3],AV$48,TblUniv20196[Prodi],$AS$45)/$AS$47*100%</f>
        <v>0</v>
      </c>
      <c r="AW51" s="62">
        <f t="shared" si="6"/>
        <v>1</v>
      </c>
      <c r="AY51" s="57" t="s">
        <v>28</v>
      </c>
      <c r="AZ51" s="66">
        <f>COUNTIFS(TblUniv20196[B3],AZ$48,TblUniv20196[Prodi],$AZ$45)/$AZ$47*100%</f>
        <v>0</v>
      </c>
      <c r="BA51" s="66">
        <f>COUNTIFS(TblUniv20196[B3],BA$48,TblUniv20196[Prodi],$AZ$45)/$AZ$47*100%</f>
        <v>0.66666666666666663</v>
      </c>
      <c r="BB51" s="66">
        <f>COUNTIFS(TblUniv20196[B3],BB$48,TblUniv20196[Prodi],$AZ$45)/$AZ$47*100%</f>
        <v>0.33333333333333331</v>
      </c>
      <c r="BC51" s="66">
        <f>COUNTIFS(TblUniv20196[B3],BC$48,TblUniv20196[Prodi],$AZ$45)/$AZ$47*100%</f>
        <v>0</v>
      </c>
      <c r="BD51" s="62">
        <f t="shared" si="7"/>
        <v>1</v>
      </c>
      <c r="BF51" s="57" t="s">
        <v>28</v>
      </c>
      <c r="BG51" s="66">
        <f>COUNTIFS(TblUniv20196[B3],BG$48,TblUniv20196[Prodi],$BG$45)/$BG$47*100%</f>
        <v>1</v>
      </c>
      <c r="BH51" s="66">
        <f>COUNTIFS(TblUniv20196[B3],BH$48,TblUniv20196[Prodi],$BG$45)/$BG$47*100%</f>
        <v>0</v>
      </c>
      <c r="BI51" s="66">
        <f>COUNTIFS(TblUniv20196[B3],BI$48,TblUniv20196[Prodi],$BG$45)/$BG$47*100%</f>
        <v>0</v>
      </c>
      <c r="BJ51" s="66">
        <f>COUNTIFS(TblUniv20196[B3],BJ$48,TblUniv20196[Prodi],$BG$45)/$BG$47*100%</f>
        <v>0</v>
      </c>
      <c r="BK51" s="62">
        <f t="shared" si="8"/>
        <v>1</v>
      </c>
      <c r="BM51" s="57" t="s">
        <v>28</v>
      </c>
      <c r="BN51" s="66">
        <f>COUNTIFS(TblUniv20196[B3],BN$48,TblUniv20196[Prodi],$BN$45)/$BN$47*100%</f>
        <v>0.5</v>
      </c>
      <c r="BO51" s="66">
        <f>COUNTIFS(TblUniv20196[B3],BO$48,TblUniv20196[Prodi],$BN$45)/$BN$47*100%</f>
        <v>0.5</v>
      </c>
      <c r="BP51" s="66">
        <f>COUNTIFS(TblUniv20196[B3],BP$48,TblUniv20196[Prodi],$BN$45)/$BN$47*100%</f>
        <v>0</v>
      </c>
      <c r="BQ51" s="66">
        <f>COUNTIFS(TblUniv20196[B3],BQ$48,TblUniv20196[Prodi],$BN$45)/$BN$47*100%</f>
        <v>0</v>
      </c>
      <c r="BR51" s="62">
        <f t="shared" si="9"/>
        <v>1</v>
      </c>
    </row>
    <row r="52" spans="2:70" ht="16.5" x14ac:dyDescent="0.3">
      <c r="B52" s="57" t="s">
        <v>29</v>
      </c>
      <c r="C52" s="66">
        <f>COUNTIFS(TblUniv20196[B4],$C$48)/C47*100%</f>
        <v>0.29729729729729731</v>
      </c>
      <c r="D52" s="66">
        <f>COUNTIFS(TblUniv20196[B4],$D$48)/C47*100%</f>
        <v>0.64864864864864868</v>
      </c>
      <c r="E52" s="66">
        <f>COUNTIFS(TblUniv20196[B4],$E$48)/C47*100%</f>
        <v>5.4054054054054057E-2</v>
      </c>
      <c r="F52" s="66">
        <f>COUNTIFS(TblUniv20196[B4],$F$48)/C47*100%</f>
        <v>0</v>
      </c>
      <c r="G52" s="62">
        <f t="shared" si="0"/>
        <v>1</v>
      </c>
      <c r="I52" s="57" t="s">
        <v>29</v>
      </c>
      <c r="J52" s="66">
        <f>COUNTIFS(TblUniv20196[B4],J$48,TblUniv20196[Prodi],$J$45)/$J$47*100%</f>
        <v>0.2</v>
      </c>
      <c r="K52" s="66">
        <f>COUNTIFS(TblUniv20196[B4],K$48,TblUniv20196[Prodi],$J$45)/$J$47*100%</f>
        <v>0.8</v>
      </c>
      <c r="L52" s="66">
        <f>COUNTIFS(TblUniv20196[B4],L$48,TblUniv20196[Prodi],$J$45)/$J$47*100%</f>
        <v>0</v>
      </c>
      <c r="M52" s="66">
        <f>COUNTIFS(TblUniv20196[B4],M$48,TblUniv20196[Prodi],$J$45)/$J$47*100%</f>
        <v>0</v>
      </c>
      <c r="N52" s="62">
        <f t="shared" si="1"/>
        <v>1</v>
      </c>
      <c r="P52" s="57" t="s">
        <v>29</v>
      </c>
      <c r="Q52" s="66">
        <f>COUNTIFS(TblUniv20196[B4],Q$48,TblUniv20196[Prodi],$Q$45)/$Q$47*100%</f>
        <v>0.14285714285714285</v>
      </c>
      <c r="R52" s="66">
        <f>COUNTIFS(TblUniv20196[B4],R$48,TblUniv20196[Prodi],$Q$45)/$Q$47*100%</f>
        <v>0.8571428571428571</v>
      </c>
      <c r="S52" s="66">
        <f>COUNTIFS(TblUniv20196[B4],S$48,TblUniv20196[Prodi],$Q$45)/$Q$47*100%</f>
        <v>0</v>
      </c>
      <c r="T52" s="66">
        <f>COUNTIFS(TblUniv20196[B4],T$48,TblUniv20196[Prodi],$Q$45)/$Q$47*100%</f>
        <v>0</v>
      </c>
      <c r="U52" s="62">
        <f t="shared" si="2"/>
        <v>1</v>
      </c>
      <c r="W52" s="57" t="s">
        <v>29</v>
      </c>
      <c r="X52" s="66">
        <f>COUNTIFS(TblUniv20196[B4],X$48,TblUniv20196[Prodi],$X$45)/$X$47*100%</f>
        <v>1</v>
      </c>
      <c r="Y52" s="66">
        <f>COUNTIFS(TblUniv20196[B4],Y$48,TblUniv20196[Prodi],$X$45)/$X$47*100%</f>
        <v>0</v>
      </c>
      <c r="Z52" s="66">
        <f>COUNTIFS(TblUniv20196[B4],Z$48,TblUniv20196[Prodi],$X$45)/$X$47*100%</f>
        <v>0</v>
      </c>
      <c r="AA52" s="66">
        <f>COUNTIFS(TblUniv20196[B4],AA$48,TblUniv20196[Prodi],$X$45)/$X$47*100%</f>
        <v>0</v>
      </c>
      <c r="AB52" s="62">
        <f t="shared" si="3"/>
        <v>1</v>
      </c>
      <c r="AD52" s="57" t="s">
        <v>29</v>
      </c>
      <c r="AE52" s="66">
        <f>COUNTIFS(TblUniv20196[B4],AE$48,TblUniv20196[Prodi],$AE$45)/$AE$47*100%</f>
        <v>0.4</v>
      </c>
      <c r="AF52" s="66">
        <f>COUNTIFS(TblUniv20196[B4],AF$48,TblUniv20196[Prodi],$AE$45)/$AE$47*100%</f>
        <v>0.53333333333333333</v>
      </c>
      <c r="AG52" s="66">
        <f>COUNTIFS(TblUniv20196[B4],AG$48,TblUniv20196[Prodi],$AE$45)/$AE$47*100%</f>
        <v>6.6666666666666666E-2</v>
      </c>
      <c r="AH52" s="66">
        <f>COUNTIFS(TblUniv20196[B4],AH$48,TblUniv20196[Prodi],$AE$45)/$AE$47*100%</f>
        <v>0</v>
      </c>
      <c r="AI52" s="62">
        <f t="shared" si="4"/>
        <v>1</v>
      </c>
      <c r="AK52" s="57" t="s">
        <v>29</v>
      </c>
      <c r="AL52" s="66">
        <f>COUNTIFS(TblUniv20196[B4],AL$48,TblUniv20196[Prodi],$AL$45)/$AL$47*100%</f>
        <v>0</v>
      </c>
      <c r="AM52" s="66">
        <f>COUNTIFS(TblUniv20196[B4],AM$48,TblUniv20196[Prodi],$AL$45)/$AL$47*100%</f>
        <v>1</v>
      </c>
      <c r="AN52" s="66">
        <f>COUNTIFS(TblUniv20196[B4],AN$48,TblUniv20196[Prodi],$AL$45)/$AL$47*100%</f>
        <v>0</v>
      </c>
      <c r="AO52" s="66">
        <f>COUNTIFS(TblUniv20196[B4],AO$48,TblUniv20196[Prodi],$AL$45)/$AL$47*100%</f>
        <v>0</v>
      </c>
      <c r="AP52" s="62">
        <f t="shared" si="5"/>
        <v>1</v>
      </c>
      <c r="AR52" s="57" t="s">
        <v>29</v>
      </c>
      <c r="AS52" s="66">
        <f>COUNTIFS(TblUniv20196[B4],AS$48,TblUniv20196[Prodi],$AS$45)/$AS$47*100%</f>
        <v>1</v>
      </c>
      <c r="AT52" s="66">
        <f>COUNTIFS(TblUniv20196[B4],AT$48,TblUniv20196[Prodi],$AS$45)/$AS$47*100%</f>
        <v>0</v>
      </c>
      <c r="AU52" s="66">
        <f>COUNTIFS(TblUniv20196[B4],AU$48,TblUniv20196[Prodi],$AS$45)/$AS$47*100%</f>
        <v>0</v>
      </c>
      <c r="AV52" s="66">
        <f>COUNTIFS(TblUniv20196[B4],AV$48,TblUniv20196[Prodi],$AS$45)/$AS$47*100%</f>
        <v>0</v>
      </c>
      <c r="AW52" s="62">
        <f t="shared" si="6"/>
        <v>1</v>
      </c>
      <c r="AY52" s="57" t="s">
        <v>29</v>
      </c>
      <c r="AZ52" s="66">
        <f>COUNTIFS(TblUniv20196[B4],AZ$48,TblUniv20196[Prodi],$AZ$45)/$AZ$47*100%</f>
        <v>0</v>
      </c>
      <c r="BA52" s="66">
        <f>COUNTIFS(TblUniv20196[B4],BA$48,TblUniv20196[Prodi],$AZ$45)/$AZ$47*100%</f>
        <v>1</v>
      </c>
      <c r="BB52" s="66">
        <f>COUNTIFS(TblUniv20196[B4],BB$48,TblUniv20196[Prodi],$AZ$45)/$AZ$47*100%</f>
        <v>0</v>
      </c>
      <c r="BC52" s="66">
        <f>COUNTIFS(TblUniv20196[B4],BC$48,TblUniv20196[Prodi],$AZ$45)/$AZ$47*100%</f>
        <v>0</v>
      </c>
      <c r="BD52" s="62">
        <f t="shared" si="7"/>
        <v>1</v>
      </c>
      <c r="BF52" s="57" t="s">
        <v>29</v>
      </c>
      <c r="BG52" s="66">
        <f>COUNTIFS(TblUniv20196[B4],BG$48,TblUniv20196[Prodi],$BG$45)/$BG$47*100%</f>
        <v>0.5</v>
      </c>
      <c r="BH52" s="66">
        <f>COUNTIFS(TblUniv20196[B4],BH$48,TblUniv20196[Prodi],$BG$45)/$BG$47*100%</f>
        <v>0</v>
      </c>
      <c r="BI52" s="66">
        <f>COUNTIFS(TblUniv20196[B4],BI$48,TblUniv20196[Prodi],$BG$45)/$BG$47*100%</f>
        <v>0.5</v>
      </c>
      <c r="BJ52" s="66">
        <f>COUNTIFS(TblUniv20196[B4],BJ$48,TblUniv20196[Prodi],$BG$45)/$BG$47*100%</f>
        <v>0</v>
      </c>
      <c r="BK52" s="62">
        <f t="shared" si="8"/>
        <v>1</v>
      </c>
      <c r="BM52" s="57" t="s">
        <v>29</v>
      </c>
      <c r="BN52" s="66">
        <f>COUNTIFS(TblUniv20196[B4],BN$48,TblUniv20196[Prodi],$BN$45)/$BN$47*100%</f>
        <v>0</v>
      </c>
      <c r="BO52" s="66">
        <f>COUNTIFS(TblUniv20196[B4],BO$48,TblUniv20196[Prodi],$BN$45)/$BN$47*100%</f>
        <v>1</v>
      </c>
      <c r="BP52" s="66">
        <f>COUNTIFS(TblUniv20196[B4],BP$48,TblUniv20196[Prodi],$BN$45)/$BN$47*100%</f>
        <v>0</v>
      </c>
      <c r="BQ52" s="66">
        <f>COUNTIFS(TblUniv20196[B4],BQ$48,TblUniv20196[Prodi],$BN$45)/$BN$47*100%</f>
        <v>0</v>
      </c>
      <c r="BR52" s="62">
        <f t="shared" si="9"/>
        <v>1</v>
      </c>
    </row>
    <row r="53" spans="2:70" ht="16.5" x14ac:dyDescent="0.3">
      <c r="B53" s="57" t="s">
        <v>30</v>
      </c>
      <c r="C53" s="66">
        <f>COUNTIFS(TblUniv20196[B5],$C$48)/C47*100%</f>
        <v>0.32432432432432434</v>
      </c>
      <c r="D53" s="66">
        <f>COUNTIFS(TblUniv20196[B5],$D$48)/C47*100%</f>
        <v>0.67567567567567566</v>
      </c>
      <c r="E53" s="66">
        <f>COUNTIFS(TblUniv20196[B5],$E$48)/C47*100%</f>
        <v>0</v>
      </c>
      <c r="F53" s="66">
        <f>COUNTIFS(TblUniv20196[B5],$F$48)/C47*100%</f>
        <v>0</v>
      </c>
      <c r="G53" s="62">
        <f t="shared" si="0"/>
        <v>1</v>
      </c>
      <c r="I53" s="57" t="s">
        <v>30</v>
      </c>
      <c r="J53" s="66">
        <f>COUNTIFS(TblUniv20196[B5],J$48,TblUniv20196[Prodi],$J$45)/$J$47*100%</f>
        <v>0.2</v>
      </c>
      <c r="K53" s="66">
        <f>COUNTIFS(TblUniv20196[B5],K$48,TblUniv20196[Prodi],$J$45)/$J$47*100%</f>
        <v>0.8</v>
      </c>
      <c r="L53" s="66">
        <f>COUNTIFS(TblUniv20196[B5],L$48,TblUniv20196[Prodi],$J$45)/$J$47*100%</f>
        <v>0</v>
      </c>
      <c r="M53" s="66">
        <f>COUNTIFS(TblUniv20196[B5],M$48,TblUniv20196[Prodi],$J$45)/$J$47*100%</f>
        <v>0</v>
      </c>
      <c r="N53" s="62">
        <f t="shared" si="1"/>
        <v>1</v>
      </c>
      <c r="P53" s="57" t="s">
        <v>30</v>
      </c>
      <c r="Q53" s="66">
        <f>COUNTIFS(TblUniv20196[B5],Q$48,TblUniv20196[Prodi],$Q$45)/$Q$47*100%</f>
        <v>0.2857142857142857</v>
      </c>
      <c r="R53" s="66">
        <f>COUNTIFS(TblUniv20196[B5],R$48,TblUniv20196[Prodi],$Q$45)/$Q$47*100%</f>
        <v>0.7142857142857143</v>
      </c>
      <c r="S53" s="66">
        <f>COUNTIFS(TblUniv20196[B5],S$48,TblUniv20196[Prodi],$Q$45)/$Q$47*100%</f>
        <v>0</v>
      </c>
      <c r="T53" s="66">
        <f>COUNTIFS(TblUniv20196[B5],T$48,TblUniv20196[Prodi],$Q$45)/$Q$47*100%</f>
        <v>0</v>
      </c>
      <c r="U53" s="62">
        <f t="shared" si="2"/>
        <v>1</v>
      </c>
      <c r="W53" s="57" t="s">
        <v>30</v>
      </c>
      <c r="X53" s="66">
        <f>COUNTIFS(TblUniv20196[B5],X$48,TblUniv20196[Prodi],$X$45)/$X$47*100%</f>
        <v>1</v>
      </c>
      <c r="Y53" s="66">
        <f>COUNTIFS(TblUniv20196[B5],Y$48,TblUniv20196[Prodi],$X$45)/$X$47*100%</f>
        <v>0</v>
      </c>
      <c r="Z53" s="66">
        <f>COUNTIFS(TblUniv20196[B5],Z$48,TblUniv20196[Prodi],$X$45)/$X$47*100%</f>
        <v>0</v>
      </c>
      <c r="AA53" s="66">
        <f>COUNTIFS(TblUniv20196[B5],AA$48,TblUniv20196[Prodi],$X$45)/$X$47*100%</f>
        <v>0</v>
      </c>
      <c r="AB53" s="62">
        <f t="shared" si="3"/>
        <v>1</v>
      </c>
      <c r="AD53" s="57" t="s">
        <v>30</v>
      </c>
      <c r="AE53" s="66">
        <f>COUNTIFS(TblUniv20196[B5],AE$48,TblUniv20196[Prodi],$AE$45)/$AE$47*100%</f>
        <v>0.46666666666666667</v>
      </c>
      <c r="AF53" s="66">
        <f>COUNTIFS(TblUniv20196[B5],AF$48,TblUniv20196[Prodi],$AE$45)/$AE$47*100%</f>
        <v>0.53333333333333333</v>
      </c>
      <c r="AG53" s="66">
        <f>COUNTIFS(TblUniv20196[B5],AG$48,TblUniv20196[Prodi],$AE$45)/$AE$47*100%</f>
        <v>0</v>
      </c>
      <c r="AH53" s="66">
        <f>COUNTIFS(TblUniv20196[B5],AH$48,TblUniv20196[Prodi],$AE$45)/$AE$47*100%</f>
        <v>0</v>
      </c>
      <c r="AI53" s="62">
        <f t="shared" si="4"/>
        <v>1</v>
      </c>
      <c r="AK53" s="57" t="s">
        <v>30</v>
      </c>
      <c r="AL53" s="66">
        <f>COUNTIFS(TblUniv20196[B5],AL$48,TblUniv20196[Prodi],$AL$45)/$AL$47*100%</f>
        <v>0</v>
      </c>
      <c r="AM53" s="66">
        <f>COUNTIFS(TblUniv20196[B5],AM$48,TblUniv20196[Prodi],$AL$45)/$AL$47*100%</f>
        <v>1</v>
      </c>
      <c r="AN53" s="66">
        <f>COUNTIFS(TblUniv20196[B5],AN$48,TblUniv20196[Prodi],$AL$45)/$AL$47*100%</f>
        <v>0</v>
      </c>
      <c r="AO53" s="66">
        <f>COUNTIFS(TblUniv20196[B5],AO$48,TblUniv20196[Prodi],$AL$45)/$AL$47*100%</f>
        <v>0</v>
      </c>
      <c r="AP53" s="62">
        <f t="shared" si="5"/>
        <v>1</v>
      </c>
      <c r="AR53" s="57" t="s">
        <v>30</v>
      </c>
      <c r="AS53" s="66">
        <f>COUNTIFS(TblUniv20196[B5],AS$48,TblUniv20196[Prodi],$AS$45)/$AS$47*100%</f>
        <v>0</v>
      </c>
      <c r="AT53" s="66">
        <f>COUNTIFS(TblUniv20196[B5],AT$48,TblUniv20196[Prodi],$AS$45)/$AS$47*100%</f>
        <v>1</v>
      </c>
      <c r="AU53" s="66">
        <f>COUNTIFS(TblUniv20196[B5],AU$48,TblUniv20196[Prodi],$AS$45)/$AS$47*100%</f>
        <v>0</v>
      </c>
      <c r="AV53" s="66">
        <f>COUNTIFS(TblUniv20196[B5],AV$48,TblUniv20196[Prodi],$AS$45)/$AS$47*100%</f>
        <v>0</v>
      </c>
      <c r="AW53" s="62">
        <f t="shared" si="6"/>
        <v>1</v>
      </c>
      <c r="AY53" s="57" t="s">
        <v>30</v>
      </c>
      <c r="AZ53" s="66">
        <f>COUNTIFS(TblUniv20196[B5],AZ$48,TblUniv20196[Prodi],$AZ$45)/$AZ$47*100%</f>
        <v>0</v>
      </c>
      <c r="BA53" s="66">
        <f>COUNTIFS(TblUniv20196[B5],BA$48,TblUniv20196[Prodi],$AZ$45)/$AZ$47*100%</f>
        <v>1</v>
      </c>
      <c r="BB53" s="66">
        <f>COUNTIFS(TblUniv20196[B5],BB$48,TblUniv20196[Prodi],$AZ$45)/$AZ$47*100%</f>
        <v>0</v>
      </c>
      <c r="BC53" s="66">
        <f>COUNTIFS(TblUniv20196[B5],BC$48,TblUniv20196[Prodi],$AZ$45)/$AZ$47*100%</f>
        <v>0</v>
      </c>
      <c r="BD53" s="62">
        <f t="shared" si="7"/>
        <v>1</v>
      </c>
      <c r="BF53" s="57" t="s">
        <v>30</v>
      </c>
      <c r="BG53" s="66">
        <f>COUNTIFS(TblUniv20196[B5],BG$48,TblUniv20196[Prodi],$BG$45)/$BG$47*100%</f>
        <v>0.5</v>
      </c>
      <c r="BH53" s="66">
        <f>COUNTIFS(TblUniv20196[B5],BH$48,TblUniv20196[Prodi],$BG$45)/$BG$47*100%</f>
        <v>0.5</v>
      </c>
      <c r="BI53" s="66">
        <f>COUNTIFS(TblUniv20196[B5],BI$48,TblUniv20196[Prodi],$BG$45)/$BG$47*100%</f>
        <v>0</v>
      </c>
      <c r="BJ53" s="66">
        <f>COUNTIFS(TblUniv20196[B5],BJ$48,TblUniv20196[Prodi],$BG$45)/$BG$47*100%</f>
        <v>0</v>
      </c>
      <c r="BK53" s="62">
        <f t="shared" si="8"/>
        <v>1</v>
      </c>
      <c r="BM53" s="57" t="s">
        <v>30</v>
      </c>
      <c r="BN53" s="66">
        <f>COUNTIFS(TblUniv20196[B5],BN$48,TblUniv20196[Prodi],$BN$45)/$BN$47*100%</f>
        <v>0</v>
      </c>
      <c r="BO53" s="66">
        <f>COUNTIFS(TblUniv20196[B5],BO$48,TblUniv20196[Prodi],$BN$45)/$BN$47*100%</f>
        <v>1</v>
      </c>
      <c r="BP53" s="66">
        <f>COUNTIFS(TblUniv20196[B5],BP$48,TblUniv20196[Prodi],$BN$45)/$BN$47*100%</f>
        <v>0</v>
      </c>
      <c r="BQ53" s="66">
        <f>COUNTIFS(TblUniv20196[B5],BQ$48,TblUniv20196[Prodi],$BN$45)/$BN$47*100%</f>
        <v>0</v>
      </c>
      <c r="BR53" s="62">
        <f t="shared" si="9"/>
        <v>1</v>
      </c>
    </row>
    <row r="54" spans="2:70" ht="16.5" x14ac:dyDescent="0.3">
      <c r="B54" s="60"/>
      <c r="C54" s="61">
        <f>AVERAGE(C49:C53)</f>
        <v>0.35675675675675678</v>
      </c>
      <c r="D54" s="61">
        <f>AVERAGE(D49:D53)</f>
        <v>0.6108108108108109</v>
      </c>
      <c r="E54" s="61">
        <f>AVERAGE(E49:E53)</f>
        <v>3.2432432432432434E-2</v>
      </c>
      <c r="F54" s="61">
        <f>AVERAGE(F49:F53)</f>
        <v>0</v>
      </c>
      <c r="G54" s="62">
        <f t="shared" si="0"/>
        <v>1</v>
      </c>
      <c r="I54" s="60"/>
      <c r="J54" s="61">
        <f>AVERAGE(J49:J53)</f>
        <v>0.24</v>
      </c>
      <c r="K54" s="61">
        <f>AVERAGE(K49:K53)</f>
        <v>0.72</v>
      </c>
      <c r="L54" s="61">
        <f>AVERAGE(L49:L53)</f>
        <v>0.04</v>
      </c>
      <c r="M54" s="61">
        <f>AVERAGE(M49:M53)</f>
        <v>0</v>
      </c>
      <c r="N54" s="62">
        <f t="shared" si="1"/>
        <v>1</v>
      </c>
      <c r="P54" s="60"/>
      <c r="Q54" s="61">
        <f>AVERAGE(Q49:Q53)</f>
        <v>0.25714285714285712</v>
      </c>
      <c r="R54" s="61">
        <f>AVERAGE(R49:R53)</f>
        <v>0.7142857142857143</v>
      </c>
      <c r="S54" s="61">
        <f>AVERAGE(S49:S53)</f>
        <v>2.8571428571428571E-2</v>
      </c>
      <c r="T54" s="61">
        <f>AVERAGE(T49:T53)</f>
        <v>0</v>
      </c>
      <c r="U54" s="62">
        <f t="shared" si="2"/>
        <v>1</v>
      </c>
      <c r="W54" s="60"/>
      <c r="X54" s="61">
        <f>AVERAGE(X49:X53)</f>
        <v>0.6</v>
      </c>
      <c r="Y54" s="61">
        <f>AVERAGE(Y49:Y53)</f>
        <v>0.4</v>
      </c>
      <c r="Z54" s="61">
        <f>AVERAGE(Z49:Z53)</f>
        <v>0</v>
      </c>
      <c r="AA54" s="61">
        <f>AVERAGE(AA49:AA53)</f>
        <v>0</v>
      </c>
      <c r="AB54" s="62">
        <f t="shared" si="3"/>
        <v>1</v>
      </c>
      <c r="AD54" s="60"/>
      <c r="AE54" s="61">
        <f>AVERAGE(AE49:AE53)</f>
        <v>0.46666666666666667</v>
      </c>
      <c r="AF54" s="61">
        <f>AVERAGE(AF49:AF53)</f>
        <v>0.5066666666666666</v>
      </c>
      <c r="AG54" s="61">
        <f>AVERAGE(AG49:AG53)</f>
        <v>2.6666666666666665E-2</v>
      </c>
      <c r="AH54" s="61">
        <f>AVERAGE(AH49:AH53)</f>
        <v>0</v>
      </c>
      <c r="AI54" s="62">
        <f t="shared" si="4"/>
        <v>0.99999999999999989</v>
      </c>
      <c r="AK54" s="60"/>
      <c r="AL54" s="61">
        <f>AVERAGE(AL49:AL53)</f>
        <v>0.2</v>
      </c>
      <c r="AM54" s="61">
        <f>AVERAGE(AM49:AM53)</f>
        <v>0.8</v>
      </c>
      <c r="AN54" s="61">
        <f>AVERAGE(AN49:AN53)</f>
        <v>0</v>
      </c>
      <c r="AO54" s="61">
        <f>AVERAGE(AO49:AO53)</f>
        <v>0</v>
      </c>
      <c r="AP54" s="62">
        <f t="shared" si="5"/>
        <v>1</v>
      </c>
      <c r="AR54" s="60"/>
      <c r="AS54" s="61">
        <f>AVERAGE(AS49:AS53)</f>
        <v>0.4</v>
      </c>
      <c r="AT54" s="61">
        <f>AVERAGE(AT49:AT53)</f>
        <v>0.6</v>
      </c>
      <c r="AU54" s="61">
        <f>AVERAGE(AU49:AU53)</f>
        <v>0</v>
      </c>
      <c r="AV54" s="61">
        <f>AVERAGE(AV49:AV53)</f>
        <v>0</v>
      </c>
      <c r="AW54" s="62">
        <f t="shared" si="6"/>
        <v>1</v>
      </c>
      <c r="AY54" s="60"/>
      <c r="AZ54" s="61">
        <f>AVERAGE(AZ49:AZ53)</f>
        <v>6.6666666666666666E-2</v>
      </c>
      <c r="BA54" s="61">
        <f>AVERAGE(BA49:BA53)</f>
        <v>0.86666666666666659</v>
      </c>
      <c r="BB54" s="61">
        <f>AVERAGE(BB49:BB53)</f>
        <v>6.6666666666666666E-2</v>
      </c>
      <c r="BC54" s="61">
        <f>AVERAGE(BC49:BC53)</f>
        <v>0</v>
      </c>
      <c r="BD54" s="62">
        <f t="shared" si="7"/>
        <v>0.99999999999999989</v>
      </c>
      <c r="BF54" s="60"/>
      <c r="BG54" s="61">
        <f>AVERAGE(BG49:BG53)</f>
        <v>0.7</v>
      </c>
      <c r="BH54" s="61">
        <f>AVERAGE(BH49:BH53)</f>
        <v>0.2</v>
      </c>
      <c r="BI54" s="61">
        <f>AVERAGE(BI49:BI53)</f>
        <v>0.1</v>
      </c>
      <c r="BJ54" s="61">
        <f>AVERAGE(BJ49:BJ53)</f>
        <v>0</v>
      </c>
      <c r="BK54" s="62">
        <f t="shared" si="8"/>
        <v>0.99999999999999989</v>
      </c>
      <c r="BM54" s="60"/>
      <c r="BN54" s="61">
        <f>AVERAGE(BN49:BN53)</f>
        <v>0.2</v>
      </c>
      <c r="BO54" s="61">
        <f>AVERAGE(BO49:BO53)</f>
        <v>0.8</v>
      </c>
      <c r="BP54" s="61">
        <f>AVERAGE(BP49:BP53)</f>
        <v>0</v>
      </c>
      <c r="BQ54" s="61">
        <f>AVERAGE(BQ49:BQ53)</f>
        <v>0</v>
      </c>
      <c r="BR54" s="62">
        <f t="shared" si="9"/>
        <v>1</v>
      </c>
    </row>
    <row r="55" spans="2:70" ht="16.5" x14ac:dyDescent="0.3">
      <c r="B55" s="57" t="s">
        <v>31</v>
      </c>
      <c r="C55" s="66">
        <f>COUNTIFS(TblUniv20196[C1],$C$48)/$C$47*100%</f>
        <v>0.64864864864864868</v>
      </c>
      <c r="D55" s="66">
        <f>COUNTIFS(TblUniv20196[C1],$D$48)/$C$47*100%</f>
        <v>0.35135135135135137</v>
      </c>
      <c r="E55" s="66">
        <f>COUNTIFS(TblUniv20196[C1],$E$48)/$C$47*100%</f>
        <v>0</v>
      </c>
      <c r="F55" s="66">
        <f>COUNTIFS(TblUniv20196[C1],$F$48)/$C$47*100%</f>
        <v>0</v>
      </c>
      <c r="G55" s="62">
        <f t="shared" si="0"/>
        <v>1</v>
      </c>
      <c r="I55" s="57" t="s">
        <v>31</v>
      </c>
      <c r="J55" s="66">
        <f>COUNTIFS(TblUniv20196[C1],J$48,TblUniv20196[Prodi],$J$45)/$J$47*100%</f>
        <v>0.6</v>
      </c>
      <c r="K55" s="66">
        <f>COUNTIFS(TblUniv20196[C1],K$48,TblUniv20196[Prodi],$J$45)/$J$47*100%</f>
        <v>0.4</v>
      </c>
      <c r="L55" s="66">
        <f>COUNTIFS(TblUniv20196[C1],L$48,TblUniv20196[Prodi],$J$45)/$J$47*100%</f>
        <v>0</v>
      </c>
      <c r="M55" s="66">
        <f>COUNTIFS(TblUniv20196[C1],M$48,TblUniv20196[Prodi],$J$45)/$J$47*100%</f>
        <v>0</v>
      </c>
      <c r="N55" s="62">
        <f t="shared" si="1"/>
        <v>1</v>
      </c>
      <c r="P55" s="57" t="s">
        <v>31</v>
      </c>
      <c r="Q55" s="66">
        <f>COUNTIFS(TblUniv20196[C1],Q$48,TblUniv20196[Prodi],$Q$45)/$Q$47*100%</f>
        <v>0.5714285714285714</v>
      </c>
      <c r="R55" s="66">
        <f>COUNTIFS(TblUniv20196[C1],R$48,TblUniv20196[Prodi],$Q$45)/$Q$47*100%</f>
        <v>0.42857142857142855</v>
      </c>
      <c r="S55" s="66">
        <f>COUNTIFS(TblUniv20196[C1],S$48,TblUniv20196[Prodi],$Q$45)/$Q$47*100%</f>
        <v>0</v>
      </c>
      <c r="T55" s="66">
        <f>COUNTIFS(TblUniv20196[C1],T$48,TblUniv20196[Prodi],$Q$45)/$Q$47*100%</f>
        <v>0</v>
      </c>
      <c r="U55" s="62">
        <f t="shared" si="2"/>
        <v>1</v>
      </c>
      <c r="W55" s="57" t="s">
        <v>31</v>
      </c>
      <c r="X55" s="66">
        <f>COUNTIFS(TblUniv20196[C1],X$48,TblUniv20196[Prodi],$X$45)/$X$47*100%</f>
        <v>0</v>
      </c>
      <c r="Y55" s="66">
        <f>COUNTIFS(TblUniv20196[C1],Y$48,TblUniv20196[Prodi],$X$45)/$X$47*100%</f>
        <v>1</v>
      </c>
      <c r="Z55" s="66">
        <f>COUNTIFS(TblUniv20196[C1],Z$48,TblUniv20196[Prodi],$X$45)/$X$47*100%</f>
        <v>0</v>
      </c>
      <c r="AA55" s="66">
        <f>COUNTIFS(TblUniv20196[C1],AA$48,TblUniv20196[Prodi],$X$45)/$X$47*100%</f>
        <v>0</v>
      </c>
      <c r="AB55" s="62">
        <f t="shared" si="3"/>
        <v>1</v>
      </c>
      <c r="AD55" s="57" t="s">
        <v>31</v>
      </c>
      <c r="AE55" s="66">
        <f>COUNTIFS(TblUniv20196[C1],AE$48,TblUniv20196[Prodi],$AE$45)/$AE$47*100%</f>
        <v>0.73333333333333328</v>
      </c>
      <c r="AF55" s="66">
        <f>COUNTIFS(TblUniv20196[C1],AF$48,TblUniv20196[Prodi],$AE$45)/$AE$47*100%</f>
        <v>0.26666666666666666</v>
      </c>
      <c r="AG55" s="66">
        <f>COUNTIFS(TblUniv20196[C1],AG$48,TblUniv20196[Prodi],$AE$45)/$AE$47*100%</f>
        <v>0</v>
      </c>
      <c r="AH55" s="66">
        <f>COUNTIFS(TblUniv20196[C1],AH$48,TblUniv20196[Prodi],$AE$45)/$AE$47*100%</f>
        <v>0</v>
      </c>
      <c r="AI55" s="62">
        <f t="shared" si="4"/>
        <v>1</v>
      </c>
      <c r="AK55" s="57" t="s">
        <v>31</v>
      </c>
      <c r="AL55" s="66">
        <f>COUNTIFS(TblUniv20196[C1],AL$48,TblUniv20196[Prodi],$AL$45)/$AL$47*100%</f>
        <v>1</v>
      </c>
      <c r="AM55" s="66">
        <f>COUNTIFS(TblUniv20196[C1],AM$48,TblUniv20196[Prodi],$AL$45)/$AL$47*100%</f>
        <v>0</v>
      </c>
      <c r="AN55" s="66">
        <f>COUNTIFS(TblUniv20196[C1],AN$48,TblUniv20196[Prodi],$AL$45)/$AL$47*100%</f>
        <v>0</v>
      </c>
      <c r="AO55" s="66">
        <f>COUNTIFS(TblUniv20196[C1],AO$48,TblUniv20196[Prodi],$AL$45)/$AL$47*100%</f>
        <v>0</v>
      </c>
      <c r="AP55" s="62">
        <f t="shared" si="5"/>
        <v>1</v>
      </c>
      <c r="AR55" s="57" t="s">
        <v>31</v>
      </c>
      <c r="AS55" s="66">
        <f>COUNTIFS(TblUniv20196[C1],AS$48,TblUniv20196[Prodi],$AS$45)/$AS$47*100%</f>
        <v>1</v>
      </c>
      <c r="AT55" s="66">
        <f>COUNTIFS(TblUniv20196[C1],AT$48,TblUniv20196[Prodi],$AS$45)/$AS$47*100%</f>
        <v>0</v>
      </c>
      <c r="AU55" s="66">
        <f>COUNTIFS(TblUniv20196[C1],AU$48,TblUniv20196[Prodi],$AS$45)/$AS$47*100%</f>
        <v>0</v>
      </c>
      <c r="AV55" s="66">
        <f>COUNTIFS(TblUniv20196[C1],AV$48,TblUniv20196[Prodi],$AS$45)/$AS$47*100%</f>
        <v>0</v>
      </c>
      <c r="AW55" s="62">
        <f t="shared" si="6"/>
        <v>1</v>
      </c>
      <c r="AY55" s="57" t="s">
        <v>31</v>
      </c>
      <c r="AZ55" s="66">
        <f>COUNTIFS(TblUniv20196[C1],AZ$48,TblUniv20196[Prodi],$AZ$45)/$AZ$47*100%</f>
        <v>0.66666666666666663</v>
      </c>
      <c r="BA55" s="66">
        <f>COUNTIFS(TblUniv20196[C1],BA$48,TblUniv20196[Prodi],$AZ$45)/$AZ$47*100%</f>
        <v>0.33333333333333331</v>
      </c>
      <c r="BB55" s="66">
        <f>COUNTIFS(TblUniv20196[C1],BB$48,TblUniv20196[Prodi],$AZ$45)/$AZ$47*100%</f>
        <v>0</v>
      </c>
      <c r="BC55" s="66">
        <f>COUNTIFS(TblUniv20196[C1],BC$48,TblUniv20196[Prodi],$AZ$45)/$AZ$47*100%</f>
        <v>0</v>
      </c>
      <c r="BD55" s="62">
        <f t="shared" si="7"/>
        <v>1</v>
      </c>
      <c r="BF55" s="57" t="s">
        <v>31</v>
      </c>
      <c r="BG55" s="66">
        <f>COUNTIFS(TblUniv20196[C1],BG$48,TblUniv20196[Prodi],$BG$45)/$BG$47*100%</f>
        <v>0.5</v>
      </c>
      <c r="BH55" s="66">
        <f>COUNTIFS(TblUniv20196[C1],BH$48,TblUniv20196[Prodi],$BG$45)/$BG$47*100%</f>
        <v>0.5</v>
      </c>
      <c r="BI55" s="66">
        <f>COUNTIFS(TblUniv20196[C1],BI$48,TblUniv20196[Prodi],$BG$45)/$BG$47*100%</f>
        <v>0</v>
      </c>
      <c r="BJ55" s="66">
        <f>COUNTIFS(TblUniv20196[C1],BJ$48,TblUniv20196[Prodi],$BG$45)/$BG$47*100%</f>
        <v>0</v>
      </c>
      <c r="BK55" s="62">
        <f t="shared" si="8"/>
        <v>1</v>
      </c>
      <c r="BM55" s="57" t="s">
        <v>31</v>
      </c>
      <c r="BN55" s="66">
        <f>COUNTIFS(TblUniv20196[C1],BN$48,TblUniv20196[Prodi],$BN$45)/$BN$47*100%</f>
        <v>0.5</v>
      </c>
      <c r="BO55" s="66">
        <f>COUNTIFS(TblUniv20196[C1],BO$48,TblUniv20196[Prodi],$BN$45)/$BN$47*100%</f>
        <v>0.5</v>
      </c>
      <c r="BP55" s="66">
        <f>COUNTIFS(TblUniv20196[C1],BP$48,TblUniv20196[Prodi],$BN$45)/$BN$47*100%</f>
        <v>0</v>
      </c>
      <c r="BQ55" s="66">
        <f>COUNTIFS(TblUniv20196[C1],BQ$48,TblUniv20196[Prodi],$BN$45)/$BN$47*100%</f>
        <v>0</v>
      </c>
      <c r="BR55" s="62">
        <f t="shared" si="9"/>
        <v>1</v>
      </c>
    </row>
    <row r="56" spans="2:70" ht="16.5" x14ac:dyDescent="0.3">
      <c r="B56" s="57" t="s">
        <v>32</v>
      </c>
      <c r="C56" s="66">
        <f>COUNTIFS(TblUniv20196[C2],C$48)/$C$47*100%</f>
        <v>0.3783783783783784</v>
      </c>
      <c r="D56" s="66">
        <f>COUNTIFS(TblUniv20196[C2],D$48)/$C$47*100%</f>
        <v>0.6216216216216216</v>
      </c>
      <c r="E56" s="66">
        <f>COUNTIFS(TblUniv20196[C2],E$48)/$C$47*100%</f>
        <v>0</v>
      </c>
      <c r="F56" s="66">
        <f>COUNTIFS(TblUniv20196[C2],F$48)/$C$47*100%</f>
        <v>0</v>
      </c>
      <c r="G56" s="62">
        <f t="shared" si="0"/>
        <v>1</v>
      </c>
      <c r="I56" s="57" t="s">
        <v>32</v>
      </c>
      <c r="J56" s="66">
        <f>COUNTIFS(TblUniv20196[C2],J$48,TblUniv20196[Prodi],$J$45)/$J$47*100%</f>
        <v>0.2</v>
      </c>
      <c r="K56" s="66">
        <f>COUNTIFS(TblUniv20196[C2],K$48,TblUniv20196[Prodi],$J$45)/$J$47*100%</f>
        <v>0.8</v>
      </c>
      <c r="L56" s="66">
        <f>COUNTIFS(TblUniv20196[C2],L$48,TblUniv20196[Prodi],$J$45)/$J$47*100%</f>
        <v>0</v>
      </c>
      <c r="M56" s="66">
        <f>COUNTIFS(TblUniv20196[C2],M$48,TblUniv20196[Prodi],$J$45)/$J$47*100%</f>
        <v>0</v>
      </c>
      <c r="N56" s="62">
        <f t="shared" si="1"/>
        <v>1</v>
      </c>
      <c r="P56" s="57" t="s">
        <v>32</v>
      </c>
      <c r="Q56" s="66">
        <f>COUNTIFS(TblUniv20196[C2],Q$48,TblUniv20196[Prodi],$Q$45)/$Q$47*100%</f>
        <v>0.14285714285714285</v>
      </c>
      <c r="R56" s="66">
        <f>COUNTIFS(TblUniv20196[C2],R$48,TblUniv20196[Prodi],$Q$45)/$Q$47*100%</f>
        <v>0.8571428571428571</v>
      </c>
      <c r="S56" s="66">
        <f>COUNTIFS(TblUniv20196[C2],S$48,TblUniv20196[Prodi],$Q$45)/$Q$47*100%</f>
        <v>0</v>
      </c>
      <c r="T56" s="66">
        <f>COUNTIFS(TblUniv20196[C2],T$48,TblUniv20196[Prodi],$Q$45)/$Q$47*100%</f>
        <v>0</v>
      </c>
      <c r="U56" s="62">
        <f t="shared" si="2"/>
        <v>1</v>
      </c>
      <c r="W56" s="57" t="s">
        <v>32</v>
      </c>
      <c r="X56" s="66">
        <f>COUNTIFS(TblUniv20196[C2],X$48,TblUniv20196[Prodi],$X$45)/$X$47*100%</f>
        <v>1</v>
      </c>
      <c r="Y56" s="66">
        <f>COUNTIFS(TblUniv20196[C2],Y$48,TblUniv20196[Prodi],$X$45)/$X$47*100%</f>
        <v>0</v>
      </c>
      <c r="Z56" s="66">
        <f>COUNTIFS(TblUniv20196[C2],Z$48,TblUniv20196[Prodi],$X$45)/$X$47*100%</f>
        <v>0</v>
      </c>
      <c r="AA56" s="66">
        <f>COUNTIFS(TblUniv20196[C2],AA$48,TblUniv20196[Prodi],$X$45)/$X$47*100%</f>
        <v>0</v>
      </c>
      <c r="AB56" s="62">
        <f t="shared" si="3"/>
        <v>1</v>
      </c>
      <c r="AD56" s="57" t="s">
        <v>32</v>
      </c>
      <c r="AE56" s="66">
        <f>COUNTIFS(TblUniv20196[C2],AE$48,TblUniv20196[Prodi],$AE$45)/$AE$47*100%</f>
        <v>0.46666666666666667</v>
      </c>
      <c r="AF56" s="66">
        <f>COUNTIFS(TblUniv20196[C2],AF$48,TblUniv20196[Prodi],$AE$45)/$AE$47*100%</f>
        <v>0.53333333333333333</v>
      </c>
      <c r="AG56" s="66">
        <f>COUNTIFS(TblUniv20196[C2],AG$48,TblUniv20196[Prodi],$AE$45)/$AE$47*100%</f>
        <v>0</v>
      </c>
      <c r="AH56" s="66">
        <f>COUNTIFS(TblUniv20196[C2],AH$48,TblUniv20196[Prodi],$AE$45)/$AE$47*100%</f>
        <v>0</v>
      </c>
      <c r="AI56" s="62">
        <f t="shared" si="4"/>
        <v>1</v>
      </c>
      <c r="AK56" s="57" t="s">
        <v>32</v>
      </c>
      <c r="AL56" s="66">
        <f>COUNTIFS(TblUniv20196[C2],AL$48,TblUniv20196[Prodi],$AL$45)/$AL$47*100%</f>
        <v>0</v>
      </c>
      <c r="AM56" s="66">
        <f>COUNTIFS(TblUniv20196[C2],AM$48,TblUniv20196[Prodi],$AL$45)/$AL$47*100%</f>
        <v>1</v>
      </c>
      <c r="AN56" s="66">
        <f>COUNTIFS(TblUniv20196[C2],AN$48,TblUniv20196[Prodi],$AL$45)/$AL$47*100%</f>
        <v>0</v>
      </c>
      <c r="AO56" s="66">
        <f>COUNTIFS(TblUniv20196[C2],AO$48,TblUniv20196[Prodi],$AL$45)/$AL$47*100%</f>
        <v>0</v>
      </c>
      <c r="AP56" s="62">
        <f t="shared" si="5"/>
        <v>1</v>
      </c>
      <c r="AR56" s="57" t="s">
        <v>32</v>
      </c>
      <c r="AS56" s="66">
        <f>COUNTIFS(TblUniv20196[C2],AS$48,TblUniv20196[Prodi],$AS$45)/$AS$47*100%</f>
        <v>1</v>
      </c>
      <c r="AT56" s="66">
        <f>COUNTIFS(TblUniv20196[C2],AT$48,TblUniv20196[Prodi],$AS$45)/$AS$47*100%</f>
        <v>0</v>
      </c>
      <c r="AU56" s="66">
        <f>COUNTIFS(TblUniv20196[C2],AU$48,TblUniv20196[Prodi],$AS$45)/$AS$47*100%</f>
        <v>0</v>
      </c>
      <c r="AV56" s="66">
        <f>COUNTIFS(TblUniv20196[C2],AV$48,TblUniv20196[Prodi],$AS$45)/$AS$47*100%</f>
        <v>0</v>
      </c>
      <c r="AW56" s="62">
        <f t="shared" si="6"/>
        <v>1</v>
      </c>
      <c r="AY56" s="57" t="s">
        <v>32</v>
      </c>
      <c r="AZ56" s="66">
        <f>COUNTIFS(TblUniv20196[C2],AZ$48,TblUniv20196[Prodi],$AZ$45)/$AZ$47*100%</f>
        <v>0.33333333333333331</v>
      </c>
      <c r="BA56" s="66">
        <f>COUNTIFS(TblUniv20196[C2],BA$48,TblUniv20196[Prodi],$AZ$45)/$AZ$47*100%</f>
        <v>0.66666666666666663</v>
      </c>
      <c r="BB56" s="66">
        <f>COUNTIFS(TblUniv20196[C2],BB$48,TblUniv20196[Prodi],$AZ$45)/$AZ$47*100%</f>
        <v>0</v>
      </c>
      <c r="BC56" s="66">
        <f>COUNTIFS(TblUniv20196[C2],BC$48,TblUniv20196[Prodi],$AZ$45)/$AZ$47*100%</f>
        <v>0</v>
      </c>
      <c r="BD56" s="62">
        <f t="shared" si="7"/>
        <v>1</v>
      </c>
      <c r="BF56" s="57" t="s">
        <v>32</v>
      </c>
      <c r="BG56" s="66">
        <f>COUNTIFS(TblUniv20196[C2],BG$48,TblUniv20196[Prodi],$BG$45)/$BG$47*100%</f>
        <v>0.5</v>
      </c>
      <c r="BH56" s="66">
        <f>COUNTIFS(TblUniv20196[C2],BH$48,TblUniv20196[Prodi],$BG$45)/$BG$47*100%</f>
        <v>0.5</v>
      </c>
      <c r="BI56" s="66">
        <f>COUNTIFS(TblUniv20196[C2],BI$48,TblUniv20196[Prodi],$BG$45)/$BG$47*100%</f>
        <v>0</v>
      </c>
      <c r="BJ56" s="66">
        <f>COUNTIFS(TblUniv20196[C2],BJ$48,TblUniv20196[Prodi],$BG$45)/$BG$47*100%</f>
        <v>0</v>
      </c>
      <c r="BK56" s="62">
        <f t="shared" si="8"/>
        <v>1</v>
      </c>
      <c r="BM56" s="57" t="s">
        <v>32</v>
      </c>
      <c r="BN56" s="66">
        <f>COUNTIFS(TblUniv20196[C2],BN$48,TblUniv20196[Prodi],$BN$45)/$BN$47*100%</f>
        <v>0.5</v>
      </c>
      <c r="BO56" s="66">
        <f>COUNTIFS(TblUniv20196[C2],BO$48,TblUniv20196[Prodi],$BN$45)/$BN$47*100%</f>
        <v>0.5</v>
      </c>
      <c r="BP56" s="66">
        <f>COUNTIFS(TblUniv20196[C2],BP$48,TblUniv20196[Prodi],$BN$45)/$BN$47*100%</f>
        <v>0</v>
      </c>
      <c r="BQ56" s="66">
        <f>COUNTIFS(TblUniv20196[C2],BQ$48,TblUniv20196[Prodi],$BN$45)/$BN$47*100%</f>
        <v>0</v>
      </c>
      <c r="BR56" s="62">
        <f t="shared" si="9"/>
        <v>1</v>
      </c>
    </row>
    <row r="57" spans="2:70" ht="16.5" x14ac:dyDescent="0.3">
      <c r="B57" s="60"/>
      <c r="C57" s="61">
        <f>AVERAGE(C55:C56)</f>
        <v>0.5135135135135136</v>
      </c>
      <c r="D57" s="61">
        <f>AVERAGE(D55:D56)</f>
        <v>0.48648648648648651</v>
      </c>
      <c r="E57" s="61">
        <f>AVERAGE(E55:E56)</f>
        <v>0</v>
      </c>
      <c r="F57" s="61">
        <f>AVERAGE(F55:F56)</f>
        <v>0</v>
      </c>
      <c r="G57" s="62">
        <f t="shared" si="0"/>
        <v>1</v>
      </c>
      <c r="I57" s="60"/>
      <c r="J57" s="61">
        <f>AVERAGE(J55:J56)</f>
        <v>0.4</v>
      </c>
      <c r="K57" s="61">
        <f>AVERAGE(K55:K56)</f>
        <v>0.60000000000000009</v>
      </c>
      <c r="L57" s="61">
        <f>AVERAGE(L55:L56)</f>
        <v>0</v>
      </c>
      <c r="M57" s="61">
        <f>AVERAGE(M55:M56)</f>
        <v>0</v>
      </c>
      <c r="N57" s="62">
        <f t="shared" si="1"/>
        <v>1</v>
      </c>
      <c r="P57" s="60"/>
      <c r="Q57" s="61">
        <f>AVERAGE(Q55:Q56)</f>
        <v>0.3571428571428571</v>
      </c>
      <c r="R57" s="61">
        <f>AVERAGE(R55:R56)</f>
        <v>0.64285714285714279</v>
      </c>
      <c r="S57" s="61">
        <f>AVERAGE(S55:S56)</f>
        <v>0</v>
      </c>
      <c r="T57" s="61">
        <f>AVERAGE(T55:T56)</f>
        <v>0</v>
      </c>
      <c r="U57" s="62">
        <f t="shared" si="2"/>
        <v>0.99999999999999989</v>
      </c>
      <c r="W57" s="60"/>
      <c r="X57" s="61">
        <f>AVERAGE(X55:X56)</f>
        <v>0.5</v>
      </c>
      <c r="Y57" s="61">
        <f>AVERAGE(Y55:Y56)</f>
        <v>0.5</v>
      </c>
      <c r="Z57" s="61">
        <f>AVERAGE(Z55:Z56)</f>
        <v>0</v>
      </c>
      <c r="AA57" s="61">
        <f>AVERAGE(AA55:AA56)</f>
        <v>0</v>
      </c>
      <c r="AB57" s="62">
        <f t="shared" si="3"/>
        <v>1</v>
      </c>
      <c r="AD57" s="60"/>
      <c r="AE57" s="61">
        <f>AVERAGE(AE55:AE56)</f>
        <v>0.6</v>
      </c>
      <c r="AF57" s="61">
        <f>AVERAGE(AF55:AF56)</f>
        <v>0.4</v>
      </c>
      <c r="AG57" s="61">
        <f>AVERAGE(AG55:AG56)</f>
        <v>0</v>
      </c>
      <c r="AH57" s="61">
        <f>AVERAGE(AH55:AH56)</f>
        <v>0</v>
      </c>
      <c r="AI57" s="62">
        <f t="shared" si="4"/>
        <v>1</v>
      </c>
      <c r="AK57" s="60"/>
      <c r="AL57" s="61">
        <f>AVERAGE(AL55:AL56)</f>
        <v>0.5</v>
      </c>
      <c r="AM57" s="61">
        <f>AVERAGE(AM55:AM56)</f>
        <v>0.5</v>
      </c>
      <c r="AN57" s="61">
        <f>AVERAGE(AN55:AN56)</f>
        <v>0</v>
      </c>
      <c r="AO57" s="61">
        <f>AVERAGE(AO55:AO56)</f>
        <v>0</v>
      </c>
      <c r="AP57" s="62">
        <f t="shared" si="5"/>
        <v>1</v>
      </c>
      <c r="AR57" s="60"/>
      <c r="AS57" s="61">
        <f>AVERAGE(AS55:AS56)</f>
        <v>1</v>
      </c>
      <c r="AT57" s="61">
        <f>AVERAGE(AT55:AT56)</f>
        <v>0</v>
      </c>
      <c r="AU57" s="61">
        <f>AVERAGE(AU55:AU56)</f>
        <v>0</v>
      </c>
      <c r="AV57" s="61">
        <f>AVERAGE(AV55:AV56)</f>
        <v>0</v>
      </c>
      <c r="AW57" s="62">
        <f t="shared" si="6"/>
        <v>1</v>
      </c>
      <c r="AY57" s="60"/>
      <c r="AZ57" s="61">
        <f>AVERAGE(AZ55:AZ56)</f>
        <v>0.5</v>
      </c>
      <c r="BA57" s="61">
        <f>AVERAGE(BA55:BA56)</f>
        <v>0.5</v>
      </c>
      <c r="BB57" s="61">
        <f>AVERAGE(BB55:BB56)</f>
        <v>0</v>
      </c>
      <c r="BC57" s="61">
        <f>AVERAGE(BC55:BC56)</f>
        <v>0</v>
      </c>
      <c r="BD57" s="62">
        <f t="shared" si="7"/>
        <v>1</v>
      </c>
      <c r="BF57" s="60"/>
      <c r="BG57" s="61">
        <f>AVERAGE(BG55:BG56)</f>
        <v>0.5</v>
      </c>
      <c r="BH57" s="61">
        <f>AVERAGE(BH55:BH56)</f>
        <v>0.5</v>
      </c>
      <c r="BI57" s="61">
        <f>AVERAGE(BI55:BI56)</f>
        <v>0</v>
      </c>
      <c r="BJ57" s="61">
        <f>AVERAGE(BJ55:BJ56)</f>
        <v>0</v>
      </c>
      <c r="BK57" s="62">
        <f t="shared" si="8"/>
        <v>1</v>
      </c>
      <c r="BM57" s="60"/>
      <c r="BN57" s="61">
        <f>AVERAGE(BN55:BN56)</f>
        <v>0.5</v>
      </c>
      <c r="BO57" s="61">
        <f>AVERAGE(BO55:BO56)</f>
        <v>0.5</v>
      </c>
      <c r="BP57" s="61">
        <f>AVERAGE(BP55:BP56)</f>
        <v>0</v>
      </c>
      <c r="BQ57" s="61">
        <f>AVERAGE(BQ55:BQ56)</f>
        <v>0</v>
      </c>
      <c r="BR57" s="62">
        <f t="shared" si="9"/>
        <v>1</v>
      </c>
    </row>
    <row r="58" spans="2:70" ht="16.5" x14ac:dyDescent="0.3">
      <c r="B58" s="57" t="s">
        <v>33</v>
      </c>
      <c r="C58" s="66">
        <f>COUNTIFS(TblUniv20196[D1],C$48)/$C$47*100%</f>
        <v>0.51351351351351349</v>
      </c>
      <c r="D58" s="66">
        <f>COUNTIFS(TblUniv20196[D1],D$48)/$C$47*100%</f>
        <v>0.27027027027027029</v>
      </c>
      <c r="E58" s="66">
        <f>COUNTIFS(TblUniv20196[D1],E$48)/$C$47*100%</f>
        <v>0.21621621621621623</v>
      </c>
      <c r="F58" s="66">
        <f>COUNTIFS(TblUniv20196[D1],F$48)/$C$47*100%</f>
        <v>0</v>
      </c>
      <c r="G58" s="62">
        <f t="shared" si="0"/>
        <v>1</v>
      </c>
      <c r="I58" s="57" t="s">
        <v>33</v>
      </c>
      <c r="J58" s="66">
        <f>COUNTIFS(TblUniv20196[D1],J$48,TblUniv20196[Prodi],$J$45)/$J$47*100%</f>
        <v>0.2</v>
      </c>
      <c r="K58" s="66">
        <f>COUNTIFS(TblUniv20196[D1],K$48,TblUniv20196[Prodi],$J$45)/$J$47*100%</f>
        <v>0.4</v>
      </c>
      <c r="L58" s="66">
        <f>COUNTIFS(TblUniv20196[D1],L$48,TblUniv20196[Prodi],$J$45)/$J$47*100%</f>
        <v>0.4</v>
      </c>
      <c r="M58" s="66">
        <f>COUNTIFS(TblUniv20196[D1],M$48,TblUniv20196[Prodi],$J$45)/$J$47*100%</f>
        <v>0</v>
      </c>
      <c r="N58" s="62">
        <f t="shared" si="1"/>
        <v>1</v>
      </c>
      <c r="P58" s="57" t="s">
        <v>33</v>
      </c>
      <c r="Q58" s="66">
        <f>COUNTIFS(TblUniv20196[D1],Q$48,TblUniv20196[Prodi],$Q$45)/$Q$47*100%</f>
        <v>0.2857142857142857</v>
      </c>
      <c r="R58" s="66">
        <f>COUNTIFS(TblUniv20196[D1],R$48,TblUniv20196[Prodi],$Q$45)/$Q$47*100%</f>
        <v>0.42857142857142855</v>
      </c>
      <c r="S58" s="66">
        <f>COUNTIFS(TblUniv20196[D1],S$48,TblUniv20196[Prodi],$Q$45)/$Q$47*100%</f>
        <v>0.2857142857142857</v>
      </c>
      <c r="T58" s="66">
        <f>COUNTIFS(TblUniv20196[D1],T$48,TblUniv20196[Prodi],$Q$45)/$Q$47*100%</f>
        <v>0</v>
      </c>
      <c r="U58" s="62">
        <f t="shared" si="2"/>
        <v>0.99999999999999989</v>
      </c>
      <c r="W58" s="57" t="s">
        <v>33</v>
      </c>
      <c r="X58" s="66">
        <f>COUNTIFS(TblUniv20196[D1],X$48,TblUniv20196[Prodi],$X$45)/$X$47*100%</f>
        <v>1</v>
      </c>
      <c r="Y58" s="66">
        <f>COUNTIFS(TblUniv20196[D1],Y$48,TblUniv20196[Prodi],$X$45)/$X$47*100%</f>
        <v>0</v>
      </c>
      <c r="Z58" s="66">
        <f>COUNTIFS(TblUniv20196[D1],Z$48,TblUniv20196[Prodi],$X$45)/$X$47*100%</f>
        <v>0</v>
      </c>
      <c r="AA58" s="66">
        <f>COUNTIFS(TblUniv20196[D1],AA$48,TblUniv20196[Prodi],$X$45)/$X$47*100%</f>
        <v>0</v>
      </c>
      <c r="AB58" s="62">
        <f t="shared" si="3"/>
        <v>1</v>
      </c>
      <c r="AD58" s="57" t="s">
        <v>33</v>
      </c>
      <c r="AE58" s="66">
        <f>COUNTIFS(TblUniv20196[D1],AE$48,TblUniv20196[Prodi],$AE$45)/$AE$47*100%</f>
        <v>0.73333333333333328</v>
      </c>
      <c r="AF58" s="66">
        <f>COUNTIFS(TblUniv20196[D1],AF$48,TblUniv20196[Prodi],$AE$45)/$AE$47*100%</f>
        <v>0.13333333333333333</v>
      </c>
      <c r="AG58" s="66">
        <f>COUNTIFS(TblUniv20196[D1],AG$48,TblUniv20196[Prodi],$AE$45)/$AE$47*100%</f>
        <v>0.13333333333333333</v>
      </c>
      <c r="AH58" s="66">
        <f>COUNTIFS(TblUniv20196[D1],AH$48,TblUniv20196[Prodi],$AE$45)/$AE$47*100%</f>
        <v>0</v>
      </c>
      <c r="AI58" s="62">
        <f t="shared" si="4"/>
        <v>0.99999999999999989</v>
      </c>
      <c r="AK58" s="57" t="s">
        <v>33</v>
      </c>
      <c r="AL58" s="66">
        <f>COUNTIFS(TblUniv20196[D1],AL$48,TblUniv20196[Prodi],$AL$45)/$AL$47*100%</f>
        <v>0</v>
      </c>
      <c r="AM58" s="66">
        <f>COUNTIFS(TblUniv20196[D1],AM$48,TblUniv20196[Prodi],$AL$45)/$AL$47*100%</f>
        <v>1</v>
      </c>
      <c r="AN58" s="66">
        <f>COUNTIFS(TblUniv20196[D1],AN$48,TblUniv20196[Prodi],$AL$45)/$AL$47*100%</f>
        <v>0</v>
      </c>
      <c r="AO58" s="66">
        <f>COUNTIFS(TblUniv20196[D1],AO$48,TblUniv20196[Prodi],$AL$45)/$AL$47*100%</f>
        <v>0</v>
      </c>
      <c r="AP58" s="62">
        <f t="shared" si="5"/>
        <v>1</v>
      </c>
      <c r="AR58" s="57" t="s">
        <v>33</v>
      </c>
      <c r="AS58" s="66">
        <f>COUNTIFS(TblUniv20196[D1],AS$48,TblUniv20196[Prodi],$AS$45)/$AS$47*100%</f>
        <v>1</v>
      </c>
      <c r="AT58" s="66">
        <f>COUNTIFS(TblUniv20196[D1],AT$48,TblUniv20196[Prodi],$AS$45)/$AS$47*100%</f>
        <v>0</v>
      </c>
      <c r="AU58" s="66">
        <f>COUNTIFS(TblUniv20196[D1],AU$48,TblUniv20196[Prodi],$AS$45)/$AS$47*100%</f>
        <v>0</v>
      </c>
      <c r="AV58" s="66">
        <f>COUNTIFS(TblUniv20196[D1],AV$48,TblUniv20196[Prodi],$AS$45)/$AS$47*100%</f>
        <v>0</v>
      </c>
      <c r="AW58" s="62">
        <f t="shared" si="6"/>
        <v>1</v>
      </c>
      <c r="AY58" s="57" t="s">
        <v>33</v>
      </c>
      <c r="AZ58" s="66">
        <f>COUNTIFS(TblUniv20196[D1],AZ$48,TblUniv20196[Prodi],$AZ$45)/$AZ$47*100%</f>
        <v>0</v>
      </c>
      <c r="BA58" s="66">
        <f>COUNTIFS(TblUniv20196[D1],BA$48,TblUniv20196[Prodi],$AZ$45)/$AZ$47*100%</f>
        <v>0.33333333333333331</v>
      </c>
      <c r="BB58" s="66">
        <f>COUNTIFS(TblUniv20196[D1],BB$48,TblUniv20196[Prodi],$AZ$45)/$AZ$47*100%</f>
        <v>0.66666666666666663</v>
      </c>
      <c r="BC58" s="66">
        <f>COUNTIFS(TblUniv20196[D1],BC$48,TblUniv20196[Prodi],$AZ$45)/$AZ$47*100%</f>
        <v>0</v>
      </c>
      <c r="BD58" s="62">
        <f t="shared" si="7"/>
        <v>1</v>
      </c>
      <c r="BF58" s="57" t="s">
        <v>33</v>
      </c>
      <c r="BG58" s="66">
        <f>COUNTIFS(TblUniv20196[D1],BG$48,TblUniv20196[Prodi],$BG$45)/$BG$47*100%</f>
        <v>1</v>
      </c>
      <c r="BH58" s="66">
        <f>COUNTIFS(TblUniv20196[D1],BH$48,TblUniv20196[Prodi],$BG$45)/$BG$47*100%</f>
        <v>0</v>
      </c>
      <c r="BI58" s="66">
        <f>COUNTIFS(TblUniv20196[D1],BI$48,TblUniv20196[Prodi],$BG$45)/$BG$47*100%</f>
        <v>0</v>
      </c>
      <c r="BJ58" s="66">
        <f>COUNTIFS(TblUniv20196[D1],BJ$48,TblUniv20196[Prodi],$BG$45)/$BG$47*100%</f>
        <v>0</v>
      </c>
      <c r="BK58" s="62">
        <f t="shared" si="8"/>
        <v>1</v>
      </c>
      <c r="BM58" s="57" t="s">
        <v>33</v>
      </c>
      <c r="BN58" s="66">
        <f>COUNTIFS(TblUniv20196[D1],BN$48,TblUniv20196[Prodi],$BN$45)/$BN$47*100%</f>
        <v>0.5</v>
      </c>
      <c r="BO58" s="66">
        <f>COUNTIFS(TblUniv20196[D1],BO$48,TblUniv20196[Prodi],$BN$45)/$BN$47*100%</f>
        <v>0.5</v>
      </c>
      <c r="BP58" s="66">
        <f>COUNTIFS(TblUniv20196[D1],BP$48,TblUniv20196[Prodi],$BN$45)/$BN$47*100%</f>
        <v>0</v>
      </c>
      <c r="BQ58" s="66">
        <f>COUNTIFS(TblUniv20196[D1],BQ$48,TblUniv20196[Prodi],$BN$45)/$BN$47*100%</f>
        <v>0</v>
      </c>
      <c r="BR58" s="62">
        <f t="shared" si="9"/>
        <v>1</v>
      </c>
    </row>
    <row r="59" spans="2:70" ht="16.5" x14ac:dyDescent="0.3">
      <c r="B59" s="57" t="s">
        <v>34</v>
      </c>
      <c r="C59" s="66">
        <f>COUNTIFS(TblUniv20196[D2],C$48)/$C$47*100%</f>
        <v>0.27027027027027029</v>
      </c>
      <c r="D59" s="66">
        <f>COUNTIFS(TblUniv20196[D2],D$48)/$C$47*100%</f>
        <v>0.51351351351351349</v>
      </c>
      <c r="E59" s="66">
        <f>COUNTIFS(TblUniv20196[D2],E$48)/$C$47*100%</f>
        <v>0.21621621621621623</v>
      </c>
      <c r="F59" s="66">
        <f>COUNTIFS(TblUniv20196[D2],F$48)/$C$47*100%</f>
        <v>0</v>
      </c>
      <c r="G59" s="62">
        <f t="shared" si="0"/>
        <v>1</v>
      </c>
      <c r="I59" s="57" t="s">
        <v>34</v>
      </c>
      <c r="J59" s="66">
        <f>COUNTIFS(TblUniv20196[D2],J$48,TblUniv20196[Prodi],$J$45)/$J$47*100%</f>
        <v>0.2</v>
      </c>
      <c r="K59" s="66">
        <f>COUNTIFS(TblUniv20196[D2],K$48,TblUniv20196[Prodi],$J$45)/$J$47*100%</f>
        <v>0.4</v>
      </c>
      <c r="L59" s="66">
        <f>COUNTIFS(TblUniv20196[D2],L$48,TblUniv20196[Prodi],$J$45)/$J$47*100%</f>
        <v>0.4</v>
      </c>
      <c r="M59" s="66">
        <f>COUNTIFS(TblUniv20196[D2],M$48,TblUniv20196[Prodi],$J$45)/$J$47*100%</f>
        <v>0</v>
      </c>
      <c r="N59" s="62">
        <f t="shared" si="1"/>
        <v>1</v>
      </c>
      <c r="P59" s="57" t="s">
        <v>34</v>
      </c>
      <c r="Q59" s="66">
        <f>COUNTIFS(TblUniv20196[D2],Q$48,TblUniv20196[Prodi],$Q$45)/$Q$47*100%</f>
        <v>0.14285714285714285</v>
      </c>
      <c r="R59" s="66">
        <f>COUNTIFS(TblUniv20196[D2],R$48,TblUniv20196[Prodi],$Q$45)/$Q$47*100%</f>
        <v>0.5714285714285714</v>
      </c>
      <c r="S59" s="66">
        <f>COUNTIFS(TblUniv20196[D2],S$48,TblUniv20196[Prodi],$Q$45)/$Q$47*100%</f>
        <v>0.2857142857142857</v>
      </c>
      <c r="T59" s="66">
        <f>COUNTIFS(TblUniv20196[D2],T$48,TblUniv20196[Prodi],$Q$45)/$Q$47*100%</f>
        <v>0</v>
      </c>
      <c r="U59" s="62">
        <f t="shared" si="2"/>
        <v>0.99999999999999989</v>
      </c>
      <c r="W59" s="57" t="s">
        <v>34</v>
      </c>
      <c r="X59" s="66">
        <f>COUNTIFS(TblUniv20196[D2],X$48,TblUniv20196[Prodi],$X$45)/$X$47*100%</f>
        <v>1</v>
      </c>
      <c r="Y59" s="66">
        <f>COUNTIFS(TblUniv20196[D2],Y$48,TblUniv20196[Prodi],$X$45)/$X$47*100%</f>
        <v>0</v>
      </c>
      <c r="Z59" s="66">
        <f>COUNTIFS(TblUniv20196[D2],Z$48,TblUniv20196[Prodi],$X$45)/$X$47*100%</f>
        <v>0</v>
      </c>
      <c r="AA59" s="66">
        <f>COUNTIFS(TblUniv20196[D2],AA$48,TblUniv20196[Prodi],$X$45)/$X$47*100%</f>
        <v>0</v>
      </c>
      <c r="AB59" s="62">
        <f t="shared" si="3"/>
        <v>1</v>
      </c>
      <c r="AD59" s="57" t="s">
        <v>34</v>
      </c>
      <c r="AE59" s="66">
        <f>COUNTIFS(TblUniv20196[D2],AE$48,TblUniv20196[Prodi],$AE$45)/$AE$47*100%</f>
        <v>0.33333333333333331</v>
      </c>
      <c r="AF59" s="66">
        <f>COUNTIFS(TblUniv20196[D2],AF$48,TblUniv20196[Prodi],$AE$45)/$AE$47*100%</f>
        <v>0.6</v>
      </c>
      <c r="AG59" s="66">
        <f>COUNTIFS(TblUniv20196[D2],AG$48,TblUniv20196[Prodi],$AE$45)/$AE$47*100%</f>
        <v>6.6666666666666666E-2</v>
      </c>
      <c r="AH59" s="66">
        <f>COUNTIFS(TblUniv20196[D2],AH$48,TblUniv20196[Prodi],$AE$45)/$AE$47*100%</f>
        <v>0</v>
      </c>
      <c r="AI59" s="62">
        <f t="shared" si="4"/>
        <v>1</v>
      </c>
      <c r="AK59" s="57" t="s">
        <v>34</v>
      </c>
      <c r="AL59" s="66">
        <f>COUNTIFS(TblUniv20196[D2],AL$48,TblUniv20196[Prodi],$AL$45)/$AL$47*100%</f>
        <v>0</v>
      </c>
      <c r="AM59" s="66">
        <f>COUNTIFS(TblUniv20196[D2],AM$48,TblUniv20196[Prodi],$AL$45)/$AL$47*100%</f>
        <v>1</v>
      </c>
      <c r="AN59" s="66">
        <f>COUNTIFS(TblUniv20196[D2],AN$48,TblUniv20196[Prodi],$AL$45)/$AL$47*100%</f>
        <v>0</v>
      </c>
      <c r="AO59" s="66">
        <f>COUNTIFS(TblUniv20196[D2],AO$48,TblUniv20196[Prodi],$AL$45)/$AL$47*100%</f>
        <v>0</v>
      </c>
      <c r="AP59" s="62">
        <f t="shared" si="5"/>
        <v>1</v>
      </c>
      <c r="AR59" s="57" t="s">
        <v>34</v>
      </c>
      <c r="AS59" s="66">
        <f>COUNTIFS(TblUniv20196[D2],AS$48,TblUniv20196[Prodi],$AS$45)/$AS$47*100%</f>
        <v>0</v>
      </c>
      <c r="AT59" s="66">
        <f>COUNTIFS(TblUniv20196[D2],AT$48,TblUniv20196[Prodi],$AS$45)/$AS$47*100%</f>
        <v>1</v>
      </c>
      <c r="AU59" s="66">
        <f>COUNTIFS(TblUniv20196[D2],AU$48,TblUniv20196[Prodi],$AS$45)/$AS$47*100%</f>
        <v>0</v>
      </c>
      <c r="AV59" s="66">
        <f>COUNTIFS(TblUniv20196[D2],AV$48,TblUniv20196[Prodi],$AS$45)/$AS$47*100%</f>
        <v>0</v>
      </c>
      <c r="AW59" s="62">
        <f t="shared" si="6"/>
        <v>1</v>
      </c>
      <c r="AY59" s="57" t="s">
        <v>34</v>
      </c>
      <c r="AZ59" s="66">
        <f>COUNTIFS(TblUniv20196[D2],AZ$48,TblUniv20196[Prodi],$AZ$45)/$AZ$47*100%</f>
        <v>0.33333333333333331</v>
      </c>
      <c r="BA59" s="66">
        <f>COUNTIFS(TblUniv20196[D2],BA$48,TblUniv20196[Prodi],$AZ$45)/$AZ$47*100%</f>
        <v>0</v>
      </c>
      <c r="BB59" s="66">
        <f>COUNTIFS(TblUniv20196[D2],BB$48,TblUniv20196[Prodi],$AZ$45)/$AZ$47*100%</f>
        <v>0.66666666666666663</v>
      </c>
      <c r="BC59" s="66">
        <f>COUNTIFS(TblUniv20196[D2],BC$48,TblUniv20196[Prodi],$AZ$45)/$AZ$47*100%</f>
        <v>0</v>
      </c>
      <c r="BD59" s="62">
        <f t="shared" si="7"/>
        <v>1</v>
      </c>
      <c r="BF59" s="57" t="s">
        <v>34</v>
      </c>
      <c r="BG59" s="66">
        <f>COUNTIFS(TblUniv20196[D2],BG$48,TblUniv20196[Prodi],$BG$45)/$BG$47*100%</f>
        <v>0.5</v>
      </c>
      <c r="BH59" s="66">
        <f>COUNTIFS(TblUniv20196[D2],BH$48,TblUniv20196[Prodi],$BG$45)/$BG$47*100%</f>
        <v>0.5</v>
      </c>
      <c r="BI59" s="66">
        <f>COUNTIFS(TblUniv20196[D2],BI$48,TblUniv20196[Prodi],$BG$45)/$BG$47*100%</f>
        <v>0</v>
      </c>
      <c r="BJ59" s="66">
        <f>COUNTIFS(TblUniv20196[D2],BJ$48,TblUniv20196[Prodi],$BG$45)/$BG$47*100%</f>
        <v>0</v>
      </c>
      <c r="BK59" s="62">
        <f t="shared" si="8"/>
        <v>1</v>
      </c>
      <c r="BM59" s="57" t="s">
        <v>34</v>
      </c>
      <c r="BN59" s="66">
        <f>COUNTIFS(TblUniv20196[D2],BN$48,TblUniv20196[Prodi],$BN$45)/$BN$47*100%</f>
        <v>0</v>
      </c>
      <c r="BO59" s="66">
        <f>COUNTIFS(TblUniv20196[D2],BO$48,TblUniv20196[Prodi],$BN$45)/$BN$47*100%</f>
        <v>0.5</v>
      </c>
      <c r="BP59" s="66">
        <f>COUNTIFS(TblUniv20196[D2],BP$48,TblUniv20196[Prodi],$BN$45)/$BN$47*100%</f>
        <v>0.5</v>
      </c>
      <c r="BQ59" s="66">
        <f>COUNTIFS(TblUniv20196[D2],BQ$48,TblUniv20196[Prodi],$BN$45)/$BN$47*100%</f>
        <v>0</v>
      </c>
      <c r="BR59" s="62">
        <f t="shared" si="9"/>
        <v>1</v>
      </c>
    </row>
    <row r="60" spans="2:70" ht="16.5" x14ac:dyDescent="0.3">
      <c r="B60" s="60"/>
      <c r="C60" s="61">
        <f>AVERAGE(C58:C59)</f>
        <v>0.39189189189189189</v>
      </c>
      <c r="D60" s="61">
        <f>AVERAGE(D58:D59)</f>
        <v>0.39189189189189189</v>
      </c>
      <c r="E60" s="61">
        <f>AVERAGE(E58:E59)</f>
        <v>0.21621621621621623</v>
      </c>
      <c r="F60" s="61">
        <f>AVERAGE(F58:F59)</f>
        <v>0</v>
      </c>
      <c r="G60" s="62">
        <f t="shared" si="0"/>
        <v>1</v>
      </c>
      <c r="I60" s="60"/>
      <c r="J60" s="61">
        <f>AVERAGE(J58:J59)</f>
        <v>0.2</v>
      </c>
      <c r="K60" s="61">
        <f>AVERAGE(K58:K59)</f>
        <v>0.4</v>
      </c>
      <c r="L60" s="61">
        <f>AVERAGE(L58:L59)</f>
        <v>0.4</v>
      </c>
      <c r="M60" s="61">
        <f>AVERAGE(M58:M59)</f>
        <v>0</v>
      </c>
      <c r="N60" s="62">
        <f t="shared" si="1"/>
        <v>1</v>
      </c>
      <c r="P60" s="60"/>
      <c r="Q60" s="61">
        <f>AVERAGE(Q58:Q59)</f>
        <v>0.21428571428571427</v>
      </c>
      <c r="R60" s="61">
        <f>AVERAGE(R58:R59)</f>
        <v>0.5</v>
      </c>
      <c r="S60" s="61">
        <f>AVERAGE(S58:S59)</f>
        <v>0.2857142857142857</v>
      </c>
      <c r="T60" s="61">
        <f>AVERAGE(T58:T59)</f>
        <v>0</v>
      </c>
      <c r="U60" s="62">
        <f t="shared" si="2"/>
        <v>1</v>
      </c>
      <c r="W60" s="60"/>
      <c r="X60" s="61">
        <f>AVERAGE(X58:X59)</f>
        <v>1</v>
      </c>
      <c r="Y60" s="61">
        <f>AVERAGE(Y58:Y59)</f>
        <v>0</v>
      </c>
      <c r="Z60" s="61">
        <f>AVERAGE(Z58:Z59)</f>
        <v>0</v>
      </c>
      <c r="AA60" s="61">
        <f>AVERAGE(AA58:AA59)</f>
        <v>0</v>
      </c>
      <c r="AB60" s="62">
        <f t="shared" si="3"/>
        <v>1</v>
      </c>
      <c r="AD60" s="60"/>
      <c r="AE60" s="61">
        <f>AVERAGE(AE58:AE59)</f>
        <v>0.53333333333333333</v>
      </c>
      <c r="AF60" s="61">
        <f>AVERAGE(AF58:AF59)</f>
        <v>0.36666666666666664</v>
      </c>
      <c r="AG60" s="61">
        <f>AVERAGE(AG58:AG59)</f>
        <v>0.1</v>
      </c>
      <c r="AH60" s="61">
        <f>AVERAGE(AH58:AH59)</f>
        <v>0</v>
      </c>
      <c r="AI60" s="62">
        <f t="shared" si="4"/>
        <v>0.99999999999999989</v>
      </c>
      <c r="AK60" s="60"/>
      <c r="AL60" s="61">
        <f>AVERAGE(AL58:AL59)</f>
        <v>0</v>
      </c>
      <c r="AM60" s="61">
        <f>AVERAGE(AM58:AM59)</f>
        <v>1</v>
      </c>
      <c r="AN60" s="61">
        <f>AVERAGE(AN58:AN59)</f>
        <v>0</v>
      </c>
      <c r="AO60" s="61">
        <f>AVERAGE(AO58:AO59)</f>
        <v>0</v>
      </c>
      <c r="AP60" s="62">
        <f t="shared" si="5"/>
        <v>1</v>
      </c>
      <c r="AR60" s="60"/>
      <c r="AS60" s="61">
        <f>AVERAGE(AS58:AS59)</f>
        <v>0.5</v>
      </c>
      <c r="AT60" s="61">
        <f>AVERAGE(AT58:AT59)</f>
        <v>0.5</v>
      </c>
      <c r="AU60" s="61">
        <f>AVERAGE(AU58:AU59)</f>
        <v>0</v>
      </c>
      <c r="AV60" s="61">
        <f>AVERAGE(AV58:AV59)</f>
        <v>0</v>
      </c>
      <c r="AW60" s="62">
        <f t="shared" si="6"/>
        <v>1</v>
      </c>
      <c r="AY60" s="60"/>
      <c r="AZ60" s="61">
        <f>AVERAGE(AZ58:AZ59)</f>
        <v>0.16666666666666666</v>
      </c>
      <c r="BA60" s="61">
        <f>AVERAGE(BA58:BA59)</f>
        <v>0.16666666666666666</v>
      </c>
      <c r="BB60" s="61">
        <f>AVERAGE(BB58:BB59)</f>
        <v>0.66666666666666663</v>
      </c>
      <c r="BC60" s="61">
        <f>AVERAGE(BC58:BC59)</f>
        <v>0</v>
      </c>
      <c r="BD60" s="62">
        <f t="shared" si="7"/>
        <v>1</v>
      </c>
      <c r="BF60" s="60"/>
      <c r="BG60" s="61">
        <f>AVERAGE(BG58:BG59)</f>
        <v>0.75</v>
      </c>
      <c r="BH60" s="61">
        <f>AVERAGE(BH58:BH59)</f>
        <v>0.25</v>
      </c>
      <c r="BI60" s="61">
        <f>AVERAGE(BI58:BI59)</f>
        <v>0</v>
      </c>
      <c r="BJ60" s="61">
        <f>AVERAGE(BJ58:BJ59)</f>
        <v>0</v>
      </c>
      <c r="BK60" s="62">
        <f t="shared" si="8"/>
        <v>1</v>
      </c>
      <c r="BM60" s="60"/>
      <c r="BN60" s="61">
        <f>AVERAGE(BN58:BN59)</f>
        <v>0.25</v>
      </c>
      <c r="BO60" s="61">
        <f>AVERAGE(BO58:BO59)</f>
        <v>0.5</v>
      </c>
      <c r="BP60" s="61">
        <f>AVERAGE(BP58:BP59)</f>
        <v>0.25</v>
      </c>
      <c r="BQ60" s="61">
        <f>AVERAGE(BQ58:BQ59)</f>
        <v>0</v>
      </c>
      <c r="BR60" s="62">
        <f t="shared" si="9"/>
        <v>1</v>
      </c>
    </row>
    <row r="61" spans="2:70" ht="16.5" x14ac:dyDescent="0.3">
      <c r="B61" s="57" t="s">
        <v>35</v>
      </c>
      <c r="C61" s="66">
        <f>COUNTIFS(TblUniv20196[E1],C$48)/$C$47*100%</f>
        <v>0.72972972972972971</v>
      </c>
      <c r="D61" s="66">
        <f>COUNTIFS(TblUniv20196[E1],D$48)/$C$47*100%</f>
        <v>0.27027027027027029</v>
      </c>
      <c r="E61" s="66">
        <f>COUNTIFS(TblUniv20196[E1],E$48)/$C$47*100%</f>
        <v>0</v>
      </c>
      <c r="F61" s="66">
        <f>COUNTIFS(TblUniv20196[E1],F$48)/$C$47*100%</f>
        <v>0</v>
      </c>
      <c r="G61" s="62">
        <f t="shared" si="0"/>
        <v>1</v>
      </c>
      <c r="I61" s="57" t="s">
        <v>35</v>
      </c>
      <c r="J61" s="66">
        <f>COUNTIFS(TblUniv20196[E1],J$48,TblUniv20196[Prodi],$J$45)/$J$47*100%</f>
        <v>0.8</v>
      </c>
      <c r="K61" s="66">
        <f>COUNTIFS(TblUniv20196[E1],K$48,TblUniv20196[Prodi],$J$45)/$J$47*100%</f>
        <v>0.2</v>
      </c>
      <c r="L61" s="66">
        <f>COUNTIFS(TblUniv20196[E1],L$48,TblUniv20196[Prodi],$J$45)/$J$47*100%</f>
        <v>0</v>
      </c>
      <c r="M61" s="66">
        <f>COUNTIFS(TblUniv20196[E1],M$48,TblUniv20196[Prodi],$J$45)/$J$47*100%</f>
        <v>0</v>
      </c>
      <c r="N61" s="62">
        <f t="shared" si="1"/>
        <v>1</v>
      </c>
      <c r="P61" s="57" t="s">
        <v>35</v>
      </c>
      <c r="Q61" s="66">
        <f>COUNTIFS(TblUniv20196[E1],Q$48,TblUniv20196[Prodi],$Q$45)/$Q$47*100%</f>
        <v>0.7142857142857143</v>
      </c>
      <c r="R61" s="66">
        <f>COUNTIFS(TblUniv20196[E1],R$48,TblUniv20196[Prodi],$Q$45)/$Q$47*100%</f>
        <v>0.2857142857142857</v>
      </c>
      <c r="S61" s="66">
        <f>COUNTIFS(TblUniv20196[E1],S$48,TblUniv20196[Prodi],$Q$45)/$Q$47*100%</f>
        <v>0</v>
      </c>
      <c r="T61" s="66">
        <f>COUNTIFS(TblUniv20196[E1],T$48,TblUniv20196[Prodi],$Q$45)/$Q$47*100%</f>
        <v>0</v>
      </c>
      <c r="U61" s="62">
        <f t="shared" si="2"/>
        <v>1</v>
      </c>
      <c r="W61" s="57" t="s">
        <v>35</v>
      </c>
      <c r="X61" s="66">
        <f>COUNTIFS(TblUniv20196[E1],X$48,TblUniv20196[Prodi],$X$45)/$X$47*100%</f>
        <v>1</v>
      </c>
      <c r="Y61" s="66">
        <f>COUNTIFS(TblUniv20196[E1],Y$48,TblUniv20196[Prodi],$X$45)/$X$47*100%</f>
        <v>0</v>
      </c>
      <c r="Z61" s="66">
        <f>COUNTIFS(TblUniv20196[E1],Z$48,TblUniv20196[Prodi],$X$45)/$X$47*100%</f>
        <v>0</v>
      </c>
      <c r="AA61" s="66">
        <f>COUNTIFS(TblUniv20196[E1],AA$48,TblUniv20196[Prodi],$X$45)/$X$47*100%</f>
        <v>0</v>
      </c>
      <c r="AB61" s="62">
        <f t="shared" si="3"/>
        <v>1</v>
      </c>
      <c r="AD61" s="57" t="s">
        <v>35</v>
      </c>
      <c r="AE61" s="66">
        <f>COUNTIFS(TblUniv20196[E1],AE$48,TblUniv20196[Prodi],$AE$45)/$AE$47*100%</f>
        <v>0.66666666666666663</v>
      </c>
      <c r="AF61" s="66">
        <f>COUNTIFS(TblUniv20196[E1],AF$48,TblUniv20196[Prodi],$AE$45)/$AE$47*100%</f>
        <v>0.33333333333333331</v>
      </c>
      <c r="AG61" s="66">
        <f>COUNTIFS(TblUniv20196[E1],AG$48,TblUniv20196[Prodi],$AE$45)/$AE$47*100%</f>
        <v>0</v>
      </c>
      <c r="AH61" s="66">
        <f>COUNTIFS(TblUniv20196[E1],AH$48,TblUniv20196[Prodi],$AE$45)/$AE$47*100%</f>
        <v>0</v>
      </c>
      <c r="AI61" s="62">
        <f t="shared" si="4"/>
        <v>1</v>
      </c>
      <c r="AK61" s="57" t="s">
        <v>35</v>
      </c>
      <c r="AL61" s="66">
        <f>COUNTIFS(TblUniv20196[E1],AL$48,TblUniv20196[Prodi],$AL$45)/$AL$47*100%</f>
        <v>1</v>
      </c>
      <c r="AM61" s="66">
        <f>COUNTIFS(TblUniv20196[E1],AM$48,TblUniv20196[Prodi],$AL$45)/$AL$47*100%</f>
        <v>0</v>
      </c>
      <c r="AN61" s="66">
        <f>COUNTIFS(TblUniv20196[E1],AN$48,TblUniv20196[Prodi],$AL$45)/$AL$47*100%</f>
        <v>0</v>
      </c>
      <c r="AO61" s="66">
        <f>COUNTIFS(TblUniv20196[E1],AO$48,TblUniv20196[Prodi],$AL$45)/$AL$47*100%</f>
        <v>0</v>
      </c>
      <c r="AP61" s="62">
        <f t="shared" si="5"/>
        <v>1</v>
      </c>
      <c r="AR61" s="57" t="s">
        <v>35</v>
      </c>
      <c r="AS61" s="66">
        <f>COUNTIFS(TblUniv20196[E1],AS$48,TblUniv20196[Prodi],$AS$45)/$AS$47*100%</f>
        <v>0</v>
      </c>
      <c r="AT61" s="66">
        <f>COUNTIFS(TblUniv20196[E1],AT$48,TblUniv20196[Prodi],$AS$45)/$AS$47*100%</f>
        <v>1</v>
      </c>
      <c r="AU61" s="66">
        <f>COUNTIFS(TblUniv20196[E1],AU$48,TblUniv20196[Prodi],$AS$45)/$AS$47*100%</f>
        <v>0</v>
      </c>
      <c r="AV61" s="66">
        <f>COUNTIFS(TblUniv20196[E1],AV$48,TblUniv20196[Prodi],$AS$45)/$AS$47*100%</f>
        <v>0</v>
      </c>
      <c r="AW61" s="62">
        <f t="shared" si="6"/>
        <v>1</v>
      </c>
      <c r="AY61" s="57" t="s">
        <v>35</v>
      </c>
      <c r="AZ61" s="66">
        <f>COUNTIFS(TblUniv20196[E1],AZ$48,TblUniv20196[Prodi],$AZ$45)/$AZ$47*100%</f>
        <v>0.66666666666666663</v>
      </c>
      <c r="BA61" s="66">
        <f>COUNTIFS(TblUniv20196[E1],BA$48,TblUniv20196[Prodi],$AZ$45)/$AZ$47*100%</f>
        <v>0.33333333333333331</v>
      </c>
      <c r="BB61" s="66">
        <f>COUNTIFS(TblUniv20196[E1],BB$48,TblUniv20196[Prodi],$AZ$45)/$AZ$47*100%</f>
        <v>0</v>
      </c>
      <c r="BC61" s="66">
        <f>COUNTIFS(TblUniv20196[E1],BC$48,TblUniv20196[Prodi],$AZ$45)/$AZ$47*100%</f>
        <v>0</v>
      </c>
      <c r="BD61" s="62">
        <f t="shared" si="7"/>
        <v>1</v>
      </c>
      <c r="BF61" s="57" t="s">
        <v>35</v>
      </c>
      <c r="BG61" s="66">
        <f>COUNTIFS(TblUniv20196[E1],BG$48,TblUniv20196[Prodi],$BG$45)/$BG$47*100%</f>
        <v>1</v>
      </c>
      <c r="BH61" s="66">
        <f>COUNTIFS(TblUniv20196[E1],BH$48,TblUniv20196[Prodi],$BG$45)/$BG$47*100%</f>
        <v>0</v>
      </c>
      <c r="BI61" s="66">
        <f>COUNTIFS(TblUniv20196[E1],BI$48,TblUniv20196[Prodi],$BG$45)/$BG$47*100%</f>
        <v>0</v>
      </c>
      <c r="BJ61" s="66">
        <f>COUNTIFS(TblUniv20196[E1],BJ$48,TblUniv20196[Prodi],$BG$45)/$BG$47*100%</f>
        <v>0</v>
      </c>
      <c r="BK61" s="62">
        <f t="shared" si="8"/>
        <v>1</v>
      </c>
      <c r="BM61" s="57" t="s">
        <v>35</v>
      </c>
      <c r="BN61" s="66">
        <f>COUNTIFS(TblUniv20196[E1],BN$48,TblUniv20196[Prodi],$BN$45)/$BN$47*100%</f>
        <v>1</v>
      </c>
      <c r="BO61" s="66">
        <f>COUNTIFS(TblUniv20196[E1],BO$48,TblUniv20196[Prodi],$BN$45)/$BN$47*100%</f>
        <v>0</v>
      </c>
      <c r="BP61" s="66">
        <f>COUNTIFS(TblUniv20196[E1],BP$48,TblUniv20196[Prodi],$BN$45)/$BN$47*100%</f>
        <v>0</v>
      </c>
      <c r="BQ61" s="66">
        <f>COUNTIFS(TblUniv20196[E1],BQ$48,TblUniv20196[Prodi],$BN$45)/$BN$47*100%</f>
        <v>0</v>
      </c>
      <c r="BR61" s="62">
        <f t="shared" si="9"/>
        <v>1</v>
      </c>
    </row>
    <row r="62" spans="2:70" ht="16.5" x14ac:dyDescent="0.3">
      <c r="B62" s="57" t="s">
        <v>36</v>
      </c>
      <c r="C62" s="66">
        <f>COUNTIFS(TblUniv20196[E2],C$48)/$C$47*100%</f>
        <v>0.7567567567567568</v>
      </c>
      <c r="D62" s="66">
        <f>COUNTIFS(TblUniv20196[E2],D$48)/$C$47*100%</f>
        <v>0.24324324324324326</v>
      </c>
      <c r="E62" s="66">
        <f>COUNTIFS(TblUniv20196[E2],E$48)/$C$47*100%</f>
        <v>0</v>
      </c>
      <c r="F62" s="66">
        <f>COUNTIFS(TblUniv20196[E2],F$48)/$C$47*100%</f>
        <v>0</v>
      </c>
      <c r="G62" s="62">
        <f t="shared" si="0"/>
        <v>1</v>
      </c>
      <c r="I62" s="57" t="s">
        <v>36</v>
      </c>
      <c r="J62" s="66">
        <f>COUNTIFS(TblUniv20196[E2],J$48,TblUniv20196[Prodi],$J$45)/$J$47*100%</f>
        <v>0.6</v>
      </c>
      <c r="K62" s="66">
        <f>COUNTIFS(TblUniv20196[E2],K$48,TblUniv20196[Prodi],$J$45)/$J$47*100%</f>
        <v>0.4</v>
      </c>
      <c r="L62" s="66">
        <f>COUNTIFS(TblUniv20196[E2],L$48,TblUniv20196[Prodi],$J$45)/$J$47*100%</f>
        <v>0</v>
      </c>
      <c r="M62" s="66">
        <f>COUNTIFS(TblUniv20196[E2],M$48,TblUniv20196[Prodi],$J$45)/$J$47*100%</f>
        <v>0</v>
      </c>
      <c r="N62" s="62">
        <f t="shared" si="1"/>
        <v>1</v>
      </c>
      <c r="P62" s="57" t="s">
        <v>36</v>
      </c>
      <c r="Q62" s="66">
        <f>COUNTIFS(TblUniv20196[E2],Q$48,TblUniv20196[Prodi],$Q$45)/$Q$47*100%</f>
        <v>0.7142857142857143</v>
      </c>
      <c r="R62" s="66">
        <f>COUNTIFS(TblUniv20196[E2],R$48,TblUniv20196[Prodi],$Q$45)/$Q$47*100%</f>
        <v>0.2857142857142857</v>
      </c>
      <c r="S62" s="66">
        <f>COUNTIFS(TblUniv20196[E2],S$48,TblUniv20196[Prodi],$Q$45)/$Q$47*100%</f>
        <v>0</v>
      </c>
      <c r="T62" s="66">
        <f>COUNTIFS(TblUniv20196[E2],T$48,TblUniv20196[Prodi],$Q$45)/$Q$47*100%</f>
        <v>0</v>
      </c>
      <c r="U62" s="62">
        <f t="shared" si="2"/>
        <v>1</v>
      </c>
      <c r="W62" s="57" t="s">
        <v>36</v>
      </c>
      <c r="X62" s="66">
        <f>COUNTIFS(TblUniv20196[E2],X$48,TblUniv20196[Prodi],$X$45)/$X$47*100%</f>
        <v>1</v>
      </c>
      <c r="Y62" s="66">
        <f>COUNTIFS(TblUniv20196[E2],Y$48,TblUniv20196[Prodi],$X$45)/$X$47*100%</f>
        <v>0</v>
      </c>
      <c r="Z62" s="66">
        <f>COUNTIFS(TblUniv20196[E2],Z$48,TblUniv20196[Prodi],$X$45)/$X$47*100%</f>
        <v>0</v>
      </c>
      <c r="AA62" s="66">
        <f>COUNTIFS(TblUniv20196[E2],AA$48,TblUniv20196[Prodi],$X$45)/$X$47*100%</f>
        <v>0</v>
      </c>
      <c r="AB62" s="62">
        <f t="shared" si="3"/>
        <v>1</v>
      </c>
      <c r="AD62" s="57" t="s">
        <v>36</v>
      </c>
      <c r="AE62" s="66">
        <f>COUNTIFS(TblUniv20196[E2],AE$48,TblUniv20196[Prodi],$AE$45)/$AE$47*100%</f>
        <v>0.66666666666666663</v>
      </c>
      <c r="AF62" s="66">
        <f>COUNTIFS(TblUniv20196[E2],AF$48,TblUniv20196[Prodi],$AE$45)/$AE$47*100%</f>
        <v>0.33333333333333331</v>
      </c>
      <c r="AG62" s="66">
        <f>COUNTIFS(TblUniv20196[E2],AG$48,TblUniv20196[Prodi],$AE$45)/$AE$47*100%</f>
        <v>0</v>
      </c>
      <c r="AH62" s="66">
        <f>COUNTIFS(TblUniv20196[E2],AH$48,TblUniv20196[Prodi],$AE$45)/$AE$47*100%</f>
        <v>0</v>
      </c>
      <c r="AI62" s="62">
        <f t="shared" si="4"/>
        <v>1</v>
      </c>
      <c r="AK62" s="57" t="s">
        <v>36</v>
      </c>
      <c r="AL62" s="66">
        <f>COUNTIFS(TblUniv20196[E2],AL$48,TblUniv20196[Prodi],$AL$45)/$AL$47*100%</f>
        <v>1</v>
      </c>
      <c r="AM62" s="66">
        <f>COUNTIFS(TblUniv20196[E2],AM$48,TblUniv20196[Prodi],$AL$45)/$AL$47*100%</f>
        <v>0</v>
      </c>
      <c r="AN62" s="66">
        <f>COUNTIFS(TblUniv20196[E2],AN$48,TblUniv20196[Prodi],$AL$45)/$AL$47*100%</f>
        <v>0</v>
      </c>
      <c r="AO62" s="66">
        <f>COUNTIFS(TblUniv20196[E2],AO$48,TblUniv20196[Prodi],$AL$45)/$AL$47*100%</f>
        <v>0</v>
      </c>
      <c r="AP62" s="62">
        <f t="shared" si="5"/>
        <v>1</v>
      </c>
      <c r="AR62" s="57" t="s">
        <v>36</v>
      </c>
      <c r="AS62" s="66">
        <f>COUNTIFS(TblUniv20196[E2],AS$48,TblUniv20196[Prodi],$AS$45)/$AS$47*100%</f>
        <v>1</v>
      </c>
      <c r="AT62" s="66">
        <f>COUNTIFS(TblUniv20196[E2],AT$48,TblUniv20196[Prodi],$AS$45)/$AS$47*100%</f>
        <v>0</v>
      </c>
      <c r="AU62" s="66">
        <f>COUNTIFS(TblUniv20196[E2],AU$48,TblUniv20196[Prodi],$AS$45)/$AS$47*100%</f>
        <v>0</v>
      </c>
      <c r="AV62" s="66">
        <f>COUNTIFS(TblUniv20196[E2],AV$48,TblUniv20196[Prodi],$AS$45)/$AS$47*100%</f>
        <v>0</v>
      </c>
      <c r="AW62" s="62">
        <f t="shared" si="6"/>
        <v>1</v>
      </c>
      <c r="AY62" s="57" t="s">
        <v>36</v>
      </c>
      <c r="AZ62" s="66">
        <f>COUNTIFS(TblUniv20196[E2],AZ$48,TblUniv20196[Prodi],$AZ$45)/$AZ$47*100%</f>
        <v>1</v>
      </c>
      <c r="BA62" s="66">
        <f>COUNTIFS(TblUniv20196[E2],BA$48,TblUniv20196[Prodi],$AZ$45)/$AZ$47*100%</f>
        <v>0</v>
      </c>
      <c r="BB62" s="66">
        <f>COUNTIFS(TblUniv20196[E2],BB$48,TblUniv20196[Prodi],$AZ$45)/$AZ$47*100%</f>
        <v>0</v>
      </c>
      <c r="BC62" s="66">
        <f>COUNTIFS(TblUniv20196[E2],BC$48,TblUniv20196[Prodi],$AZ$45)/$AZ$47*100%</f>
        <v>0</v>
      </c>
      <c r="BD62" s="62">
        <f t="shared" si="7"/>
        <v>1</v>
      </c>
      <c r="BF62" s="57" t="s">
        <v>36</v>
      </c>
      <c r="BG62" s="66">
        <f>COUNTIFS(TblUniv20196[E2],BG$48,TblUniv20196[Prodi],$BG$45)/$BG$47*100%</f>
        <v>1</v>
      </c>
      <c r="BH62" s="66">
        <f>COUNTIFS(TblUniv20196[E2],BH$48,TblUniv20196[Prodi],$BG$45)/$BG$47*100%</f>
        <v>0</v>
      </c>
      <c r="BI62" s="66">
        <f>COUNTIFS(TblUniv20196[E2],BI$48,TblUniv20196[Prodi],$BG$45)/$BG$47*100%</f>
        <v>0</v>
      </c>
      <c r="BJ62" s="66">
        <f>COUNTIFS(TblUniv20196[E2],BJ$48,TblUniv20196[Prodi],$BG$45)/$BG$47*100%</f>
        <v>0</v>
      </c>
      <c r="BK62" s="62">
        <f t="shared" si="8"/>
        <v>1</v>
      </c>
      <c r="BM62" s="57" t="s">
        <v>36</v>
      </c>
      <c r="BN62" s="66">
        <f>COUNTIFS(TblUniv20196[E2],BN$48,TblUniv20196[Prodi],$BN$45)/$BN$47*100%</f>
        <v>1</v>
      </c>
      <c r="BO62" s="66">
        <f>COUNTIFS(TblUniv20196[E2],BO$48,TblUniv20196[Prodi],$BN$45)/$BN$47*100%</f>
        <v>0</v>
      </c>
      <c r="BP62" s="66">
        <f>COUNTIFS(TblUniv20196[E2],BP$48,TblUniv20196[Prodi],$BN$45)/$BN$47*100%</f>
        <v>0</v>
      </c>
      <c r="BQ62" s="66">
        <f>COUNTIFS(TblUniv20196[E2],BQ$48,TblUniv20196[Prodi],$BN$45)/$BN$47*100%</f>
        <v>0</v>
      </c>
      <c r="BR62" s="62">
        <f t="shared" si="9"/>
        <v>1</v>
      </c>
    </row>
    <row r="63" spans="2:70" ht="16.5" x14ac:dyDescent="0.3">
      <c r="B63" s="60"/>
      <c r="C63" s="61">
        <f>AVERAGE(C61:C62)</f>
        <v>0.7432432432432432</v>
      </c>
      <c r="D63" s="61">
        <f>AVERAGE(D61:D62)</f>
        <v>0.2567567567567568</v>
      </c>
      <c r="E63" s="61">
        <f>AVERAGE(E61:E62)</f>
        <v>0</v>
      </c>
      <c r="F63" s="61">
        <f>AVERAGE(F61:F62)</f>
        <v>0</v>
      </c>
      <c r="G63" s="62">
        <f t="shared" si="0"/>
        <v>1</v>
      </c>
      <c r="I63" s="60"/>
      <c r="J63" s="61">
        <f>AVERAGE(J61:J62)</f>
        <v>0.7</v>
      </c>
      <c r="K63" s="61">
        <f>AVERAGE(K61:K62)</f>
        <v>0.30000000000000004</v>
      </c>
      <c r="L63" s="61">
        <f>AVERAGE(L61:L62)</f>
        <v>0</v>
      </c>
      <c r="M63" s="61">
        <f>AVERAGE(M61:M62)</f>
        <v>0</v>
      </c>
      <c r="N63" s="62">
        <f t="shared" si="1"/>
        <v>1</v>
      </c>
      <c r="P63" s="60"/>
      <c r="Q63" s="61">
        <f>AVERAGE(Q61:Q62)</f>
        <v>0.7142857142857143</v>
      </c>
      <c r="R63" s="61">
        <f>AVERAGE(R61:R62)</f>
        <v>0.2857142857142857</v>
      </c>
      <c r="S63" s="61">
        <f>AVERAGE(S61:S62)</f>
        <v>0</v>
      </c>
      <c r="T63" s="61">
        <f>AVERAGE(T61:T62)</f>
        <v>0</v>
      </c>
      <c r="U63" s="62">
        <f t="shared" si="2"/>
        <v>1</v>
      </c>
      <c r="W63" s="60"/>
      <c r="X63" s="61">
        <f>AVERAGE(X61:X62)</f>
        <v>1</v>
      </c>
      <c r="Y63" s="61">
        <f>AVERAGE(Y61:Y62)</f>
        <v>0</v>
      </c>
      <c r="Z63" s="61">
        <f>AVERAGE(Z61:Z62)</f>
        <v>0</v>
      </c>
      <c r="AA63" s="61">
        <f>AVERAGE(AA61:AA62)</f>
        <v>0</v>
      </c>
      <c r="AB63" s="62">
        <f t="shared" si="3"/>
        <v>1</v>
      </c>
      <c r="AD63" s="60"/>
      <c r="AE63" s="61">
        <f>AVERAGE(AE61:AE62)</f>
        <v>0.66666666666666663</v>
      </c>
      <c r="AF63" s="61">
        <f>AVERAGE(AF61:AF62)</f>
        <v>0.33333333333333331</v>
      </c>
      <c r="AG63" s="61">
        <f>AVERAGE(AG61:AG62)</f>
        <v>0</v>
      </c>
      <c r="AH63" s="61">
        <f>AVERAGE(AH61:AH62)</f>
        <v>0</v>
      </c>
      <c r="AI63" s="62">
        <f t="shared" si="4"/>
        <v>1</v>
      </c>
      <c r="AK63" s="60"/>
      <c r="AL63" s="61">
        <f>AVERAGE(AL61:AL62)</f>
        <v>1</v>
      </c>
      <c r="AM63" s="61">
        <f>AVERAGE(AM61:AM62)</f>
        <v>0</v>
      </c>
      <c r="AN63" s="61">
        <f>AVERAGE(AN61:AN62)</f>
        <v>0</v>
      </c>
      <c r="AO63" s="61">
        <f>AVERAGE(AO61:AO62)</f>
        <v>0</v>
      </c>
      <c r="AP63" s="62">
        <f t="shared" si="5"/>
        <v>1</v>
      </c>
      <c r="AR63" s="60"/>
      <c r="AS63" s="61">
        <f>AVERAGE(AS61:AS62)</f>
        <v>0.5</v>
      </c>
      <c r="AT63" s="61">
        <f>AVERAGE(AT61:AT62)</f>
        <v>0.5</v>
      </c>
      <c r="AU63" s="61">
        <f>AVERAGE(AU61:AU62)</f>
        <v>0</v>
      </c>
      <c r="AV63" s="61">
        <f>AVERAGE(AV61:AV62)</f>
        <v>0</v>
      </c>
      <c r="AW63" s="62">
        <f t="shared" si="6"/>
        <v>1</v>
      </c>
      <c r="AY63" s="60"/>
      <c r="AZ63" s="61">
        <f>AVERAGE(AZ61:AZ62)</f>
        <v>0.83333333333333326</v>
      </c>
      <c r="BA63" s="61">
        <f>AVERAGE(BA61:BA62)</f>
        <v>0.16666666666666666</v>
      </c>
      <c r="BB63" s="61">
        <f>AVERAGE(BB61:BB62)</f>
        <v>0</v>
      </c>
      <c r="BC63" s="61">
        <f>AVERAGE(BC61:BC62)</f>
        <v>0</v>
      </c>
      <c r="BD63" s="62">
        <f t="shared" si="7"/>
        <v>0.99999999999999989</v>
      </c>
      <c r="BF63" s="60"/>
      <c r="BG63" s="61">
        <f>AVERAGE(BG61:BG62)</f>
        <v>1</v>
      </c>
      <c r="BH63" s="61">
        <f>AVERAGE(BH61:BH62)</f>
        <v>0</v>
      </c>
      <c r="BI63" s="61">
        <f>AVERAGE(BI61:BI62)</f>
        <v>0</v>
      </c>
      <c r="BJ63" s="61">
        <f>AVERAGE(BJ61:BJ62)</f>
        <v>0</v>
      </c>
      <c r="BK63" s="62">
        <f t="shared" si="8"/>
        <v>1</v>
      </c>
      <c r="BM63" s="60"/>
      <c r="BN63" s="61">
        <f>AVERAGE(BN61:BN62)</f>
        <v>1</v>
      </c>
      <c r="BO63" s="61">
        <f>AVERAGE(BO61:BO62)</f>
        <v>0</v>
      </c>
      <c r="BP63" s="61">
        <f>AVERAGE(BP61:BP62)</f>
        <v>0</v>
      </c>
      <c r="BQ63" s="61">
        <f>AVERAGE(BQ61:BQ62)</f>
        <v>0</v>
      </c>
      <c r="BR63" s="62">
        <f t="shared" si="9"/>
        <v>1</v>
      </c>
    </row>
    <row r="64" spans="2:70" ht="16.5" x14ac:dyDescent="0.3">
      <c r="B64" s="57" t="s">
        <v>37</v>
      </c>
      <c r="C64" s="66">
        <f>COUNTIFS(TblUniv20196[F1],C$48)/$C$47*100%</f>
        <v>0.48648648648648651</v>
      </c>
      <c r="D64" s="66">
        <f>COUNTIFS(TblUniv20196[F1],D$48)/$C$47*100%</f>
        <v>0.51351351351351349</v>
      </c>
      <c r="E64" s="66">
        <f>COUNTIFS(TblUniv20196[F1],E$48)/$C$47*100%</f>
        <v>0</v>
      </c>
      <c r="F64" s="66">
        <f>COUNTIFS(TblUniv20196[F1],F$48)/$C$47*100%</f>
        <v>0</v>
      </c>
      <c r="G64" s="62">
        <f t="shared" si="0"/>
        <v>1</v>
      </c>
      <c r="I64" s="57" t="s">
        <v>37</v>
      </c>
      <c r="J64" s="66">
        <f>COUNTIFS(TblUniv20196[F1],J$48,TblUniv20196[Prodi],$J$45)/$J$47*100%</f>
        <v>0.2</v>
      </c>
      <c r="K64" s="66">
        <f>COUNTIFS(TblUniv20196[F1],K$48,TblUniv20196[Prodi],$J$45)/$J$47*100%</f>
        <v>0.8</v>
      </c>
      <c r="L64" s="66">
        <f>COUNTIFS(TblUniv20196[F1],L$48,TblUniv20196[Prodi],$J$45)/$J$47*100%</f>
        <v>0</v>
      </c>
      <c r="M64" s="66">
        <f>COUNTIFS(TblUniv20196[F1],M$48,TblUniv20196[Prodi],$J$45)/$J$47*100%</f>
        <v>0</v>
      </c>
      <c r="N64" s="62">
        <f t="shared" si="1"/>
        <v>1</v>
      </c>
      <c r="P64" s="57" t="s">
        <v>37</v>
      </c>
      <c r="Q64" s="66">
        <f>COUNTIFS(TblUniv20196[F1],Q$48,TblUniv20196[Prodi],$Q$45)/$Q$47*100%</f>
        <v>0.14285714285714285</v>
      </c>
      <c r="R64" s="66">
        <f>COUNTIFS(TblUniv20196[F1],R$48,TblUniv20196[Prodi],$Q$45)/$Q$47*100%</f>
        <v>0.8571428571428571</v>
      </c>
      <c r="S64" s="66">
        <f>COUNTIFS(TblUniv20196[F1],S$48,TblUniv20196[Prodi],$Q$45)/$Q$47*100%</f>
        <v>0</v>
      </c>
      <c r="T64" s="66">
        <f>COUNTIFS(TblUniv20196[F1],T$48,TblUniv20196[Prodi],$Q$45)/$Q$47*100%</f>
        <v>0</v>
      </c>
      <c r="U64" s="62">
        <f t="shared" si="2"/>
        <v>1</v>
      </c>
      <c r="W64" s="57" t="s">
        <v>37</v>
      </c>
      <c r="X64" s="66">
        <f>COUNTIFS(TblUniv20196[F1],X$48,TblUniv20196[Prodi],$X$45)/$X$47*100%</f>
        <v>1</v>
      </c>
      <c r="Y64" s="66">
        <f>COUNTIFS(TblUniv20196[F1],Y$48,TblUniv20196[Prodi],$X$45)/$X$47*100%</f>
        <v>0</v>
      </c>
      <c r="Z64" s="66">
        <f>COUNTIFS(TblUniv20196[F1],Z$48,TblUniv20196[Prodi],$X$45)/$X$47*100%</f>
        <v>0</v>
      </c>
      <c r="AA64" s="66">
        <f>COUNTIFS(TblUniv20196[F1],AA$48,TblUniv20196[Prodi],$X$45)/$X$47*100%</f>
        <v>0</v>
      </c>
      <c r="AB64" s="62">
        <f t="shared" si="3"/>
        <v>1</v>
      </c>
      <c r="AD64" s="57" t="s">
        <v>37</v>
      </c>
      <c r="AE64" s="66">
        <f>COUNTIFS(TblUniv20196[F1],AE$48,TblUniv20196[Prodi],$AE$45)/$AE$47*100%</f>
        <v>0.73333333333333328</v>
      </c>
      <c r="AF64" s="66">
        <f>COUNTIFS(TblUniv20196[F1],AF$48,TblUniv20196[Prodi],$AE$45)/$AE$47*100%</f>
        <v>0.26666666666666666</v>
      </c>
      <c r="AG64" s="66">
        <f>COUNTIFS(TblUniv20196[F1],AG$48,TblUniv20196[Prodi],$AE$45)/$AE$47*100%</f>
        <v>0</v>
      </c>
      <c r="AH64" s="66">
        <f>COUNTIFS(TblUniv20196[F1],AH$48,TblUniv20196[Prodi],$AE$45)/$AE$47*100%</f>
        <v>0</v>
      </c>
      <c r="AI64" s="62">
        <f t="shared" si="4"/>
        <v>1</v>
      </c>
      <c r="AK64" s="57" t="s">
        <v>37</v>
      </c>
      <c r="AL64" s="66">
        <f>COUNTIFS(TblUniv20196[F1],AL$48,TblUniv20196[Prodi],$AL$45)/$AL$47*100%</f>
        <v>0</v>
      </c>
      <c r="AM64" s="66">
        <f>COUNTIFS(TblUniv20196[F1],AM$48,TblUniv20196[Prodi],$AL$45)/$AL$47*100%</f>
        <v>1</v>
      </c>
      <c r="AN64" s="66">
        <f>COUNTIFS(TblUniv20196[F1],AN$48,TblUniv20196[Prodi],$AL$45)/$AL$47*100%</f>
        <v>0</v>
      </c>
      <c r="AO64" s="66">
        <f>COUNTIFS(TblUniv20196[F1],AO$48,TblUniv20196[Prodi],$AL$45)/$AL$47*100%</f>
        <v>0</v>
      </c>
      <c r="AP64" s="62">
        <f t="shared" si="5"/>
        <v>1</v>
      </c>
      <c r="AR64" s="57" t="s">
        <v>37</v>
      </c>
      <c r="AS64" s="66">
        <f>COUNTIFS(TblUniv20196[F1],AS$48,TblUniv20196[Prodi],$AS$45)/$AS$47*100%</f>
        <v>0</v>
      </c>
      <c r="AT64" s="66">
        <f>COUNTIFS(TblUniv20196[F1],AT$48,TblUniv20196[Prodi],$AS$45)/$AS$47*100%</f>
        <v>1</v>
      </c>
      <c r="AU64" s="66">
        <f>COUNTIFS(TblUniv20196[F1],AU$48,TblUniv20196[Prodi],$AS$45)/$AS$47*100%</f>
        <v>0</v>
      </c>
      <c r="AV64" s="66">
        <f>COUNTIFS(TblUniv20196[F1],AV$48,TblUniv20196[Prodi],$AS$45)/$AS$47*100%</f>
        <v>0</v>
      </c>
      <c r="AW64" s="62">
        <f t="shared" si="6"/>
        <v>1</v>
      </c>
      <c r="AY64" s="57" t="s">
        <v>37</v>
      </c>
      <c r="AZ64" s="66">
        <f>COUNTIFS(TblUniv20196[F1],AZ$48,TblUniv20196[Prodi],$AZ$45)/$AZ$47*100%</f>
        <v>0</v>
      </c>
      <c r="BA64" s="66">
        <f>COUNTIFS(TblUniv20196[F1],BA$48,TblUniv20196[Prodi],$AZ$45)/$AZ$47*100%</f>
        <v>1</v>
      </c>
      <c r="BB64" s="66">
        <f>COUNTIFS(TblUniv20196[F1],BB$48,TblUniv20196[Prodi],$AZ$45)/$AZ$47*100%</f>
        <v>0</v>
      </c>
      <c r="BC64" s="66">
        <f>COUNTIFS(TblUniv20196[F1],BC$48,TblUniv20196[Prodi],$AZ$45)/$AZ$47*100%</f>
        <v>0</v>
      </c>
      <c r="BD64" s="62">
        <f t="shared" si="7"/>
        <v>1</v>
      </c>
      <c r="BF64" s="57" t="s">
        <v>37</v>
      </c>
      <c r="BG64" s="66">
        <f>COUNTIFS(TblUniv20196[F1],BG$48,TblUniv20196[Prodi],$BG$45)/$BG$47*100%</f>
        <v>1</v>
      </c>
      <c r="BH64" s="66">
        <f>COUNTIFS(TblUniv20196[F1],BH$48,TblUniv20196[Prodi],$BG$45)/$BG$47*100%</f>
        <v>0</v>
      </c>
      <c r="BI64" s="66">
        <f>COUNTIFS(TblUniv20196[F1],BI$48,TblUniv20196[Prodi],$BG$45)/$BG$47*100%</f>
        <v>0</v>
      </c>
      <c r="BJ64" s="66">
        <f>COUNTIFS(TblUniv20196[F1],BJ$48,TblUniv20196[Prodi],$BG$45)/$BG$47*100%</f>
        <v>0</v>
      </c>
      <c r="BK64" s="62">
        <f t="shared" si="8"/>
        <v>1</v>
      </c>
      <c r="BM64" s="57" t="s">
        <v>37</v>
      </c>
      <c r="BN64" s="66">
        <f>COUNTIFS(TblUniv20196[F1],BN$48,TblUniv20196[Prodi],$BN$45)/$BN$47*100%</f>
        <v>1</v>
      </c>
      <c r="BO64" s="66">
        <f>COUNTIFS(TblUniv20196[F1],BO$48,TblUniv20196[Prodi],$BN$45)/$BN$47*100%</f>
        <v>0</v>
      </c>
      <c r="BP64" s="66">
        <f>COUNTIFS(TblUniv20196[F1],BP$48,TblUniv20196[Prodi],$BN$45)/$BN$47*100%</f>
        <v>0</v>
      </c>
      <c r="BQ64" s="66">
        <f>COUNTIFS(TblUniv20196[F1],BQ$48,TblUniv20196[Prodi],$BN$45)/$BN$47*100%</f>
        <v>0</v>
      </c>
      <c r="BR64" s="62">
        <f t="shared" si="9"/>
        <v>1</v>
      </c>
    </row>
    <row r="65" spans="2:70" ht="16.5" x14ac:dyDescent="0.3">
      <c r="B65" s="57" t="s">
        <v>38</v>
      </c>
      <c r="C65" s="66">
        <f>COUNTIFS(TblUniv20196[F2],C$48)/$C$47*100%</f>
        <v>0.32432432432432434</v>
      </c>
      <c r="D65" s="66">
        <f>COUNTIFS(TblUniv20196[F2],D$48)/$C$47*100%</f>
        <v>0.64864864864864868</v>
      </c>
      <c r="E65" s="66">
        <f>COUNTIFS(TblUniv20196[F2],E$48)/$C$47*100%</f>
        <v>2.7027027027027029E-2</v>
      </c>
      <c r="F65" s="66">
        <f>COUNTIFS(TblUniv20196[F2],F$48)/$C$47*100%</f>
        <v>0</v>
      </c>
      <c r="G65" s="62">
        <f t="shared" si="0"/>
        <v>1</v>
      </c>
      <c r="I65" s="57" t="s">
        <v>38</v>
      </c>
      <c r="J65" s="66">
        <f>COUNTIFS(TblUniv20196[F2],J$48,TblUniv20196[Prodi],$J$45)/$J$47*100%</f>
        <v>0.2</v>
      </c>
      <c r="K65" s="66">
        <f>COUNTIFS(TblUniv20196[F2],K$48,TblUniv20196[Prodi],$J$45)/$J$47*100%</f>
        <v>0.8</v>
      </c>
      <c r="L65" s="66">
        <f>COUNTIFS(TblUniv20196[F2],L$48,TblUniv20196[Prodi],$J$45)/$J$47*100%</f>
        <v>0</v>
      </c>
      <c r="M65" s="66">
        <f>COUNTIFS(TblUniv20196[F2],M$48,TblUniv20196[Prodi],$J$45)/$J$47*100%</f>
        <v>0</v>
      </c>
      <c r="N65" s="62">
        <f t="shared" si="1"/>
        <v>1</v>
      </c>
      <c r="P65" s="57" t="s">
        <v>38</v>
      </c>
      <c r="Q65" s="66">
        <f>COUNTIFS(TblUniv20196[F2],Q$48,TblUniv20196[Prodi],$Q$45)/$Q$47*100%</f>
        <v>0.14285714285714285</v>
      </c>
      <c r="R65" s="66">
        <f>COUNTIFS(TblUniv20196[F2],R$48,TblUniv20196[Prodi],$Q$45)/$Q$47*100%</f>
        <v>0.8571428571428571</v>
      </c>
      <c r="S65" s="66">
        <f>COUNTIFS(TblUniv20196[F2],S$48,TblUniv20196[Prodi],$Q$45)/$Q$47*100%</f>
        <v>0</v>
      </c>
      <c r="T65" s="66">
        <f>COUNTIFS(TblUniv20196[F2],T$48,TblUniv20196[Prodi],$Q$45)/$Q$47*100%</f>
        <v>0</v>
      </c>
      <c r="U65" s="62">
        <f t="shared" si="2"/>
        <v>1</v>
      </c>
      <c r="W65" s="57" t="s">
        <v>38</v>
      </c>
      <c r="X65" s="66">
        <f>COUNTIFS(TblUniv20196[F2],X$48,TblUniv20196[Prodi],$X$45)/$X$47*100%</f>
        <v>1</v>
      </c>
      <c r="Y65" s="66">
        <f>COUNTIFS(TblUniv20196[F2],Y$48,TblUniv20196[Prodi],$X$45)/$X$47*100%</f>
        <v>0</v>
      </c>
      <c r="Z65" s="66">
        <f>COUNTIFS(TblUniv20196[F2],Z$48,TblUniv20196[Prodi],$X$45)/$X$47*100%</f>
        <v>0</v>
      </c>
      <c r="AA65" s="66">
        <f>COUNTIFS(TblUniv20196[F2],AA$48,TblUniv20196[Prodi],$X$45)/$X$47*100%</f>
        <v>0</v>
      </c>
      <c r="AB65" s="62">
        <f t="shared" si="3"/>
        <v>1</v>
      </c>
      <c r="AD65" s="57" t="s">
        <v>38</v>
      </c>
      <c r="AE65" s="66">
        <f>COUNTIFS(TblUniv20196[F2],AE$48,TblUniv20196[Prodi],$AE$45)/$AE$47*100%</f>
        <v>0.33333333333333331</v>
      </c>
      <c r="AF65" s="66">
        <f>COUNTIFS(TblUniv20196[F2],AF$48,TblUniv20196[Prodi],$AE$45)/$AE$47*100%</f>
        <v>0.6</v>
      </c>
      <c r="AG65" s="66">
        <f>COUNTIFS(TblUniv20196[F2],AG$48,TblUniv20196[Prodi],$AE$45)/$AE$47*100%</f>
        <v>6.6666666666666666E-2</v>
      </c>
      <c r="AH65" s="66">
        <f>COUNTIFS(TblUniv20196[F2],AH$48,TblUniv20196[Prodi],$AE$45)/$AE$47*100%</f>
        <v>0</v>
      </c>
      <c r="AI65" s="62">
        <f t="shared" si="4"/>
        <v>1</v>
      </c>
      <c r="AK65" s="57" t="s">
        <v>38</v>
      </c>
      <c r="AL65" s="66">
        <f>COUNTIFS(TblUniv20196[F2],AL$48,TblUniv20196[Prodi],$AL$45)/$AL$47*100%</f>
        <v>0</v>
      </c>
      <c r="AM65" s="66">
        <f>COUNTIFS(TblUniv20196[F2],AM$48,TblUniv20196[Prodi],$AL$45)/$AL$47*100%</f>
        <v>1</v>
      </c>
      <c r="AN65" s="66">
        <f>COUNTIFS(TblUniv20196[F2],AN$48,TblUniv20196[Prodi],$AL$45)/$AL$47*100%</f>
        <v>0</v>
      </c>
      <c r="AO65" s="66">
        <f>COUNTIFS(TblUniv20196[F2],AO$48,TblUniv20196[Prodi],$AL$45)/$AL$47*100%</f>
        <v>0</v>
      </c>
      <c r="AP65" s="62">
        <f t="shared" si="5"/>
        <v>1</v>
      </c>
      <c r="AR65" s="57" t="s">
        <v>38</v>
      </c>
      <c r="AS65" s="66">
        <f>COUNTIFS(TblUniv20196[F2],AS$48,TblUniv20196[Prodi],$AS$45)/$AS$47*100%</f>
        <v>1</v>
      </c>
      <c r="AT65" s="66">
        <f>COUNTIFS(TblUniv20196[F2],AT$48,TblUniv20196[Prodi],$AS$45)/$AS$47*100%</f>
        <v>0</v>
      </c>
      <c r="AU65" s="66">
        <f>COUNTIFS(TblUniv20196[F2],AU$48,TblUniv20196[Prodi],$AS$45)/$AS$47*100%</f>
        <v>0</v>
      </c>
      <c r="AV65" s="66">
        <f>COUNTIFS(TblUniv20196[F2],AV$48,TblUniv20196[Prodi],$AS$45)/$AS$47*100%</f>
        <v>0</v>
      </c>
      <c r="AW65" s="62">
        <f t="shared" si="6"/>
        <v>1</v>
      </c>
      <c r="AY65" s="57" t="s">
        <v>38</v>
      </c>
      <c r="AZ65" s="66">
        <f>COUNTIFS(TblUniv20196[F2],AZ$48,TblUniv20196[Prodi],$AZ$45)/$AZ$47*100%</f>
        <v>0.33333333333333331</v>
      </c>
      <c r="BA65" s="66">
        <f>COUNTIFS(TblUniv20196[F2],BA$48,TblUniv20196[Prodi],$AZ$45)/$AZ$47*100%</f>
        <v>0.66666666666666663</v>
      </c>
      <c r="BB65" s="66">
        <f>COUNTIFS(TblUniv20196[F2],BB$48,TblUniv20196[Prodi],$AZ$45)/$AZ$47*100%</f>
        <v>0</v>
      </c>
      <c r="BC65" s="66">
        <f>COUNTIFS(TblUniv20196[F2],BC$48,TblUniv20196[Prodi],$AZ$45)/$AZ$47*100%</f>
        <v>0</v>
      </c>
      <c r="BD65" s="62">
        <f t="shared" si="7"/>
        <v>1</v>
      </c>
      <c r="BF65" s="57" t="s">
        <v>38</v>
      </c>
      <c r="BG65" s="66">
        <f>COUNTIFS(TblUniv20196[F2],BG$48,TblUniv20196[Prodi],$BG$45)/$BG$47*100%</f>
        <v>1</v>
      </c>
      <c r="BH65" s="66">
        <f>COUNTIFS(TblUniv20196[F2],BH$48,TblUniv20196[Prodi],$BG$45)/$BG$47*100%</f>
        <v>0</v>
      </c>
      <c r="BI65" s="66">
        <f>COUNTIFS(TblUniv20196[F2],BI$48,TblUniv20196[Prodi],$BG$45)/$BG$47*100%</f>
        <v>0</v>
      </c>
      <c r="BJ65" s="66">
        <f>COUNTIFS(TblUniv20196[F2],BJ$48,TblUniv20196[Prodi],$BG$45)/$BG$47*100%</f>
        <v>0</v>
      </c>
      <c r="BK65" s="62">
        <f t="shared" si="8"/>
        <v>1</v>
      </c>
      <c r="BM65" s="57" t="s">
        <v>38</v>
      </c>
      <c r="BN65" s="66">
        <f>COUNTIFS(TblUniv20196[F2],BN$48,TblUniv20196[Prodi],$BN$45)/$BN$47*100%</f>
        <v>0</v>
      </c>
      <c r="BO65" s="66">
        <f>COUNTIFS(TblUniv20196[F2],BO$48,TblUniv20196[Prodi],$BN$45)/$BN$47*100%</f>
        <v>1</v>
      </c>
      <c r="BP65" s="66">
        <f>COUNTIFS(TblUniv20196[F2],BP$48,TblUniv20196[Prodi],$BN$45)/$BN$47*100%</f>
        <v>0</v>
      </c>
      <c r="BQ65" s="66">
        <f>COUNTIFS(TblUniv20196[F2],BQ$48,TblUniv20196[Prodi],$BN$45)/$BN$47*100%</f>
        <v>0</v>
      </c>
      <c r="BR65" s="62">
        <f t="shared" si="9"/>
        <v>1</v>
      </c>
    </row>
    <row r="66" spans="2:70" ht="16.5" x14ac:dyDescent="0.3">
      <c r="B66" s="57" t="s">
        <v>39</v>
      </c>
      <c r="C66" s="66">
        <f>COUNTIFS(TblUniv20196[F3],C$48)/$C$47*100%</f>
        <v>0.43243243243243246</v>
      </c>
      <c r="D66" s="66">
        <f>COUNTIFS(TblUniv20196[F3],D$48)/$C$47*100%</f>
        <v>0.54054054054054057</v>
      </c>
      <c r="E66" s="66">
        <f>COUNTIFS(TblUniv20196[F3],E$48)/$C$47*100%</f>
        <v>2.7027027027027029E-2</v>
      </c>
      <c r="F66" s="66">
        <f>COUNTIFS(TblUniv20196[F3],F$48)/$C$47*100%</f>
        <v>0</v>
      </c>
      <c r="G66" s="62">
        <f t="shared" si="0"/>
        <v>1</v>
      </c>
      <c r="I66" s="57" t="s">
        <v>39</v>
      </c>
      <c r="J66" s="66">
        <f>COUNTIFS(TblUniv20196[F3],J$48,TblUniv20196[Prodi],$J$45)/$J$47*100%</f>
        <v>0</v>
      </c>
      <c r="K66" s="66">
        <f>COUNTIFS(TblUniv20196[F3],K$48,TblUniv20196[Prodi],$J$45)/$J$47*100%</f>
        <v>1</v>
      </c>
      <c r="L66" s="66">
        <f>COUNTIFS(TblUniv20196[F3],L$48,TblUniv20196[Prodi],$J$45)/$J$47*100%</f>
        <v>0</v>
      </c>
      <c r="M66" s="66">
        <f>COUNTIFS(TblUniv20196[F3],M$48,TblUniv20196[Prodi],$J$45)/$J$47*100%</f>
        <v>0</v>
      </c>
      <c r="N66" s="62">
        <f t="shared" si="1"/>
        <v>1</v>
      </c>
      <c r="P66" s="57" t="s">
        <v>39</v>
      </c>
      <c r="Q66" s="66">
        <f>COUNTIFS(TblUniv20196[F3],Q$48,TblUniv20196[Prodi],$Q$45)/$Q$47*100%</f>
        <v>0.2857142857142857</v>
      </c>
      <c r="R66" s="66">
        <f>COUNTIFS(TblUniv20196[F3],R$48,TblUniv20196[Prodi],$Q$45)/$Q$47*100%</f>
        <v>0.7142857142857143</v>
      </c>
      <c r="S66" s="66">
        <f>COUNTIFS(TblUniv20196[F3],S$48,TblUniv20196[Prodi],$Q$45)/$Q$47*100%</f>
        <v>0</v>
      </c>
      <c r="T66" s="66">
        <f>COUNTIFS(TblUniv20196[F3],T$48,TblUniv20196[Prodi],$Q$45)/$Q$47*100%</f>
        <v>0</v>
      </c>
      <c r="U66" s="62">
        <f t="shared" si="2"/>
        <v>1</v>
      </c>
      <c r="W66" s="57" t="s">
        <v>39</v>
      </c>
      <c r="X66" s="66">
        <f>COUNTIFS(TblUniv20196[F3],X$48,TblUniv20196[Prodi],$X$45)/$X$47*100%</f>
        <v>0</v>
      </c>
      <c r="Y66" s="66">
        <f>COUNTIFS(TblUniv20196[F3],Y$48,TblUniv20196[Prodi],$X$45)/$X$47*100%</f>
        <v>1</v>
      </c>
      <c r="Z66" s="66">
        <f>COUNTIFS(TblUniv20196[F3],Z$48,TblUniv20196[Prodi],$X$45)/$X$47*100%</f>
        <v>0</v>
      </c>
      <c r="AA66" s="66">
        <f>COUNTIFS(TblUniv20196[F3],AA$48,TblUniv20196[Prodi],$X$45)/$X$47*100%</f>
        <v>0</v>
      </c>
      <c r="AB66" s="62">
        <f t="shared" si="3"/>
        <v>1</v>
      </c>
      <c r="AD66" s="57" t="s">
        <v>39</v>
      </c>
      <c r="AE66" s="66">
        <f>COUNTIFS(TblUniv20196[F3],AE$48,TblUniv20196[Prodi],$AE$45)/$AE$47*100%</f>
        <v>0.6</v>
      </c>
      <c r="AF66" s="66">
        <f>COUNTIFS(TblUniv20196[F3],AF$48,TblUniv20196[Prodi],$AE$45)/$AE$47*100%</f>
        <v>0.33333333333333331</v>
      </c>
      <c r="AG66" s="66">
        <f>COUNTIFS(TblUniv20196[F3],AG$48,TblUniv20196[Prodi],$AE$45)/$AE$47*100%</f>
        <v>6.6666666666666666E-2</v>
      </c>
      <c r="AH66" s="66">
        <f>COUNTIFS(TblUniv20196[F3],AH$48,TblUniv20196[Prodi],$AE$45)/$AE$47*100%</f>
        <v>0</v>
      </c>
      <c r="AI66" s="62">
        <f t="shared" si="4"/>
        <v>1</v>
      </c>
      <c r="AK66" s="57" t="s">
        <v>39</v>
      </c>
      <c r="AL66" s="66">
        <f>COUNTIFS(TblUniv20196[F3],AL$48,TblUniv20196[Prodi],$AL$45)/$AL$47*100%</f>
        <v>0</v>
      </c>
      <c r="AM66" s="66">
        <f>COUNTIFS(TblUniv20196[F3],AM$48,TblUniv20196[Prodi],$AL$45)/$AL$47*100%</f>
        <v>1</v>
      </c>
      <c r="AN66" s="66">
        <f>COUNTIFS(TblUniv20196[F3],AN$48,TblUniv20196[Prodi],$AL$45)/$AL$47*100%</f>
        <v>0</v>
      </c>
      <c r="AO66" s="66">
        <f>COUNTIFS(TblUniv20196[F3],AO$48,TblUniv20196[Prodi],$AL$45)/$AL$47*100%</f>
        <v>0</v>
      </c>
      <c r="AP66" s="62">
        <f t="shared" si="5"/>
        <v>1</v>
      </c>
      <c r="AR66" s="57" t="s">
        <v>39</v>
      </c>
      <c r="AS66" s="66">
        <f>COUNTIFS(TblUniv20196[F3],AS$48,TblUniv20196[Prodi],$AS$45)/$AS$47*100%</f>
        <v>1</v>
      </c>
      <c r="AT66" s="66">
        <f>COUNTIFS(TblUniv20196[F3],AT$48,TblUniv20196[Prodi],$AS$45)/$AS$47*100%</f>
        <v>0</v>
      </c>
      <c r="AU66" s="66">
        <f>COUNTIFS(TblUniv20196[F3],AU$48,TblUniv20196[Prodi],$AS$45)/$AS$47*100%</f>
        <v>0</v>
      </c>
      <c r="AV66" s="66">
        <f>COUNTIFS(TblUniv20196[F3],AV$48,TblUniv20196[Prodi],$AS$45)/$AS$47*100%</f>
        <v>0</v>
      </c>
      <c r="AW66" s="62">
        <f t="shared" si="6"/>
        <v>1</v>
      </c>
      <c r="AY66" s="57" t="s">
        <v>39</v>
      </c>
      <c r="AZ66" s="66">
        <f>COUNTIFS(TblUniv20196[F3],AZ$48,TblUniv20196[Prodi],$AZ$45)/$AZ$47*100%</f>
        <v>0</v>
      </c>
      <c r="BA66" s="66">
        <f>COUNTIFS(TblUniv20196[F3],BA$48,TblUniv20196[Prodi],$AZ$45)/$AZ$47*100%</f>
        <v>1</v>
      </c>
      <c r="BB66" s="66">
        <f>COUNTIFS(TblUniv20196[F3],BB$48,TblUniv20196[Prodi],$AZ$45)/$AZ$47*100%</f>
        <v>0</v>
      </c>
      <c r="BC66" s="66">
        <f>COUNTIFS(TblUniv20196[F3],BC$48,TblUniv20196[Prodi],$AZ$45)/$AZ$47*100%</f>
        <v>0</v>
      </c>
      <c r="BD66" s="62">
        <f t="shared" si="7"/>
        <v>1</v>
      </c>
      <c r="BF66" s="57" t="s">
        <v>39</v>
      </c>
      <c r="BG66" s="66">
        <f>COUNTIFS(TblUniv20196[F3],BG$48,TblUniv20196[Prodi],$BG$45)/$BG$47*100%</f>
        <v>1</v>
      </c>
      <c r="BH66" s="66">
        <f>COUNTIFS(TblUniv20196[F3],BH$48,TblUniv20196[Prodi],$BG$45)/$BG$47*100%</f>
        <v>0</v>
      </c>
      <c r="BI66" s="66">
        <f>COUNTIFS(TblUniv20196[F3],BI$48,TblUniv20196[Prodi],$BG$45)/$BG$47*100%</f>
        <v>0</v>
      </c>
      <c r="BJ66" s="66">
        <f>COUNTIFS(TblUniv20196[F3],BJ$48,TblUniv20196[Prodi],$BG$45)/$BG$47*100%</f>
        <v>0</v>
      </c>
      <c r="BK66" s="62">
        <f t="shared" si="8"/>
        <v>1</v>
      </c>
      <c r="BM66" s="57" t="s">
        <v>39</v>
      </c>
      <c r="BN66" s="66">
        <f>COUNTIFS(TblUniv20196[F3],BN$48,TblUniv20196[Prodi],$BN$45)/$BN$47*100%</f>
        <v>1</v>
      </c>
      <c r="BO66" s="66">
        <f>COUNTIFS(TblUniv20196[F3],BO$48,TblUniv20196[Prodi],$BN$45)/$BN$47*100%</f>
        <v>0</v>
      </c>
      <c r="BP66" s="66">
        <f>COUNTIFS(TblUniv20196[F3],BP$48,TblUniv20196[Prodi],$BN$45)/$BN$47*100%</f>
        <v>0</v>
      </c>
      <c r="BQ66" s="66">
        <f>COUNTIFS(TblUniv20196[F3],BQ$48,TblUniv20196[Prodi],$BN$45)/$BN$47*100%</f>
        <v>0</v>
      </c>
      <c r="BR66" s="62">
        <f t="shared" si="9"/>
        <v>1</v>
      </c>
    </row>
    <row r="67" spans="2:70" ht="16.5" x14ac:dyDescent="0.3">
      <c r="B67" s="60"/>
      <c r="C67" s="61">
        <f>AVERAGE(C64:C66)</f>
        <v>0.41441441441441446</v>
      </c>
      <c r="D67" s="61">
        <f>AVERAGE(D64:D66)</f>
        <v>0.56756756756756765</v>
      </c>
      <c r="E67" s="61">
        <f>AVERAGE(E64:E66)</f>
        <v>1.8018018018018018E-2</v>
      </c>
      <c r="F67" s="61">
        <f>AVERAGE(F64:F66)</f>
        <v>0</v>
      </c>
      <c r="G67" s="62">
        <f t="shared" si="0"/>
        <v>1.0000000000000002</v>
      </c>
      <c r="I67" s="60"/>
      <c r="J67" s="61">
        <f>AVERAGE(J64:J66)</f>
        <v>0.13333333333333333</v>
      </c>
      <c r="K67" s="61">
        <f>AVERAGE(K64:K66)</f>
        <v>0.8666666666666667</v>
      </c>
      <c r="L67" s="61">
        <f>AVERAGE(L64:L66)</f>
        <v>0</v>
      </c>
      <c r="M67" s="61">
        <f>AVERAGE(M64:M66)</f>
        <v>0</v>
      </c>
      <c r="N67" s="62">
        <f t="shared" si="1"/>
        <v>1</v>
      </c>
      <c r="P67" s="60"/>
      <c r="Q67" s="61">
        <f>AVERAGE(Q64:Q66)</f>
        <v>0.19047619047619047</v>
      </c>
      <c r="R67" s="61">
        <f>AVERAGE(R64:R66)</f>
        <v>0.80952380952380942</v>
      </c>
      <c r="S67" s="61">
        <f>AVERAGE(S64:S66)</f>
        <v>0</v>
      </c>
      <c r="T67" s="61">
        <f>AVERAGE(T64:T66)</f>
        <v>0</v>
      </c>
      <c r="U67" s="62">
        <f t="shared" si="2"/>
        <v>0.99999999999999989</v>
      </c>
      <c r="W67" s="60"/>
      <c r="X67" s="61">
        <f>AVERAGE(X64:X66)</f>
        <v>0.66666666666666663</v>
      </c>
      <c r="Y67" s="61">
        <f>AVERAGE(Y64:Y66)</f>
        <v>0.33333333333333331</v>
      </c>
      <c r="Z67" s="61">
        <f>AVERAGE(Z64:Z66)</f>
        <v>0</v>
      </c>
      <c r="AA67" s="61">
        <f>AVERAGE(AA64:AA66)</f>
        <v>0</v>
      </c>
      <c r="AB67" s="62">
        <f t="shared" si="3"/>
        <v>1</v>
      </c>
      <c r="AD67" s="60"/>
      <c r="AE67" s="61">
        <f>AVERAGE(AE64:AE66)</f>
        <v>0.55555555555555547</v>
      </c>
      <c r="AF67" s="61">
        <f>AVERAGE(AF64:AF66)</f>
        <v>0.39999999999999997</v>
      </c>
      <c r="AG67" s="61">
        <f>AVERAGE(AG64:AG66)</f>
        <v>4.4444444444444446E-2</v>
      </c>
      <c r="AH67" s="61">
        <f>AVERAGE(AH64:AH66)</f>
        <v>0</v>
      </c>
      <c r="AI67" s="62">
        <f t="shared" si="4"/>
        <v>0.99999999999999989</v>
      </c>
      <c r="AK67" s="60"/>
      <c r="AL67" s="61">
        <f>AVERAGE(AL64:AL66)</f>
        <v>0</v>
      </c>
      <c r="AM67" s="61">
        <f>AVERAGE(AM64:AM66)</f>
        <v>1</v>
      </c>
      <c r="AN67" s="61">
        <f>AVERAGE(AN64:AN66)</f>
        <v>0</v>
      </c>
      <c r="AO67" s="61">
        <f>AVERAGE(AO64:AO66)</f>
        <v>0</v>
      </c>
      <c r="AP67" s="62">
        <f t="shared" si="5"/>
        <v>1</v>
      </c>
      <c r="AR67" s="60"/>
      <c r="AS67" s="61">
        <f>AVERAGE(AS64:AS66)</f>
        <v>0.66666666666666663</v>
      </c>
      <c r="AT67" s="61">
        <f>AVERAGE(AT64:AT66)</f>
        <v>0.33333333333333331</v>
      </c>
      <c r="AU67" s="61">
        <f>AVERAGE(AU64:AU66)</f>
        <v>0</v>
      </c>
      <c r="AV67" s="61">
        <f>AVERAGE(AV64:AV66)</f>
        <v>0</v>
      </c>
      <c r="AW67" s="62">
        <f t="shared" si="6"/>
        <v>1</v>
      </c>
      <c r="AY67" s="60"/>
      <c r="AZ67" s="61">
        <f>AVERAGE(AZ64:AZ66)</f>
        <v>0.1111111111111111</v>
      </c>
      <c r="BA67" s="61">
        <f>AVERAGE(BA64:BA66)</f>
        <v>0.88888888888888884</v>
      </c>
      <c r="BB67" s="61">
        <f>AVERAGE(BB64:BB66)</f>
        <v>0</v>
      </c>
      <c r="BC67" s="61">
        <f>AVERAGE(BC64:BC66)</f>
        <v>0</v>
      </c>
      <c r="BD67" s="62">
        <f t="shared" si="7"/>
        <v>1</v>
      </c>
      <c r="BF67" s="60"/>
      <c r="BG67" s="61">
        <f>AVERAGE(BG64:BG66)</f>
        <v>1</v>
      </c>
      <c r="BH67" s="61">
        <f>AVERAGE(BH64:BH66)</f>
        <v>0</v>
      </c>
      <c r="BI67" s="61">
        <f>AVERAGE(BI64:BI66)</f>
        <v>0</v>
      </c>
      <c r="BJ67" s="61">
        <f>AVERAGE(BJ64:BJ66)</f>
        <v>0</v>
      </c>
      <c r="BK67" s="62">
        <f t="shared" si="8"/>
        <v>1</v>
      </c>
      <c r="BM67" s="60"/>
      <c r="BN67" s="61">
        <f>AVERAGE(BN64:BN66)</f>
        <v>0.66666666666666663</v>
      </c>
      <c r="BO67" s="61">
        <f>AVERAGE(BO64:BO66)</f>
        <v>0.33333333333333331</v>
      </c>
      <c r="BP67" s="61">
        <f>AVERAGE(BP64:BP66)</f>
        <v>0</v>
      </c>
      <c r="BQ67" s="61">
        <f>AVERAGE(BQ64:BQ66)</f>
        <v>0</v>
      </c>
      <c r="BR67" s="62">
        <f t="shared" si="9"/>
        <v>1</v>
      </c>
    </row>
    <row r="68" spans="2:70" ht="16.5" x14ac:dyDescent="0.3">
      <c r="B68" s="57" t="s">
        <v>40</v>
      </c>
      <c r="C68" s="66">
        <f>COUNTIFS(TblUniv20196[G1],C$48)/$C$47*100%</f>
        <v>0.45945945945945948</v>
      </c>
      <c r="D68" s="66">
        <f>COUNTIFS(TblUniv20196[G1],D$48)/$C$47*100%</f>
        <v>0.54054054054054057</v>
      </c>
      <c r="E68" s="66">
        <f>COUNTIFS(TblUniv20196[G1],E$48)/$C$47*100%</f>
        <v>0</v>
      </c>
      <c r="F68" s="66">
        <f>COUNTIFS(TblUniv20196[G1],F$48)/$C$47*100%</f>
        <v>0</v>
      </c>
      <c r="G68" s="62">
        <f t="shared" si="0"/>
        <v>1</v>
      </c>
      <c r="I68" s="57" t="s">
        <v>40</v>
      </c>
      <c r="J68" s="66">
        <f>COUNTIFS(TblUniv20196[G1],J$48,TblUniv20196[Prodi],$J$45)/$J$47*100%</f>
        <v>0.4</v>
      </c>
      <c r="K68" s="66">
        <f>COUNTIFS(TblUniv20196[G1],K$48,TblUniv20196[Prodi],$J$45)/$J$47*100%</f>
        <v>0.6</v>
      </c>
      <c r="L68" s="66">
        <f>COUNTIFS(TblUniv20196[G1],L$48,TblUniv20196[Prodi],$J$45)/$J$47*100%</f>
        <v>0</v>
      </c>
      <c r="M68" s="66">
        <f>COUNTIFS(TblUniv20196[G1],M$48,TblUniv20196[Prodi],$J$45)/$J$47*100%</f>
        <v>0</v>
      </c>
      <c r="N68" s="62">
        <f t="shared" si="1"/>
        <v>1</v>
      </c>
      <c r="P68" s="57" t="s">
        <v>40</v>
      </c>
      <c r="Q68" s="66">
        <f>COUNTIFS(TblUniv20196[G1],Q$48,TblUniv20196[Prodi],$Q$45)/$Q$47*100%</f>
        <v>0.2857142857142857</v>
      </c>
      <c r="R68" s="66">
        <f>COUNTIFS(TblUniv20196[G1],R$48,TblUniv20196[Prodi],$Q$45)/$Q$47*100%</f>
        <v>0.7142857142857143</v>
      </c>
      <c r="S68" s="66">
        <f>COUNTIFS(TblUniv20196[G1],S$48,TblUniv20196[Prodi],$Q$45)/$Q$47*100%</f>
        <v>0</v>
      </c>
      <c r="T68" s="66">
        <f>COUNTIFS(TblUniv20196[G1],T$48,TblUniv20196[Prodi],$Q$45)/$Q$47*100%</f>
        <v>0</v>
      </c>
      <c r="U68" s="62">
        <f t="shared" si="2"/>
        <v>1</v>
      </c>
      <c r="W68" s="57" t="s">
        <v>40</v>
      </c>
      <c r="X68" s="66">
        <f>COUNTIFS(TblUniv20196[G1],X$48,TblUniv20196[Prodi],$X$45)/$X$47*100%</f>
        <v>1</v>
      </c>
      <c r="Y68" s="66">
        <f>COUNTIFS(TblUniv20196[G1],Y$48,TblUniv20196[Prodi],$X$45)/$X$47*100%</f>
        <v>0</v>
      </c>
      <c r="Z68" s="66">
        <f>COUNTIFS(TblUniv20196[G1],Z$48,TblUniv20196[Prodi],$X$45)/$X$47*100%</f>
        <v>0</v>
      </c>
      <c r="AA68" s="66">
        <f>COUNTIFS(TblUniv20196[G1],AA$48,TblUniv20196[Prodi],$X$45)/$X$47*100%</f>
        <v>0</v>
      </c>
      <c r="AB68" s="62">
        <f t="shared" si="3"/>
        <v>1</v>
      </c>
      <c r="AD68" s="57" t="s">
        <v>40</v>
      </c>
      <c r="AE68" s="66">
        <f>COUNTIFS(TblUniv20196[G1],AE$48,TblUniv20196[Prodi],$AE$45)/$AE$47*100%</f>
        <v>0.46666666666666667</v>
      </c>
      <c r="AF68" s="66">
        <f>COUNTIFS(TblUniv20196[G1],AF$48,TblUniv20196[Prodi],$AE$45)/$AE$47*100%</f>
        <v>0.53333333333333333</v>
      </c>
      <c r="AG68" s="66">
        <f>COUNTIFS(TblUniv20196[G1],AG$48,TblUniv20196[Prodi],$AE$45)/$AE$47*100%</f>
        <v>0</v>
      </c>
      <c r="AH68" s="66">
        <f>COUNTIFS(TblUniv20196[G1],AH$48,TblUniv20196[Prodi],$AE$45)/$AE$47*100%</f>
        <v>0</v>
      </c>
      <c r="AI68" s="62">
        <f t="shared" si="4"/>
        <v>1</v>
      </c>
      <c r="AK68" s="57" t="s">
        <v>40</v>
      </c>
      <c r="AL68" s="66">
        <f>COUNTIFS(TblUniv20196[G1],AL$48,TblUniv20196[Prodi],$AL$45)/$AL$47*100%</f>
        <v>0</v>
      </c>
      <c r="AM68" s="66">
        <f>COUNTIFS(TblUniv20196[G1],AM$48,TblUniv20196[Prodi],$AL$45)/$AL$47*100%</f>
        <v>1</v>
      </c>
      <c r="AN68" s="66">
        <f>COUNTIFS(TblUniv20196[G1],AN$48,TblUniv20196[Prodi],$AL$45)/$AL$47*100%</f>
        <v>0</v>
      </c>
      <c r="AO68" s="66">
        <f>COUNTIFS(TblUniv20196[G1],AO$48,TblUniv20196[Prodi],$AL$45)/$AL$47*100%</f>
        <v>0</v>
      </c>
      <c r="AP68" s="62">
        <f t="shared" si="5"/>
        <v>1</v>
      </c>
      <c r="AR68" s="57" t="s">
        <v>40</v>
      </c>
      <c r="AS68" s="66">
        <f>COUNTIFS(TblUniv20196[G1],AS$48,TblUniv20196[Prodi],$AS$45)/$AS$47*100%</f>
        <v>0</v>
      </c>
      <c r="AT68" s="66">
        <f>COUNTIFS(TblUniv20196[G1],AT$48,TblUniv20196[Prodi],$AS$45)/$AS$47*100%</f>
        <v>1</v>
      </c>
      <c r="AU68" s="66">
        <f>COUNTIFS(TblUniv20196[G1],AU$48,TblUniv20196[Prodi],$AS$45)/$AS$47*100%</f>
        <v>0</v>
      </c>
      <c r="AV68" s="66">
        <f>COUNTIFS(TblUniv20196[G1],AV$48,TblUniv20196[Prodi],$AS$45)/$AS$47*100%</f>
        <v>0</v>
      </c>
      <c r="AW68" s="62">
        <f t="shared" si="6"/>
        <v>1</v>
      </c>
      <c r="AY68" s="57" t="s">
        <v>40</v>
      </c>
      <c r="AZ68" s="66">
        <f>COUNTIFS(TblUniv20196[G1],AZ$48,TblUniv20196[Prodi],$AZ$45)/$AZ$47*100%</f>
        <v>0.66666666666666663</v>
      </c>
      <c r="BA68" s="66">
        <f>COUNTIFS(TblUniv20196[G1],BA$48,TblUniv20196[Prodi],$AZ$45)/$AZ$47*100%</f>
        <v>0.33333333333333331</v>
      </c>
      <c r="BB68" s="66">
        <f>COUNTIFS(TblUniv20196[G1],BB$48,TblUniv20196[Prodi],$AZ$45)/$AZ$47*100%</f>
        <v>0</v>
      </c>
      <c r="BC68" s="66">
        <f>COUNTIFS(TblUniv20196[G1],BC$48,TblUniv20196[Prodi],$AZ$45)/$AZ$47*100%</f>
        <v>0</v>
      </c>
      <c r="BD68" s="62">
        <f t="shared" si="7"/>
        <v>1</v>
      </c>
      <c r="BF68" s="57" t="s">
        <v>40</v>
      </c>
      <c r="BG68" s="66">
        <f>COUNTIFS(TblUniv20196[G1],BG$48,TblUniv20196[Prodi],$BG$45)/$BG$47*100%</f>
        <v>0.5</v>
      </c>
      <c r="BH68" s="66">
        <f>COUNTIFS(TblUniv20196[G1],BH$48,TblUniv20196[Prodi],$BG$45)/$BG$47*100%</f>
        <v>0.5</v>
      </c>
      <c r="BI68" s="66">
        <f>COUNTIFS(TblUniv20196[G1],BI$48,TblUniv20196[Prodi],$BG$45)/$BG$47*100%</f>
        <v>0</v>
      </c>
      <c r="BJ68" s="66">
        <f>COUNTIFS(TblUniv20196[G1],BJ$48,TblUniv20196[Prodi],$BG$45)/$BG$47*100%</f>
        <v>0</v>
      </c>
      <c r="BK68" s="62">
        <f t="shared" si="8"/>
        <v>1</v>
      </c>
      <c r="BM68" s="57" t="s">
        <v>40</v>
      </c>
      <c r="BN68" s="66">
        <f>COUNTIFS(TblUniv20196[G1],BN$48,TblUniv20196[Prodi],$BN$45)/$BN$47*100%</f>
        <v>1</v>
      </c>
      <c r="BO68" s="66">
        <f>COUNTIFS(TblUniv20196[G1],BO$48,TblUniv20196[Prodi],$BN$45)/$BN$47*100%</f>
        <v>0</v>
      </c>
      <c r="BP68" s="66">
        <f>COUNTIFS(TblUniv20196[G1],BP$48,TblUniv20196[Prodi],$BN$45)/$BN$47*100%</f>
        <v>0</v>
      </c>
      <c r="BQ68" s="66">
        <f>COUNTIFS(TblUniv20196[G1],BQ$48,TblUniv20196[Prodi],$BN$45)/$BN$47*100%</f>
        <v>0</v>
      </c>
      <c r="BR68" s="62">
        <f t="shared" si="9"/>
        <v>1</v>
      </c>
    </row>
    <row r="69" spans="2:70" ht="16.5" x14ac:dyDescent="0.3">
      <c r="B69" s="57" t="s">
        <v>41</v>
      </c>
      <c r="C69" s="66">
        <f>COUNTIFS(TblUniv20196[G2],C$48)/$C$47*100%</f>
        <v>0.35135135135135137</v>
      </c>
      <c r="D69" s="66">
        <f>COUNTIFS(TblUniv20196[G2],D$48)/$C$47*100%</f>
        <v>0.64864864864864868</v>
      </c>
      <c r="E69" s="66">
        <f>COUNTIFS(TblUniv20196[G2],E$48)/$C$47*100%</f>
        <v>0</v>
      </c>
      <c r="F69" s="66">
        <f>COUNTIFS(TblUniv20196[G2],F$48)/$C$47*100%</f>
        <v>0</v>
      </c>
      <c r="G69" s="62">
        <f t="shared" si="0"/>
        <v>1</v>
      </c>
      <c r="I69" s="57" t="s">
        <v>41</v>
      </c>
      <c r="J69" s="66">
        <f>COUNTIFS(TblUniv20196[G2],J$48,TblUniv20196[Prodi],$J$45)/$J$47*100%</f>
        <v>0</v>
      </c>
      <c r="K69" s="66">
        <f>COUNTIFS(TblUniv20196[G2],K$48,TblUniv20196[Prodi],$J$45)/$J$47*100%</f>
        <v>1</v>
      </c>
      <c r="L69" s="66">
        <f>COUNTIFS(TblUniv20196[G2],L$48,TblUniv20196[Prodi],$J$45)/$J$47*100%</f>
        <v>0</v>
      </c>
      <c r="M69" s="66">
        <f>COUNTIFS(TblUniv20196[G2],M$48,TblUniv20196[Prodi],$J$45)/$J$47*100%</f>
        <v>0</v>
      </c>
      <c r="N69" s="62">
        <f t="shared" si="1"/>
        <v>1</v>
      </c>
      <c r="P69" s="57" t="s">
        <v>41</v>
      </c>
      <c r="Q69" s="66">
        <f>COUNTIFS(TblUniv20196[G2],Q$48,TblUniv20196[Prodi],$Q$45)/$Q$47*100%</f>
        <v>0.14285714285714285</v>
      </c>
      <c r="R69" s="66">
        <f>COUNTIFS(TblUniv20196[G2],R$48,TblUniv20196[Prodi],$Q$45)/$Q$47*100%</f>
        <v>0.8571428571428571</v>
      </c>
      <c r="S69" s="66">
        <f>COUNTIFS(TblUniv20196[G2],S$48,TblUniv20196[Prodi],$Q$45)/$Q$47*100%</f>
        <v>0</v>
      </c>
      <c r="T69" s="66">
        <f>COUNTIFS(TblUniv20196[G2],T$48,TblUniv20196[Prodi],$Q$45)/$Q$47*100%</f>
        <v>0</v>
      </c>
      <c r="U69" s="62">
        <f t="shared" si="2"/>
        <v>1</v>
      </c>
      <c r="W69" s="57" t="s">
        <v>41</v>
      </c>
      <c r="X69" s="66">
        <f>COUNTIFS(TblUniv20196[G2],X$48,TblUniv20196[Prodi],$X$45)/$X$47*100%</f>
        <v>1</v>
      </c>
      <c r="Y69" s="66">
        <f>COUNTIFS(TblUniv20196[G2],Y$48,TblUniv20196[Prodi],$X$45)/$X$47*100%</f>
        <v>0</v>
      </c>
      <c r="Z69" s="66">
        <f>COUNTIFS(TblUniv20196[G2],Z$48,TblUniv20196[Prodi],$X$45)/$X$47*100%</f>
        <v>0</v>
      </c>
      <c r="AA69" s="66">
        <f>COUNTIFS(TblUniv20196[G2],AA$48,TblUniv20196[Prodi],$X$45)/$X$47*100%</f>
        <v>0</v>
      </c>
      <c r="AB69" s="62">
        <f t="shared" si="3"/>
        <v>1</v>
      </c>
      <c r="AD69" s="57" t="s">
        <v>41</v>
      </c>
      <c r="AE69" s="66">
        <f>COUNTIFS(TblUniv20196[G2],AE$48,TblUniv20196[Prodi],$AE$45)/$AE$47*100%</f>
        <v>0.4</v>
      </c>
      <c r="AF69" s="66">
        <f>COUNTIFS(TblUniv20196[G2],AF$48,TblUniv20196[Prodi],$AE$45)/$AE$47*100%</f>
        <v>0.6</v>
      </c>
      <c r="AG69" s="66">
        <f>COUNTIFS(TblUniv20196[G2],AG$48,TblUniv20196[Prodi],$AE$45)/$AE$47*100%</f>
        <v>0</v>
      </c>
      <c r="AH69" s="66">
        <f>COUNTIFS(TblUniv20196[G2],AH$48,TblUniv20196[Prodi],$AE$45)/$AE$47*100%</f>
        <v>0</v>
      </c>
      <c r="AI69" s="62">
        <f t="shared" si="4"/>
        <v>1</v>
      </c>
      <c r="AK69" s="57" t="s">
        <v>41</v>
      </c>
      <c r="AL69" s="66">
        <f>COUNTIFS(TblUniv20196[G2],AL$48,TblUniv20196[Prodi],$AL$45)/$AL$47*100%</f>
        <v>0</v>
      </c>
      <c r="AM69" s="66">
        <f>COUNTIFS(TblUniv20196[G2],AM$48,TblUniv20196[Prodi],$AL$45)/$AL$47*100%</f>
        <v>1</v>
      </c>
      <c r="AN69" s="66">
        <f>COUNTIFS(TblUniv20196[G2],AN$48,TblUniv20196[Prodi],$AL$45)/$AL$47*100%</f>
        <v>0</v>
      </c>
      <c r="AO69" s="66">
        <f>COUNTIFS(TblUniv20196[G2],AO$48,TblUniv20196[Prodi],$AL$45)/$AL$47*100%</f>
        <v>0</v>
      </c>
      <c r="AP69" s="62">
        <f t="shared" si="5"/>
        <v>1</v>
      </c>
      <c r="AR69" s="57" t="s">
        <v>41</v>
      </c>
      <c r="AS69" s="66">
        <f>COUNTIFS(TblUniv20196[G2],AS$48,TblUniv20196[Prodi],$AS$45)/$AS$47*100%</f>
        <v>1</v>
      </c>
      <c r="AT69" s="66">
        <f>COUNTIFS(TblUniv20196[G2],AT$48,TblUniv20196[Prodi],$AS$45)/$AS$47*100%</f>
        <v>0</v>
      </c>
      <c r="AU69" s="66">
        <f>COUNTIFS(TblUniv20196[G2],AU$48,TblUniv20196[Prodi],$AS$45)/$AS$47*100%</f>
        <v>0</v>
      </c>
      <c r="AV69" s="66">
        <f>COUNTIFS(TblUniv20196[G2],AV$48,TblUniv20196[Prodi],$AS$45)/$AS$47*100%</f>
        <v>0</v>
      </c>
      <c r="AW69" s="62">
        <f t="shared" si="6"/>
        <v>1</v>
      </c>
      <c r="AY69" s="57" t="s">
        <v>41</v>
      </c>
      <c r="AZ69" s="66">
        <f>COUNTIFS(TblUniv20196[G2],AZ$48,TblUniv20196[Prodi],$AZ$45)/$AZ$47*100%</f>
        <v>0</v>
      </c>
      <c r="BA69" s="66">
        <f>COUNTIFS(TblUniv20196[G2],BA$48,TblUniv20196[Prodi],$AZ$45)/$AZ$47*100%</f>
        <v>1</v>
      </c>
      <c r="BB69" s="66">
        <f>COUNTIFS(TblUniv20196[G2],BB$48,TblUniv20196[Prodi],$AZ$45)/$AZ$47*100%</f>
        <v>0</v>
      </c>
      <c r="BC69" s="66">
        <f>COUNTIFS(TblUniv20196[G2],BC$48,TblUniv20196[Prodi],$AZ$45)/$AZ$47*100%</f>
        <v>0</v>
      </c>
      <c r="BD69" s="62">
        <f t="shared" si="7"/>
        <v>1</v>
      </c>
      <c r="BF69" s="57" t="s">
        <v>41</v>
      </c>
      <c r="BG69" s="66">
        <f>COUNTIFS(TblUniv20196[G2],BG$48,TblUniv20196[Prodi],$BG$45)/$BG$47*100%</f>
        <v>1</v>
      </c>
      <c r="BH69" s="66">
        <f>COUNTIFS(TblUniv20196[G2],BH$48,TblUniv20196[Prodi],$BG$45)/$BG$47*100%</f>
        <v>0</v>
      </c>
      <c r="BI69" s="66">
        <f>COUNTIFS(TblUniv20196[G2],BI$48,TblUniv20196[Prodi],$BG$45)/$BG$47*100%</f>
        <v>0</v>
      </c>
      <c r="BJ69" s="66">
        <f>COUNTIFS(TblUniv20196[G2],BJ$48,TblUniv20196[Prodi],$BG$45)/$BG$47*100%</f>
        <v>0</v>
      </c>
      <c r="BK69" s="62">
        <f t="shared" si="8"/>
        <v>1</v>
      </c>
      <c r="BM69" s="57" t="s">
        <v>41</v>
      </c>
      <c r="BN69" s="66">
        <f>COUNTIFS(TblUniv20196[G2],BN$48,TblUniv20196[Prodi],$BN$45)/$BN$47*100%</f>
        <v>1</v>
      </c>
      <c r="BO69" s="66">
        <f>COUNTIFS(TblUniv20196[G2],BO$48,TblUniv20196[Prodi],$BN$45)/$BN$47*100%</f>
        <v>0</v>
      </c>
      <c r="BP69" s="66">
        <f>COUNTIFS(TblUniv20196[G2],BP$48,TblUniv20196[Prodi],$BN$45)/$BN$47*100%</f>
        <v>0</v>
      </c>
      <c r="BQ69" s="66">
        <f>COUNTIFS(TblUniv20196[G2],BQ$48,TblUniv20196[Prodi],$BN$45)/$BN$47*100%</f>
        <v>0</v>
      </c>
      <c r="BR69" s="62">
        <f t="shared" si="9"/>
        <v>1</v>
      </c>
    </row>
    <row r="70" spans="2:70" ht="16.5" x14ac:dyDescent="0.3">
      <c r="B70" s="60"/>
      <c r="C70" s="61">
        <f>AVERAGE(C68:C69)</f>
        <v>0.40540540540540543</v>
      </c>
      <c r="D70" s="61">
        <f>AVERAGE(D68:D69)</f>
        <v>0.59459459459459463</v>
      </c>
      <c r="E70" s="61">
        <f>AVERAGE(E68:E69)</f>
        <v>0</v>
      </c>
      <c r="F70" s="61">
        <f>AVERAGE(F68:F69)</f>
        <v>0</v>
      </c>
      <c r="G70" s="62">
        <f t="shared" si="0"/>
        <v>1</v>
      </c>
      <c r="I70" s="60"/>
      <c r="J70" s="61">
        <f>AVERAGE(J68:J69)</f>
        <v>0.2</v>
      </c>
      <c r="K70" s="61">
        <f>AVERAGE(K68:K69)</f>
        <v>0.8</v>
      </c>
      <c r="L70" s="61">
        <f>AVERAGE(L68:L69)</f>
        <v>0</v>
      </c>
      <c r="M70" s="61">
        <f>AVERAGE(M68:M69)</f>
        <v>0</v>
      </c>
      <c r="N70" s="62">
        <f t="shared" si="1"/>
        <v>1</v>
      </c>
      <c r="P70" s="60"/>
      <c r="Q70" s="61">
        <f>AVERAGE(Q68:Q69)</f>
        <v>0.21428571428571427</v>
      </c>
      <c r="R70" s="61">
        <f>AVERAGE(R68:R69)</f>
        <v>0.7857142857142857</v>
      </c>
      <c r="S70" s="61">
        <f>AVERAGE(S68:S69)</f>
        <v>0</v>
      </c>
      <c r="T70" s="61">
        <f>AVERAGE(T68:T69)</f>
        <v>0</v>
      </c>
      <c r="U70" s="62">
        <f t="shared" si="2"/>
        <v>1</v>
      </c>
      <c r="W70" s="60"/>
      <c r="X70" s="61">
        <f>AVERAGE(X68:X69)</f>
        <v>1</v>
      </c>
      <c r="Y70" s="61">
        <f>AVERAGE(Y68:Y69)</f>
        <v>0</v>
      </c>
      <c r="Z70" s="61">
        <f>AVERAGE(Z68:Z69)</f>
        <v>0</v>
      </c>
      <c r="AA70" s="61">
        <f>AVERAGE(AA68:AA69)</f>
        <v>0</v>
      </c>
      <c r="AB70" s="62">
        <f t="shared" si="3"/>
        <v>1</v>
      </c>
      <c r="AD70" s="60"/>
      <c r="AE70" s="61">
        <f>AVERAGE(AE68:AE69)</f>
        <v>0.43333333333333335</v>
      </c>
      <c r="AF70" s="61">
        <f>AVERAGE(AF68:AF69)</f>
        <v>0.56666666666666665</v>
      </c>
      <c r="AG70" s="61">
        <f>AVERAGE(AG68:AG69)</f>
        <v>0</v>
      </c>
      <c r="AH70" s="61">
        <f>AVERAGE(AH68:AH69)</f>
        <v>0</v>
      </c>
      <c r="AI70" s="62">
        <f t="shared" si="4"/>
        <v>1</v>
      </c>
      <c r="AK70" s="60"/>
      <c r="AL70" s="61">
        <f>AVERAGE(AL68:AL69)</f>
        <v>0</v>
      </c>
      <c r="AM70" s="61">
        <f>AVERAGE(AM68:AM69)</f>
        <v>1</v>
      </c>
      <c r="AN70" s="61">
        <f>AVERAGE(AN68:AN69)</f>
        <v>0</v>
      </c>
      <c r="AO70" s="61">
        <f>AVERAGE(AO68:AO69)</f>
        <v>0</v>
      </c>
      <c r="AP70" s="62">
        <f t="shared" si="5"/>
        <v>1</v>
      </c>
      <c r="AR70" s="60"/>
      <c r="AS70" s="61">
        <f>AVERAGE(AS68:AS69)</f>
        <v>0.5</v>
      </c>
      <c r="AT70" s="61">
        <f>AVERAGE(AT68:AT69)</f>
        <v>0.5</v>
      </c>
      <c r="AU70" s="61">
        <f>AVERAGE(AU68:AU69)</f>
        <v>0</v>
      </c>
      <c r="AV70" s="61">
        <f>AVERAGE(AV68:AV69)</f>
        <v>0</v>
      </c>
      <c r="AW70" s="62">
        <f t="shared" si="6"/>
        <v>1</v>
      </c>
      <c r="AY70" s="60"/>
      <c r="AZ70" s="61">
        <f>AVERAGE(AZ68:AZ69)</f>
        <v>0.33333333333333331</v>
      </c>
      <c r="BA70" s="61">
        <f>AVERAGE(BA68:BA69)</f>
        <v>0.66666666666666663</v>
      </c>
      <c r="BB70" s="61">
        <f>AVERAGE(BB68:BB69)</f>
        <v>0</v>
      </c>
      <c r="BC70" s="61">
        <f>AVERAGE(BC68:BC69)</f>
        <v>0</v>
      </c>
      <c r="BD70" s="62">
        <f t="shared" si="7"/>
        <v>1</v>
      </c>
      <c r="BF70" s="60"/>
      <c r="BG70" s="61">
        <f>AVERAGE(BG68:BG69)</f>
        <v>0.75</v>
      </c>
      <c r="BH70" s="61">
        <f>AVERAGE(BH68:BH69)</f>
        <v>0.25</v>
      </c>
      <c r="BI70" s="61">
        <f>AVERAGE(BI68:BI69)</f>
        <v>0</v>
      </c>
      <c r="BJ70" s="61">
        <f>AVERAGE(BJ68:BJ69)</f>
        <v>0</v>
      </c>
      <c r="BK70" s="62">
        <f t="shared" si="8"/>
        <v>1</v>
      </c>
      <c r="BM70" s="60"/>
      <c r="BN70" s="61">
        <f>AVERAGE(BN68:BN69)</f>
        <v>1</v>
      </c>
      <c r="BO70" s="61">
        <f>AVERAGE(BO68:BO69)</f>
        <v>0</v>
      </c>
      <c r="BP70" s="61">
        <f>AVERAGE(BP68:BP69)</f>
        <v>0</v>
      </c>
      <c r="BQ70" s="61">
        <f>AVERAGE(BQ68:BQ69)</f>
        <v>0</v>
      </c>
      <c r="BR70" s="62">
        <f t="shared" si="9"/>
        <v>1</v>
      </c>
    </row>
    <row r="71" spans="2:70" ht="16.5" x14ac:dyDescent="0.3">
      <c r="B71" s="57" t="s">
        <v>42</v>
      </c>
      <c r="C71" s="66">
        <f>COUNTIFS(TblUniv20196[H1],C$48)/$C$47*100%</f>
        <v>0.48648648648648651</v>
      </c>
      <c r="D71" s="66">
        <f>COUNTIFS(TblUniv20196[H1],D$48)/$C$47*100%</f>
        <v>0.51351351351351349</v>
      </c>
      <c r="E71" s="66">
        <f>COUNTIFS(TblUniv20196[H1],E$48)/$C$47*100%</f>
        <v>0</v>
      </c>
      <c r="F71" s="66">
        <f>COUNTIFS(TblUniv20196[H1],F$48)/$C$47*100%</f>
        <v>0</v>
      </c>
      <c r="G71" s="62">
        <f t="shared" si="0"/>
        <v>1</v>
      </c>
      <c r="I71" s="57" t="s">
        <v>42</v>
      </c>
      <c r="J71" s="66">
        <f>COUNTIFS(TblUniv20196[H1],J$48,TblUniv20196[Prodi],$J$45)/$J$47*100%</f>
        <v>0.2</v>
      </c>
      <c r="K71" s="66">
        <f>COUNTIFS(TblUniv20196[H1],K$48,TblUniv20196[Prodi],$J$45)/$J$47*100%</f>
        <v>0.8</v>
      </c>
      <c r="L71" s="66">
        <f>COUNTIFS(TblUniv20196[H1],L$48,TblUniv20196[Prodi],$J$45)/$J$47*100%</f>
        <v>0</v>
      </c>
      <c r="M71" s="66">
        <f>COUNTIFS(TblUniv20196[H1],M$48,TblUniv20196[Prodi],$J$45)/$J$47*100%</f>
        <v>0</v>
      </c>
      <c r="N71" s="62">
        <f t="shared" si="1"/>
        <v>1</v>
      </c>
      <c r="P71" s="57" t="s">
        <v>42</v>
      </c>
      <c r="Q71" s="66">
        <f>COUNTIFS(TblUniv20196[H1],Q$48,TblUniv20196[Prodi],$Q$45)/$Q$47*100%</f>
        <v>0.2857142857142857</v>
      </c>
      <c r="R71" s="66">
        <f>COUNTIFS(TblUniv20196[H1],R$48,TblUniv20196[Prodi],$Q$45)/$Q$47*100%</f>
        <v>0.7142857142857143</v>
      </c>
      <c r="S71" s="66">
        <f>COUNTIFS(TblUniv20196[H1],S$48,TblUniv20196[Prodi],$Q$45)/$Q$47*100%</f>
        <v>0</v>
      </c>
      <c r="T71" s="66">
        <f>COUNTIFS(TblUniv20196[H1],T$48,TblUniv20196[Prodi],$Q$45)/$Q$47*100%</f>
        <v>0</v>
      </c>
      <c r="U71" s="62">
        <f t="shared" si="2"/>
        <v>1</v>
      </c>
      <c r="W71" s="57" t="s">
        <v>42</v>
      </c>
      <c r="X71" s="66">
        <f>COUNTIFS(TblUniv20196[H1],X$48,TblUniv20196[Prodi],$X$45)/$X$47*100%</f>
        <v>1</v>
      </c>
      <c r="Y71" s="66">
        <f>COUNTIFS(TblUniv20196[H1],Y$48,TblUniv20196[Prodi],$X$45)/$X$47*100%</f>
        <v>0</v>
      </c>
      <c r="Z71" s="66">
        <f>COUNTIFS(TblUniv20196[H1],Z$48,TblUniv20196[Prodi],$X$45)/$X$47*100%</f>
        <v>0</v>
      </c>
      <c r="AA71" s="66">
        <f>COUNTIFS(TblUniv20196[H1],AA$48,TblUniv20196[Prodi],$X$45)/$X$47*100%</f>
        <v>0</v>
      </c>
      <c r="AB71" s="62">
        <f t="shared" si="3"/>
        <v>1</v>
      </c>
      <c r="AD71" s="57" t="s">
        <v>42</v>
      </c>
      <c r="AE71" s="66">
        <f>COUNTIFS(TblUniv20196[H1],AE$48,TblUniv20196[Prodi],$AE$45)/$AE$47*100%</f>
        <v>0.66666666666666663</v>
      </c>
      <c r="AF71" s="66">
        <f>COUNTIFS(TblUniv20196[H1],AF$48,TblUniv20196[Prodi],$AE$45)/$AE$47*100%</f>
        <v>0.33333333333333331</v>
      </c>
      <c r="AG71" s="66">
        <f>COUNTIFS(TblUniv20196[H1],AG$48,TblUniv20196[Prodi],$AE$45)/$AE$47*100%</f>
        <v>0</v>
      </c>
      <c r="AH71" s="66">
        <f>COUNTIFS(TblUniv20196[H1],AH$48,TblUniv20196[Prodi],$AE$45)/$AE$47*100%</f>
        <v>0</v>
      </c>
      <c r="AI71" s="62">
        <f t="shared" si="4"/>
        <v>1</v>
      </c>
      <c r="AK71" s="57" t="s">
        <v>42</v>
      </c>
      <c r="AL71" s="66">
        <f>COUNTIFS(TblUniv20196[H1],AL$48,TblUniv20196[Prodi],$AL$45)/$AL$47*100%</f>
        <v>0</v>
      </c>
      <c r="AM71" s="66">
        <f>COUNTIFS(TblUniv20196[H1],AM$48,TblUniv20196[Prodi],$AL$45)/$AL$47*100%</f>
        <v>1</v>
      </c>
      <c r="AN71" s="66">
        <f>COUNTIFS(TblUniv20196[H1],AN$48,TblUniv20196[Prodi],$AL$45)/$AL$47*100%</f>
        <v>0</v>
      </c>
      <c r="AO71" s="66">
        <f>COUNTIFS(TblUniv20196[H1],AO$48,TblUniv20196[Prodi],$AL$45)/$AL$47*100%</f>
        <v>0</v>
      </c>
      <c r="AP71" s="62">
        <f t="shared" si="5"/>
        <v>1</v>
      </c>
      <c r="AR71" s="57" t="s">
        <v>42</v>
      </c>
      <c r="AS71" s="66">
        <f>COUNTIFS(TblUniv20196[H1],AS$48,TblUniv20196[Prodi],$AS$45)/$AS$47*100%</f>
        <v>1</v>
      </c>
      <c r="AT71" s="66">
        <f>COUNTIFS(TblUniv20196[H1],AT$48,TblUniv20196[Prodi],$AS$45)/$AS$47*100%</f>
        <v>0</v>
      </c>
      <c r="AU71" s="66">
        <f>COUNTIFS(TblUniv20196[H1],AU$48,TblUniv20196[Prodi],$AS$45)/$AS$47*100%</f>
        <v>0</v>
      </c>
      <c r="AV71" s="66">
        <f>COUNTIFS(TblUniv20196[H1],AV$48,TblUniv20196[Prodi],$AS$45)/$AS$47*100%</f>
        <v>0</v>
      </c>
      <c r="AW71" s="62">
        <f t="shared" si="6"/>
        <v>1</v>
      </c>
      <c r="AY71" s="57" t="s">
        <v>42</v>
      </c>
      <c r="AZ71" s="66">
        <f>COUNTIFS(TblUniv20196[H1],AZ$48,TblUniv20196[Prodi],$AZ$45)/$AZ$47*100%</f>
        <v>0.33333333333333331</v>
      </c>
      <c r="BA71" s="66">
        <f>COUNTIFS(TblUniv20196[H1],BA$48,TblUniv20196[Prodi],$AZ$45)/$AZ$47*100%</f>
        <v>0.66666666666666663</v>
      </c>
      <c r="BB71" s="66">
        <f>COUNTIFS(TblUniv20196[H1],BB$48,TblUniv20196[Prodi],$AZ$45)/$AZ$47*100%</f>
        <v>0</v>
      </c>
      <c r="BC71" s="66">
        <f>COUNTIFS(TblUniv20196[H1],BC$48,TblUniv20196[Prodi],$AZ$45)/$AZ$47*100%</f>
        <v>0</v>
      </c>
      <c r="BD71" s="62">
        <f t="shared" si="7"/>
        <v>1</v>
      </c>
      <c r="BF71" s="57" t="s">
        <v>42</v>
      </c>
      <c r="BG71" s="66">
        <f>COUNTIFS(TblUniv20196[H1],BG$48,TblUniv20196[Prodi],$BG$45)/$BG$47*100%</f>
        <v>0.5</v>
      </c>
      <c r="BH71" s="66">
        <f>COUNTIFS(TblUniv20196[H1],BH$48,TblUniv20196[Prodi],$BG$45)/$BG$47*100%</f>
        <v>0.5</v>
      </c>
      <c r="BI71" s="66">
        <f>COUNTIFS(TblUniv20196[H1],BI$48,TblUniv20196[Prodi],$BG$45)/$BG$47*100%</f>
        <v>0</v>
      </c>
      <c r="BJ71" s="66">
        <f>COUNTIFS(TblUniv20196[H1],BJ$48,TblUniv20196[Prodi],$BG$45)/$BG$47*100%</f>
        <v>0</v>
      </c>
      <c r="BK71" s="62">
        <f t="shared" si="8"/>
        <v>1</v>
      </c>
      <c r="BM71" s="57" t="s">
        <v>42</v>
      </c>
      <c r="BN71" s="66">
        <f>COUNTIFS(TblUniv20196[H1],BN$48,TblUniv20196[Prodi],$BN$45)/$BN$47*100%</f>
        <v>0.5</v>
      </c>
      <c r="BO71" s="66">
        <f>COUNTIFS(TblUniv20196[H1],BO$48,TblUniv20196[Prodi],$BN$45)/$BN$47*100%</f>
        <v>0.5</v>
      </c>
      <c r="BP71" s="66">
        <f>COUNTIFS(TblUniv20196[H1],BP$48,TblUniv20196[Prodi],$BN$45)/$BN$47*100%</f>
        <v>0</v>
      </c>
      <c r="BQ71" s="66">
        <f>COUNTIFS(TblUniv20196[H1],BQ$48,TblUniv20196[Prodi],$BN$45)/$BN$47*100%</f>
        <v>0</v>
      </c>
      <c r="BR71" s="62">
        <f t="shared" si="9"/>
        <v>1</v>
      </c>
    </row>
    <row r="72" spans="2:70" ht="16.5" x14ac:dyDescent="0.3">
      <c r="B72" s="57" t="s">
        <v>43</v>
      </c>
      <c r="C72" s="66">
        <f>COUNTIFS(TblUniv20196[H2],C$48)/$C$47*100%</f>
        <v>0.35135135135135137</v>
      </c>
      <c r="D72" s="66">
        <f>COUNTIFS(TblUniv20196[H2],D$48)/$C$47*100%</f>
        <v>0.64864864864864868</v>
      </c>
      <c r="E72" s="66">
        <f>COUNTIFS(TblUniv20196[H2],E$48)/$C$47*100%</f>
        <v>0</v>
      </c>
      <c r="F72" s="66">
        <f>COUNTIFS(TblUniv20196[H2],F$48)/$C$47*100%</f>
        <v>0</v>
      </c>
      <c r="G72" s="62">
        <f t="shared" si="0"/>
        <v>1</v>
      </c>
      <c r="I72" s="57" t="s">
        <v>43</v>
      </c>
      <c r="J72" s="66">
        <f>COUNTIFS(TblUniv20196[H1],J$48,TblUniv20196[Prodi],$J$45)/$J$47*100%</f>
        <v>0.2</v>
      </c>
      <c r="K72" s="66">
        <f>COUNTIFS(TblUniv20196[H1],K$48,TblUniv20196[Prodi],$J$45)/$J$47*100%</f>
        <v>0.8</v>
      </c>
      <c r="L72" s="66">
        <f>COUNTIFS(TblUniv20196[H1],L$48,TblUniv20196[Prodi],$J$45)/$J$47*100%</f>
        <v>0</v>
      </c>
      <c r="M72" s="66">
        <f>COUNTIFS(TblUniv20196[H1],M$48,TblUniv20196[Prodi],$J$45)/$J$47*100%</f>
        <v>0</v>
      </c>
      <c r="N72" s="62">
        <f t="shared" si="1"/>
        <v>1</v>
      </c>
      <c r="P72" s="57" t="s">
        <v>43</v>
      </c>
      <c r="Q72" s="66">
        <f>COUNTIFS(TblUniv20196[H1],Q$48,TblUniv20196[Prodi],$Q$45)/$Q$47*100%</f>
        <v>0.2857142857142857</v>
      </c>
      <c r="R72" s="66">
        <f>COUNTIFS(TblUniv20196[H1],R$48,TblUniv20196[Prodi],$Q$45)/$Q$47*100%</f>
        <v>0.7142857142857143</v>
      </c>
      <c r="S72" s="66">
        <f>COUNTIFS(TblUniv20196[H1],S$48,TblUniv20196[Prodi],$Q$45)/$Q$47*100%</f>
        <v>0</v>
      </c>
      <c r="T72" s="66">
        <f>COUNTIFS(TblUniv20196[H1],T$48,TblUniv20196[Prodi],$Q$45)/$Q$47*100%</f>
        <v>0</v>
      </c>
      <c r="U72" s="62">
        <f t="shared" si="2"/>
        <v>1</v>
      </c>
      <c r="W72" s="57" t="s">
        <v>43</v>
      </c>
      <c r="X72" s="66">
        <f>COUNTIFS(TblUniv20196[H1],X$48,TblUniv20196[Prodi],$X$45)/$X$47*100%</f>
        <v>1</v>
      </c>
      <c r="Y72" s="66">
        <f>COUNTIFS(TblUniv20196[H1],Y$48,TblUniv20196[Prodi],$X$45)/$X$47*100%</f>
        <v>0</v>
      </c>
      <c r="Z72" s="66">
        <f>COUNTIFS(TblUniv20196[H1],Z$48,TblUniv20196[Prodi],$X$45)/$X$47*100%</f>
        <v>0</v>
      </c>
      <c r="AA72" s="66">
        <f>COUNTIFS(TblUniv20196[H1],AA$48,TblUniv20196[Prodi],$X$45)/$X$47*100%</f>
        <v>0</v>
      </c>
      <c r="AB72" s="62">
        <f t="shared" si="3"/>
        <v>1</v>
      </c>
      <c r="AD72" s="57" t="s">
        <v>43</v>
      </c>
      <c r="AE72" s="66">
        <f>COUNTIFS(TblUniv20196[H2],AE$48,TblUniv20196[Prodi],$AE$45)/$AE$47*100%</f>
        <v>0.53333333333333333</v>
      </c>
      <c r="AF72" s="66">
        <f>COUNTIFS(TblUniv20196[H2],AF$48,TblUniv20196[Prodi],$AE$45)/$AE$47*100%</f>
        <v>0.46666666666666667</v>
      </c>
      <c r="AG72" s="66">
        <f>COUNTIFS(TblUniv20196[H2],AG$48,TblUniv20196[Prodi],$AE$45)/$AE$47*100%</f>
        <v>0</v>
      </c>
      <c r="AH72" s="66">
        <f>COUNTIFS(TblUniv20196[H2],AH$48,TblUniv20196[Prodi],$AE$45)/$AE$47*100%</f>
        <v>0</v>
      </c>
      <c r="AI72" s="62">
        <f t="shared" si="4"/>
        <v>1</v>
      </c>
      <c r="AK72" s="57" t="s">
        <v>43</v>
      </c>
      <c r="AL72" s="66">
        <f>COUNTIFS(TblUniv20196[H1],AL$48,TblUniv20196[Prodi],$AL$45)/$AL$47*100%</f>
        <v>0</v>
      </c>
      <c r="AM72" s="66">
        <f>COUNTIFS(TblUniv20196[H1],AM$48,TblUniv20196[Prodi],$AL$45)/$AL$47*100%</f>
        <v>1</v>
      </c>
      <c r="AN72" s="66">
        <f>COUNTIFS(TblUniv20196[H1],AN$48,TblUniv20196[Prodi],$AL$45)/$AL$47*100%</f>
        <v>0</v>
      </c>
      <c r="AO72" s="66">
        <f>COUNTIFS(TblUniv20196[H1],AO$48,TblUniv20196[Prodi],$AL$45)/$AL$47*100%</f>
        <v>0</v>
      </c>
      <c r="AP72" s="62">
        <f t="shared" si="5"/>
        <v>1</v>
      </c>
      <c r="AR72" s="57" t="s">
        <v>43</v>
      </c>
      <c r="AS72" s="66">
        <f>COUNTIFS(TblUniv20196[H1],AS$48,TblUniv20196[Prodi],$AS$45)/$AS$47*100%</f>
        <v>1</v>
      </c>
      <c r="AT72" s="66">
        <f>COUNTIFS(TblUniv20196[H1],AT$48,TblUniv20196[Prodi],$AS$45)/$AS$47*100%</f>
        <v>0</v>
      </c>
      <c r="AU72" s="66">
        <f>COUNTIFS(TblUniv20196[H1],AU$48,TblUniv20196[Prodi],$AS$45)/$AS$47*100%</f>
        <v>0</v>
      </c>
      <c r="AV72" s="66">
        <f>COUNTIFS(TblUniv20196[H1],AV$48,TblUniv20196[Prodi],$AS$45)/$AS$47*100%</f>
        <v>0</v>
      </c>
      <c r="AW72" s="62">
        <f t="shared" si="6"/>
        <v>1</v>
      </c>
      <c r="AY72" s="57" t="s">
        <v>43</v>
      </c>
      <c r="AZ72" s="66">
        <f>COUNTIFS(TblUniv20196[H1],AZ$48,TblUniv20196[Prodi],$AZ$45)/$AZ$47*100%</f>
        <v>0.33333333333333331</v>
      </c>
      <c r="BA72" s="66">
        <f>COUNTIFS(TblUniv20196[H1],BA$48,TblUniv20196[Prodi],$AZ$45)/$AZ$47*100%</f>
        <v>0.66666666666666663</v>
      </c>
      <c r="BB72" s="66">
        <f>COUNTIFS(TblUniv20196[H1],BB$48,TblUniv20196[Prodi],$AZ$45)/$AZ$47*100%</f>
        <v>0</v>
      </c>
      <c r="BC72" s="66">
        <f>COUNTIFS(TblUniv20196[H1],BC$48,TblUniv20196[Prodi],$AZ$45)/$AZ$47*100%</f>
        <v>0</v>
      </c>
      <c r="BD72" s="62">
        <f t="shared" si="7"/>
        <v>1</v>
      </c>
      <c r="BF72" s="57" t="s">
        <v>43</v>
      </c>
      <c r="BG72" s="66">
        <f>COUNTIFS(TblUniv20196[H1],BG$48,TblUniv20196[Prodi],$BG$45)/$BG$47*100%</f>
        <v>0.5</v>
      </c>
      <c r="BH72" s="66">
        <f>COUNTIFS(TblUniv20196[H1],BH$48,TblUniv20196[Prodi],$BG$45)/$BG$47*100%</f>
        <v>0.5</v>
      </c>
      <c r="BI72" s="66">
        <f>COUNTIFS(TblUniv20196[H1],BI$48,TblUniv20196[Prodi],$BG$45)/$BG$47*100%</f>
        <v>0</v>
      </c>
      <c r="BJ72" s="66">
        <f>COUNTIFS(TblUniv20196[H1],BJ$48,TblUniv20196[Prodi],$BG$45)/$BG$47*100%</f>
        <v>0</v>
      </c>
      <c r="BK72" s="62">
        <f t="shared" si="8"/>
        <v>1</v>
      </c>
      <c r="BM72" s="57" t="s">
        <v>43</v>
      </c>
      <c r="BN72" s="66">
        <f>COUNTIFS(TblUniv20196[H1],BN$48,TblUniv20196[Prodi],$BN$45)/$BN$47*100%</f>
        <v>0.5</v>
      </c>
      <c r="BO72" s="66">
        <f>COUNTIFS(TblUniv20196[H1],BO$48,TblUniv20196[Prodi],$BN$45)/$BN$47*100%</f>
        <v>0.5</v>
      </c>
      <c r="BP72" s="66">
        <f>COUNTIFS(TblUniv20196[H1],BP$48,TblUniv20196[Prodi],$BN$45)/$BN$47*100%</f>
        <v>0</v>
      </c>
      <c r="BQ72" s="66">
        <f>COUNTIFS(TblUniv20196[H1],BQ$48,TblUniv20196[Prodi],$BN$45)/$BN$47*100%</f>
        <v>0</v>
      </c>
      <c r="BR72" s="62">
        <f t="shared" si="9"/>
        <v>1</v>
      </c>
    </row>
    <row r="73" spans="2:70" ht="16.5" x14ac:dyDescent="0.3">
      <c r="B73" s="57" t="s">
        <v>44</v>
      </c>
      <c r="C73" s="66">
        <f>COUNTIFS(TblUniv20196[H3],C$48)/$C$47*100%</f>
        <v>0.40540540540540543</v>
      </c>
      <c r="D73" s="66">
        <f>COUNTIFS(TblUniv20196[H3],D$48)/$C$47*100%</f>
        <v>0.43243243243243246</v>
      </c>
      <c r="E73" s="66">
        <f>COUNTIFS(TblUniv20196[H3],E$48)/$C$47*100%</f>
        <v>0.16216216216216217</v>
      </c>
      <c r="F73" s="66">
        <f>COUNTIFS(TblUniv20196[H3],F$48)/$C$47*100%</f>
        <v>0</v>
      </c>
      <c r="G73" s="62">
        <f t="shared" si="0"/>
        <v>1</v>
      </c>
      <c r="I73" s="57" t="s">
        <v>44</v>
      </c>
      <c r="J73" s="66">
        <f>COUNTIFS(TblUniv20196[H3],J$48,TblUniv20196[Prodi],$J$45)/$J$47*100%</f>
        <v>0.2</v>
      </c>
      <c r="K73" s="66">
        <f>COUNTIFS(TblUniv20196[H3],K$48,TblUniv20196[Prodi],$J$45)/$J$47*100%</f>
        <v>0.4</v>
      </c>
      <c r="L73" s="66">
        <f>COUNTIFS(TblUniv20196[H3],L$48,TblUniv20196[Prodi],$J$45)/$J$47*100%</f>
        <v>0.4</v>
      </c>
      <c r="M73" s="66">
        <f>COUNTIFS(TblUniv20196[H3],M$48,TblUniv20196[Prodi],$J$45)/$J$47*100%</f>
        <v>0</v>
      </c>
      <c r="N73" s="62">
        <f t="shared" si="1"/>
        <v>1</v>
      </c>
      <c r="P73" s="57" t="s">
        <v>44</v>
      </c>
      <c r="Q73" s="66">
        <f>COUNTIFS(TblUniv20196[H3],Q$48,TblUniv20196[Prodi],$Q$45)/$Q$47*100%</f>
        <v>0.14285714285714285</v>
      </c>
      <c r="R73" s="66">
        <f>COUNTIFS(TblUniv20196[H3],R$48,TblUniv20196[Prodi],$Q$45)/$Q$47*100%</f>
        <v>0.5714285714285714</v>
      </c>
      <c r="S73" s="66">
        <f>COUNTIFS(TblUniv20196[H3],S$48,TblUniv20196[Prodi],$Q$45)/$Q$47*100%</f>
        <v>0.2857142857142857</v>
      </c>
      <c r="T73" s="66">
        <f>COUNTIFS(TblUniv20196[H3],T$48,TblUniv20196[Prodi],$Q$45)/$Q$47*100%</f>
        <v>0</v>
      </c>
      <c r="U73" s="62">
        <f t="shared" si="2"/>
        <v>0.99999999999999989</v>
      </c>
      <c r="W73" s="57" t="s">
        <v>44</v>
      </c>
      <c r="X73" s="66">
        <f>COUNTIFS(TblUniv20196[H3],X$48,TblUniv20196[Prodi],$X$45)/$X$47*100%</f>
        <v>1</v>
      </c>
      <c r="Y73" s="66">
        <f>COUNTIFS(TblUniv20196[H3],Y$48,TblUniv20196[Prodi],$X$45)/$X$47*100%</f>
        <v>0</v>
      </c>
      <c r="Z73" s="66">
        <f>COUNTIFS(TblUniv20196[H3],Z$48,TblUniv20196[Prodi],$X$45)/$X$47*100%</f>
        <v>0</v>
      </c>
      <c r="AA73" s="66">
        <f>COUNTIFS(TblUniv20196[H3],AA$48,TblUniv20196[Prodi],$X$45)/$X$47*100%</f>
        <v>0</v>
      </c>
      <c r="AB73" s="62">
        <f t="shared" si="3"/>
        <v>1</v>
      </c>
      <c r="AD73" s="57" t="s">
        <v>44</v>
      </c>
      <c r="AE73" s="66">
        <f>COUNTIFS(TblUniv20196[H3],AE$48,TblUniv20196[Prodi],$AE$45)/$AE$47*100%</f>
        <v>0.46666666666666667</v>
      </c>
      <c r="AF73" s="66">
        <f>COUNTIFS(TblUniv20196[H3],AF$48,TblUniv20196[Prodi],$AE$45)/$AE$47*100%</f>
        <v>0.53333333333333333</v>
      </c>
      <c r="AG73" s="66">
        <f>COUNTIFS(TblUniv20196[H3],AG$48,TblUniv20196[Prodi],$AE$45)/$AE$47*100%</f>
        <v>0</v>
      </c>
      <c r="AH73" s="66">
        <f>COUNTIFS(TblUniv20196[H3],AH$48,TblUniv20196[Prodi],$AE$45)/$AE$47*100%</f>
        <v>0</v>
      </c>
      <c r="AI73" s="62">
        <f t="shared" si="4"/>
        <v>1</v>
      </c>
      <c r="AK73" s="57" t="s">
        <v>44</v>
      </c>
      <c r="AL73" s="66">
        <f>COUNTIFS(TblUniv20196[H3],AL$48,TblUniv20196[Prodi],$AL$45)/$AL$47*100%</f>
        <v>0</v>
      </c>
      <c r="AM73" s="66">
        <f>COUNTIFS(TblUniv20196[H3],AM$48,TblUniv20196[Prodi],$AL$45)/$AL$47*100%</f>
        <v>0</v>
      </c>
      <c r="AN73" s="66">
        <f>COUNTIFS(TblUniv20196[H3],AN$48,TblUniv20196[Prodi],$AL$45)/$AL$47*100%</f>
        <v>1</v>
      </c>
      <c r="AO73" s="66">
        <f>COUNTIFS(TblUniv20196[H3],AO$48,TblUniv20196[Prodi],$AL$45)/$AL$47*100%</f>
        <v>0</v>
      </c>
      <c r="AP73" s="62">
        <f t="shared" si="5"/>
        <v>1</v>
      </c>
      <c r="AR73" s="57" t="s">
        <v>44</v>
      </c>
      <c r="AS73" s="66">
        <f>COUNTIFS(TblUniv20196[H3],AS$48,TblUniv20196[Prodi],$AS$45)/$AS$47*100%</f>
        <v>1</v>
      </c>
      <c r="AT73" s="66">
        <f>COUNTIFS(TblUniv20196[H3],AT$48,TblUniv20196[Prodi],$AS$45)/$AS$47*100%</f>
        <v>0</v>
      </c>
      <c r="AU73" s="66">
        <f>COUNTIFS(TblUniv20196[H3],AU$48,TblUniv20196[Prodi],$AS$45)/$AS$47*100%</f>
        <v>0</v>
      </c>
      <c r="AV73" s="66">
        <f>COUNTIFS(TblUniv20196[H3],AV$48,TblUniv20196[Prodi],$AS$45)/$AS$47*100%</f>
        <v>0</v>
      </c>
      <c r="AW73" s="62">
        <f t="shared" si="6"/>
        <v>1</v>
      </c>
      <c r="AY73" s="57" t="s">
        <v>44</v>
      </c>
      <c r="AZ73" s="66">
        <f>COUNTIFS(TblUniv20196[H3],AZ$48,TblUniv20196[Prodi],$AZ$45)/$AZ$47*100%</f>
        <v>0.33333333333333331</v>
      </c>
      <c r="BA73" s="66">
        <f>COUNTIFS(TblUniv20196[H3],BA$48,TblUniv20196[Prodi],$AZ$45)/$AZ$47*100%</f>
        <v>0.33333333333333331</v>
      </c>
      <c r="BB73" s="66">
        <f>COUNTIFS(TblUniv20196[H3],BB$48,TblUniv20196[Prodi],$AZ$45)/$AZ$47*100%</f>
        <v>0.33333333333333331</v>
      </c>
      <c r="BC73" s="66">
        <f>COUNTIFS(TblUniv20196[H3],BC$48,TblUniv20196[Prodi],$AZ$45)/$AZ$47*100%</f>
        <v>0</v>
      </c>
      <c r="BD73" s="62">
        <f t="shared" si="7"/>
        <v>1</v>
      </c>
      <c r="BF73" s="57" t="s">
        <v>44</v>
      </c>
      <c r="BG73" s="66">
        <f>COUNTIFS(TblUniv20196[H3],BG$48,TblUniv20196[Prodi],$BG$45)/$BG$47*100%</f>
        <v>0.5</v>
      </c>
      <c r="BH73" s="66">
        <f>COUNTIFS(TblUniv20196[H3],BH$48,TblUniv20196[Prodi],$BG$45)/$BG$47*100%</f>
        <v>0.5</v>
      </c>
      <c r="BI73" s="66">
        <f>COUNTIFS(TblUniv20196[H3],BI$48,TblUniv20196[Prodi],$BG$45)/$BG$47*100%</f>
        <v>0</v>
      </c>
      <c r="BJ73" s="66">
        <f>COUNTIFS(TblUniv20196[H3],BJ$48,TblUniv20196[Prodi],$BG$45)/$BG$47*100%</f>
        <v>0</v>
      </c>
      <c r="BK73" s="62">
        <f t="shared" si="8"/>
        <v>1</v>
      </c>
      <c r="BM73" s="57" t="s">
        <v>44</v>
      </c>
      <c r="BN73" s="66">
        <f>COUNTIFS(TblUniv20196[H3],BN$48,TblUniv20196[Prodi],$BN$45)/$BN$47*100%</f>
        <v>1</v>
      </c>
      <c r="BO73" s="66">
        <f>COUNTIFS(TblUniv20196[H3],BO$48,TblUniv20196[Prodi],$BN$45)/$BN$47*100%</f>
        <v>0</v>
      </c>
      <c r="BP73" s="66">
        <f>COUNTIFS(TblUniv20196[H3],BP$48,TblUniv20196[Prodi],$BN$45)/$BN$47*100%</f>
        <v>0</v>
      </c>
      <c r="BQ73" s="66">
        <f>COUNTIFS(TblUniv20196[H3],BQ$48,TblUniv20196[Prodi],$BN$45)/$BN$47*100%</f>
        <v>0</v>
      </c>
      <c r="BR73" s="62">
        <f t="shared" si="9"/>
        <v>1</v>
      </c>
    </row>
    <row r="74" spans="2:70" ht="16.5" x14ac:dyDescent="0.3">
      <c r="B74" s="57" t="s">
        <v>45</v>
      </c>
      <c r="C74" s="66">
        <f>COUNTIFS(TblUniv20196[H4],C$48)/$C$47*100%</f>
        <v>0.35135135135135137</v>
      </c>
      <c r="D74" s="66">
        <f>COUNTIFS(TblUniv20196[H4],D$48)/$C$47*100%</f>
        <v>0.48648648648648651</v>
      </c>
      <c r="E74" s="66">
        <f>COUNTIFS(TblUniv20196[H4],E$48)/$C$47*100%</f>
        <v>0.16216216216216217</v>
      </c>
      <c r="F74" s="66">
        <f>COUNTIFS(TblUniv20196[H4],F$48)/$C$47*100%</f>
        <v>0</v>
      </c>
      <c r="G74" s="62">
        <f t="shared" si="0"/>
        <v>1</v>
      </c>
      <c r="I74" s="57" t="s">
        <v>45</v>
      </c>
      <c r="J74" s="66">
        <f>COUNTIFS(TblUniv20196[H4],J$48,TblUniv20196[Prodi],$J$45)/$J$47*100%</f>
        <v>0</v>
      </c>
      <c r="K74" s="66">
        <f>COUNTIFS(TblUniv20196[H4],K$48,TblUniv20196[Prodi],$J$45)/$J$47*100%</f>
        <v>0.6</v>
      </c>
      <c r="L74" s="66">
        <f>COUNTIFS(TblUniv20196[H4],L$48,TblUniv20196[Prodi],$J$45)/$J$47*100%</f>
        <v>0.4</v>
      </c>
      <c r="M74" s="66">
        <f>COUNTIFS(TblUniv20196[H4],M$48,TblUniv20196[Prodi],$J$45)/$J$47*100%</f>
        <v>0</v>
      </c>
      <c r="N74" s="62">
        <f t="shared" si="1"/>
        <v>1</v>
      </c>
      <c r="P74" s="57" t="s">
        <v>45</v>
      </c>
      <c r="Q74" s="66">
        <f>COUNTIFS(TblUniv20196[H4],Q$48,TblUniv20196[Prodi],$Q$45)/$Q$47*100%</f>
        <v>0.2857142857142857</v>
      </c>
      <c r="R74" s="66">
        <f>COUNTIFS(TblUniv20196[H4],R$48,TblUniv20196[Prodi],$Q$45)/$Q$47*100%</f>
        <v>0.42857142857142855</v>
      </c>
      <c r="S74" s="66">
        <f>COUNTIFS(TblUniv20196[H4],S$48,TblUniv20196[Prodi],$Q$45)/$Q$47*100%</f>
        <v>0.2857142857142857</v>
      </c>
      <c r="T74" s="66">
        <f>COUNTIFS(TblUniv20196[H4],T$48,TblUniv20196[Prodi],$Q$45)/$Q$47*100%</f>
        <v>0</v>
      </c>
      <c r="U74" s="62">
        <f t="shared" si="2"/>
        <v>0.99999999999999989</v>
      </c>
      <c r="W74" s="57" t="s">
        <v>45</v>
      </c>
      <c r="X74" s="66">
        <f>COUNTIFS(TblUniv20196[H4],X$48,TblUniv20196[Prodi],$X$45)/$X$47*100%</f>
        <v>1</v>
      </c>
      <c r="Y74" s="66">
        <f>COUNTIFS(TblUniv20196[H4],Y$48,TblUniv20196[Prodi],$X$45)/$X$47*100%</f>
        <v>0</v>
      </c>
      <c r="Z74" s="66">
        <f>COUNTIFS(TblUniv20196[H4],Z$48,TblUniv20196[Prodi],$X$45)/$X$47*100%</f>
        <v>0</v>
      </c>
      <c r="AA74" s="66">
        <f>COUNTIFS(TblUniv20196[H4],AA$48,TblUniv20196[Prodi],$X$45)/$X$47*100%</f>
        <v>0</v>
      </c>
      <c r="AB74" s="62">
        <f t="shared" si="3"/>
        <v>1</v>
      </c>
      <c r="AD74" s="57" t="s">
        <v>45</v>
      </c>
      <c r="AE74" s="66">
        <f>COUNTIFS(TblUniv20196[H4],AE$48,TblUniv20196[Prodi],$AE$45)/$AE$47*100%</f>
        <v>0.46666666666666667</v>
      </c>
      <c r="AF74" s="66">
        <f>COUNTIFS(TblUniv20196[H4],AF$48,TblUniv20196[Prodi],$AE$45)/$AE$47*100%</f>
        <v>0.53333333333333333</v>
      </c>
      <c r="AG74" s="66">
        <f>COUNTIFS(TblUniv20196[H4],AG$48,TblUniv20196[Prodi],$AE$45)/$AE$47*100%</f>
        <v>0</v>
      </c>
      <c r="AH74" s="66">
        <f>COUNTIFS(TblUniv20196[H4],AH$48,TblUniv20196[Prodi],$AE$45)/$AE$47*100%</f>
        <v>0</v>
      </c>
      <c r="AI74" s="62">
        <f t="shared" si="4"/>
        <v>1</v>
      </c>
      <c r="AK74" s="57" t="s">
        <v>45</v>
      </c>
      <c r="AL74" s="66">
        <f>COUNTIFS(TblUniv20196[H4],AL$48,TblUniv20196[Prodi],$AL$45)/$AL$47*100%</f>
        <v>0</v>
      </c>
      <c r="AM74" s="66">
        <f>COUNTIFS(TblUniv20196[H4],AM$48,TblUniv20196[Prodi],$AL$45)/$AL$47*100%</f>
        <v>0</v>
      </c>
      <c r="AN74" s="66">
        <f>COUNTIFS(TblUniv20196[H4],AN$48,TblUniv20196[Prodi],$AL$45)/$AL$47*100%</f>
        <v>1</v>
      </c>
      <c r="AO74" s="66">
        <f>COUNTIFS(TblUniv20196[H4],AO$48,TblUniv20196[Prodi],$AL$45)/$AL$47*100%</f>
        <v>0</v>
      </c>
      <c r="AP74" s="62">
        <f t="shared" si="5"/>
        <v>1</v>
      </c>
      <c r="AR74" s="57" t="s">
        <v>45</v>
      </c>
      <c r="AS74" s="66">
        <f>COUNTIFS(TblUniv20196[H4],AS$48,TblUniv20196[Prodi],$AS$45)/$AS$47*100%</f>
        <v>1</v>
      </c>
      <c r="AT74" s="66">
        <f>COUNTIFS(TblUniv20196[H4],AT$48,TblUniv20196[Prodi],$AS$45)/$AS$47*100%</f>
        <v>0</v>
      </c>
      <c r="AU74" s="66">
        <f>COUNTIFS(TblUniv20196[H4],AU$48,TblUniv20196[Prodi],$AS$45)/$AS$47*100%</f>
        <v>0</v>
      </c>
      <c r="AV74" s="66">
        <f>COUNTIFS(TblUniv20196[H4],AV$48,TblUniv20196[Prodi],$AS$45)/$AS$47*100%</f>
        <v>0</v>
      </c>
      <c r="AW74" s="62">
        <f t="shared" si="6"/>
        <v>1</v>
      </c>
      <c r="AY74" s="57" t="s">
        <v>45</v>
      </c>
      <c r="AZ74" s="66">
        <f>COUNTIFS(TblUniv20196[H4],AZ$48,TblUniv20196[Prodi],$AZ$45)/$AZ$47*100%</f>
        <v>0</v>
      </c>
      <c r="BA74" s="66">
        <f>COUNTIFS(TblUniv20196[H4],BA$48,TblUniv20196[Prodi],$AZ$45)/$AZ$47*100%</f>
        <v>0.66666666666666663</v>
      </c>
      <c r="BB74" s="66">
        <f>COUNTIFS(TblUniv20196[H4],BB$48,TblUniv20196[Prodi],$AZ$45)/$AZ$47*100%</f>
        <v>0.33333333333333331</v>
      </c>
      <c r="BC74" s="66">
        <f>COUNTIFS(TblUniv20196[H4],BC$48,TblUniv20196[Prodi],$AZ$45)/$AZ$47*100%</f>
        <v>0</v>
      </c>
      <c r="BD74" s="62">
        <f t="shared" si="7"/>
        <v>1</v>
      </c>
      <c r="BF74" s="57" t="s">
        <v>45</v>
      </c>
      <c r="BG74" s="66">
        <f>COUNTIFS(TblUniv20196[H4],BG$48,TblUniv20196[Prodi],$BG$45)/$BG$47*100%</f>
        <v>0.5</v>
      </c>
      <c r="BH74" s="66">
        <f>COUNTIFS(TblUniv20196[H4],BH$48,TblUniv20196[Prodi],$BG$45)/$BG$47*100%</f>
        <v>0.5</v>
      </c>
      <c r="BI74" s="66">
        <f>COUNTIFS(TblUniv20196[H4],BI$48,TblUniv20196[Prodi],$BG$45)/$BG$47*100%</f>
        <v>0</v>
      </c>
      <c r="BJ74" s="66">
        <f>COUNTIFS(TblUniv20196[H4],BJ$48,TblUniv20196[Prodi],$BG$45)/$BG$47*100%</f>
        <v>0</v>
      </c>
      <c r="BK74" s="62">
        <f t="shared" si="8"/>
        <v>1</v>
      </c>
      <c r="BM74" s="57" t="s">
        <v>45</v>
      </c>
      <c r="BN74" s="66">
        <f>COUNTIFS(TblUniv20196[H4],BN$48,TblUniv20196[Prodi],$BN$45)/$BN$47*100%</f>
        <v>0.5</v>
      </c>
      <c r="BO74" s="66">
        <f>COUNTIFS(TblUniv20196[H4],BO$48,TblUniv20196[Prodi],$BN$45)/$BN$47*100%</f>
        <v>0.5</v>
      </c>
      <c r="BP74" s="66">
        <f>COUNTIFS(TblUniv20196[H4],BP$48,TblUniv20196[Prodi],$BN$45)/$BN$47*100%</f>
        <v>0</v>
      </c>
      <c r="BQ74" s="66">
        <f>COUNTIFS(TblUniv20196[H4],BQ$48,TblUniv20196[Prodi],$BN$45)/$BN$47*100%</f>
        <v>0</v>
      </c>
      <c r="BR74" s="62">
        <f t="shared" si="9"/>
        <v>1</v>
      </c>
    </row>
    <row r="75" spans="2:70" ht="16.5" x14ac:dyDescent="0.3">
      <c r="B75" s="60"/>
      <c r="C75" s="61">
        <f>AVERAGE(C71:C74)</f>
        <v>0.39864864864864868</v>
      </c>
      <c r="D75" s="61">
        <f>AVERAGE(D71:D74)</f>
        <v>0.52027027027027029</v>
      </c>
      <c r="E75" s="61">
        <f>AVERAGE(E71:E74)</f>
        <v>8.1081081081081086E-2</v>
      </c>
      <c r="F75" s="61">
        <f>AVERAGE(F71:F74)</f>
        <v>0</v>
      </c>
      <c r="G75" s="62">
        <f t="shared" si="0"/>
        <v>1</v>
      </c>
      <c r="I75" s="60"/>
      <c r="J75" s="61">
        <f>AVERAGE(J71:J74)</f>
        <v>0.15000000000000002</v>
      </c>
      <c r="K75" s="61">
        <f>AVERAGE(K71:K74)</f>
        <v>0.65</v>
      </c>
      <c r="L75" s="61">
        <f>AVERAGE(L71:L74)</f>
        <v>0.2</v>
      </c>
      <c r="M75" s="61">
        <f>AVERAGE(M71:M74)</f>
        <v>0</v>
      </c>
      <c r="N75" s="62">
        <f t="shared" si="1"/>
        <v>1</v>
      </c>
      <c r="P75" s="60"/>
      <c r="Q75" s="61">
        <f>AVERAGE(Q71:Q74)</f>
        <v>0.24999999999999997</v>
      </c>
      <c r="R75" s="61">
        <f>AVERAGE(R71:R74)</f>
        <v>0.6071428571428571</v>
      </c>
      <c r="S75" s="61">
        <f>AVERAGE(S71:S74)</f>
        <v>0.14285714285714285</v>
      </c>
      <c r="T75" s="61">
        <f>AVERAGE(T71:T74)</f>
        <v>0</v>
      </c>
      <c r="U75" s="62">
        <f t="shared" si="2"/>
        <v>1</v>
      </c>
      <c r="W75" s="60"/>
      <c r="X75" s="61">
        <f>AVERAGE(X71:X74)</f>
        <v>1</v>
      </c>
      <c r="Y75" s="61">
        <f>AVERAGE(Y71:Y74)</f>
        <v>0</v>
      </c>
      <c r="Z75" s="61">
        <f>AVERAGE(Z71:Z74)</f>
        <v>0</v>
      </c>
      <c r="AA75" s="61">
        <f>AVERAGE(AA71:AA74)</f>
        <v>0</v>
      </c>
      <c r="AB75" s="62">
        <f t="shared" si="3"/>
        <v>1</v>
      </c>
      <c r="AD75" s="60"/>
      <c r="AE75" s="61">
        <f>AVERAGE(AE71:AE74)</f>
        <v>0.53333333333333333</v>
      </c>
      <c r="AF75" s="61">
        <f>AVERAGE(AF71:AF74)</f>
        <v>0.46666666666666667</v>
      </c>
      <c r="AG75" s="61">
        <f>AVERAGE(AG71:AG74)</f>
        <v>0</v>
      </c>
      <c r="AH75" s="61">
        <f>AVERAGE(AH71:AH74)</f>
        <v>0</v>
      </c>
      <c r="AI75" s="62">
        <f t="shared" si="4"/>
        <v>1</v>
      </c>
      <c r="AK75" s="60"/>
      <c r="AL75" s="61">
        <f>AVERAGE(AL71:AL74)</f>
        <v>0</v>
      </c>
      <c r="AM75" s="61">
        <f>AVERAGE(AM71:AM74)</f>
        <v>0.5</v>
      </c>
      <c r="AN75" s="61">
        <f>AVERAGE(AN71:AN74)</f>
        <v>0.5</v>
      </c>
      <c r="AO75" s="61">
        <f>AVERAGE(AO71:AO74)</f>
        <v>0</v>
      </c>
      <c r="AP75" s="62">
        <f t="shared" si="5"/>
        <v>1</v>
      </c>
      <c r="AR75" s="60"/>
      <c r="AS75" s="61">
        <f>AVERAGE(AS71:AS74)</f>
        <v>1</v>
      </c>
      <c r="AT75" s="61">
        <f>AVERAGE(AT71:AT74)</f>
        <v>0</v>
      </c>
      <c r="AU75" s="61">
        <f>AVERAGE(AU71:AU74)</f>
        <v>0</v>
      </c>
      <c r="AV75" s="61">
        <f>AVERAGE(AV71:AV74)</f>
        <v>0</v>
      </c>
      <c r="AW75" s="62">
        <f t="shared" si="6"/>
        <v>1</v>
      </c>
      <c r="AY75" s="60"/>
      <c r="AZ75" s="61">
        <f>AVERAGE(AZ71:AZ74)</f>
        <v>0.25</v>
      </c>
      <c r="BA75" s="61">
        <f>AVERAGE(BA71:BA74)</f>
        <v>0.58333333333333326</v>
      </c>
      <c r="BB75" s="61">
        <f>AVERAGE(BB71:BB74)</f>
        <v>0.16666666666666666</v>
      </c>
      <c r="BC75" s="61">
        <f>AVERAGE(BC71:BC74)</f>
        <v>0</v>
      </c>
      <c r="BD75" s="62">
        <f t="shared" si="7"/>
        <v>0.99999999999999989</v>
      </c>
      <c r="BF75" s="60"/>
      <c r="BG75" s="61">
        <f>AVERAGE(BG71:BG74)</f>
        <v>0.5</v>
      </c>
      <c r="BH75" s="61">
        <f>AVERAGE(BH71:BH74)</f>
        <v>0.5</v>
      </c>
      <c r="BI75" s="61">
        <f>AVERAGE(BI71:BI74)</f>
        <v>0</v>
      </c>
      <c r="BJ75" s="61">
        <f>AVERAGE(BJ71:BJ74)</f>
        <v>0</v>
      </c>
      <c r="BK75" s="62">
        <f t="shared" si="8"/>
        <v>1</v>
      </c>
      <c r="BM75" s="60"/>
      <c r="BN75" s="61">
        <f>AVERAGE(BN71:BN74)</f>
        <v>0.625</v>
      </c>
      <c r="BO75" s="61">
        <f>AVERAGE(BO71:BO74)</f>
        <v>0.375</v>
      </c>
      <c r="BP75" s="61">
        <f>AVERAGE(BP71:BP74)</f>
        <v>0</v>
      </c>
      <c r="BQ75" s="61">
        <f>AVERAGE(BQ71:BQ74)</f>
        <v>0</v>
      </c>
      <c r="BR75" s="62">
        <f t="shared" si="9"/>
        <v>1</v>
      </c>
    </row>
    <row r="76" spans="2:70" ht="16.5" hidden="1" x14ac:dyDescent="0.3">
      <c r="B76" s="57" t="s">
        <v>648</v>
      </c>
      <c r="C76" s="66">
        <f>COUNTIFS(TblUniv20196[I. a1],C$48)/$C$47*100%</f>
        <v>0.29729729729729731</v>
      </c>
      <c r="D76" s="66">
        <f>COUNTIFS(TblUniv20196[I. a1],D$48)/$C$47*100%</f>
        <v>0.70270270270270274</v>
      </c>
      <c r="E76" s="66">
        <f>COUNTIFS(TblUniv20196[I. a1],E$48)/$C$47*100%</f>
        <v>0</v>
      </c>
      <c r="F76" s="66">
        <f>COUNTIFS(TblUniv20196[I. a1],F$48)/$C$47*100%</f>
        <v>0</v>
      </c>
      <c r="G76" s="62">
        <f t="shared" si="0"/>
        <v>1</v>
      </c>
      <c r="I76" s="57" t="s">
        <v>648</v>
      </c>
      <c r="J76" s="66">
        <f>COUNTIFS(TblUniv20196[I. a1],J$48,TblUniv20196[Prodi],$J$45)/$J$47*100%</f>
        <v>0.2</v>
      </c>
      <c r="K76" s="66">
        <f>COUNTIFS(TblUniv20196[I. a1],K$48,TblUniv20196[Prodi],$J$45)/$J$47*100%</f>
        <v>0.8</v>
      </c>
      <c r="L76" s="66">
        <f>COUNTIFS(TblUniv20196[I. a1],L$48,TblUniv20196[Prodi],$J$45)/$J$47*100%</f>
        <v>0</v>
      </c>
      <c r="M76" s="66">
        <f>COUNTIFS(TblUniv20196[I. a1],M$48,TblUniv20196[Prodi],$J$45)/$J$47*100%</f>
        <v>0</v>
      </c>
      <c r="N76" s="62">
        <f t="shared" si="1"/>
        <v>1</v>
      </c>
      <c r="P76" s="57" t="s">
        <v>648</v>
      </c>
      <c r="Q76" s="66">
        <f>COUNTIFS(TblUniv20196[I. a1],Q$48,TblUniv20196[Prodi],$Q$45)/$Q$47*100%</f>
        <v>0.2857142857142857</v>
      </c>
      <c r="R76" s="66">
        <f>COUNTIFS(TblUniv20196[I. a1],R$48,TblUniv20196[Prodi],$Q$45)/$Q$47*100%</f>
        <v>0.7142857142857143</v>
      </c>
      <c r="S76" s="66">
        <f>COUNTIFS(TblUniv20196[I. a1],S$48,TblUniv20196[Prodi],$Q$45)/$Q$47*100%</f>
        <v>0</v>
      </c>
      <c r="T76" s="66">
        <f>COUNTIFS(TblUniv20196[I. a1],T$48,TblUniv20196[Prodi],$Q$45)/$Q$47*100%</f>
        <v>0</v>
      </c>
      <c r="U76" s="62">
        <f t="shared" si="2"/>
        <v>1</v>
      </c>
      <c r="W76" s="57" t="s">
        <v>648</v>
      </c>
      <c r="X76" s="66">
        <f>COUNTIFS(TblUniv20196[I. a1],X$48,TblUniv20196[Prodi],$X$45)/$X$47*100%</f>
        <v>0</v>
      </c>
      <c r="Y76" s="66">
        <f>COUNTIFS(TblUniv20196[I. a1],Y$48,TblUniv20196[Prodi],$X$45)/$X$47*100%</f>
        <v>1</v>
      </c>
      <c r="Z76" s="66">
        <f>COUNTIFS(TblUniv20196[I. a1],Z$48,TblUniv20196[Prodi],$X$45)/$X$47*100%</f>
        <v>0</v>
      </c>
      <c r="AA76" s="66">
        <f>COUNTIFS(TblUniv20196[I. a1],AA$48,TblUniv20196[Prodi],$X$45)/$X$47*100%</f>
        <v>0</v>
      </c>
      <c r="AB76" s="62">
        <f t="shared" si="3"/>
        <v>1</v>
      </c>
      <c r="AD76" s="57" t="s">
        <v>648</v>
      </c>
      <c r="AE76" s="66">
        <f>COUNTIFS(TblUniv20196[I. a1],AE$48,TblUniv20196[Prodi],$AE$45)/$AE$47*100%</f>
        <v>0.13333333333333333</v>
      </c>
      <c r="AF76" s="66">
        <f>COUNTIFS(TblUniv20196[I. a1],AF$48,TblUniv20196[Prodi],$AE$45)/$AE$47*100%</f>
        <v>0.8666666666666667</v>
      </c>
      <c r="AG76" s="66">
        <f>COUNTIFS(TblUniv20196[I. a1],AG$48,TblUniv20196[Prodi],$AE$45)/$AE$47*100%</f>
        <v>0</v>
      </c>
      <c r="AH76" s="66">
        <f>COUNTIFS(TblUniv20196[I. a1],AH$48,TblUniv20196[Prodi],$AE$45)/$AE$47*100%</f>
        <v>0</v>
      </c>
      <c r="AI76" s="62">
        <f t="shared" si="4"/>
        <v>1</v>
      </c>
      <c r="AK76" s="57" t="s">
        <v>648</v>
      </c>
      <c r="AL76" s="66">
        <f>COUNTIFS(TblUniv20196[I. a1],AL$48,TblUniv20196[Prodi],$AL$45)/$AL$47*100%</f>
        <v>0</v>
      </c>
      <c r="AM76" s="66">
        <f>COUNTIFS(TblUniv20196[I. a1],AM$48,TblUniv20196[Prodi],$AL$45)/$AL$47*100%</f>
        <v>1</v>
      </c>
      <c r="AN76" s="66">
        <f>COUNTIFS(TblUniv20196[I. a1],AN$48,TblUniv20196[Prodi],$AL$45)/$AL$47*100%</f>
        <v>0</v>
      </c>
      <c r="AO76" s="66">
        <f>COUNTIFS(TblUniv20196[I. a1],AO$48,TblUniv20196[Prodi],$AL$45)/$AL$47*100%</f>
        <v>0</v>
      </c>
      <c r="AP76" s="62">
        <f t="shared" si="5"/>
        <v>1</v>
      </c>
      <c r="AR76" s="57" t="s">
        <v>648</v>
      </c>
      <c r="AS76" s="66">
        <f>COUNTIFS(TblUniv20196[I. a1],AS$48,TblUniv20196[Prodi],$AS$45)/$AS$47*100%</f>
        <v>1</v>
      </c>
      <c r="AT76" s="66">
        <f>COUNTIFS(TblUniv20196[I. a1],AT$48,TblUniv20196[Prodi],$AS$45)/$AS$47*100%</f>
        <v>0</v>
      </c>
      <c r="AU76" s="66">
        <f>COUNTIFS(TblUniv20196[I. a1],AU$48,TblUniv20196[Prodi],$AS$45)/$AS$47*100%</f>
        <v>0</v>
      </c>
      <c r="AV76" s="66">
        <f>COUNTIFS(TblUniv20196[I. a1],AV$48,TblUniv20196[Prodi],$AS$45)/$AS$47*100%</f>
        <v>0</v>
      </c>
      <c r="AW76" s="62">
        <f t="shared" si="6"/>
        <v>1</v>
      </c>
      <c r="AY76" s="57" t="s">
        <v>648</v>
      </c>
      <c r="AZ76" s="66">
        <f>COUNTIFS(TblUniv20196[I. a1],AZ$48,TblUniv20196[Prodi],$AZ$45)/$AZ$47*100%</f>
        <v>0.33333333333333331</v>
      </c>
      <c r="BA76" s="66">
        <f>COUNTIFS(TblUniv20196[I. a1],BA$48,TblUniv20196[Prodi],$AZ$45)/$AZ$47*100%</f>
        <v>0.66666666666666663</v>
      </c>
      <c r="BB76" s="66">
        <f>COUNTIFS(TblUniv20196[I. a1],BB$48,TblUniv20196[Prodi],$AZ$45)/$AZ$47*100%</f>
        <v>0</v>
      </c>
      <c r="BC76" s="66">
        <f>COUNTIFS(TblUniv20196[I. a1],BC$48,TblUniv20196[Prodi],$AZ$45)/$AZ$47*100%</f>
        <v>0</v>
      </c>
      <c r="BD76" s="62">
        <f t="shared" si="7"/>
        <v>1</v>
      </c>
      <c r="BF76" s="57" t="s">
        <v>648</v>
      </c>
      <c r="BG76" s="66">
        <f>COUNTIFS(TblUniv20196[I. a1],BG$48,TblUniv20196[Prodi],$BG$45)/$BG$47*100%</f>
        <v>1</v>
      </c>
      <c r="BH76" s="66">
        <f>COUNTIFS(TblUniv20196[I. a1],BH$48,TblUniv20196[Prodi],$BG$45)/$BG$47*100%</f>
        <v>0</v>
      </c>
      <c r="BI76" s="66">
        <f>COUNTIFS(TblUniv20196[I. a1],BI$48,TblUniv20196[Prodi],$BG$45)/$BG$47*100%</f>
        <v>0</v>
      </c>
      <c r="BJ76" s="66">
        <f>COUNTIFS(TblUniv20196[I. a1],BJ$48,TblUniv20196[Prodi],$BG$45)/$BG$47*100%</f>
        <v>0</v>
      </c>
      <c r="BK76" s="62">
        <f t="shared" si="8"/>
        <v>1</v>
      </c>
      <c r="BM76" s="57" t="s">
        <v>648</v>
      </c>
      <c r="BN76" s="66">
        <f>COUNTIFS(TblUniv20196[I. a1],BN$48,TblUniv20196[Prodi],$BN$45)/$BN$47*100%</f>
        <v>1</v>
      </c>
      <c r="BO76" s="66">
        <f>COUNTIFS(TblUniv20196[I. a1],BO$48,TblUniv20196[Prodi],$BN$45)/$BN$47*100%</f>
        <v>0</v>
      </c>
      <c r="BP76" s="66">
        <f>COUNTIFS(TblUniv20196[I. a1],BP$48,TblUniv20196[Prodi],$BN$45)/$BN$47*100%</f>
        <v>0</v>
      </c>
      <c r="BQ76" s="66">
        <f>COUNTIFS(TblUniv20196[I. a1],BQ$48,TblUniv20196[Prodi],$BN$45)/$BN$47*100%</f>
        <v>0</v>
      </c>
      <c r="BR76" s="62">
        <f t="shared" si="9"/>
        <v>1</v>
      </c>
    </row>
    <row r="77" spans="2:70" ht="16.5" hidden="1" x14ac:dyDescent="0.3">
      <c r="B77" s="57" t="s">
        <v>649</v>
      </c>
      <c r="C77" s="66">
        <f>COUNTIFS(TblUniv20196[I. a2],C$48)/$C$47*100%</f>
        <v>0.24324324324324326</v>
      </c>
      <c r="D77" s="66">
        <f>COUNTIFS(TblUniv20196[I. a2],D$48)/$C$47*100%</f>
        <v>0.7567567567567568</v>
      </c>
      <c r="E77" s="66">
        <f>COUNTIFS(TblUniv20196[I. a2],E$48)/$C$47*100%</f>
        <v>0</v>
      </c>
      <c r="F77" s="66">
        <f>COUNTIFS(TblUniv20196[I. a2],F$48)/$C$47*100%</f>
        <v>0</v>
      </c>
      <c r="G77" s="62">
        <f t="shared" si="0"/>
        <v>1</v>
      </c>
      <c r="I77" s="57" t="s">
        <v>649</v>
      </c>
      <c r="J77" s="66">
        <f>COUNTIFS(TblUniv20196[I. a2],J$48,TblUniv20196[Prodi],$J$45)/$J$47*100%</f>
        <v>0.2</v>
      </c>
      <c r="K77" s="66">
        <f>COUNTIFS(TblUniv20196[I. a2],K$48,TblUniv20196[Prodi],$J$45)/$J$47*100%</f>
        <v>0.8</v>
      </c>
      <c r="L77" s="66">
        <f>COUNTIFS(TblUniv20196[I. a2],L$48,TblUniv20196[Prodi],$J$45)/$J$47*100%</f>
        <v>0</v>
      </c>
      <c r="M77" s="66">
        <f>COUNTIFS(TblUniv20196[I. a2],M$48,TblUniv20196[Prodi],$J$45)/$J$47*100%</f>
        <v>0</v>
      </c>
      <c r="N77" s="62">
        <f t="shared" si="1"/>
        <v>1</v>
      </c>
      <c r="P77" s="57" t="s">
        <v>649</v>
      </c>
      <c r="Q77" s="66">
        <f>COUNTIFS(TblUniv20196[I. a2],Q$48,TblUniv20196[Prodi],$Q$45)/$Q$47*100%</f>
        <v>0.2857142857142857</v>
      </c>
      <c r="R77" s="66">
        <f>COUNTIFS(TblUniv20196[I. a2],R$48,TblUniv20196[Prodi],$Q$45)/$Q$47*100%</f>
        <v>0.7142857142857143</v>
      </c>
      <c r="S77" s="66">
        <f>COUNTIFS(TblUniv20196[I. a2],S$48,TblUniv20196[Prodi],$Q$45)/$Q$47*100%</f>
        <v>0</v>
      </c>
      <c r="T77" s="66">
        <f>COUNTIFS(TblUniv20196[I. a2],T$48,TblUniv20196[Prodi],$Q$45)/$Q$47*100%</f>
        <v>0</v>
      </c>
      <c r="U77" s="62">
        <f t="shared" si="2"/>
        <v>1</v>
      </c>
      <c r="W77" s="57" t="s">
        <v>649</v>
      </c>
      <c r="X77" s="66">
        <f>COUNTIFS(TblUniv20196[I. a2],X$48,TblUniv20196[Prodi],$X$45)/$X$47*100%</f>
        <v>0</v>
      </c>
      <c r="Y77" s="66">
        <f>COUNTIFS(TblUniv20196[I. a2],Y$48,TblUniv20196[Prodi],$X$45)/$X$47*100%</f>
        <v>1</v>
      </c>
      <c r="Z77" s="66">
        <f>COUNTIFS(TblUniv20196[I. a2],Z$48,TblUniv20196[Prodi],$X$45)/$X$47*100%</f>
        <v>0</v>
      </c>
      <c r="AA77" s="66">
        <f>COUNTIFS(TblUniv20196[I. a2],AA$48,TblUniv20196[Prodi],$X$45)/$X$47*100%</f>
        <v>0</v>
      </c>
      <c r="AB77" s="62">
        <f t="shared" si="3"/>
        <v>1</v>
      </c>
      <c r="AD77" s="57" t="s">
        <v>649</v>
      </c>
      <c r="AE77" s="66">
        <f>COUNTIFS(TblUniv20196[I. a2],AE$48,TblUniv20196[Prodi],$AE$45)/$AE$47*100%</f>
        <v>0.13333333333333333</v>
      </c>
      <c r="AF77" s="66">
        <f>COUNTIFS(TblUniv20196[I. a2],AF$48,TblUniv20196[Prodi],$AE$45)/$AE$47*100%</f>
        <v>0.8666666666666667</v>
      </c>
      <c r="AG77" s="66">
        <f>COUNTIFS(TblUniv20196[I. a2],AG$48,TblUniv20196[Prodi],$AE$45)/$AE$47*100%</f>
        <v>0</v>
      </c>
      <c r="AH77" s="66">
        <f>COUNTIFS(TblUniv20196[I. a2],AH$48,TblUniv20196[Prodi],$AE$45)/$AE$47*100%</f>
        <v>0</v>
      </c>
      <c r="AI77" s="62">
        <f t="shared" si="4"/>
        <v>1</v>
      </c>
      <c r="AK77" s="57" t="s">
        <v>649</v>
      </c>
      <c r="AL77" s="66">
        <f>COUNTIFS(TblUniv20196[I. a2],AL$48,TblUniv20196[Prodi],$AL$45)/$AL$47*100%</f>
        <v>0</v>
      </c>
      <c r="AM77" s="66">
        <f>COUNTIFS(TblUniv20196[I. a2],AM$48,TblUniv20196[Prodi],$AL$45)/$AL$47*100%</f>
        <v>1</v>
      </c>
      <c r="AN77" s="66">
        <f>COUNTIFS(TblUniv20196[I. a2],AN$48,TblUniv20196[Prodi],$AL$45)/$AL$47*100%</f>
        <v>0</v>
      </c>
      <c r="AO77" s="66">
        <f>COUNTIFS(TblUniv20196[I. a2],AO$48,TblUniv20196[Prodi],$AL$45)/$AL$47*100%</f>
        <v>0</v>
      </c>
      <c r="AP77" s="62">
        <f t="shared" si="5"/>
        <v>1</v>
      </c>
      <c r="AR77" s="57" t="s">
        <v>649</v>
      </c>
      <c r="AS77" s="66">
        <f>COUNTIFS(TblUniv20196[I. a2],AS$48,TblUniv20196[Prodi],$AS$45)/$AS$47*100%</f>
        <v>1</v>
      </c>
      <c r="AT77" s="66">
        <f>COUNTIFS(TblUniv20196[I. a2],AT$48,TblUniv20196[Prodi],$AS$45)/$AS$47*100%</f>
        <v>0</v>
      </c>
      <c r="AU77" s="66">
        <f>COUNTIFS(TblUniv20196[I. a2],AU$48,TblUniv20196[Prodi],$AS$45)/$AS$47*100%</f>
        <v>0</v>
      </c>
      <c r="AV77" s="66">
        <f>COUNTIFS(TblUniv20196[I. a2],AV$48,TblUniv20196[Prodi],$AS$45)/$AS$47*100%</f>
        <v>0</v>
      </c>
      <c r="AW77" s="62">
        <f t="shared" si="6"/>
        <v>1</v>
      </c>
      <c r="AY77" s="57" t="s">
        <v>649</v>
      </c>
      <c r="AZ77" s="66">
        <f>COUNTIFS(TblUniv20196[I. a2],AZ$48,TblUniv20196[Prodi],$AZ$45)/$AZ$47*100%</f>
        <v>0</v>
      </c>
      <c r="BA77" s="66">
        <f>COUNTIFS(TblUniv20196[I. a2],BA$48,TblUniv20196[Prodi],$AZ$45)/$AZ$47*100%</f>
        <v>1</v>
      </c>
      <c r="BB77" s="66">
        <f>COUNTIFS(TblUniv20196[I. a2],BB$48,TblUniv20196[Prodi],$AZ$45)/$AZ$47*100%</f>
        <v>0</v>
      </c>
      <c r="BC77" s="66">
        <f>COUNTIFS(TblUniv20196[I. a2],BC$48,TblUniv20196[Prodi],$AZ$45)/$AZ$47*100%</f>
        <v>0</v>
      </c>
      <c r="BD77" s="62">
        <f t="shared" si="7"/>
        <v>1</v>
      </c>
      <c r="BF77" s="57" t="s">
        <v>649</v>
      </c>
      <c r="BG77" s="66">
        <f>COUNTIFS(TblUniv20196[I. a2],BG$48,TblUniv20196[Prodi],$BG$45)/$BG$47*100%</f>
        <v>0.5</v>
      </c>
      <c r="BH77" s="66">
        <f>COUNTIFS(TblUniv20196[I. a2],BH$48,TblUniv20196[Prodi],$BG$45)/$BG$47*100%</f>
        <v>0.5</v>
      </c>
      <c r="BI77" s="66">
        <f>COUNTIFS(TblUniv20196[I. a2],BI$48,TblUniv20196[Prodi],$BG$45)/$BG$47*100%</f>
        <v>0</v>
      </c>
      <c r="BJ77" s="66">
        <f>COUNTIFS(TblUniv20196[I. a2],BJ$48,TblUniv20196[Prodi],$BG$45)/$BG$47*100%</f>
        <v>0</v>
      </c>
      <c r="BK77" s="62">
        <f t="shared" si="8"/>
        <v>1</v>
      </c>
      <c r="BM77" s="57" t="s">
        <v>649</v>
      </c>
      <c r="BN77" s="66">
        <f>COUNTIFS(TblUniv20196[I. a2],BN$48,TblUniv20196[Prodi],$BN$45)/$BN$47*100%</f>
        <v>1</v>
      </c>
      <c r="BO77" s="66">
        <f>COUNTIFS(TblUniv20196[I. a2],BO$48,TblUniv20196[Prodi],$BN$45)/$BN$47*100%</f>
        <v>0</v>
      </c>
      <c r="BP77" s="66">
        <f>COUNTIFS(TblUniv20196[I. a2],BP$48,TblUniv20196[Prodi],$BN$45)/$BN$47*100%</f>
        <v>0</v>
      </c>
      <c r="BQ77" s="66">
        <f>COUNTIFS(TblUniv20196[I. a2],BQ$48,TblUniv20196[Prodi],$BN$45)/$BN$47*100%</f>
        <v>0</v>
      </c>
      <c r="BR77" s="62">
        <f t="shared" si="9"/>
        <v>1</v>
      </c>
    </row>
    <row r="78" spans="2:70" ht="16.5" hidden="1" x14ac:dyDescent="0.3">
      <c r="B78" s="57" t="s">
        <v>650</v>
      </c>
      <c r="C78" s="66">
        <f>COUNTIFS(TblUniv20196[I. a3],C$48)/$C$47*100%</f>
        <v>0.45945945945945948</v>
      </c>
      <c r="D78" s="66">
        <f>COUNTIFS(TblUniv20196[I. a3],D$48)/$C$47*100%</f>
        <v>0.54054054054054057</v>
      </c>
      <c r="E78" s="66">
        <f>COUNTIFS(TblUniv20196[I. a3],E$48)/$C$47*100%</f>
        <v>0</v>
      </c>
      <c r="F78" s="66">
        <f>COUNTIFS(TblUniv20196[I. a3],F$48)/$C$47*100%</f>
        <v>0</v>
      </c>
      <c r="G78" s="62">
        <f t="shared" si="0"/>
        <v>1</v>
      </c>
      <c r="I78" s="57" t="s">
        <v>650</v>
      </c>
      <c r="J78" s="66">
        <f>COUNTIFS(TblUniv20196[I. a3],J$48,TblUniv20196[Prodi],$J$45)/$J$47*100%</f>
        <v>0.6</v>
      </c>
      <c r="K78" s="66">
        <f>COUNTIFS(TblUniv20196[I. a3],K$48,TblUniv20196[Prodi],$J$45)/$J$47*100%</f>
        <v>0.4</v>
      </c>
      <c r="L78" s="66">
        <f>COUNTIFS(TblUniv20196[I. a3],L$48,TblUniv20196[Prodi],$J$45)/$J$47*100%</f>
        <v>0</v>
      </c>
      <c r="M78" s="66">
        <f>COUNTIFS(TblUniv20196[I. a3],M$48,TblUniv20196[Prodi],$J$45)/$J$47*100%</f>
        <v>0</v>
      </c>
      <c r="N78" s="62">
        <f t="shared" si="1"/>
        <v>1</v>
      </c>
      <c r="P78" s="57" t="s">
        <v>650</v>
      </c>
      <c r="Q78" s="66">
        <f>COUNTIFS(TblUniv20196[I. a3],Q$48,TblUniv20196[Prodi],$Q$45)/$Q$47*100%</f>
        <v>0.42857142857142855</v>
      </c>
      <c r="R78" s="66">
        <f>COUNTIFS(TblUniv20196[I. a3],R$48,TblUniv20196[Prodi],$Q$45)/$Q$47*100%</f>
        <v>0.5714285714285714</v>
      </c>
      <c r="S78" s="66">
        <f>COUNTIFS(TblUniv20196[I. a3],S$48,TblUniv20196[Prodi],$Q$45)/$Q$47*100%</f>
        <v>0</v>
      </c>
      <c r="T78" s="66">
        <f>COUNTIFS(TblUniv20196[I. a3],T$48,TblUniv20196[Prodi],$Q$45)/$Q$47*100%</f>
        <v>0</v>
      </c>
      <c r="U78" s="62">
        <f t="shared" si="2"/>
        <v>1</v>
      </c>
      <c r="W78" s="57" t="s">
        <v>650</v>
      </c>
      <c r="X78" s="66">
        <f>COUNTIFS(TblUniv20196[I. a3],X$48,TblUniv20196[Prodi],$X$45)/$X$47*100%</f>
        <v>1</v>
      </c>
      <c r="Y78" s="66">
        <f>COUNTIFS(TblUniv20196[I. a3],Y$48,TblUniv20196[Prodi],$X$45)/$X$47*100%</f>
        <v>0</v>
      </c>
      <c r="Z78" s="66">
        <f>COUNTIFS(TblUniv20196[I. a3],Z$48,TblUniv20196[Prodi],$X$45)/$X$47*100%</f>
        <v>0</v>
      </c>
      <c r="AA78" s="66">
        <f>COUNTIFS(TblUniv20196[I. a3],AA$48,TblUniv20196[Prodi],$X$45)/$X$47*100%</f>
        <v>0</v>
      </c>
      <c r="AB78" s="62">
        <f t="shared" si="3"/>
        <v>1</v>
      </c>
      <c r="AD78" s="57" t="s">
        <v>650</v>
      </c>
      <c r="AE78" s="66">
        <f>COUNTIFS(TblUniv20196[I. a3],AE$48,TblUniv20196[Prodi],$AE$45)/$AE$47*100%</f>
        <v>0.2</v>
      </c>
      <c r="AF78" s="66">
        <f>COUNTIFS(TblUniv20196[I. a3],AF$48,TblUniv20196[Prodi],$AE$45)/$AE$47*100%</f>
        <v>0.8</v>
      </c>
      <c r="AG78" s="66">
        <f>COUNTIFS(TblUniv20196[I. a3],AG$48,TblUniv20196[Prodi],$AE$45)/$AE$47*100%</f>
        <v>0</v>
      </c>
      <c r="AH78" s="66">
        <f>COUNTIFS(TblUniv20196[I. a3],AH$48,TblUniv20196[Prodi],$AE$45)/$AE$47*100%</f>
        <v>0</v>
      </c>
      <c r="AI78" s="62">
        <f t="shared" si="4"/>
        <v>1</v>
      </c>
      <c r="AK78" s="57" t="s">
        <v>650</v>
      </c>
      <c r="AL78" s="66">
        <f>COUNTIFS(TblUniv20196[I. a3],AL$48,TblUniv20196[Prodi],$AL$45)/$AL$47*100%</f>
        <v>1</v>
      </c>
      <c r="AM78" s="66">
        <f>COUNTIFS(TblUniv20196[I. a3],AM$48,TblUniv20196[Prodi],$AL$45)/$AL$47*100%</f>
        <v>0</v>
      </c>
      <c r="AN78" s="66">
        <f>COUNTIFS(TblUniv20196[I. a3],AN$48,TblUniv20196[Prodi],$AL$45)/$AL$47*100%</f>
        <v>0</v>
      </c>
      <c r="AO78" s="66">
        <f>COUNTIFS(TblUniv20196[I. a3],AO$48,TblUniv20196[Prodi],$AL$45)/$AL$47*100%</f>
        <v>0</v>
      </c>
      <c r="AP78" s="62">
        <f t="shared" si="5"/>
        <v>1</v>
      </c>
      <c r="AR78" s="57" t="s">
        <v>650</v>
      </c>
      <c r="AS78" s="66">
        <f>COUNTIFS(TblUniv20196[I. a3],AS$48,TblUniv20196[Prodi],$AS$45)/$AS$47*100%</f>
        <v>1</v>
      </c>
      <c r="AT78" s="66">
        <f>COUNTIFS(TblUniv20196[I. a3],AT$48,TblUniv20196[Prodi],$AS$45)/$AS$47*100%</f>
        <v>0</v>
      </c>
      <c r="AU78" s="66">
        <f>COUNTIFS(TblUniv20196[I. a3],AU$48,TblUniv20196[Prodi],$AS$45)/$AS$47*100%</f>
        <v>0</v>
      </c>
      <c r="AV78" s="66">
        <f>COUNTIFS(TblUniv20196[I. a3],AV$48,TblUniv20196[Prodi],$AS$45)/$AS$47*100%</f>
        <v>0</v>
      </c>
      <c r="AW78" s="62">
        <f t="shared" si="6"/>
        <v>1</v>
      </c>
      <c r="AY78" s="57" t="s">
        <v>650</v>
      </c>
      <c r="AZ78" s="66">
        <f>COUNTIFS(TblUniv20196[I. a3],AZ$48,TblUniv20196[Prodi],$AZ$45)/$AZ$47*100%</f>
        <v>0.33333333333333331</v>
      </c>
      <c r="BA78" s="66">
        <f>COUNTIFS(TblUniv20196[I. a3],BA$48,TblUniv20196[Prodi],$AZ$45)/$AZ$47*100%</f>
        <v>0.66666666666666663</v>
      </c>
      <c r="BB78" s="66">
        <f>COUNTIFS(TblUniv20196[I. a3],BB$48,TblUniv20196[Prodi],$AZ$45)/$AZ$47*100%</f>
        <v>0</v>
      </c>
      <c r="BC78" s="66">
        <f>COUNTIFS(TblUniv20196[I. a3],BC$48,TblUniv20196[Prodi],$AZ$45)/$AZ$47*100%</f>
        <v>0</v>
      </c>
      <c r="BD78" s="62">
        <f t="shared" si="7"/>
        <v>1</v>
      </c>
      <c r="BF78" s="57" t="s">
        <v>650</v>
      </c>
      <c r="BG78" s="66">
        <f>COUNTIFS(TblUniv20196[I. a3],BG$48,TblUniv20196[Prodi],$BG$45)/$BG$47*100%</f>
        <v>1</v>
      </c>
      <c r="BH78" s="66">
        <f>COUNTIFS(TblUniv20196[I. a3],BH$48,TblUniv20196[Prodi],$BG$45)/$BG$47*100%</f>
        <v>0</v>
      </c>
      <c r="BI78" s="66">
        <f>COUNTIFS(TblUniv20196[I. a3],BI$48,TblUniv20196[Prodi],$BG$45)/$BG$47*100%</f>
        <v>0</v>
      </c>
      <c r="BJ78" s="66">
        <f>COUNTIFS(TblUniv20196[I. a3],BJ$48,TblUniv20196[Prodi],$BG$45)/$BG$47*100%</f>
        <v>0</v>
      </c>
      <c r="BK78" s="62">
        <f t="shared" si="8"/>
        <v>1</v>
      </c>
      <c r="BM78" s="57" t="s">
        <v>650</v>
      </c>
      <c r="BN78" s="66">
        <f>COUNTIFS(TblUniv20196[I. a3],BN$48,TblUniv20196[Prodi],$BN$45)/$BN$47*100%</f>
        <v>1</v>
      </c>
      <c r="BO78" s="66">
        <f>COUNTIFS(TblUniv20196[I. a3],BO$48,TblUniv20196[Prodi],$BN$45)/$BN$47*100%</f>
        <v>0</v>
      </c>
      <c r="BP78" s="66">
        <f>COUNTIFS(TblUniv20196[I. a3],BP$48,TblUniv20196[Prodi],$BN$45)/$BN$47*100%</f>
        <v>0</v>
      </c>
      <c r="BQ78" s="66">
        <f>COUNTIFS(TblUniv20196[I. a3],BQ$48,TblUniv20196[Prodi],$BN$45)/$BN$47*100%</f>
        <v>0</v>
      </c>
      <c r="BR78" s="62">
        <f t="shared" si="9"/>
        <v>1</v>
      </c>
    </row>
    <row r="79" spans="2:70" ht="16.5" hidden="1" x14ac:dyDescent="0.3">
      <c r="B79" s="57" t="s">
        <v>651</v>
      </c>
      <c r="C79" s="66">
        <f>COUNTIFS(TblUniv20196[I. a4],C$48)/$C$47*100%</f>
        <v>0.27027027027027029</v>
      </c>
      <c r="D79" s="66">
        <f>COUNTIFS(TblUniv20196[I. a4],D$48)/$C$47*100%</f>
        <v>0.72972972972972971</v>
      </c>
      <c r="E79" s="66">
        <f>COUNTIFS(TblUniv20196[I. a4],E$48)/$C$47*100%</f>
        <v>0</v>
      </c>
      <c r="F79" s="66">
        <f>COUNTIFS(TblUniv20196[I. a4],F$48)/$C$47*100%</f>
        <v>0</v>
      </c>
      <c r="G79" s="62">
        <f t="shared" si="0"/>
        <v>1</v>
      </c>
      <c r="I79" s="57" t="s">
        <v>651</v>
      </c>
      <c r="J79" s="66">
        <f>COUNTIFS(TblUniv20196[I. a4],J$48,TblUniv20196[Prodi],$J$45)/$J$47*100%</f>
        <v>0.4</v>
      </c>
      <c r="K79" s="66">
        <f>COUNTIFS(TblUniv20196[I. a4],K$48,TblUniv20196[Prodi],$J$45)/$J$47*100%</f>
        <v>0.6</v>
      </c>
      <c r="L79" s="66">
        <f>COUNTIFS(TblUniv20196[I. a4],L$48,TblUniv20196[Prodi],$J$45)/$J$47*100%</f>
        <v>0</v>
      </c>
      <c r="M79" s="66">
        <f>COUNTIFS(TblUniv20196[I. a4],M$48,TblUniv20196[Prodi],$J$45)/$J$47*100%</f>
        <v>0</v>
      </c>
      <c r="N79" s="62">
        <f t="shared" si="1"/>
        <v>1</v>
      </c>
      <c r="P79" s="57" t="s">
        <v>651</v>
      </c>
      <c r="Q79" s="66">
        <f>COUNTIFS(TblUniv20196[I. a4],Q$48,TblUniv20196[Prodi],$Q$45)/$Q$47*100%</f>
        <v>0.2857142857142857</v>
      </c>
      <c r="R79" s="66">
        <f>COUNTIFS(TblUniv20196[I. a4],R$48,TblUniv20196[Prodi],$Q$45)/$Q$47*100%</f>
        <v>0.7142857142857143</v>
      </c>
      <c r="S79" s="66">
        <f>COUNTIFS(TblUniv20196[I. a4],S$48,TblUniv20196[Prodi],$Q$45)/$Q$47*100%</f>
        <v>0</v>
      </c>
      <c r="T79" s="66">
        <f>COUNTIFS(TblUniv20196[I. a4],T$48,TblUniv20196[Prodi],$Q$45)/$Q$47*100%</f>
        <v>0</v>
      </c>
      <c r="U79" s="62">
        <f t="shared" si="2"/>
        <v>1</v>
      </c>
      <c r="W79" s="57" t="s">
        <v>651</v>
      </c>
      <c r="X79" s="66">
        <f>COUNTIFS(TblUniv20196[I. a4],X$48,TblUniv20196[Prodi],$X$45)/$X$47*100%</f>
        <v>0</v>
      </c>
      <c r="Y79" s="66">
        <f>COUNTIFS(TblUniv20196[I. a4],Y$48,TblUniv20196[Prodi],$X$45)/$X$47*100%</f>
        <v>1</v>
      </c>
      <c r="Z79" s="66">
        <f>COUNTIFS(TblUniv20196[I. a4],Z$48,TblUniv20196[Prodi],$X$45)/$X$47*100%</f>
        <v>0</v>
      </c>
      <c r="AA79" s="66">
        <f>COUNTIFS(TblUniv20196[I. a4],AA$48,TblUniv20196[Prodi],$X$45)/$X$47*100%</f>
        <v>0</v>
      </c>
      <c r="AB79" s="62">
        <f t="shared" si="3"/>
        <v>1</v>
      </c>
      <c r="AD79" s="57" t="s">
        <v>651</v>
      </c>
      <c r="AE79" s="66">
        <f>COUNTIFS(TblUniv20196[I. a4],AE$48,TblUniv20196[Prodi],$AE$45)/$AE$47*100%</f>
        <v>0.13333333333333333</v>
      </c>
      <c r="AF79" s="66">
        <f>COUNTIFS(TblUniv20196[I. a4],AF$48,TblUniv20196[Prodi],$AE$45)/$AE$47*100%</f>
        <v>0.8666666666666667</v>
      </c>
      <c r="AG79" s="66">
        <f>COUNTIFS(TblUniv20196[I. a4],AG$48,TblUniv20196[Prodi],$AE$45)/$AE$47*100%</f>
        <v>0</v>
      </c>
      <c r="AH79" s="66">
        <f>COUNTIFS(TblUniv20196[I. a4],AH$48,TblUniv20196[Prodi],$AE$45)/$AE$47*100%</f>
        <v>0</v>
      </c>
      <c r="AI79" s="62">
        <f t="shared" si="4"/>
        <v>1</v>
      </c>
      <c r="AK79" s="57" t="s">
        <v>651</v>
      </c>
      <c r="AL79" s="66">
        <f>COUNTIFS(TblUniv20196[I. a4],AL$48,TblUniv20196[Prodi],$AL$45)/$AL$47*100%</f>
        <v>0</v>
      </c>
      <c r="AM79" s="66">
        <f>COUNTIFS(TblUniv20196[I. a4],AM$48,TblUniv20196[Prodi],$AL$45)/$AL$47*100%</f>
        <v>1</v>
      </c>
      <c r="AN79" s="66">
        <f>COUNTIFS(TblUniv20196[I. a4],AN$48,TblUniv20196[Prodi],$AL$45)/$AL$47*100%</f>
        <v>0</v>
      </c>
      <c r="AO79" s="66">
        <f>COUNTIFS(TblUniv20196[I. a4],AO$48,TblUniv20196[Prodi],$AL$45)/$AL$47*100%</f>
        <v>0</v>
      </c>
      <c r="AP79" s="62">
        <f t="shared" si="5"/>
        <v>1</v>
      </c>
      <c r="AR79" s="57" t="s">
        <v>651</v>
      </c>
      <c r="AS79" s="66">
        <f>COUNTIFS(TblUniv20196[I. a4],AS$48,TblUniv20196[Prodi],$AS$45)/$AS$47*100%</f>
        <v>1</v>
      </c>
      <c r="AT79" s="66">
        <f>COUNTIFS(TblUniv20196[I. a4],AT$48,TblUniv20196[Prodi],$AS$45)/$AS$47*100%</f>
        <v>0</v>
      </c>
      <c r="AU79" s="66">
        <f>COUNTIFS(TblUniv20196[I. a4],AU$48,TblUniv20196[Prodi],$AS$45)/$AS$47*100%</f>
        <v>0</v>
      </c>
      <c r="AV79" s="66">
        <f>COUNTIFS(TblUniv20196[I. a4],AV$48,TblUniv20196[Prodi],$AS$45)/$AS$47*100%</f>
        <v>0</v>
      </c>
      <c r="AW79" s="62">
        <f t="shared" si="6"/>
        <v>1</v>
      </c>
      <c r="AY79" s="57" t="s">
        <v>651</v>
      </c>
      <c r="AZ79" s="66">
        <f>COUNTIFS(TblUniv20196[I. a4],AZ$48,TblUniv20196[Prodi],$AZ$45)/$AZ$47*100%</f>
        <v>0</v>
      </c>
      <c r="BA79" s="66">
        <f>COUNTIFS(TblUniv20196[I. a4],BA$48,TblUniv20196[Prodi],$AZ$45)/$AZ$47*100%</f>
        <v>1</v>
      </c>
      <c r="BB79" s="66">
        <f>COUNTIFS(TblUniv20196[I. a4],BB$48,TblUniv20196[Prodi],$AZ$45)/$AZ$47*100%</f>
        <v>0</v>
      </c>
      <c r="BC79" s="66">
        <f>COUNTIFS(TblUniv20196[I. a4],BC$48,TblUniv20196[Prodi],$AZ$45)/$AZ$47*100%</f>
        <v>0</v>
      </c>
      <c r="BD79" s="62">
        <f t="shared" si="7"/>
        <v>1</v>
      </c>
      <c r="BF79" s="57" t="s">
        <v>651</v>
      </c>
      <c r="BG79" s="66">
        <f>COUNTIFS(TblUniv20196[I. a4],BG$48,TblUniv20196[Prodi],$BG$45)/$BG$47*100%</f>
        <v>0.5</v>
      </c>
      <c r="BH79" s="66">
        <f>COUNTIFS(TblUniv20196[I. a4],BH$48,TblUniv20196[Prodi],$BG$45)/$BG$47*100%</f>
        <v>0.5</v>
      </c>
      <c r="BI79" s="66">
        <f>COUNTIFS(TblUniv20196[I. a4],BI$48,TblUniv20196[Prodi],$BG$45)/$BG$47*100%</f>
        <v>0</v>
      </c>
      <c r="BJ79" s="66">
        <f>COUNTIFS(TblUniv20196[I. a4],BJ$48,TblUniv20196[Prodi],$BG$45)/$BG$47*100%</f>
        <v>0</v>
      </c>
      <c r="BK79" s="62">
        <f t="shared" si="8"/>
        <v>1</v>
      </c>
      <c r="BM79" s="57" t="s">
        <v>651</v>
      </c>
      <c r="BN79" s="66">
        <f>COUNTIFS(TblUniv20196[I. a4],BN$48,TblUniv20196[Prodi],$BN$45)/$BN$47*100%</f>
        <v>1</v>
      </c>
      <c r="BO79" s="66">
        <f>COUNTIFS(TblUniv20196[I. a4],BO$48,TblUniv20196[Prodi],$BN$45)/$BN$47*100%</f>
        <v>0</v>
      </c>
      <c r="BP79" s="66">
        <f>COUNTIFS(TblUniv20196[I. a4],BP$48,TblUniv20196[Prodi],$BN$45)/$BN$47*100%</f>
        <v>0</v>
      </c>
      <c r="BQ79" s="66">
        <f>COUNTIFS(TblUniv20196[I. a4],BQ$48,TblUniv20196[Prodi],$BN$45)/$BN$47*100%</f>
        <v>0</v>
      </c>
      <c r="BR79" s="62">
        <f t="shared" si="9"/>
        <v>1</v>
      </c>
    </row>
    <row r="80" spans="2:70" ht="16.5" hidden="1" x14ac:dyDescent="0.3">
      <c r="B80" s="57" t="s">
        <v>652</v>
      </c>
      <c r="C80" s="66">
        <f>COUNTIFS(TblUniv20196[I. a5],C$48)/$C$47*100%</f>
        <v>0.64864864864864868</v>
      </c>
      <c r="D80" s="66">
        <f>COUNTIFS(TblUniv20196[I. a5],D$48)/$C$47*100%</f>
        <v>0.35135135135135137</v>
      </c>
      <c r="E80" s="66">
        <f>COUNTIFS(TblUniv20196[I. a5],E$48)/$C$47*100%</f>
        <v>0</v>
      </c>
      <c r="F80" s="66">
        <f>COUNTIFS(TblUniv20196[I. a5],F$48)/$C$47*100%</f>
        <v>0</v>
      </c>
      <c r="G80" s="62">
        <f t="shared" si="0"/>
        <v>1</v>
      </c>
      <c r="I80" s="57" t="s">
        <v>652</v>
      </c>
      <c r="J80" s="66">
        <f>COUNTIFS(TblUniv20196[I. a5],J$48,TblUniv20196[Prodi],$J$45)/$J$47*100%</f>
        <v>0.6</v>
      </c>
      <c r="K80" s="66">
        <f>COUNTIFS(TblUniv20196[I. a5],K$48,TblUniv20196[Prodi],$J$45)/$J$47*100%</f>
        <v>0.4</v>
      </c>
      <c r="L80" s="66">
        <f>COUNTIFS(TblUniv20196[I. a5],L$48,TblUniv20196[Prodi],$J$45)/$J$47*100%</f>
        <v>0</v>
      </c>
      <c r="M80" s="66">
        <f>COUNTIFS(TblUniv20196[I. a5],M$48,TblUniv20196[Prodi],$J$45)/$J$47*100%</f>
        <v>0</v>
      </c>
      <c r="N80" s="62">
        <f t="shared" si="1"/>
        <v>1</v>
      </c>
      <c r="P80" s="57" t="s">
        <v>652</v>
      </c>
      <c r="Q80" s="66">
        <f>COUNTIFS(TblUniv20196[I. a5],Q$48,TblUniv20196[Prodi],$Q$45)/$Q$47*100%</f>
        <v>0.42857142857142855</v>
      </c>
      <c r="R80" s="66">
        <f>COUNTIFS(TblUniv20196[I. a5],R$48,TblUniv20196[Prodi],$Q$45)/$Q$47*100%</f>
        <v>0.5714285714285714</v>
      </c>
      <c r="S80" s="66">
        <f>COUNTIFS(TblUniv20196[I. a5],S$48,TblUniv20196[Prodi],$Q$45)/$Q$47*100%</f>
        <v>0</v>
      </c>
      <c r="T80" s="66">
        <f>COUNTIFS(TblUniv20196[I. a5],T$48,TblUniv20196[Prodi],$Q$45)/$Q$47*100%</f>
        <v>0</v>
      </c>
      <c r="U80" s="62">
        <f t="shared" si="2"/>
        <v>1</v>
      </c>
      <c r="W80" s="57" t="s">
        <v>652</v>
      </c>
      <c r="X80" s="66">
        <f>COUNTIFS(TblUniv20196[I. a5],X$48,TblUniv20196[Prodi],$X$45)/$X$47*100%</f>
        <v>0</v>
      </c>
      <c r="Y80" s="66">
        <f>COUNTIFS(TblUniv20196[I. a5],Y$48,TblUniv20196[Prodi],$X$45)/$X$47*100%</f>
        <v>1</v>
      </c>
      <c r="Z80" s="66">
        <f>COUNTIFS(TblUniv20196[I. a5],Z$48,TblUniv20196[Prodi],$X$45)/$X$47*100%</f>
        <v>0</v>
      </c>
      <c r="AA80" s="66">
        <f>COUNTIFS(TblUniv20196[I. a5],AA$48,TblUniv20196[Prodi],$X$45)/$X$47*100%</f>
        <v>0</v>
      </c>
      <c r="AB80" s="62">
        <f t="shared" si="3"/>
        <v>1</v>
      </c>
      <c r="AD80" s="57" t="s">
        <v>652</v>
      </c>
      <c r="AE80" s="66">
        <f>COUNTIFS(TblUniv20196[I. a5],AE$48,TblUniv20196[Prodi],$AE$45)/$AE$47*100%</f>
        <v>0.8666666666666667</v>
      </c>
      <c r="AF80" s="66">
        <f>COUNTIFS(TblUniv20196[I. a5],AF$48,TblUniv20196[Prodi],$AE$45)/$AE$47*100%</f>
        <v>0.13333333333333333</v>
      </c>
      <c r="AG80" s="66">
        <f>COUNTIFS(TblUniv20196[I. a5],AG$48,TblUniv20196[Prodi],$AE$45)/$AE$47*100%</f>
        <v>0</v>
      </c>
      <c r="AH80" s="66">
        <f>COUNTIFS(TblUniv20196[I. a5],AH$48,TblUniv20196[Prodi],$AE$45)/$AE$47*100%</f>
        <v>0</v>
      </c>
      <c r="AI80" s="62">
        <f t="shared" si="4"/>
        <v>1</v>
      </c>
      <c r="AK80" s="57" t="s">
        <v>652</v>
      </c>
      <c r="AL80" s="66">
        <f>COUNTIFS(TblUniv20196[I. a5],AL$48,TblUniv20196[Prodi],$AL$45)/$AL$47*100%</f>
        <v>0</v>
      </c>
      <c r="AM80" s="66">
        <f>COUNTIFS(TblUniv20196[I. a5],AM$48,TblUniv20196[Prodi],$AL$45)/$AL$47*100%</f>
        <v>1</v>
      </c>
      <c r="AN80" s="66">
        <f>COUNTIFS(TblUniv20196[I. a5],AN$48,TblUniv20196[Prodi],$AL$45)/$AL$47*100%</f>
        <v>0</v>
      </c>
      <c r="AO80" s="66">
        <f>COUNTIFS(TblUniv20196[I. a5],AO$48,TblUniv20196[Prodi],$AL$45)/$AL$47*100%</f>
        <v>0</v>
      </c>
      <c r="AP80" s="62">
        <f t="shared" si="5"/>
        <v>1</v>
      </c>
      <c r="AR80" s="57" t="s">
        <v>652</v>
      </c>
      <c r="AS80" s="66">
        <f>COUNTIFS(TblUniv20196[I. a5],AS$48,TblUniv20196[Prodi],$AS$45)/$AS$47*100%</f>
        <v>1</v>
      </c>
      <c r="AT80" s="66">
        <f>COUNTIFS(TblUniv20196[I. a5],AT$48,TblUniv20196[Prodi],$AS$45)/$AS$47*100%</f>
        <v>0</v>
      </c>
      <c r="AU80" s="66">
        <f>COUNTIFS(TblUniv20196[I. a5],AU$48,TblUniv20196[Prodi],$AS$45)/$AS$47*100%</f>
        <v>0</v>
      </c>
      <c r="AV80" s="66">
        <f>COUNTIFS(TblUniv20196[I. a5],AV$48,TblUniv20196[Prodi],$AS$45)/$AS$47*100%</f>
        <v>0</v>
      </c>
      <c r="AW80" s="62">
        <f t="shared" si="6"/>
        <v>1</v>
      </c>
      <c r="AY80" s="57" t="s">
        <v>652</v>
      </c>
      <c r="AZ80" s="66">
        <f>COUNTIFS(TblUniv20196[I. a5],AZ$48,TblUniv20196[Prodi],$AZ$45)/$AZ$47*100%</f>
        <v>0.33333333333333331</v>
      </c>
      <c r="BA80" s="66">
        <f>COUNTIFS(TblUniv20196[I. a5],BA$48,TblUniv20196[Prodi],$AZ$45)/$AZ$47*100%</f>
        <v>0.66666666666666663</v>
      </c>
      <c r="BB80" s="66">
        <f>COUNTIFS(TblUniv20196[I. a5],BB$48,TblUniv20196[Prodi],$AZ$45)/$AZ$47*100%</f>
        <v>0</v>
      </c>
      <c r="BC80" s="66">
        <f>COUNTIFS(TblUniv20196[I. a5],BC$48,TblUniv20196[Prodi],$AZ$45)/$AZ$47*100%</f>
        <v>0</v>
      </c>
      <c r="BD80" s="62">
        <f t="shared" si="7"/>
        <v>1</v>
      </c>
      <c r="BF80" s="57" t="s">
        <v>652</v>
      </c>
      <c r="BG80" s="66">
        <f>COUNTIFS(TblUniv20196[I. a5],BG$48,TblUniv20196[Prodi],$BG$45)/$BG$47*100%</f>
        <v>0.5</v>
      </c>
      <c r="BH80" s="66">
        <f>COUNTIFS(TblUniv20196[I. a5],BH$48,TblUniv20196[Prodi],$BG$45)/$BG$47*100%</f>
        <v>0.5</v>
      </c>
      <c r="BI80" s="66">
        <f>COUNTIFS(TblUniv20196[I. a5],BI$48,TblUniv20196[Prodi],$BG$45)/$BG$47*100%</f>
        <v>0</v>
      </c>
      <c r="BJ80" s="66">
        <f>COUNTIFS(TblUniv20196[I. a5],BJ$48,TblUniv20196[Prodi],$BG$45)/$BG$47*100%</f>
        <v>0</v>
      </c>
      <c r="BK80" s="62">
        <f t="shared" si="8"/>
        <v>1</v>
      </c>
      <c r="BM80" s="57" t="s">
        <v>652</v>
      </c>
      <c r="BN80" s="66">
        <f>COUNTIFS(TblUniv20196[I. a5],BN$48,TblUniv20196[Prodi],$BN$45)/$BN$47*100%</f>
        <v>1</v>
      </c>
      <c r="BO80" s="66">
        <f>COUNTIFS(TblUniv20196[I. a5],BO$48,TblUniv20196[Prodi],$BN$45)/$BN$47*100%</f>
        <v>0</v>
      </c>
      <c r="BP80" s="66">
        <f>COUNTIFS(TblUniv20196[I. a5],BP$48,TblUniv20196[Prodi],$BN$45)/$BN$47*100%</f>
        <v>0</v>
      </c>
      <c r="BQ80" s="66">
        <f>COUNTIFS(TblUniv20196[I. a5],BQ$48,TblUniv20196[Prodi],$BN$45)/$BN$47*100%</f>
        <v>0</v>
      </c>
      <c r="BR80" s="62">
        <f t="shared" si="9"/>
        <v>1</v>
      </c>
    </row>
    <row r="81" spans="2:76" ht="16.5" hidden="1" x14ac:dyDescent="0.3">
      <c r="B81" s="60"/>
      <c r="C81" s="61">
        <f>AVERAGE(C76:C80)</f>
        <v>0.38378378378378375</v>
      </c>
      <c r="D81" s="61">
        <f>AVERAGE(D76:D80)</f>
        <v>0.61621621621621625</v>
      </c>
      <c r="E81" s="61">
        <f>AVERAGE(E76:E80)</f>
        <v>0</v>
      </c>
      <c r="F81" s="61">
        <f>AVERAGE(F76:F80)</f>
        <v>0</v>
      </c>
      <c r="G81" s="62">
        <f t="shared" si="0"/>
        <v>1</v>
      </c>
      <c r="I81" s="60"/>
      <c r="J81" s="61">
        <f>AVERAGE(J76:J80)</f>
        <v>0.4</v>
      </c>
      <c r="K81" s="61">
        <f>AVERAGE(K76:K80)</f>
        <v>0.6</v>
      </c>
      <c r="L81" s="61">
        <f>AVERAGE(L76:L80)</f>
        <v>0</v>
      </c>
      <c r="M81" s="61">
        <f>AVERAGE(M76:M80)</f>
        <v>0</v>
      </c>
      <c r="N81" s="62">
        <f t="shared" si="1"/>
        <v>1</v>
      </c>
      <c r="P81" s="60"/>
      <c r="Q81" s="61">
        <f>AVERAGE(Q76:Q80)</f>
        <v>0.34285714285714286</v>
      </c>
      <c r="R81" s="61">
        <f>AVERAGE(R76:R80)</f>
        <v>0.65714285714285714</v>
      </c>
      <c r="S81" s="61">
        <f>AVERAGE(S76:S80)</f>
        <v>0</v>
      </c>
      <c r="T81" s="61">
        <f>AVERAGE(T76:T80)</f>
        <v>0</v>
      </c>
      <c r="U81" s="62">
        <f t="shared" si="2"/>
        <v>1</v>
      </c>
      <c r="W81" s="60"/>
      <c r="X81" s="61">
        <f>AVERAGE(X76:X80)</f>
        <v>0.2</v>
      </c>
      <c r="Y81" s="61">
        <f>AVERAGE(Y76:Y80)</f>
        <v>0.8</v>
      </c>
      <c r="Z81" s="61">
        <f>AVERAGE(Z76:Z80)</f>
        <v>0</v>
      </c>
      <c r="AA81" s="61">
        <f>AVERAGE(AA76:AA80)</f>
        <v>0</v>
      </c>
      <c r="AB81" s="62">
        <f t="shared" si="3"/>
        <v>1</v>
      </c>
      <c r="AD81" s="60"/>
      <c r="AE81" s="61">
        <f>AVERAGE(AE76:AE80)</f>
        <v>0.29333333333333333</v>
      </c>
      <c r="AF81" s="61">
        <f>AVERAGE(AF76:AF80)</f>
        <v>0.70666666666666667</v>
      </c>
      <c r="AG81" s="61">
        <f>AVERAGE(AG76:AG80)</f>
        <v>0</v>
      </c>
      <c r="AH81" s="61">
        <f>AVERAGE(AH76:AH80)</f>
        <v>0</v>
      </c>
      <c r="AI81" s="62">
        <f t="shared" si="4"/>
        <v>1</v>
      </c>
      <c r="AK81" s="60"/>
      <c r="AL81" s="61">
        <f>AVERAGE(AL76:AL80)</f>
        <v>0.2</v>
      </c>
      <c r="AM81" s="61">
        <f>AVERAGE(AM76:AM80)</f>
        <v>0.8</v>
      </c>
      <c r="AN81" s="61">
        <f>AVERAGE(AN76:AN80)</f>
        <v>0</v>
      </c>
      <c r="AO81" s="61">
        <f>AVERAGE(AO76:AO80)</f>
        <v>0</v>
      </c>
      <c r="AP81" s="62">
        <f t="shared" si="5"/>
        <v>1</v>
      </c>
      <c r="AR81" s="60"/>
      <c r="AS81" s="61">
        <f>AVERAGE(AS76:AS80)</f>
        <v>1</v>
      </c>
      <c r="AT81" s="61">
        <f>AVERAGE(AT76:AT80)</f>
        <v>0</v>
      </c>
      <c r="AU81" s="61">
        <f>AVERAGE(AU76:AU80)</f>
        <v>0</v>
      </c>
      <c r="AV81" s="61">
        <f>AVERAGE(AV76:AV80)</f>
        <v>0</v>
      </c>
      <c r="AW81" s="62">
        <f t="shared" si="6"/>
        <v>1</v>
      </c>
      <c r="AY81" s="60"/>
      <c r="AZ81" s="61">
        <f>AVERAGE(AZ76:AZ80)</f>
        <v>0.2</v>
      </c>
      <c r="BA81" s="61">
        <f>AVERAGE(BA76:BA80)</f>
        <v>0.79999999999999993</v>
      </c>
      <c r="BB81" s="61">
        <f>AVERAGE(BB76:BB80)</f>
        <v>0</v>
      </c>
      <c r="BC81" s="61">
        <f>AVERAGE(BC76:BC80)</f>
        <v>0</v>
      </c>
      <c r="BD81" s="62">
        <f t="shared" si="7"/>
        <v>1</v>
      </c>
      <c r="BF81" s="60"/>
      <c r="BG81" s="61">
        <f>AVERAGE(BG76:BG80)</f>
        <v>0.7</v>
      </c>
      <c r="BH81" s="61">
        <f>AVERAGE(BH76:BH80)</f>
        <v>0.3</v>
      </c>
      <c r="BI81" s="61">
        <f>AVERAGE(BI76:BI80)</f>
        <v>0</v>
      </c>
      <c r="BJ81" s="61">
        <f>AVERAGE(BJ76:BJ80)</f>
        <v>0</v>
      </c>
      <c r="BK81" s="62">
        <f t="shared" si="8"/>
        <v>1</v>
      </c>
      <c r="BM81" s="60"/>
      <c r="BN81" s="61">
        <f>AVERAGE(BN76:BN80)</f>
        <v>1</v>
      </c>
      <c r="BO81" s="61">
        <f>AVERAGE(BO76:BO80)</f>
        <v>0</v>
      </c>
      <c r="BP81" s="61">
        <f>AVERAGE(BP76:BP80)</f>
        <v>0</v>
      </c>
      <c r="BQ81" s="61">
        <f>AVERAGE(BQ76:BQ80)</f>
        <v>0</v>
      </c>
      <c r="BR81" s="62">
        <f t="shared" si="9"/>
        <v>1</v>
      </c>
    </row>
    <row r="82" spans="2:76" ht="16.5" hidden="1" x14ac:dyDescent="0.3">
      <c r="B82" s="57" t="s">
        <v>653</v>
      </c>
      <c r="C82" s="66">
        <f>COUNTIFS(TblUniv20196[I. b1],C$48)/$C$47*100%</f>
        <v>0.3783783783783784</v>
      </c>
      <c r="D82" s="66">
        <f>COUNTIFS(TblUniv20196[I. b1],D$48)/$C$47*100%</f>
        <v>0.43243243243243246</v>
      </c>
      <c r="E82" s="66">
        <f>COUNTIFS(TblUniv20196[I. b1],E$48)/$C$47*100%</f>
        <v>0.1891891891891892</v>
      </c>
      <c r="F82" s="66">
        <f>COUNTIFS(TblUniv20196[I. b1],F$48)/$C$47*100%</f>
        <v>0</v>
      </c>
      <c r="G82" s="62">
        <f t="shared" si="0"/>
        <v>1</v>
      </c>
      <c r="I82" s="57" t="s">
        <v>653</v>
      </c>
      <c r="J82" s="66">
        <f>COUNTIFS(TblUniv20196[I. b1],J$48,TblUniv20196[Prodi],$J$45)/$J$47*100%</f>
        <v>0.2</v>
      </c>
      <c r="K82" s="66">
        <f>COUNTIFS(TblUniv20196[I. b1],K$48,TblUniv20196[Prodi],$J$45)/$J$47*100%</f>
        <v>0.6</v>
      </c>
      <c r="L82" s="66">
        <f>COUNTIFS(TblUniv20196[I. b1],L$48,TblUniv20196[Prodi],$J$45)/$J$47*100%</f>
        <v>0.2</v>
      </c>
      <c r="M82" s="66">
        <f>COUNTIFS(TblUniv20196[I. b1],M$48,TblUniv20196[Prodi],$J$45)/$J$47*100%</f>
        <v>0</v>
      </c>
      <c r="N82" s="62">
        <f t="shared" si="1"/>
        <v>1</v>
      </c>
      <c r="P82" s="57" t="s">
        <v>653</v>
      </c>
      <c r="Q82" s="66">
        <f>COUNTIFS(TblUniv20196[I. b1],Q$48,TblUniv20196[Prodi],$Q$45)/$Q$47*100%</f>
        <v>0.2857142857142857</v>
      </c>
      <c r="R82" s="66">
        <f>COUNTIFS(TblUniv20196[I. b1],R$48,TblUniv20196[Prodi],$Q$45)/$Q$47*100%</f>
        <v>0.5714285714285714</v>
      </c>
      <c r="S82" s="66">
        <f>COUNTIFS(TblUniv20196[I. b1],S$48,TblUniv20196[Prodi],$Q$45)/$Q$47*100%</f>
        <v>0.14285714285714285</v>
      </c>
      <c r="T82" s="66">
        <f>COUNTIFS(TblUniv20196[I. b1],T$48,TblUniv20196[Prodi],$Q$45)/$Q$47*100%</f>
        <v>0</v>
      </c>
      <c r="U82" s="62">
        <f t="shared" si="2"/>
        <v>1</v>
      </c>
      <c r="W82" s="57" t="s">
        <v>653</v>
      </c>
      <c r="X82" s="66">
        <f>COUNTIFS(TblUniv20196[I. b1],X$48,TblUniv20196[Prodi],$X$45)/$X$47*100%</f>
        <v>0</v>
      </c>
      <c r="Y82" s="66">
        <f>COUNTIFS(TblUniv20196[I. b1],Y$48,TblUniv20196[Prodi],$X$45)/$X$47*100%</f>
        <v>1</v>
      </c>
      <c r="Z82" s="66">
        <f>COUNTIFS(TblUniv20196[I. b1],Z$48,TblUniv20196[Prodi],$X$45)/$X$47*100%</f>
        <v>0</v>
      </c>
      <c r="AA82" s="66">
        <f>COUNTIFS(TblUniv20196[I. b1],AA$48,TblUniv20196[Prodi],$X$45)/$X$47*100%</f>
        <v>0</v>
      </c>
      <c r="AB82" s="62">
        <f t="shared" si="3"/>
        <v>1</v>
      </c>
      <c r="AD82" s="57" t="s">
        <v>653</v>
      </c>
      <c r="AE82" s="66">
        <f>COUNTIFS(TblUniv20196[I. b1],AE$48,TblUniv20196[Prodi],$AE$45)/$AE$47*100%</f>
        <v>0.46666666666666667</v>
      </c>
      <c r="AF82" s="66">
        <f>COUNTIFS(TblUniv20196[I. b1],AF$48,TblUniv20196[Prodi],$AE$45)/$AE$47*100%</f>
        <v>0.26666666666666666</v>
      </c>
      <c r="AG82" s="66">
        <f>COUNTIFS(TblUniv20196[I. b1],AG$48,TblUniv20196[Prodi],$AE$45)/$AE$47*100%</f>
        <v>0.26666666666666666</v>
      </c>
      <c r="AH82" s="66">
        <f>COUNTIFS(TblUniv20196[I. b1],AH$48,TblUniv20196[Prodi],$AE$45)/$AE$47*100%</f>
        <v>0</v>
      </c>
      <c r="AI82" s="62">
        <f t="shared" si="4"/>
        <v>1</v>
      </c>
      <c r="AK82" s="57" t="s">
        <v>653</v>
      </c>
      <c r="AL82" s="66">
        <f>COUNTIFS(TblUniv20196[I. b1],AL$48,TblUniv20196[Prodi],$AL$45)/$AL$47*100%</f>
        <v>0</v>
      </c>
      <c r="AM82" s="66">
        <f>COUNTIFS(TblUniv20196[I. b1],AM$48,TblUniv20196[Prodi],$AL$45)/$AL$47*100%</f>
        <v>1</v>
      </c>
      <c r="AN82" s="66">
        <f>COUNTIFS(TblUniv20196[I. b1],AN$48,TblUniv20196[Prodi],$AL$45)/$AL$47*100%</f>
        <v>0</v>
      </c>
      <c r="AO82" s="66">
        <f>COUNTIFS(TblUniv20196[I. b1],AO$48,TblUniv20196[Prodi],$AL$45)/$AL$47*100%</f>
        <v>0</v>
      </c>
      <c r="AP82" s="62">
        <f t="shared" si="5"/>
        <v>1</v>
      </c>
      <c r="AR82" s="57" t="s">
        <v>653</v>
      </c>
      <c r="AS82" s="66">
        <f>COUNTIFS(TblUniv20196[I. b1],AS$48,TblUniv20196[Prodi],$AS$45)/$AS$47*100%</f>
        <v>1</v>
      </c>
      <c r="AT82" s="66">
        <f>COUNTIFS(TblUniv20196[I. b1],AT$48,TblUniv20196[Prodi],$AS$45)/$AS$47*100%</f>
        <v>0</v>
      </c>
      <c r="AU82" s="66">
        <f>COUNTIFS(TblUniv20196[I. b1],AU$48,TblUniv20196[Prodi],$AS$45)/$AS$47*100%</f>
        <v>0</v>
      </c>
      <c r="AV82" s="66">
        <f>COUNTIFS(TblUniv20196[I. b1],AV$48,TblUniv20196[Prodi],$AS$45)/$AS$47*100%</f>
        <v>0</v>
      </c>
      <c r="AW82" s="62">
        <f t="shared" si="6"/>
        <v>1</v>
      </c>
      <c r="AY82" s="57" t="s">
        <v>653</v>
      </c>
      <c r="AZ82" s="66">
        <f>COUNTIFS(TblUniv20196[I. b1],AZ$48,TblUniv20196[Prodi],$AZ$45)/$AZ$47*100%</f>
        <v>0</v>
      </c>
      <c r="BA82" s="66">
        <f>COUNTIFS(TblUniv20196[I. b1],BA$48,TblUniv20196[Prodi],$AZ$45)/$AZ$47*100%</f>
        <v>0.66666666666666663</v>
      </c>
      <c r="BB82" s="66">
        <f>COUNTIFS(TblUniv20196[I. b1],BB$48,TblUniv20196[Prodi],$AZ$45)/$AZ$47*100%</f>
        <v>0.33333333333333331</v>
      </c>
      <c r="BC82" s="66">
        <f>COUNTIFS(TblUniv20196[I. b1],BC$48,TblUniv20196[Prodi],$AZ$45)/$AZ$47*100%</f>
        <v>0</v>
      </c>
      <c r="BD82" s="62">
        <f t="shared" si="7"/>
        <v>1</v>
      </c>
      <c r="BF82" s="57" t="s">
        <v>653</v>
      </c>
      <c r="BG82" s="66">
        <f>COUNTIFS(TblUniv20196[I. b1],BG$48,TblUniv20196[Prodi],$BG$45)/$BG$47*100%</f>
        <v>0.5</v>
      </c>
      <c r="BH82" s="66">
        <f>COUNTIFS(TblUniv20196[I. b1],BH$48,TblUniv20196[Prodi],$BG$45)/$BG$47*100%</f>
        <v>0.5</v>
      </c>
      <c r="BI82" s="66">
        <f>COUNTIFS(TblUniv20196[I. b1],BI$48,TblUniv20196[Prodi],$BG$45)/$BG$47*100%</f>
        <v>0</v>
      </c>
      <c r="BJ82" s="66">
        <f>COUNTIFS(TblUniv20196[I. b1],BJ$48,TblUniv20196[Prodi],$BG$45)/$BG$47*100%</f>
        <v>0</v>
      </c>
      <c r="BK82" s="62">
        <f t="shared" si="8"/>
        <v>1</v>
      </c>
      <c r="BM82" s="57" t="s">
        <v>653</v>
      </c>
      <c r="BN82" s="66">
        <f>COUNTIFS(TblUniv20196[I. b1],BN$48,TblUniv20196[Prodi],$BN$45)/$BN$47*100%</f>
        <v>1</v>
      </c>
      <c r="BO82" s="66">
        <f>COUNTIFS(TblUniv20196[I. b1],BO$48,TblUniv20196[Prodi],$BN$45)/$BN$47*100%</f>
        <v>0</v>
      </c>
      <c r="BP82" s="66">
        <f>COUNTIFS(TblUniv20196[I. b1],BP$48,TblUniv20196[Prodi],$BN$45)/$BN$47*100%</f>
        <v>0</v>
      </c>
      <c r="BQ82" s="66">
        <f>COUNTIFS(TblUniv20196[I. b1],BQ$48,TblUniv20196[Prodi],$BN$45)/$BN$47*100%</f>
        <v>0</v>
      </c>
      <c r="BR82" s="62">
        <f t="shared" si="9"/>
        <v>1</v>
      </c>
    </row>
    <row r="83" spans="2:76" ht="16.5" hidden="1" x14ac:dyDescent="0.3">
      <c r="B83" s="57" t="s">
        <v>654</v>
      </c>
      <c r="C83" s="66">
        <f>COUNTIFS(TblUniv20196[I. b2],C$48)/$C$47*100%</f>
        <v>0.32432432432432434</v>
      </c>
      <c r="D83" s="66">
        <f>COUNTIFS(TblUniv20196[I. b2],D$48)/$C$47*100%</f>
        <v>0.67567567567567566</v>
      </c>
      <c r="E83" s="66">
        <f>COUNTIFS(TblUniv20196[I. b2],E$48)/$C$47*100%</f>
        <v>0</v>
      </c>
      <c r="F83" s="66">
        <f>COUNTIFS(TblUniv20196[I. b2],F$48)/$C$47*100%</f>
        <v>0</v>
      </c>
      <c r="G83" s="62">
        <f t="shared" si="0"/>
        <v>1</v>
      </c>
      <c r="I83" s="57" t="s">
        <v>654</v>
      </c>
      <c r="J83" s="66">
        <f>COUNTIFS(TblUniv20196[I. b2],J$48,TblUniv20196[Prodi],$J$45)/$J$47*100%</f>
        <v>0.2</v>
      </c>
      <c r="K83" s="66">
        <f>COUNTIFS(TblUniv20196[I. b2],K$48,TblUniv20196[Prodi],$J$45)/$J$47*100%</f>
        <v>0.8</v>
      </c>
      <c r="L83" s="66">
        <f>COUNTIFS(TblUniv20196[I. b2],L$48,TblUniv20196[Prodi],$J$45)/$J$47*100%</f>
        <v>0</v>
      </c>
      <c r="M83" s="66">
        <f>COUNTIFS(TblUniv20196[I. b2],M$48,TblUniv20196[Prodi],$J$45)/$J$47*100%</f>
        <v>0</v>
      </c>
      <c r="N83" s="62">
        <f t="shared" si="1"/>
        <v>1</v>
      </c>
      <c r="P83" s="57" t="s">
        <v>654</v>
      </c>
      <c r="Q83" s="66">
        <f>COUNTIFS(TblUniv20196[I. b2],Q$48,TblUniv20196[Prodi],$Q$45)/$Q$47*100%</f>
        <v>0.2857142857142857</v>
      </c>
      <c r="R83" s="66">
        <f>COUNTIFS(TblUniv20196[I. b2],R$48,TblUniv20196[Prodi],$Q$45)/$Q$47*100%</f>
        <v>0.7142857142857143</v>
      </c>
      <c r="S83" s="66">
        <f>COUNTIFS(TblUniv20196[I. b2],S$48,TblUniv20196[Prodi],$Q$45)/$Q$47*100%</f>
        <v>0</v>
      </c>
      <c r="T83" s="66">
        <f>COUNTIFS(TblUniv20196[I. b2],T$48,TblUniv20196[Prodi],$Q$45)/$Q$47*100%</f>
        <v>0</v>
      </c>
      <c r="U83" s="62">
        <f t="shared" si="2"/>
        <v>1</v>
      </c>
      <c r="W83" s="57" t="s">
        <v>654</v>
      </c>
      <c r="X83" s="66">
        <f>COUNTIFS(TblUniv20196[I. b2],X$48,TblUniv20196[Prodi],$X$45)/$X$47*100%</f>
        <v>0</v>
      </c>
      <c r="Y83" s="66">
        <f>COUNTIFS(TblUniv20196[I. b2],Y$48,TblUniv20196[Prodi],$X$45)/$X$47*100%</f>
        <v>1</v>
      </c>
      <c r="Z83" s="66">
        <f>COUNTIFS(TblUniv20196[I. b2],Z$48,TblUniv20196[Prodi],$X$45)/$X$47*100%</f>
        <v>0</v>
      </c>
      <c r="AA83" s="66">
        <f>COUNTIFS(TblUniv20196[I. b2],AA$48,TblUniv20196[Prodi],$X$45)/$X$47*100%</f>
        <v>0</v>
      </c>
      <c r="AB83" s="62">
        <f t="shared" si="3"/>
        <v>1</v>
      </c>
      <c r="AD83" s="57" t="s">
        <v>654</v>
      </c>
      <c r="AE83" s="66">
        <f>COUNTIFS(TblUniv20196[I. b2],AE$48,TblUniv20196[Prodi],$AE$45)/$AE$47*100%</f>
        <v>0.33333333333333331</v>
      </c>
      <c r="AF83" s="66">
        <f>COUNTIFS(TblUniv20196[I. b2],AF$48,TblUniv20196[Prodi],$AE$45)/$AE$47*100%</f>
        <v>0.66666666666666663</v>
      </c>
      <c r="AG83" s="66">
        <f>COUNTIFS(TblUniv20196[I. b2],AG$48,TblUniv20196[Prodi],$AE$45)/$AE$47*100%</f>
        <v>0</v>
      </c>
      <c r="AH83" s="66">
        <f>COUNTIFS(TblUniv20196[I. b2],AH$48,TblUniv20196[Prodi],$AE$45)/$AE$47*100%</f>
        <v>0</v>
      </c>
      <c r="AI83" s="62">
        <f t="shared" si="4"/>
        <v>1</v>
      </c>
      <c r="AK83" s="57" t="s">
        <v>654</v>
      </c>
      <c r="AL83" s="66">
        <f>COUNTIFS(TblUniv20196[I. b2],AL$48,TblUniv20196[Prodi],$AL$45)/$AL$47*100%</f>
        <v>0</v>
      </c>
      <c r="AM83" s="66">
        <f>COUNTIFS(TblUniv20196[I. b2],AM$48,TblUniv20196[Prodi],$AL$45)/$AL$47*100%</f>
        <v>1</v>
      </c>
      <c r="AN83" s="66">
        <f>COUNTIFS(TblUniv20196[I. b2],AN$48,TblUniv20196[Prodi],$AL$45)/$AL$47*100%</f>
        <v>0</v>
      </c>
      <c r="AO83" s="66">
        <f>COUNTIFS(TblUniv20196[I. b2],AO$48,TblUniv20196[Prodi],$AL$45)/$AL$47*100%</f>
        <v>0</v>
      </c>
      <c r="AP83" s="62">
        <f t="shared" si="5"/>
        <v>1</v>
      </c>
      <c r="AR83" s="57" t="s">
        <v>654</v>
      </c>
      <c r="AS83" s="66">
        <f>COUNTIFS(TblUniv20196[I. b2],AS$48,TblUniv20196[Prodi],$AS$45)/$AS$47*100%</f>
        <v>1</v>
      </c>
      <c r="AT83" s="66">
        <f>COUNTIFS(TblUniv20196[I. b2],AT$48,TblUniv20196[Prodi],$AS$45)/$AS$47*100%</f>
        <v>0</v>
      </c>
      <c r="AU83" s="66">
        <f>COUNTIFS(TblUniv20196[I. b2],AU$48,TblUniv20196[Prodi],$AS$45)/$AS$47*100%</f>
        <v>0</v>
      </c>
      <c r="AV83" s="66">
        <f>COUNTIFS(TblUniv20196[I. b2],AV$48,TblUniv20196[Prodi],$AS$45)/$AS$47*100%</f>
        <v>0</v>
      </c>
      <c r="AW83" s="62">
        <f t="shared" si="6"/>
        <v>1</v>
      </c>
      <c r="AY83" s="57" t="s">
        <v>654</v>
      </c>
      <c r="AZ83" s="66">
        <f>COUNTIFS(TblUniv20196[I. b2],AZ$48,TblUniv20196[Prodi],$AZ$45)/$AZ$47*100%</f>
        <v>0</v>
      </c>
      <c r="BA83" s="66">
        <f>COUNTIFS(TblUniv20196[I. b2],BA$48,TblUniv20196[Prodi],$AZ$45)/$AZ$47*100%</f>
        <v>1</v>
      </c>
      <c r="BB83" s="66">
        <f>COUNTIFS(TblUniv20196[I. b2],BB$48,TblUniv20196[Prodi],$AZ$45)/$AZ$47*100%</f>
        <v>0</v>
      </c>
      <c r="BC83" s="66">
        <f>COUNTIFS(TblUniv20196[I. b2],BC$48,TblUniv20196[Prodi],$AZ$45)/$AZ$47*100%</f>
        <v>0</v>
      </c>
      <c r="BD83" s="62">
        <f t="shared" si="7"/>
        <v>1</v>
      </c>
      <c r="BF83" s="57" t="s">
        <v>654</v>
      </c>
      <c r="BG83" s="66">
        <f>COUNTIFS(TblUniv20196[I. b2],BG$48,TblUniv20196[Prodi],$BG$45)/$BG$47*100%</f>
        <v>0.5</v>
      </c>
      <c r="BH83" s="66">
        <f>COUNTIFS(TblUniv20196[I. b2],BH$48,TblUniv20196[Prodi],$BG$45)/$BG$47*100%</f>
        <v>0.5</v>
      </c>
      <c r="BI83" s="66">
        <f>COUNTIFS(TblUniv20196[I. b2],BI$48,TblUniv20196[Prodi],$BG$45)/$BG$47*100%</f>
        <v>0</v>
      </c>
      <c r="BJ83" s="66">
        <f>COUNTIFS(TblUniv20196[I. b2],BJ$48,TblUniv20196[Prodi],$BG$45)/$BG$47*100%</f>
        <v>0</v>
      </c>
      <c r="BK83" s="62">
        <f t="shared" si="8"/>
        <v>1</v>
      </c>
      <c r="BM83" s="57" t="s">
        <v>654</v>
      </c>
      <c r="BN83" s="66">
        <f>COUNTIFS(TblUniv20196[I. b2],BN$48,TblUniv20196[Prodi],$BN$45)/$BN$47*100%</f>
        <v>1</v>
      </c>
      <c r="BO83" s="66">
        <f>COUNTIFS(TblUniv20196[I. b2],BO$48,TblUniv20196[Prodi],$BN$45)/$BN$47*100%</f>
        <v>0</v>
      </c>
      <c r="BP83" s="66">
        <f>COUNTIFS(TblUniv20196[I. b2],BP$48,TblUniv20196[Prodi],$BN$45)/$BN$47*100%</f>
        <v>0</v>
      </c>
      <c r="BQ83" s="66">
        <f>COUNTIFS(TblUniv20196[I. b2],BQ$48,TblUniv20196[Prodi],$BN$45)/$BN$47*100%</f>
        <v>0</v>
      </c>
      <c r="BR83" s="62">
        <f t="shared" si="9"/>
        <v>1</v>
      </c>
    </row>
    <row r="84" spans="2:76" ht="16.5" hidden="1" x14ac:dyDescent="0.3">
      <c r="B84" s="57" t="s">
        <v>655</v>
      </c>
      <c r="C84" s="66">
        <f>COUNTIFS(TblUniv20196[I. b3],C$48)/$C$47*100%</f>
        <v>0.43243243243243246</v>
      </c>
      <c r="D84" s="66">
        <f>COUNTIFS(TblUniv20196[I. b3],D$48)/$C$47*100%</f>
        <v>0.56756756756756754</v>
      </c>
      <c r="E84" s="66">
        <f>COUNTIFS(TblUniv20196[I. b3],E$48)/$C$47*100%</f>
        <v>0</v>
      </c>
      <c r="F84" s="66">
        <f>COUNTIFS(TblUniv20196[I. b3],F$48)/$C$47*100%</f>
        <v>0</v>
      </c>
      <c r="G84" s="62">
        <f t="shared" si="0"/>
        <v>1</v>
      </c>
      <c r="I84" s="57" t="s">
        <v>655</v>
      </c>
      <c r="J84" s="66">
        <f>COUNTIFS(TblUniv20196[I. b3],J$48,TblUniv20196[Prodi],$J$45)/$J$47*100%</f>
        <v>0.4</v>
      </c>
      <c r="K84" s="66">
        <f>COUNTIFS(TblUniv20196[I. b3],K$48,TblUniv20196[Prodi],$J$45)/$J$47*100%</f>
        <v>0.6</v>
      </c>
      <c r="L84" s="66">
        <f>COUNTIFS(TblUniv20196[I. b3],L$48,TblUniv20196[Prodi],$J$45)/$J$47*100%</f>
        <v>0</v>
      </c>
      <c r="M84" s="66">
        <f>COUNTIFS(TblUniv20196[I. b3],M$48,TblUniv20196[Prodi],$J$45)/$J$47*100%</f>
        <v>0</v>
      </c>
      <c r="N84" s="62">
        <f t="shared" si="1"/>
        <v>1</v>
      </c>
      <c r="P84" s="57" t="s">
        <v>655</v>
      </c>
      <c r="Q84" s="66">
        <f>COUNTIFS(TblUniv20196[I. b3],Q$48,TblUniv20196[Prodi],$Q$45)/$Q$47*100%</f>
        <v>0.42857142857142855</v>
      </c>
      <c r="R84" s="66">
        <f>COUNTIFS(TblUniv20196[I. b3],R$48,TblUniv20196[Prodi],$Q$45)/$Q$47*100%</f>
        <v>0.5714285714285714</v>
      </c>
      <c r="S84" s="66">
        <f>COUNTIFS(TblUniv20196[I. b3],S$48,TblUniv20196[Prodi],$Q$45)/$Q$47*100%</f>
        <v>0</v>
      </c>
      <c r="T84" s="66">
        <f>COUNTIFS(TblUniv20196[I. b3],T$48,TblUniv20196[Prodi],$Q$45)/$Q$47*100%</f>
        <v>0</v>
      </c>
      <c r="U84" s="62">
        <f t="shared" si="2"/>
        <v>1</v>
      </c>
      <c r="W84" s="57" t="s">
        <v>655</v>
      </c>
      <c r="X84" s="66">
        <f>COUNTIFS(TblUniv20196[I. b3],X$48,TblUniv20196[Prodi],$X$45)/$X$47*100%</f>
        <v>1</v>
      </c>
      <c r="Y84" s="66">
        <f>COUNTIFS(TblUniv20196[I. b3],Y$48,TblUniv20196[Prodi],$X$45)/$X$47*100%</f>
        <v>0</v>
      </c>
      <c r="Z84" s="66">
        <f>COUNTIFS(TblUniv20196[I. b3],Z$48,TblUniv20196[Prodi],$X$45)/$X$47*100%</f>
        <v>0</v>
      </c>
      <c r="AA84" s="66">
        <f>COUNTIFS(TblUniv20196[I. b3],AA$48,TblUniv20196[Prodi],$X$45)/$X$47*100%</f>
        <v>0</v>
      </c>
      <c r="AB84" s="62">
        <f t="shared" si="3"/>
        <v>1</v>
      </c>
      <c r="AD84" s="57" t="s">
        <v>655</v>
      </c>
      <c r="AE84" s="66">
        <f>COUNTIFS(TblUniv20196[I. b3],AE$48,TblUniv20196[Prodi],$AE$45)/$AE$47*100%</f>
        <v>0.4</v>
      </c>
      <c r="AF84" s="66">
        <f>COUNTIFS(TblUniv20196[I. b3],AF$48,TblUniv20196[Prodi],$AE$45)/$AE$47*100%</f>
        <v>0.6</v>
      </c>
      <c r="AG84" s="66">
        <f>COUNTIFS(TblUniv20196[I. b3],AG$48,TblUniv20196[Prodi],$AE$45)/$AE$47*100%</f>
        <v>0</v>
      </c>
      <c r="AH84" s="66">
        <f>COUNTIFS(TblUniv20196[I. b3],AH$48,TblUniv20196[Prodi],$AE$45)/$AE$47*100%</f>
        <v>0</v>
      </c>
      <c r="AI84" s="62">
        <f t="shared" si="4"/>
        <v>1</v>
      </c>
      <c r="AK84" s="57" t="s">
        <v>655</v>
      </c>
      <c r="AL84" s="66">
        <f>COUNTIFS(TblUniv20196[I. b3],AL$48,TblUniv20196[Prodi],$AL$45)/$AL$47*100%</f>
        <v>1</v>
      </c>
      <c r="AM84" s="66">
        <f>COUNTIFS(TblUniv20196[I. b3],AM$48,TblUniv20196[Prodi],$AL$45)/$AL$47*100%</f>
        <v>0</v>
      </c>
      <c r="AN84" s="66">
        <f>COUNTIFS(TblUniv20196[I. b3],AN$48,TblUniv20196[Prodi],$AL$45)/$AL$47*100%</f>
        <v>0</v>
      </c>
      <c r="AO84" s="66">
        <f>COUNTIFS(TblUniv20196[I. b3],AO$48,TblUniv20196[Prodi],$AL$45)/$AL$47*100%</f>
        <v>0</v>
      </c>
      <c r="AP84" s="62">
        <f t="shared" si="5"/>
        <v>1</v>
      </c>
      <c r="AR84" s="57" t="s">
        <v>655</v>
      </c>
      <c r="AS84" s="66">
        <f>COUNTIFS(TblUniv20196[I. b3],AS$48,TblUniv20196[Prodi],$AS$45)/$AS$47*100%</f>
        <v>0</v>
      </c>
      <c r="AT84" s="66">
        <f>COUNTIFS(TblUniv20196[I. b3],AT$48,TblUniv20196[Prodi],$AS$45)/$AS$47*100%</f>
        <v>1</v>
      </c>
      <c r="AU84" s="66">
        <f>COUNTIFS(TblUniv20196[I. b3],AU$48,TblUniv20196[Prodi],$AS$45)/$AS$47*100%</f>
        <v>0</v>
      </c>
      <c r="AV84" s="66">
        <f>COUNTIFS(TblUniv20196[I. b3],AV$48,TblUniv20196[Prodi],$AS$45)/$AS$47*100%</f>
        <v>0</v>
      </c>
      <c r="AW84" s="62">
        <f t="shared" si="6"/>
        <v>1</v>
      </c>
      <c r="AY84" s="57" t="s">
        <v>655</v>
      </c>
      <c r="AZ84" s="66">
        <f>COUNTIFS(TblUniv20196[I. b3],AZ$48,TblUniv20196[Prodi],$AZ$45)/$AZ$47*100%</f>
        <v>0</v>
      </c>
      <c r="BA84" s="66">
        <f>COUNTIFS(TblUniv20196[I. b3],BA$48,TblUniv20196[Prodi],$AZ$45)/$AZ$47*100%</f>
        <v>1</v>
      </c>
      <c r="BB84" s="66">
        <f>COUNTIFS(TblUniv20196[I. b3],BB$48,TblUniv20196[Prodi],$AZ$45)/$AZ$47*100%</f>
        <v>0</v>
      </c>
      <c r="BC84" s="66">
        <f>COUNTIFS(TblUniv20196[I. b3],BC$48,TblUniv20196[Prodi],$AZ$45)/$AZ$47*100%</f>
        <v>0</v>
      </c>
      <c r="BD84" s="62">
        <f t="shared" si="7"/>
        <v>1</v>
      </c>
      <c r="BF84" s="57" t="s">
        <v>655</v>
      </c>
      <c r="BG84" s="66">
        <f>COUNTIFS(TblUniv20196[I. b3],BG$48,TblUniv20196[Prodi],$BG$45)/$BG$47*100%</f>
        <v>0.5</v>
      </c>
      <c r="BH84" s="66">
        <f>COUNTIFS(TblUniv20196[I. b3],BH$48,TblUniv20196[Prodi],$BG$45)/$BG$47*100%</f>
        <v>0.5</v>
      </c>
      <c r="BI84" s="66">
        <f>COUNTIFS(TblUniv20196[I. b3],BI$48,TblUniv20196[Prodi],$BG$45)/$BG$47*100%</f>
        <v>0</v>
      </c>
      <c r="BJ84" s="66">
        <f>COUNTIFS(TblUniv20196[I. b3],BJ$48,TblUniv20196[Prodi],$BG$45)/$BG$47*100%</f>
        <v>0</v>
      </c>
      <c r="BK84" s="62">
        <f t="shared" si="8"/>
        <v>1</v>
      </c>
      <c r="BM84" s="57" t="s">
        <v>655</v>
      </c>
      <c r="BN84" s="66">
        <f>COUNTIFS(TblUniv20196[I. b3],BN$48,TblUniv20196[Prodi],$BN$45)/$BN$47*100%</f>
        <v>1</v>
      </c>
      <c r="BO84" s="66">
        <f>COUNTIFS(TblUniv20196[I. b3],BO$48,TblUniv20196[Prodi],$BN$45)/$BN$47*100%</f>
        <v>0</v>
      </c>
      <c r="BP84" s="66">
        <f>COUNTIFS(TblUniv20196[I. b3],BP$48,TblUniv20196[Prodi],$BN$45)/$BN$47*100%</f>
        <v>0</v>
      </c>
      <c r="BQ84" s="66">
        <f>COUNTIFS(TblUniv20196[I. b3],BQ$48,TblUniv20196[Prodi],$BN$45)/$BN$47*100%</f>
        <v>0</v>
      </c>
      <c r="BR84" s="62">
        <f t="shared" si="9"/>
        <v>1</v>
      </c>
    </row>
    <row r="85" spans="2:76" ht="16.5" hidden="1" x14ac:dyDescent="0.3">
      <c r="B85" s="57" t="s">
        <v>656</v>
      </c>
      <c r="C85" s="66">
        <f>COUNTIFS(TblUniv20196[I. b4],C$48)/$C$47*100%</f>
        <v>0.40540540540540543</v>
      </c>
      <c r="D85" s="66">
        <f>COUNTIFS(TblUniv20196[I. b4],D$48)/$C$47*100%</f>
        <v>0.59459459459459463</v>
      </c>
      <c r="E85" s="66">
        <f>COUNTIFS(TblUniv20196[I. b4],E$48)/$C$47*100%</f>
        <v>0</v>
      </c>
      <c r="F85" s="66">
        <f>COUNTIFS(TblUniv20196[I. b4],F$48)/$C$47*100%</f>
        <v>0</v>
      </c>
      <c r="G85" s="62">
        <f t="shared" si="0"/>
        <v>1</v>
      </c>
      <c r="I85" s="57" t="s">
        <v>656</v>
      </c>
      <c r="J85" s="66">
        <f>COUNTIFS(TblUniv20196[I. b4],J$48,TblUniv20196[Prodi],$J$45)/$J$47*100%</f>
        <v>0.4</v>
      </c>
      <c r="K85" s="66">
        <f>COUNTIFS(TblUniv20196[I. b4],K$48,TblUniv20196[Prodi],$J$45)/$J$47*100%</f>
        <v>0.6</v>
      </c>
      <c r="L85" s="66">
        <f>COUNTIFS(TblUniv20196[I. b4],L$48,TblUniv20196[Prodi],$J$45)/$J$47*100%</f>
        <v>0</v>
      </c>
      <c r="M85" s="66">
        <f>COUNTIFS(TblUniv20196[I. b4],M$48,TblUniv20196[Prodi],$J$45)/$J$47*100%</f>
        <v>0</v>
      </c>
      <c r="N85" s="62">
        <f t="shared" si="1"/>
        <v>1</v>
      </c>
      <c r="P85" s="57" t="s">
        <v>656</v>
      </c>
      <c r="Q85" s="66">
        <f>COUNTIFS(TblUniv20196[I. b4],Q$48,TblUniv20196[Prodi],$Q$45)/$Q$47*100%</f>
        <v>0.2857142857142857</v>
      </c>
      <c r="R85" s="66">
        <f>COUNTIFS(TblUniv20196[I. b4],R$48,TblUniv20196[Prodi],$Q$45)/$Q$47*100%</f>
        <v>0.7142857142857143</v>
      </c>
      <c r="S85" s="66">
        <f>COUNTIFS(TblUniv20196[I. b4],S$48,TblUniv20196[Prodi],$Q$45)/$Q$47*100%</f>
        <v>0</v>
      </c>
      <c r="T85" s="66">
        <f>COUNTIFS(TblUniv20196[I. b4],T$48,TblUniv20196[Prodi],$Q$45)/$Q$47*100%</f>
        <v>0</v>
      </c>
      <c r="U85" s="62">
        <f t="shared" si="2"/>
        <v>1</v>
      </c>
      <c r="W85" s="57" t="s">
        <v>656</v>
      </c>
      <c r="X85" s="66">
        <f>COUNTIFS(TblUniv20196[I. b4],X$48,TblUniv20196[Prodi],$X$45)/$X$47*100%</f>
        <v>0</v>
      </c>
      <c r="Y85" s="66">
        <f>COUNTIFS(TblUniv20196[I. b4],Y$48,TblUniv20196[Prodi],$X$45)/$X$47*100%</f>
        <v>1</v>
      </c>
      <c r="Z85" s="66">
        <f>COUNTIFS(TblUniv20196[I. b4],Z$48,TblUniv20196[Prodi],$X$45)/$X$47*100%</f>
        <v>0</v>
      </c>
      <c r="AA85" s="66">
        <f>COUNTIFS(TblUniv20196[I. b4],AA$48,TblUniv20196[Prodi],$X$45)/$X$47*100%</f>
        <v>0</v>
      </c>
      <c r="AB85" s="62">
        <f t="shared" si="3"/>
        <v>1</v>
      </c>
      <c r="AD85" s="57" t="s">
        <v>656</v>
      </c>
      <c r="AE85" s="66">
        <f>COUNTIFS(TblUniv20196[I. b4],AE$48,TblUniv20196[Prodi],$AE$45)/$AE$47*100%</f>
        <v>0.46666666666666667</v>
      </c>
      <c r="AF85" s="66">
        <f>COUNTIFS(TblUniv20196[I. b4],AF$48,TblUniv20196[Prodi],$AE$45)/$AE$47*100%</f>
        <v>0.53333333333333333</v>
      </c>
      <c r="AG85" s="66">
        <f>COUNTIFS(TblUniv20196[I. b4],AG$48,TblUniv20196[Prodi],$AE$45)/$AE$47*100%</f>
        <v>0</v>
      </c>
      <c r="AH85" s="66">
        <f>COUNTIFS(TblUniv20196[I. b4],AH$48,TblUniv20196[Prodi],$AE$45)/$AE$47*100%</f>
        <v>0</v>
      </c>
      <c r="AI85" s="62">
        <f t="shared" si="4"/>
        <v>1</v>
      </c>
      <c r="AK85" s="57" t="s">
        <v>656</v>
      </c>
      <c r="AL85" s="66">
        <f>COUNTIFS(TblUniv20196[I. b4],AL$48,TblUniv20196[Prodi],$AL$45)/$AL$47*100%</f>
        <v>0</v>
      </c>
      <c r="AM85" s="66">
        <f>COUNTIFS(TblUniv20196[I. b4],AM$48,TblUniv20196[Prodi],$AL$45)/$AL$47*100%</f>
        <v>1</v>
      </c>
      <c r="AN85" s="66">
        <f>COUNTIFS(TblUniv20196[I. b4],AN$48,TblUniv20196[Prodi],$AL$45)/$AL$47*100%</f>
        <v>0</v>
      </c>
      <c r="AO85" s="66">
        <f>COUNTIFS(TblUniv20196[I. b4],AO$48,TblUniv20196[Prodi],$AL$45)/$AL$47*100%</f>
        <v>0</v>
      </c>
      <c r="AP85" s="62">
        <f t="shared" si="5"/>
        <v>1</v>
      </c>
      <c r="AR85" s="57" t="s">
        <v>656</v>
      </c>
      <c r="AS85" s="66">
        <f>COUNTIFS(TblUniv20196[I. b4],AS$48,TblUniv20196[Prodi],$AS$45)/$AS$47*100%</f>
        <v>1</v>
      </c>
      <c r="AT85" s="66">
        <f>COUNTIFS(TblUniv20196[I. b4],AT$48,TblUniv20196[Prodi],$AS$45)/$AS$47*100%</f>
        <v>0</v>
      </c>
      <c r="AU85" s="66">
        <f>COUNTIFS(TblUniv20196[I. b4],AU$48,TblUniv20196[Prodi],$AS$45)/$AS$47*100%</f>
        <v>0</v>
      </c>
      <c r="AV85" s="66">
        <f>COUNTIFS(TblUniv20196[I. b4],AV$48,TblUniv20196[Prodi],$AS$45)/$AS$47*100%</f>
        <v>0</v>
      </c>
      <c r="AW85" s="62">
        <f t="shared" si="6"/>
        <v>1</v>
      </c>
      <c r="AY85" s="57" t="s">
        <v>656</v>
      </c>
      <c r="AZ85" s="66">
        <f>COUNTIFS(TblUniv20196[I. b4],AZ$48,TblUniv20196[Prodi],$AZ$45)/$AZ$47*100%</f>
        <v>0</v>
      </c>
      <c r="BA85" s="66">
        <f>COUNTIFS(TblUniv20196[I. b4],BA$48,TblUniv20196[Prodi],$AZ$45)/$AZ$47*100%</f>
        <v>1</v>
      </c>
      <c r="BB85" s="66">
        <f>COUNTIFS(TblUniv20196[I. b4],BB$48,TblUniv20196[Prodi],$AZ$45)/$AZ$47*100%</f>
        <v>0</v>
      </c>
      <c r="BC85" s="66">
        <f>COUNTIFS(TblUniv20196[I. b4],BC$48,TblUniv20196[Prodi],$AZ$45)/$AZ$47*100%</f>
        <v>0</v>
      </c>
      <c r="BD85" s="62">
        <f t="shared" si="7"/>
        <v>1</v>
      </c>
      <c r="BF85" s="57" t="s">
        <v>656</v>
      </c>
      <c r="BG85" s="66">
        <f>COUNTIFS(TblUniv20196[I. b4],BG$48,TblUniv20196[Prodi],$BG$45)/$BG$47*100%</f>
        <v>0.5</v>
      </c>
      <c r="BH85" s="66">
        <f>COUNTIFS(TblUniv20196[I. b4],BH$48,TblUniv20196[Prodi],$BG$45)/$BG$47*100%</f>
        <v>0.5</v>
      </c>
      <c r="BI85" s="66">
        <f>COUNTIFS(TblUniv20196[I. b4],BI$48,TblUniv20196[Prodi],$BG$45)/$BG$47*100%</f>
        <v>0</v>
      </c>
      <c r="BJ85" s="66">
        <f>COUNTIFS(TblUniv20196[I. b4],BJ$48,TblUniv20196[Prodi],$BG$45)/$BG$47*100%</f>
        <v>0</v>
      </c>
      <c r="BK85" s="62">
        <f t="shared" si="8"/>
        <v>1</v>
      </c>
      <c r="BM85" s="57" t="s">
        <v>656</v>
      </c>
      <c r="BN85" s="66">
        <f>COUNTIFS(TblUniv20196[I. b4],BN$48,TblUniv20196[Prodi],$BN$45)/$BN$47*100%</f>
        <v>1</v>
      </c>
      <c r="BO85" s="66">
        <f>COUNTIFS(TblUniv20196[I. b4],BO$48,TblUniv20196[Prodi],$BN$45)/$BN$47*100%</f>
        <v>0</v>
      </c>
      <c r="BP85" s="66">
        <f>COUNTIFS(TblUniv20196[I. b4],BP$48,TblUniv20196[Prodi],$BN$45)/$BN$47*100%</f>
        <v>0</v>
      </c>
      <c r="BQ85" s="66">
        <f>COUNTIFS(TblUniv20196[I. b4],BQ$48,TblUniv20196[Prodi],$BN$45)/$BN$47*100%</f>
        <v>0</v>
      </c>
      <c r="BR85" s="62">
        <f t="shared" si="9"/>
        <v>1</v>
      </c>
    </row>
    <row r="86" spans="2:76" ht="17.25" hidden="1" thickBot="1" x14ac:dyDescent="0.35">
      <c r="B86" s="67"/>
      <c r="C86" s="68">
        <f>AVERAGE(C82:C85)</f>
        <v>0.38513513513513514</v>
      </c>
      <c r="D86" s="68">
        <f>AVERAGE(D82:D85)</f>
        <v>0.56756756756756754</v>
      </c>
      <c r="E86" s="68">
        <f>AVERAGE(E82:E85)</f>
        <v>4.72972972972973E-2</v>
      </c>
      <c r="F86" s="68">
        <f>AVERAGE(F82:F85)</f>
        <v>0</v>
      </c>
      <c r="G86" s="62">
        <f t="shared" si="0"/>
        <v>0.99999999999999989</v>
      </c>
      <c r="I86" s="67"/>
      <c r="J86" s="68">
        <f>AVERAGE(J82:J85)</f>
        <v>0.30000000000000004</v>
      </c>
      <c r="K86" s="68">
        <f>AVERAGE(K82:K85)</f>
        <v>0.65</v>
      </c>
      <c r="L86" s="68">
        <f>AVERAGE(L82:L85)</f>
        <v>0.05</v>
      </c>
      <c r="M86" s="68">
        <f>AVERAGE(M82:M85)</f>
        <v>0</v>
      </c>
      <c r="N86" s="62">
        <f t="shared" si="1"/>
        <v>1</v>
      </c>
      <c r="P86" s="67"/>
      <c r="Q86" s="68">
        <f>AVERAGE(Q82:Q85)</f>
        <v>0.3214285714285714</v>
      </c>
      <c r="R86" s="68">
        <f>AVERAGE(R82:R85)</f>
        <v>0.64285714285714279</v>
      </c>
      <c r="S86" s="68">
        <f>AVERAGE(S82:S85)</f>
        <v>3.5714285714285712E-2</v>
      </c>
      <c r="T86" s="68">
        <f>AVERAGE(T82:T85)</f>
        <v>0</v>
      </c>
      <c r="U86" s="62">
        <f t="shared" si="2"/>
        <v>0.99999999999999989</v>
      </c>
      <c r="W86" s="67"/>
      <c r="X86" s="68">
        <f>AVERAGE(X82:X85)</f>
        <v>0.25</v>
      </c>
      <c r="Y86" s="68">
        <f>AVERAGE(Y82:Y85)</f>
        <v>0.75</v>
      </c>
      <c r="Z86" s="68">
        <f>AVERAGE(Z82:Z85)</f>
        <v>0</v>
      </c>
      <c r="AA86" s="68">
        <f>AVERAGE(AA82:AA85)</f>
        <v>0</v>
      </c>
      <c r="AB86" s="62">
        <f t="shared" si="3"/>
        <v>1</v>
      </c>
      <c r="AD86" s="67"/>
      <c r="AE86" s="68">
        <f>AVERAGE(AE82:AE85)</f>
        <v>0.41666666666666674</v>
      </c>
      <c r="AF86" s="68">
        <f>AVERAGE(AF82:AF85)</f>
        <v>0.51666666666666661</v>
      </c>
      <c r="AG86" s="68">
        <f>AVERAGE(AG82:AG85)</f>
        <v>6.6666666666666666E-2</v>
      </c>
      <c r="AH86" s="68">
        <f>AVERAGE(AH82:AH85)</f>
        <v>0</v>
      </c>
      <c r="AI86" s="62">
        <f t="shared" si="4"/>
        <v>1</v>
      </c>
      <c r="AK86" s="67"/>
      <c r="AL86" s="68">
        <f>AVERAGE(AL82:AL85)</f>
        <v>0.25</v>
      </c>
      <c r="AM86" s="68">
        <f>AVERAGE(AM82:AM85)</f>
        <v>0.75</v>
      </c>
      <c r="AN86" s="68">
        <f>AVERAGE(AN82:AN85)</f>
        <v>0</v>
      </c>
      <c r="AO86" s="68">
        <f>AVERAGE(AO82:AO85)</f>
        <v>0</v>
      </c>
      <c r="AP86" s="62">
        <f t="shared" si="5"/>
        <v>1</v>
      </c>
      <c r="AR86" s="67"/>
      <c r="AS86" s="68">
        <f>AVERAGE(AS82:AS85)</f>
        <v>0.75</v>
      </c>
      <c r="AT86" s="68">
        <f>AVERAGE(AT82:AT85)</f>
        <v>0.25</v>
      </c>
      <c r="AU86" s="68">
        <f>AVERAGE(AU82:AU85)</f>
        <v>0</v>
      </c>
      <c r="AV86" s="68">
        <f>AVERAGE(AV82:AV85)</f>
        <v>0</v>
      </c>
      <c r="AW86" s="62">
        <f t="shared" si="6"/>
        <v>1</v>
      </c>
      <c r="AY86" s="67"/>
      <c r="AZ86" s="68">
        <f>AVERAGE(AZ82:AZ85)</f>
        <v>0</v>
      </c>
      <c r="BA86" s="68">
        <f>AVERAGE(BA82:BA85)</f>
        <v>0.91666666666666663</v>
      </c>
      <c r="BB86" s="68">
        <f>AVERAGE(BB82:BB85)</f>
        <v>8.3333333333333329E-2</v>
      </c>
      <c r="BC86" s="68">
        <f>AVERAGE(BC82:BC85)</f>
        <v>0</v>
      </c>
      <c r="BD86" s="62">
        <f t="shared" si="7"/>
        <v>1</v>
      </c>
      <c r="BF86" s="67"/>
      <c r="BG86" s="68">
        <f>AVERAGE(BG82:BG85)</f>
        <v>0.5</v>
      </c>
      <c r="BH86" s="68">
        <f>AVERAGE(BH82:BH85)</f>
        <v>0.5</v>
      </c>
      <c r="BI86" s="68">
        <f>AVERAGE(BI82:BI85)</f>
        <v>0</v>
      </c>
      <c r="BJ86" s="68">
        <f>AVERAGE(BJ82:BJ85)</f>
        <v>0</v>
      </c>
      <c r="BK86" s="62">
        <f t="shared" si="8"/>
        <v>1</v>
      </c>
      <c r="BM86" s="67"/>
      <c r="BN86" s="68">
        <f>AVERAGE(BN82:BN85)</f>
        <v>1</v>
      </c>
      <c r="BO86" s="68">
        <f>AVERAGE(BO82:BO85)</f>
        <v>0</v>
      </c>
      <c r="BP86" s="68">
        <f>AVERAGE(BP82:BP85)</f>
        <v>0</v>
      </c>
      <c r="BQ86" s="68">
        <f>AVERAGE(BQ82:BQ85)</f>
        <v>0</v>
      </c>
      <c r="BR86" s="62">
        <f t="shared" si="9"/>
        <v>1</v>
      </c>
    </row>
    <row r="87" spans="2:76" ht="15.75" thickBot="1" x14ac:dyDescent="0.3"/>
    <row r="88" spans="2:76" ht="17.25" thickBot="1" x14ac:dyDescent="0.3">
      <c r="I88" s="64" t="s">
        <v>14</v>
      </c>
      <c r="J88" s="65" t="str">
        <f>J45</f>
        <v>S1 Teknik Komputer</v>
      </c>
      <c r="P88" s="64" t="s">
        <v>14</v>
      </c>
      <c r="Q88" s="65" t="str">
        <f>Q45</f>
        <v>S1 Sistem Informasi</v>
      </c>
      <c r="W88" s="64" t="s">
        <v>14</v>
      </c>
      <c r="X88" s="65" t="str">
        <f>X45</f>
        <v>D3 Sistem Informasi</v>
      </c>
      <c r="AD88" s="64" t="s">
        <v>14</v>
      </c>
      <c r="AE88" s="65" t="str">
        <f>AE45</f>
        <v>S1 Desain Komunikasi Visual</v>
      </c>
      <c r="AK88" s="64" t="s">
        <v>14</v>
      </c>
      <c r="AL88" s="65" t="str">
        <f>AL45</f>
        <v>D4 Produksi Film dan Televisi</v>
      </c>
      <c r="AR88" s="64" t="s">
        <v>14</v>
      </c>
      <c r="AS88" s="65" t="str">
        <f>AS45</f>
        <v>S1 Desain Produk</v>
      </c>
      <c r="AY88" s="64" t="s">
        <v>14</v>
      </c>
      <c r="AZ88" s="65" t="str">
        <f>AZ45</f>
        <v>D3 Administrasi Perkantoran</v>
      </c>
      <c r="BF88" s="64" t="s">
        <v>14</v>
      </c>
      <c r="BG88" s="65" t="str">
        <f>BG45</f>
        <v>S1 AKUNTANSI</v>
      </c>
      <c r="BM88" s="64" t="s">
        <v>14</v>
      </c>
      <c r="BN88" s="65" t="str">
        <f>BN45</f>
        <v>S1 MANAJEMEN</v>
      </c>
      <c r="BT88" s="64" t="s">
        <v>14</v>
      </c>
      <c r="BU88" s="65" t="s">
        <v>1185</v>
      </c>
    </row>
    <row r="89" spans="2:76" ht="33.75" thickBot="1" x14ac:dyDescent="0.3">
      <c r="B89" s="64" t="s">
        <v>647</v>
      </c>
      <c r="C89" s="65">
        <v>2020</v>
      </c>
      <c r="I89" s="64" t="s">
        <v>647</v>
      </c>
      <c r="J89" s="65">
        <f>J46</f>
        <v>2020</v>
      </c>
      <c r="P89" s="64" t="s">
        <v>647</v>
      </c>
      <c r="Q89" s="65">
        <f>Q46</f>
        <v>2020</v>
      </c>
      <c r="W89" s="64" t="s">
        <v>647</v>
      </c>
      <c r="X89" s="65">
        <f>X46</f>
        <v>2020</v>
      </c>
      <c r="AD89" s="64" t="s">
        <v>647</v>
      </c>
      <c r="AE89" s="65">
        <f>AE46</f>
        <v>2020</v>
      </c>
      <c r="AK89" s="64" t="s">
        <v>647</v>
      </c>
      <c r="AL89" s="65">
        <f>AL46</f>
        <v>2020</v>
      </c>
      <c r="AR89" s="64" t="s">
        <v>647</v>
      </c>
      <c r="AS89" s="65">
        <f>AS46</f>
        <v>2020</v>
      </c>
      <c r="AY89" s="64" t="s">
        <v>647</v>
      </c>
      <c r="AZ89" s="65">
        <f>AZ46</f>
        <v>2020</v>
      </c>
      <c r="BF89" s="64" t="s">
        <v>647</v>
      </c>
      <c r="BG89" s="65">
        <f>BG46</f>
        <v>2020</v>
      </c>
      <c r="BM89" s="64" t="s">
        <v>647</v>
      </c>
      <c r="BN89" s="65">
        <f>BN46</f>
        <v>2020</v>
      </c>
      <c r="BT89" s="64" t="s">
        <v>647</v>
      </c>
      <c r="BU89" s="65">
        <v>2020</v>
      </c>
    </row>
    <row r="90" spans="2:76" ht="33.75" thickBot="1" x14ac:dyDescent="0.3">
      <c r="B90" s="69" t="s">
        <v>646</v>
      </c>
      <c r="C90" s="70">
        <f>COUNTIF(TblUniv20196[th lulus],C89)</f>
        <v>37</v>
      </c>
      <c r="I90" s="64" t="s">
        <v>646</v>
      </c>
      <c r="J90" s="65">
        <f>J47</f>
        <v>5</v>
      </c>
      <c r="P90" s="64" t="s">
        <v>646</v>
      </c>
      <c r="Q90" s="65">
        <f>Q47</f>
        <v>7</v>
      </c>
      <c r="W90" s="64" t="s">
        <v>646</v>
      </c>
      <c r="X90" s="65">
        <f>X47</f>
        <v>1</v>
      </c>
      <c r="AD90" s="64" t="s">
        <v>646</v>
      </c>
      <c r="AE90" s="65">
        <f>AE47</f>
        <v>15</v>
      </c>
      <c r="AK90" s="64" t="s">
        <v>646</v>
      </c>
      <c r="AL90" s="65">
        <f>AL47</f>
        <v>1</v>
      </c>
      <c r="AR90" s="64" t="s">
        <v>646</v>
      </c>
      <c r="AS90" s="65">
        <f>AS47</f>
        <v>1</v>
      </c>
      <c r="AY90" s="64" t="s">
        <v>646</v>
      </c>
      <c r="AZ90" s="65">
        <f>AZ47</f>
        <v>3</v>
      </c>
      <c r="BF90" s="64" t="s">
        <v>646</v>
      </c>
      <c r="BG90" s="65">
        <f>BG47</f>
        <v>2</v>
      </c>
      <c r="BM90" s="64" t="s">
        <v>646</v>
      </c>
      <c r="BN90" s="65">
        <f>BN47</f>
        <v>2</v>
      </c>
      <c r="BT90" s="64" t="s">
        <v>646</v>
      </c>
      <c r="BU90" s="65">
        <f>BN90+BG90+AZ90</f>
        <v>7</v>
      </c>
    </row>
    <row r="91" spans="2:76" ht="28.5" customHeight="1" thickBot="1" x14ac:dyDescent="0.3">
      <c r="B91" s="222" t="s">
        <v>658</v>
      </c>
      <c r="C91" s="223" t="s">
        <v>664</v>
      </c>
      <c r="D91" s="223"/>
      <c r="E91" s="223"/>
      <c r="F91" s="223"/>
      <c r="I91" s="222" t="s">
        <v>658</v>
      </c>
      <c r="J91" s="223" t="s">
        <v>664</v>
      </c>
      <c r="K91" s="223"/>
      <c r="L91" s="223"/>
      <c r="M91" s="223"/>
      <c r="P91" s="222" t="s">
        <v>658</v>
      </c>
      <c r="Q91" s="223" t="s">
        <v>664</v>
      </c>
      <c r="R91" s="223"/>
      <c r="S91" s="223"/>
      <c r="T91" s="223"/>
      <c r="W91" s="222" t="s">
        <v>658</v>
      </c>
      <c r="X91" s="223" t="s">
        <v>664</v>
      </c>
      <c r="Y91" s="223"/>
      <c r="Z91" s="223"/>
      <c r="AA91" s="223"/>
      <c r="AD91" s="222" t="s">
        <v>658</v>
      </c>
      <c r="AE91" s="223" t="s">
        <v>664</v>
      </c>
      <c r="AF91" s="223"/>
      <c r="AG91" s="223"/>
      <c r="AH91" s="223"/>
      <c r="AK91" s="222" t="s">
        <v>658</v>
      </c>
      <c r="AL91" s="223" t="s">
        <v>664</v>
      </c>
      <c r="AM91" s="223"/>
      <c r="AN91" s="223"/>
      <c r="AO91" s="223"/>
      <c r="AR91" s="181" t="s">
        <v>658</v>
      </c>
      <c r="AS91" s="72" t="s">
        <v>664</v>
      </c>
      <c r="AT91" s="72"/>
      <c r="AU91" s="72"/>
      <c r="AV91" s="72"/>
      <c r="AY91" s="222" t="s">
        <v>658</v>
      </c>
      <c r="AZ91" s="223" t="s">
        <v>664</v>
      </c>
      <c r="BA91" s="223"/>
      <c r="BB91" s="223"/>
      <c r="BC91" s="223"/>
      <c r="BF91" s="181" t="s">
        <v>658</v>
      </c>
      <c r="BG91" s="72" t="s">
        <v>664</v>
      </c>
      <c r="BH91" s="72"/>
      <c r="BI91" s="72"/>
      <c r="BJ91" s="72"/>
      <c r="BM91" s="181" t="s">
        <v>658</v>
      </c>
      <c r="BN91" s="72" t="s">
        <v>664</v>
      </c>
      <c r="BO91" s="72"/>
      <c r="BP91" s="72"/>
      <c r="BQ91" s="72"/>
      <c r="BT91" s="181" t="s">
        <v>658</v>
      </c>
      <c r="BU91" s="72" t="s">
        <v>664</v>
      </c>
      <c r="BV91" s="72"/>
      <c r="BW91" s="72"/>
      <c r="BX91" s="72"/>
    </row>
    <row r="92" spans="2:76" ht="15.75" customHeight="1" thickBot="1" x14ac:dyDescent="0.3">
      <c r="B92" s="222"/>
      <c r="C92" s="72" t="s">
        <v>645</v>
      </c>
      <c r="D92" s="72" t="s">
        <v>665</v>
      </c>
      <c r="E92" s="72" t="s">
        <v>666</v>
      </c>
      <c r="F92" s="72" t="s">
        <v>667</v>
      </c>
      <c r="I92" s="222"/>
      <c r="J92" s="72" t="s">
        <v>645</v>
      </c>
      <c r="K92" s="72" t="s">
        <v>665</v>
      </c>
      <c r="L92" s="72" t="s">
        <v>666</v>
      </c>
      <c r="M92" s="72" t="s">
        <v>667</v>
      </c>
      <c r="P92" s="222"/>
      <c r="Q92" s="72" t="s">
        <v>645</v>
      </c>
      <c r="R92" s="72" t="s">
        <v>665</v>
      </c>
      <c r="S92" s="72" t="s">
        <v>666</v>
      </c>
      <c r="T92" s="72" t="s">
        <v>667</v>
      </c>
      <c r="W92" s="222"/>
      <c r="X92" s="72" t="s">
        <v>645</v>
      </c>
      <c r="Y92" s="72" t="s">
        <v>665</v>
      </c>
      <c r="Z92" s="72" t="s">
        <v>666</v>
      </c>
      <c r="AA92" s="72" t="s">
        <v>667</v>
      </c>
      <c r="AD92" s="222"/>
      <c r="AE92" s="72" t="s">
        <v>645</v>
      </c>
      <c r="AF92" s="72" t="s">
        <v>665</v>
      </c>
      <c r="AG92" s="72" t="s">
        <v>666</v>
      </c>
      <c r="AH92" s="72" t="s">
        <v>667</v>
      </c>
      <c r="AK92" s="222"/>
      <c r="AL92" s="72" t="s">
        <v>645</v>
      </c>
      <c r="AM92" s="72" t="s">
        <v>665</v>
      </c>
      <c r="AN92" s="72" t="s">
        <v>666</v>
      </c>
      <c r="AO92" s="72" t="s">
        <v>667</v>
      </c>
      <c r="AR92" s="181"/>
      <c r="AS92" s="72" t="s">
        <v>645</v>
      </c>
      <c r="AT92" s="72" t="s">
        <v>665</v>
      </c>
      <c r="AU92" s="72" t="s">
        <v>666</v>
      </c>
      <c r="AV92" s="72" t="s">
        <v>667</v>
      </c>
      <c r="AY92" s="222"/>
      <c r="AZ92" s="72" t="s">
        <v>645</v>
      </c>
      <c r="BA92" s="72" t="s">
        <v>665</v>
      </c>
      <c r="BB92" s="72" t="s">
        <v>666</v>
      </c>
      <c r="BC92" s="72" t="s">
        <v>667</v>
      </c>
      <c r="BF92" s="181"/>
      <c r="BG92" s="72" t="s">
        <v>645</v>
      </c>
      <c r="BH92" s="72" t="s">
        <v>665</v>
      </c>
      <c r="BI92" s="72" t="s">
        <v>666</v>
      </c>
      <c r="BJ92" s="72" t="s">
        <v>667</v>
      </c>
      <c r="BM92" s="181"/>
      <c r="BN92" s="72" t="s">
        <v>645</v>
      </c>
      <c r="BO92" s="72" t="s">
        <v>665</v>
      </c>
      <c r="BP92" s="72" t="s">
        <v>666</v>
      </c>
      <c r="BQ92" s="72" t="s">
        <v>667</v>
      </c>
      <c r="BT92" s="181"/>
      <c r="BU92" s="72" t="s">
        <v>645</v>
      </c>
      <c r="BV92" s="72" t="s">
        <v>665</v>
      </c>
      <c r="BW92" s="72" t="s">
        <v>666</v>
      </c>
      <c r="BX92" s="72" t="s">
        <v>667</v>
      </c>
    </row>
    <row r="93" spans="2:76" x14ac:dyDescent="0.25">
      <c r="B93" s="73">
        <v>2</v>
      </c>
      <c r="C93" s="71">
        <v>3</v>
      </c>
      <c r="D93" s="71">
        <v>4</v>
      </c>
      <c r="E93" s="71">
        <v>5</v>
      </c>
      <c r="F93" s="74">
        <v>6</v>
      </c>
      <c r="I93" s="73">
        <v>2</v>
      </c>
      <c r="J93" s="71">
        <v>3</v>
      </c>
      <c r="K93" s="71">
        <v>4</v>
      </c>
      <c r="L93" s="71">
        <v>5</v>
      </c>
      <c r="M93" s="74">
        <v>6</v>
      </c>
      <c r="P93" s="73">
        <v>2</v>
      </c>
      <c r="Q93" s="71">
        <v>3</v>
      </c>
      <c r="R93" s="71">
        <v>4</v>
      </c>
      <c r="S93" s="71">
        <v>5</v>
      </c>
      <c r="T93" s="74">
        <v>6</v>
      </c>
      <c r="W93" s="73">
        <v>2</v>
      </c>
      <c r="X93" s="71">
        <v>3</v>
      </c>
      <c r="Y93" s="71">
        <v>4</v>
      </c>
      <c r="Z93" s="71">
        <v>5</v>
      </c>
      <c r="AA93" s="74">
        <v>6</v>
      </c>
      <c r="AD93" s="73">
        <v>2</v>
      </c>
      <c r="AE93" s="71">
        <v>3</v>
      </c>
      <c r="AF93" s="71">
        <v>4</v>
      </c>
      <c r="AG93" s="71">
        <v>5</v>
      </c>
      <c r="AH93" s="74">
        <v>6</v>
      </c>
      <c r="AK93" s="73">
        <v>2</v>
      </c>
      <c r="AL93" s="71">
        <v>3</v>
      </c>
      <c r="AM93" s="71">
        <v>4</v>
      </c>
      <c r="AN93" s="71">
        <v>5</v>
      </c>
      <c r="AO93" s="74">
        <v>6</v>
      </c>
      <c r="AR93" s="73">
        <v>2</v>
      </c>
      <c r="AS93" s="71">
        <v>3</v>
      </c>
      <c r="AT93" s="71">
        <v>4</v>
      </c>
      <c r="AU93" s="71">
        <v>5</v>
      </c>
      <c r="AV93" s="74">
        <v>6</v>
      </c>
      <c r="AY93" s="73">
        <v>2</v>
      </c>
      <c r="AZ93" s="71">
        <v>3</v>
      </c>
      <c r="BA93" s="71">
        <v>4</v>
      </c>
      <c r="BB93" s="71">
        <v>5</v>
      </c>
      <c r="BC93" s="74">
        <v>6</v>
      </c>
      <c r="BF93" s="73">
        <v>2</v>
      </c>
      <c r="BG93" s="71">
        <v>3</v>
      </c>
      <c r="BH93" s="71">
        <v>4</v>
      </c>
      <c r="BI93" s="71">
        <v>5</v>
      </c>
      <c r="BJ93" s="74">
        <v>6</v>
      </c>
      <c r="BM93" s="73">
        <v>2</v>
      </c>
      <c r="BN93" s="71">
        <v>3</v>
      </c>
      <c r="BO93" s="71">
        <v>4</v>
      </c>
      <c r="BP93" s="71">
        <v>5</v>
      </c>
      <c r="BQ93" s="74">
        <v>6</v>
      </c>
      <c r="BT93" s="73">
        <v>2</v>
      </c>
      <c r="BU93" s="71">
        <v>3</v>
      </c>
      <c r="BV93" s="71">
        <v>4</v>
      </c>
      <c r="BW93" s="71">
        <v>5</v>
      </c>
      <c r="BX93" s="74">
        <v>6</v>
      </c>
    </row>
    <row r="94" spans="2:76" x14ac:dyDescent="0.25">
      <c r="B94" s="75" t="s">
        <v>659</v>
      </c>
      <c r="C94" s="58">
        <f>C54</f>
        <v>0.35675675675675678</v>
      </c>
      <c r="D94" s="58">
        <f>D54</f>
        <v>0.6108108108108109</v>
      </c>
      <c r="E94" s="58">
        <f>E54</f>
        <v>3.2432432432432434E-2</v>
      </c>
      <c r="F94" s="59">
        <f>F54</f>
        <v>0</v>
      </c>
      <c r="I94" s="75" t="s">
        <v>659</v>
      </c>
      <c r="J94" s="58">
        <f>J54</f>
        <v>0.24</v>
      </c>
      <c r="K94" s="58">
        <f>K54</f>
        <v>0.72</v>
      </c>
      <c r="L94" s="58">
        <f>L54</f>
        <v>0.04</v>
      </c>
      <c r="M94" s="59">
        <f>M54</f>
        <v>0</v>
      </c>
      <c r="P94" s="75" t="s">
        <v>659</v>
      </c>
      <c r="Q94" s="58">
        <f>Q54</f>
        <v>0.25714285714285712</v>
      </c>
      <c r="R94" s="58">
        <f>R54</f>
        <v>0.7142857142857143</v>
      </c>
      <c r="S94" s="58">
        <f>S54</f>
        <v>2.8571428571428571E-2</v>
      </c>
      <c r="T94" s="59">
        <f>T54</f>
        <v>0</v>
      </c>
      <c r="W94" s="75" t="s">
        <v>659</v>
      </c>
      <c r="X94" s="58">
        <f>X54</f>
        <v>0.6</v>
      </c>
      <c r="Y94" s="58">
        <f>Y54</f>
        <v>0.4</v>
      </c>
      <c r="Z94" s="58">
        <f>Z54</f>
        <v>0</v>
      </c>
      <c r="AA94" s="59">
        <f>AA54</f>
        <v>0</v>
      </c>
      <c r="AD94" s="75" t="s">
        <v>659</v>
      </c>
      <c r="AE94" s="58">
        <f>AE54</f>
        <v>0.46666666666666667</v>
      </c>
      <c r="AF94" s="58">
        <f>AF54</f>
        <v>0.5066666666666666</v>
      </c>
      <c r="AG94" s="58">
        <f>AG54</f>
        <v>2.6666666666666665E-2</v>
      </c>
      <c r="AH94" s="59">
        <f>AH54</f>
        <v>0</v>
      </c>
      <c r="AK94" s="75" t="s">
        <v>659</v>
      </c>
      <c r="AL94" s="58">
        <f>AL54</f>
        <v>0.2</v>
      </c>
      <c r="AM94" s="58">
        <f>AM54</f>
        <v>0.8</v>
      </c>
      <c r="AN94" s="58">
        <f>AN54</f>
        <v>0</v>
      </c>
      <c r="AO94" s="59">
        <f>AO54</f>
        <v>0</v>
      </c>
      <c r="AR94" s="75" t="s">
        <v>659</v>
      </c>
      <c r="AS94" s="58">
        <f>AS54</f>
        <v>0.4</v>
      </c>
      <c r="AT94" s="58">
        <f>AT54</f>
        <v>0.6</v>
      </c>
      <c r="AU94" s="58">
        <f>AU54</f>
        <v>0</v>
      </c>
      <c r="AV94" s="59">
        <f>AV54</f>
        <v>0</v>
      </c>
      <c r="AY94" s="75" t="s">
        <v>659</v>
      </c>
      <c r="AZ94" s="58">
        <f>AZ54</f>
        <v>6.6666666666666666E-2</v>
      </c>
      <c r="BA94" s="58">
        <f>BA54</f>
        <v>0.86666666666666659</v>
      </c>
      <c r="BB94" s="58">
        <f>BB54</f>
        <v>6.6666666666666666E-2</v>
      </c>
      <c r="BC94" s="59">
        <f>BC54</f>
        <v>0</v>
      </c>
      <c r="BF94" s="75" t="s">
        <v>659</v>
      </c>
      <c r="BG94" s="58">
        <f>BG54</f>
        <v>0.7</v>
      </c>
      <c r="BH94" s="58">
        <f>BH54</f>
        <v>0.2</v>
      </c>
      <c r="BI94" s="58">
        <f>BI54</f>
        <v>0.1</v>
      </c>
      <c r="BJ94" s="59">
        <f>BJ54</f>
        <v>0</v>
      </c>
      <c r="BM94" s="75" t="s">
        <v>659</v>
      </c>
      <c r="BN94" s="58">
        <f>BN54</f>
        <v>0.2</v>
      </c>
      <c r="BO94" s="58">
        <f>BO54</f>
        <v>0.8</v>
      </c>
      <c r="BP94" s="58">
        <f>BP54</f>
        <v>0</v>
      </c>
      <c r="BQ94" s="59">
        <f>BQ54</f>
        <v>0</v>
      </c>
      <c r="BT94" s="75" t="s">
        <v>659</v>
      </c>
      <c r="BU94" s="58">
        <f>(BN94+BG94+AZ94)/3</f>
        <v>0.32222222222222219</v>
      </c>
      <c r="BV94" s="58">
        <f t="shared" ref="BV94:BX94" si="10">(BO94+BH94+BA94)/3</f>
        <v>0.62222222222222223</v>
      </c>
      <c r="BW94" s="58">
        <f t="shared" si="10"/>
        <v>5.5555555555555559E-2</v>
      </c>
      <c r="BX94" s="58">
        <f t="shared" si="10"/>
        <v>0</v>
      </c>
    </row>
    <row r="95" spans="2:76" x14ac:dyDescent="0.25">
      <c r="B95" s="75" t="s">
        <v>660</v>
      </c>
      <c r="C95" s="58">
        <f>C57</f>
        <v>0.5135135135135136</v>
      </c>
      <c r="D95" s="58">
        <f>D57</f>
        <v>0.48648648648648651</v>
      </c>
      <c r="E95" s="58">
        <f>E57</f>
        <v>0</v>
      </c>
      <c r="F95" s="59">
        <f>F57</f>
        <v>0</v>
      </c>
      <c r="I95" s="75" t="s">
        <v>660</v>
      </c>
      <c r="J95" s="58">
        <f>J57</f>
        <v>0.4</v>
      </c>
      <c r="K95" s="58">
        <f>K57</f>
        <v>0.60000000000000009</v>
      </c>
      <c r="L95" s="58">
        <f>L57</f>
        <v>0</v>
      </c>
      <c r="M95" s="59">
        <f>M57</f>
        <v>0</v>
      </c>
      <c r="P95" s="75" t="s">
        <v>660</v>
      </c>
      <c r="Q95" s="58">
        <f>Q57</f>
        <v>0.3571428571428571</v>
      </c>
      <c r="R95" s="58">
        <f>R57</f>
        <v>0.64285714285714279</v>
      </c>
      <c r="S95" s="58">
        <f>S57</f>
        <v>0</v>
      </c>
      <c r="T95" s="59">
        <f>T57</f>
        <v>0</v>
      </c>
      <c r="W95" s="75" t="s">
        <v>660</v>
      </c>
      <c r="X95" s="58">
        <f>X57</f>
        <v>0.5</v>
      </c>
      <c r="Y95" s="58">
        <f>Y57</f>
        <v>0.5</v>
      </c>
      <c r="Z95" s="58">
        <f>Z57</f>
        <v>0</v>
      </c>
      <c r="AA95" s="59">
        <f>AA57</f>
        <v>0</v>
      </c>
      <c r="AD95" s="75" t="s">
        <v>660</v>
      </c>
      <c r="AE95" s="58">
        <f>AE57</f>
        <v>0.6</v>
      </c>
      <c r="AF95" s="58">
        <f>AF57</f>
        <v>0.4</v>
      </c>
      <c r="AG95" s="58">
        <f>AG57</f>
        <v>0</v>
      </c>
      <c r="AH95" s="59">
        <f>AH57</f>
        <v>0</v>
      </c>
      <c r="AK95" s="75" t="s">
        <v>660</v>
      </c>
      <c r="AL95" s="58">
        <f>AL57</f>
        <v>0.5</v>
      </c>
      <c r="AM95" s="58">
        <f>AM57</f>
        <v>0.5</v>
      </c>
      <c r="AN95" s="58">
        <f>AN57</f>
        <v>0</v>
      </c>
      <c r="AO95" s="59">
        <f>AO57</f>
        <v>0</v>
      </c>
      <c r="AR95" s="75" t="s">
        <v>660</v>
      </c>
      <c r="AS95" s="58">
        <f>AS57</f>
        <v>1</v>
      </c>
      <c r="AT95" s="58">
        <f>AT57</f>
        <v>0</v>
      </c>
      <c r="AU95" s="58">
        <f>AU57</f>
        <v>0</v>
      </c>
      <c r="AV95" s="59">
        <f>AV57</f>
        <v>0</v>
      </c>
      <c r="AY95" s="75" t="s">
        <v>660</v>
      </c>
      <c r="AZ95" s="58">
        <f>AZ57</f>
        <v>0.5</v>
      </c>
      <c r="BA95" s="58">
        <f>BA57</f>
        <v>0.5</v>
      </c>
      <c r="BB95" s="58">
        <f>BB57</f>
        <v>0</v>
      </c>
      <c r="BC95" s="59">
        <f>BC57</f>
        <v>0</v>
      </c>
      <c r="BF95" s="75" t="s">
        <v>660</v>
      </c>
      <c r="BG95" s="58">
        <f>BG57</f>
        <v>0.5</v>
      </c>
      <c r="BH95" s="58">
        <f>BH57</f>
        <v>0.5</v>
      </c>
      <c r="BI95" s="58">
        <f>BI57</f>
        <v>0</v>
      </c>
      <c r="BJ95" s="59">
        <f>BJ57</f>
        <v>0</v>
      </c>
      <c r="BM95" s="75" t="s">
        <v>660</v>
      </c>
      <c r="BN95" s="58">
        <f>BN57</f>
        <v>0.5</v>
      </c>
      <c r="BO95" s="58">
        <f>BO57</f>
        <v>0.5</v>
      </c>
      <c r="BP95" s="58">
        <f>BP57</f>
        <v>0</v>
      </c>
      <c r="BQ95" s="59">
        <f>BQ57</f>
        <v>0</v>
      </c>
      <c r="BT95" s="75" t="s">
        <v>660</v>
      </c>
      <c r="BU95" s="58">
        <f t="shared" ref="BU95:BU102" si="11">(BN95+BG95+AZ95)/3</f>
        <v>0.5</v>
      </c>
      <c r="BV95" s="58">
        <f t="shared" ref="BV95:BV102" si="12">(BO95+BH95+BA95)/3</f>
        <v>0.5</v>
      </c>
      <c r="BW95" s="58">
        <f t="shared" ref="BW95:BW102" si="13">(BP95+BI95+BB95)/3</f>
        <v>0</v>
      </c>
      <c r="BX95" s="58">
        <f t="shared" ref="BX95:BX102" si="14">(BQ95+BJ95+BC95)/3</f>
        <v>0</v>
      </c>
    </row>
    <row r="96" spans="2:76" x14ac:dyDescent="0.25">
      <c r="B96" s="75" t="s">
        <v>661</v>
      </c>
      <c r="C96" s="58">
        <f>C60</f>
        <v>0.39189189189189189</v>
      </c>
      <c r="D96" s="58">
        <f>D60</f>
        <v>0.39189189189189189</v>
      </c>
      <c r="E96" s="58">
        <f>E60</f>
        <v>0.21621621621621623</v>
      </c>
      <c r="F96" s="59">
        <f>F60</f>
        <v>0</v>
      </c>
      <c r="I96" s="75" t="s">
        <v>661</v>
      </c>
      <c r="J96" s="58">
        <f>J60</f>
        <v>0.2</v>
      </c>
      <c r="K96" s="58">
        <f>K60</f>
        <v>0.4</v>
      </c>
      <c r="L96" s="58">
        <f>L60</f>
        <v>0.4</v>
      </c>
      <c r="M96" s="59">
        <f>M60</f>
        <v>0</v>
      </c>
      <c r="P96" s="75" t="s">
        <v>661</v>
      </c>
      <c r="Q96" s="58">
        <f>Q60</f>
        <v>0.21428571428571427</v>
      </c>
      <c r="R96" s="58">
        <f>R60</f>
        <v>0.5</v>
      </c>
      <c r="S96" s="58">
        <f>S60</f>
        <v>0.2857142857142857</v>
      </c>
      <c r="T96" s="59">
        <f>T60</f>
        <v>0</v>
      </c>
      <c r="W96" s="75" t="s">
        <v>661</v>
      </c>
      <c r="X96" s="58">
        <f>X60</f>
        <v>1</v>
      </c>
      <c r="Y96" s="58">
        <f>Y60</f>
        <v>0</v>
      </c>
      <c r="Z96" s="58">
        <f>Z60</f>
        <v>0</v>
      </c>
      <c r="AA96" s="59">
        <f>AA60</f>
        <v>0</v>
      </c>
      <c r="AD96" s="75" t="s">
        <v>661</v>
      </c>
      <c r="AE96" s="58">
        <f>AE60</f>
        <v>0.53333333333333333</v>
      </c>
      <c r="AF96" s="58">
        <f>AF60</f>
        <v>0.36666666666666664</v>
      </c>
      <c r="AG96" s="58">
        <f>AG60</f>
        <v>0.1</v>
      </c>
      <c r="AH96" s="59">
        <f>AH60</f>
        <v>0</v>
      </c>
      <c r="AK96" s="75" t="s">
        <v>661</v>
      </c>
      <c r="AL96" s="58">
        <f>AL60</f>
        <v>0</v>
      </c>
      <c r="AM96" s="58">
        <f>AM60</f>
        <v>1</v>
      </c>
      <c r="AN96" s="58">
        <f>AN60</f>
        <v>0</v>
      </c>
      <c r="AO96" s="59">
        <f>AO60</f>
        <v>0</v>
      </c>
      <c r="AR96" s="75" t="s">
        <v>661</v>
      </c>
      <c r="AS96" s="58">
        <f>AS60</f>
        <v>0.5</v>
      </c>
      <c r="AT96" s="58">
        <f>AT60</f>
        <v>0.5</v>
      </c>
      <c r="AU96" s="58">
        <f>AU60</f>
        <v>0</v>
      </c>
      <c r="AV96" s="59">
        <f>AV60</f>
        <v>0</v>
      </c>
      <c r="AY96" s="75" t="s">
        <v>661</v>
      </c>
      <c r="AZ96" s="58">
        <f>AZ60</f>
        <v>0.16666666666666666</v>
      </c>
      <c r="BA96" s="58">
        <f>BA60</f>
        <v>0.16666666666666666</v>
      </c>
      <c r="BB96" s="58">
        <f>BB60</f>
        <v>0.66666666666666663</v>
      </c>
      <c r="BC96" s="59">
        <f>BC60</f>
        <v>0</v>
      </c>
      <c r="BF96" s="75" t="s">
        <v>661</v>
      </c>
      <c r="BG96" s="58">
        <f>BG60</f>
        <v>0.75</v>
      </c>
      <c r="BH96" s="58">
        <f>BH60</f>
        <v>0.25</v>
      </c>
      <c r="BI96" s="58">
        <f>BI60</f>
        <v>0</v>
      </c>
      <c r="BJ96" s="59">
        <f>BJ60</f>
        <v>0</v>
      </c>
      <c r="BM96" s="75" t="s">
        <v>661</v>
      </c>
      <c r="BN96" s="58">
        <f>BN60</f>
        <v>0.25</v>
      </c>
      <c r="BO96" s="58">
        <f>BO60</f>
        <v>0.5</v>
      </c>
      <c r="BP96" s="58">
        <f>BP60</f>
        <v>0.25</v>
      </c>
      <c r="BQ96" s="59">
        <f>BQ60</f>
        <v>0</v>
      </c>
      <c r="BT96" s="75" t="s">
        <v>661</v>
      </c>
      <c r="BU96" s="58">
        <f t="shared" si="11"/>
        <v>0.3888888888888889</v>
      </c>
      <c r="BV96" s="58">
        <f t="shared" si="12"/>
        <v>0.30555555555555552</v>
      </c>
      <c r="BW96" s="58">
        <f t="shared" si="13"/>
        <v>0.30555555555555552</v>
      </c>
      <c r="BX96" s="58">
        <f t="shared" si="14"/>
        <v>0</v>
      </c>
    </row>
    <row r="97" spans="2:76" x14ac:dyDescent="0.25">
      <c r="B97" s="75" t="s">
        <v>662</v>
      </c>
      <c r="C97" s="58">
        <f>C63</f>
        <v>0.7432432432432432</v>
      </c>
      <c r="D97" s="58">
        <f>D63</f>
        <v>0.2567567567567568</v>
      </c>
      <c r="E97" s="58">
        <f>E63</f>
        <v>0</v>
      </c>
      <c r="F97" s="59">
        <f>F63</f>
        <v>0</v>
      </c>
      <c r="I97" s="75" t="s">
        <v>662</v>
      </c>
      <c r="J97" s="58">
        <f>J63</f>
        <v>0.7</v>
      </c>
      <c r="K97" s="58">
        <f>K63</f>
        <v>0.30000000000000004</v>
      </c>
      <c r="L97" s="58">
        <f>L63</f>
        <v>0</v>
      </c>
      <c r="M97" s="59">
        <f>M63</f>
        <v>0</v>
      </c>
      <c r="P97" s="75" t="s">
        <v>662</v>
      </c>
      <c r="Q97" s="58">
        <f>Q63</f>
        <v>0.7142857142857143</v>
      </c>
      <c r="R97" s="58">
        <f>R63</f>
        <v>0.2857142857142857</v>
      </c>
      <c r="S97" s="58">
        <f>S63</f>
        <v>0</v>
      </c>
      <c r="T97" s="59">
        <f>T63</f>
        <v>0</v>
      </c>
      <c r="W97" s="75" t="s">
        <v>662</v>
      </c>
      <c r="X97" s="58">
        <f>X63</f>
        <v>1</v>
      </c>
      <c r="Y97" s="58">
        <f>Y63</f>
        <v>0</v>
      </c>
      <c r="Z97" s="58">
        <f>Z63</f>
        <v>0</v>
      </c>
      <c r="AA97" s="59">
        <f>AA63</f>
        <v>0</v>
      </c>
      <c r="AD97" s="75" t="s">
        <v>662</v>
      </c>
      <c r="AE97" s="58">
        <f>AE63</f>
        <v>0.66666666666666663</v>
      </c>
      <c r="AF97" s="58">
        <f>AF63</f>
        <v>0.33333333333333331</v>
      </c>
      <c r="AG97" s="58">
        <f>AG63</f>
        <v>0</v>
      </c>
      <c r="AH97" s="59">
        <f>AH63</f>
        <v>0</v>
      </c>
      <c r="AK97" s="75" t="s">
        <v>662</v>
      </c>
      <c r="AL97" s="58">
        <f>AL63</f>
        <v>1</v>
      </c>
      <c r="AM97" s="58">
        <f>AM63</f>
        <v>0</v>
      </c>
      <c r="AN97" s="58">
        <f>AN63</f>
        <v>0</v>
      </c>
      <c r="AO97" s="59">
        <f>AO63</f>
        <v>0</v>
      </c>
      <c r="AR97" s="75" t="s">
        <v>662</v>
      </c>
      <c r="AS97" s="58">
        <f>AS63</f>
        <v>0.5</v>
      </c>
      <c r="AT97" s="58">
        <f>AT63</f>
        <v>0.5</v>
      </c>
      <c r="AU97" s="58">
        <f>AU63</f>
        <v>0</v>
      </c>
      <c r="AV97" s="59">
        <f>AV63</f>
        <v>0</v>
      </c>
      <c r="AY97" s="75" t="s">
        <v>662</v>
      </c>
      <c r="AZ97" s="58">
        <f>AZ63</f>
        <v>0.83333333333333326</v>
      </c>
      <c r="BA97" s="58">
        <f>BA63</f>
        <v>0.16666666666666666</v>
      </c>
      <c r="BB97" s="58">
        <f>BB63</f>
        <v>0</v>
      </c>
      <c r="BC97" s="59">
        <f>BC63</f>
        <v>0</v>
      </c>
      <c r="BF97" s="75" t="s">
        <v>662</v>
      </c>
      <c r="BG97" s="58">
        <f>BG63</f>
        <v>1</v>
      </c>
      <c r="BH97" s="58">
        <f>BH63</f>
        <v>0</v>
      </c>
      <c r="BI97" s="58">
        <f>BI63</f>
        <v>0</v>
      </c>
      <c r="BJ97" s="59">
        <f>BJ63</f>
        <v>0</v>
      </c>
      <c r="BM97" s="75" t="s">
        <v>662</v>
      </c>
      <c r="BN97" s="58">
        <f>BN63</f>
        <v>1</v>
      </c>
      <c r="BO97" s="58">
        <f>BO63</f>
        <v>0</v>
      </c>
      <c r="BP97" s="58">
        <f>BP63</f>
        <v>0</v>
      </c>
      <c r="BQ97" s="59">
        <f>BQ63</f>
        <v>0</v>
      </c>
      <c r="BT97" s="75" t="s">
        <v>662</v>
      </c>
      <c r="BU97" s="58">
        <f t="shared" si="11"/>
        <v>0.94444444444444431</v>
      </c>
      <c r="BV97" s="58">
        <f t="shared" si="12"/>
        <v>5.5555555555555552E-2</v>
      </c>
      <c r="BW97" s="58">
        <f t="shared" si="13"/>
        <v>0</v>
      </c>
      <c r="BX97" s="58">
        <f t="shared" si="14"/>
        <v>0</v>
      </c>
    </row>
    <row r="98" spans="2:76" x14ac:dyDescent="0.25">
      <c r="B98" s="75" t="s">
        <v>663</v>
      </c>
      <c r="C98" s="58">
        <f>C67</f>
        <v>0.41441441441441446</v>
      </c>
      <c r="D98" s="58">
        <f>D67</f>
        <v>0.56756756756756765</v>
      </c>
      <c r="E98" s="58">
        <f>E67</f>
        <v>1.8018018018018018E-2</v>
      </c>
      <c r="F98" s="59">
        <f>F67</f>
        <v>0</v>
      </c>
      <c r="I98" s="75" t="s">
        <v>663</v>
      </c>
      <c r="J98" s="58">
        <f>J67</f>
        <v>0.13333333333333333</v>
      </c>
      <c r="K98" s="58">
        <f>K67</f>
        <v>0.8666666666666667</v>
      </c>
      <c r="L98" s="58">
        <f>L67</f>
        <v>0</v>
      </c>
      <c r="M98" s="59">
        <f>M67</f>
        <v>0</v>
      </c>
      <c r="P98" s="75" t="s">
        <v>663</v>
      </c>
      <c r="Q98" s="58">
        <f>Q67</f>
        <v>0.19047619047619047</v>
      </c>
      <c r="R98" s="58">
        <f>R67</f>
        <v>0.80952380952380942</v>
      </c>
      <c r="S98" s="58">
        <f>S67</f>
        <v>0</v>
      </c>
      <c r="T98" s="59">
        <f>T67</f>
        <v>0</v>
      </c>
      <c r="W98" s="75" t="s">
        <v>663</v>
      </c>
      <c r="X98" s="58">
        <f>X67</f>
        <v>0.66666666666666663</v>
      </c>
      <c r="Y98" s="58">
        <f>Y67</f>
        <v>0.33333333333333331</v>
      </c>
      <c r="Z98" s="58">
        <f>Z67</f>
        <v>0</v>
      </c>
      <c r="AA98" s="59">
        <f>AA67</f>
        <v>0</v>
      </c>
      <c r="AD98" s="199" t="s">
        <v>663</v>
      </c>
      <c r="AE98" s="200">
        <f>AE67</f>
        <v>0.55555555555555547</v>
      </c>
      <c r="AF98" s="200">
        <f>AF67</f>
        <v>0.39999999999999997</v>
      </c>
      <c r="AG98" s="200">
        <f>AG67</f>
        <v>4.4444444444444446E-2</v>
      </c>
      <c r="AH98" s="201">
        <f>AH67</f>
        <v>0</v>
      </c>
      <c r="AK98" s="75" t="s">
        <v>663</v>
      </c>
      <c r="AL98" s="58">
        <f>AL67</f>
        <v>0</v>
      </c>
      <c r="AM98" s="58">
        <f>AM67</f>
        <v>1</v>
      </c>
      <c r="AN98" s="58">
        <f>AN67</f>
        <v>0</v>
      </c>
      <c r="AO98" s="59">
        <f>AO67</f>
        <v>0</v>
      </c>
      <c r="AR98" s="75" t="s">
        <v>663</v>
      </c>
      <c r="AS98" s="58">
        <f>AS67</f>
        <v>0.66666666666666663</v>
      </c>
      <c r="AT98" s="58">
        <f>AT67</f>
        <v>0.33333333333333331</v>
      </c>
      <c r="AU98" s="58">
        <f>AU67</f>
        <v>0</v>
      </c>
      <c r="AV98" s="59">
        <f>AV67</f>
        <v>0</v>
      </c>
      <c r="AY98" s="75" t="s">
        <v>663</v>
      </c>
      <c r="AZ98" s="58">
        <f>AZ67</f>
        <v>0.1111111111111111</v>
      </c>
      <c r="BA98" s="58">
        <f>BA67</f>
        <v>0.88888888888888884</v>
      </c>
      <c r="BB98" s="58">
        <f>BB67</f>
        <v>0</v>
      </c>
      <c r="BC98" s="59">
        <f>BC67</f>
        <v>0</v>
      </c>
      <c r="BF98" s="75" t="s">
        <v>663</v>
      </c>
      <c r="BG98" s="58">
        <f>BG67</f>
        <v>1</v>
      </c>
      <c r="BH98" s="58">
        <f>BH67</f>
        <v>0</v>
      </c>
      <c r="BI98" s="58">
        <f>BI67</f>
        <v>0</v>
      </c>
      <c r="BJ98" s="59">
        <f>BJ67</f>
        <v>0</v>
      </c>
      <c r="BM98" s="75" t="s">
        <v>663</v>
      </c>
      <c r="BN98" s="58">
        <f>BN67</f>
        <v>0.66666666666666663</v>
      </c>
      <c r="BO98" s="58">
        <f>BO67</f>
        <v>0.33333333333333331</v>
      </c>
      <c r="BP98" s="58">
        <f>BP67</f>
        <v>0</v>
      </c>
      <c r="BQ98" s="59">
        <f>BQ67</f>
        <v>0</v>
      </c>
      <c r="BT98" s="75" t="s">
        <v>663</v>
      </c>
      <c r="BU98" s="58">
        <f t="shared" si="11"/>
        <v>0.59259259259259256</v>
      </c>
      <c r="BV98" s="58">
        <f t="shared" si="12"/>
        <v>0.40740740740740738</v>
      </c>
      <c r="BW98" s="58">
        <f t="shared" si="13"/>
        <v>0</v>
      </c>
      <c r="BX98" s="58">
        <f t="shared" si="14"/>
        <v>0</v>
      </c>
    </row>
    <row r="99" spans="2:76" x14ac:dyDescent="0.25">
      <c r="B99" s="75" t="s">
        <v>617</v>
      </c>
      <c r="C99" s="58">
        <f>C70</f>
        <v>0.40540540540540543</v>
      </c>
      <c r="D99" s="58">
        <f>D70</f>
        <v>0.59459459459459463</v>
      </c>
      <c r="E99" s="58">
        <f>E70</f>
        <v>0</v>
      </c>
      <c r="F99" s="59">
        <f>F70</f>
        <v>0</v>
      </c>
      <c r="I99" s="75" t="s">
        <v>617</v>
      </c>
      <c r="J99" s="58">
        <f>J70</f>
        <v>0.2</v>
      </c>
      <c r="K99" s="58">
        <f>K70</f>
        <v>0.8</v>
      </c>
      <c r="L99" s="58">
        <f>L70</f>
        <v>0</v>
      </c>
      <c r="M99" s="59">
        <f>M70</f>
        <v>0</v>
      </c>
      <c r="P99" s="75" t="s">
        <v>617</v>
      </c>
      <c r="Q99" s="58">
        <f>Q70</f>
        <v>0.21428571428571427</v>
      </c>
      <c r="R99" s="58">
        <f>R70</f>
        <v>0.7857142857142857</v>
      </c>
      <c r="S99" s="58">
        <f>S70</f>
        <v>0</v>
      </c>
      <c r="T99" s="59">
        <f>T70</f>
        <v>0</v>
      </c>
      <c r="W99" s="75" t="s">
        <v>617</v>
      </c>
      <c r="X99" s="58">
        <f>X70</f>
        <v>1</v>
      </c>
      <c r="Y99" s="58">
        <f>Y70</f>
        <v>0</v>
      </c>
      <c r="Z99" s="58">
        <f>Z70</f>
        <v>0</v>
      </c>
      <c r="AA99" s="59">
        <f>AA70</f>
        <v>0</v>
      </c>
      <c r="AD99" s="75" t="s">
        <v>617</v>
      </c>
      <c r="AE99" s="58">
        <f>AE70</f>
        <v>0.43333333333333335</v>
      </c>
      <c r="AF99" s="58">
        <f>AF70</f>
        <v>0.56666666666666665</v>
      </c>
      <c r="AG99" s="58">
        <f>AG70</f>
        <v>0</v>
      </c>
      <c r="AH99" s="59">
        <f>AH70</f>
        <v>0</v>
      </c>
      <c r="AK99" s="75" t="s">
        <v>617</v>
      </c>
      <c r="AL99" s="58">
        <f>AL70</f>
        <v>0</v>
      </c>
      <c r="AM99" s="58">
        <f>AM70</f>
        <v>1</v>
      </c>
      <c r="AN99" s="58">
        <f>AN70</f>
        <v>0</v>
      </c>
      <c r="AO99" s="59">
        <f>AO70</f>
        <v>0</v>
      </c>
      <c r="AR99" s="75" t="s">
        <v>617</v>
      </c>
      <c r="AS99" s="58">
        <f>AS70</f>
        <v>0.5</v>
      </c>
      <c r="AT99" s="58">
        <f>AT70</f>
        <v>0.5</v>
      </c>
      <c r="AU99" s="58">
        <f>AU70</f>
        <v>0</v>
      </c>
      <c r="AV99" s="59">
        <f>AV70</f>
        <v>0</v>
      </c>
      <c r="AY99" s="75" t="s">
        <v>617</v>
      </c>
      <c r="AZ99" s="58">
        <f>AZ70</f>
        <v>0.33333333333333331</v>
      </c>
      <c r="BA99" s="58">
        <f>BA70</f>
        <v>0.66666666666666663</v>
      </c>
      <c r="BB99" s="58">
        <f>BB70</f>
        <v>0</v>
      </c>
      <c r="BC99" s="59">
        <f>BC70</f>
        <v>0</v>
      </c>
      <c r="BF99" s="75" t="s">
        <v>617</v>
      </c>
      <c r="BG99" s="58">
        <f>BG70</f>
        <v>0.75</v>
      </c>
      <c r="BH99" s="58">
        <f>BH70</f>
        <v>0.25</v>
      </c>
      <c r="BI99" s="58">
        <f>BI70</f>
        <v>0</v>
      </c>
      <c r="BJ99" s="59">
        <f>BJ70</f>
        <v>0</v>
      </c>
      <c r="BM99" s="75" t="s">
        <v>617</v>
      </c>
      <c r="BN99" s="58">
        <f>BN70</f>
        <v>1</v>
      </c>
      <c r="BO99" s="58">
        <f>BO70</f>
        <v>0</v>
      </c>
      <c r="BP99" s="58">
        <f>BP70</f>
        <v>0</v>
      </c>
      <c r="BQ99" s="59">
        <f>BQ70</f>
        <v>0</v>
      </c>
      <c r="BT99" s="75" t="s">
        <v>617</v>
      </c>
      <c r="BU99" s="58">
        <f t="shared" si="11"/>
        <v>0.69444444444444453</v>
      </c>
      <c r="BV99" s="58">
        <f t="shared" si="12"/>
        <v>0.30555555555555552</v>
      </c>
      <c r="BW99" s="58">
        <f t="shared" si="13"/>
        <v>0</v>
      </c>
      <c r="BX99" s="58">
        <f t="shared" si="14"/>
        <v>0</v>
      </c>
    </row>
    <row r="100" spans="2:76" x14ac:dyDescent="0.25">
      <c r="B100" s="75" t="s">
        <v>330</v>
      </c>
      <c r="C100" s="58">
        <f>C75</f>
        <v>0.39864864864864868</v>
      </c>
      <c r="D100" s="58">
        <f>D75</f>
        <v>0.52027027027027029</v>
      </c>
      <c r="E100" s="58">
        <f>E75</f>
        <v>8.1081081081081086E-2</v>
      </c>
      <c r="F100" s="59">
        <f>F75</f>
        <v>0</v>
      </c>
      <c r="I100" s="75" t="s">
        <v>330</v>
      </c>
      <c r="J100" s="58">
        <f>J75</f>
        <v>0.15000000000000002</v>
      </c>
      <c r="K100" s="58">
        <f>K75</f>
        <v>0.65</v>
      </c>
      <c r="L100" s="58">
        <f>L75</f>
        <v>0.2</v>
      </c>
      <c r="M100" s="59">
        <f>M75</f>
        <v>0</v>
      </c>
      <c r="P100" s="75" t="s">
        <v>330</v>
      </c>
      <c r="Q100" s="58">
        <f>Q75</f>
        <v>0.24999999999999997</v>
      </c>
      <c r="R100" s="58">
        <f>R75</f>
        <v>0.6071428571428571</v>
      </c>
      <c r="S100" s="58">
        <f>S75</f>
        <v>0.14285714285714285</v>
      </c>
      <c r="T100" s="59">
        <f>T75</f>
        <v>0</v>
      </c>
      <c r="W100" s="75" t="s">
        <v>330</v>
      </c>
      <c r="X100" s="58">
        <f>X75</f>
        <v>1</v>
      </c>
      <c r="Y100" s="58">
        <f>Y75</f>
        <v>0</v>
      </c>
      <c r="Z100" s="58">
        <f>Z75</f>
        <v>0</v>
      </c>
      <c r="AA100" s="59">
        <f>AA75</f>
        <v>0</v>
      </c>
      <c r="AD100" s="75" t="s">
        <v>330</v>
      </c>
      <c r="AE100" s="58">
        <f>AE75</f>
        <v>0.53333333333333333</v>
      </c>
      <c r="AF100" s="58">
        <f>AF75</f>
        <v>0.46666666666666667</v>
      </c>
      <c r="AG100" s="58">
        <f>AG75</f>
        <v>0</v>
      </c>
      <c r="AH100" s="59">
        <f>AH75</f>
        <v>0</v>
      </c>
      <c r="AK100" s="75" t="s">
        <v>330</v>
      </c>
      <c r="AL100" s="58">
        <f>AL75</f>
        <v>0</v>
      </c>
      <c r="AM100" s="58">
        <f>AM75</f>
        <v>0.5</v>
      </c>
      <c r="AN100" s="58">
        <f>AN75</f>
        <v>0.5</v>
      </c>
      <c r="AO100" s="59">
        <f>AO75</f>
        <v>0</v>
      </c>
      <c r="AR100" s="75" t="s">
        <v>330</v>
      </c>
      <c r="AS100" s="58">
        <f>AS75</f>
        <v>1</v>
      </c>
      <c r="AT100" s="58">
        <f>AT75</f>
        <v>0</v>
      </c>
      <c r="AU100" s="58">
        <f>AU75</f>
        <v>0</v>
      </c>
      <c r="AV100" s="59">
        <f>AV75</f>
        <v>0</v>
      </c>
      <c r="AY100" s="75" t="s">
        <v>330</v>
      </c>
      <c r="AZ100" s="58">
        <f>AZ75</f>
        <v>0.25</v>
      </c>
      <c r="BA100" s="58">
        <f>BA75</f>
        <v>0.58333333333333326</v>
      </c>
      <c r="BB100" s="58">
        <f>BB75</f>
        <v>0.16666666666666666</v>
      </c>
      <c r="BC100" s="59">
        <f>BC75</f>
        <v>0</v>
      </c>
      <c r="BF100" s="75" t="s">
        <v>330</v>
      </c>
      <c r="BG100" s="58">
        <f>BG75</f>
        <v>0.5</v>
      </c>
      <c r="BH100" s="58">
        <f>BH75</f>
        <v>0.5</v>
      </c>
      <c r="BI100" s="58">
        <f>BI75</f>
        <v>0</v>
      </c>
      <c r="BJ100" s="59">
        <f>BJ75</f>
        <v>0</v>
      </c>
      <c r="BM100" s="75" t="s">
        <v>330</v>
      </c>
      <c r="BN100" s="58">
        <f>BN75</f>
        <v>0.625</v>
      </c>
      <c r="BO100" s="58">
        <f>BO75</f>
        <v>0.375</v>
      </c>
      <c r="BP100" s="58">
        <f>BP75</f>
        <v>0</v>
      </c>
      <c r="BQ100" s="59">
        <f>BQ75</f>
        <v>0</v>
      </c>
      <c r="BT100" s="75" t="s">
        <v>330</v>
      </c>
      <c r="BU100" s="58">
        <f t="shared" si="11"/>
        <v>0.45833333333333331</v>
      </c>
      <c r="BV100" s="58">
        <f t="shared" si="12"/>
        <v>0.4861111111111111</v>
      </c>
      <c r="BW100" s="58">
        <f t="shared" si="13"/>
        <v>5.5555555555555552E-2</v>
      </c>
      <c r="BX100" s="58">
        <f t="shared" si="14"/>
        <v>0</v>
      </c>
    </row>
    <row r="101" spans="2:76" x14ac:dyDescent="0.25">
      <c r="B101" s="75" t="s">
        <v>1431</v>
      </c>
      <c r="C101" s="58">
        <f>C81</f>
        <v>0.38378378378378375</v>
      </c>
      <c r="D101" s="58">
        <f>D81</f>
        <v>0.61621621621621625</v>
      </c>
      <c r="E101" s="58">
        <f>E81</f>
        <v>0</v>
      </c>
      <c r="F101" s="59">
        <f>F81</f>
        <v>0</v>
      </c>
      <c r="I101" s="75" t="s">
        <v>68</v>
      </c>
      <c r="J101" s="58">
        <f>J81</f>
        <v>0.4</v>
      </c>
      <c r="K101" s="58">
        <f>K81</f>
        <v>0.6</v>
      </c>
      <c r="L101" s="58">
        <f>L81</f>
        <v>0</v>
      </c>
      <c r="M101" s="59">
        <f>M81</f>
        <v>0</v>
      </c>
      <c r="P101" s="75" t="s">
        <v>68</v>
      </c>
      <c r="Q101" s="58">
        <f>Q81</f>
        <v>0.34285714285714286</v>
      </c>
      <c r="R101" s="58">
        <f>R81</f>
        <v>0.65714285714285714</v>
      </c>
      <c r="S101" s="58">
        <f>S81</f>
        <v>0</v>
      </c>
      <c r="T101" s="59">
        <f>T81</f>
        <v>0</v>
      </c>
      <c r="W101" s="75" t="s">
        <v>68</v>
      </c>
      <c r="X101" s="58">
        <f>X81</f>
        <v>0.2</v>
      </c>
      <c r="Y101" s="58">
        <f>Y81</f>
        <v>0.8</v>
      </c>
      <c r="Z101" s="58">
        <f>Z81</f>
        <v>0</v>
      </c>
      <c r="AA101" s="59">
        <f>AA81</f>
        <v>0</v>
      </c>
      <c r="AD101" s="75" t="s">
        <v>68</v>
      </c>
      <c r="AE101" s="58">
        <f>AE81</f>
        <v>0.29333333333333333</v>
      </c>
      <c r="AF101" s="58">
        <f>AF81</f>
        <v>0.70666666666666667</v>
      </c>
      <c r="AG101" s="58">
        <f>AG81</f>
        <v>0</v>
      </c>
      <c r="AH101" s="59">
        <f>AH81</f>
        <v>0</v>
      </c>
      <c r="AK101" s="75" t="s">
        <v>68</v>
      </c>
      <c r="AL101" s="58">
        <f>AL81</f>
        <v>0.2</v>
      </c>
      <c r="AM101" s="58">
        <f>AM81</f>
        <v>0.8</v>
      </c>
      <c r="AN101" s="58">
        <f>AN81</f>
        <v>0</v>
      </c>
      <c r="AO101" s="59">
        <f>AO81</f>
        <v>0</v>
      </c>
      <c r="AR101" s="75" t="s">
        <v>68</v>
      </c>
      <c r="AS101" s="58">
        <f>AS81</f>
        <v>1</v>
      </c>
      <c r="AT101" s="58">
        <f>AT81</f>
        <v>0</v>
      </c>
      <c r="AU101" s="58">
        <f>AU81</f>
        <v>0</v>
      </c>
      <c r="AV101" s="59">
        <f>AV81</f>
        <v>0</v>
      </c>
      <c r="AY101" s="75" t="s">
        <v>68</v>
      </c>
      <c r="AZ101" s="58">
        <f>AZ81</f>
        <v>0.2</v>
      </c>
      <c r="BA101" s="58">
        <f>BA81</f>
        <v>0.79999999999999993</v>
      </c>
      <c r="BB101" s="58">
        <f>BB81</f>
        <v>0</v>
      </c>
      <c r="BC101" s="59">
        <f>BC81</f>
        <v>0</v>
      </c>
      <c r="BF101" s="75" t="s">
        <v>68</v>
      </c>
      <c r="BG101" s="58">
        <f>BG81</f>
        <v>0.7</v>
      </c>
      <c r="BH101" s="58">
        <f>BH81</f>
        <v>0.3</v>
      </c>
      <c r="BI101" s="58">
        <f>BI81</f>
        <v>0</v>
      </c>
      <c r="BJ101" s="59">
        <f>BJ81</f>
        <v>0</v>
      </c>
      <c r="BM101" s="75" t="s">
        <v>68</v>
      </c>
      <c r="BN101" s="58">
        <f>BN81</f>
        <v>1</v>
      </c>
      <c r="BO101" s="58">
        <f>BO81</f>
        <v>0</v>
      </c>
      <c r="BP101" s="58">
        <f>BP81</f>
        <v>0</v>
      </c>
      <c r="BQ101" s="59">
        <f>BQ81</f>
        <v>0</v>
      </c>
      <c r="BT101" s="75" t="s">
        <v>68</v>
      </c>
      <c r="BU101" s="58">
        <f t="shared" si="11"/>
        <v>0.6333333333333333</v>
      </c>
      <c r="BV101" s="58">
        <f t="shared" si="12"/>
        <v>0.36666666666666664</v>
      </c>
      <c r="BW101" s="58">
        <f t="shared" si="13"/>
        <v>0</v>
      </c>
      <c r="BX101" s="58">
        <f t="shared" si="14"/>
        <v>0</v>
      </c>
    </row>
    <row r="102" spans="2:76" ht="15.75" thickBot="1" x14ac:dyDescent="0.3">
      <c r="B102" s="76" t="s">
        <v>1432</v>
      </c>
      <c r="C102" s="77">
        <f>C86</f>
        <v>0.38513513513513514</v>
      </c>
      <c r="D102" s="77">
        <f>D86</f>
        <v>0.56756756756756754</v>
      </c>
      <c r="E102" s="77">
        <f>E86</f>
        <v>4.72972972972973E-2</v>
      </c>
      <c r="F102" s="78">
        <f>F86</f>
        <v>0</v>
      </c>
      <c r="I102" s="76" t="s">
        <v>68</v>
      </c>
      <c r="J102" s="77">
        <f>J86</f>
        <v>0.30000000000000004</v>
      </c>
      <c r="K102" s="77">
        <f>K86</f>
        <v>0.65</v>
      </c>
      <c r="L102" s="77">
        <f>L86</f>
        <v>0.05</v>
      </c>
      <c r="M102" s="78">
        <f>M86</f>
        <v>0</v>
      </c>
      <c r="P102" s="76" t="s">
        <v>68</v>
      </c>
      <c r="Q102" s="77">
        <f>Q86</f>
        <v>0.3214285714285714</v>
      </c>
      <c r="R102" s="77">
        <f>R86</f>
        <v>0.64285714285714279</v>
      </c>
      <c r="S102" s="77">
        <f>S86</f>
        <v>3.5714285714285712E-2</v>
      </c>
      <c r="T102" s="78">
        <f>T86</f>
        <v>0</v>
      </c>
      <c r="W102" s="76" t="s">
        <v>68</v>
      </c>
      <c r="X102" s="77">
        <f>X86</f>
        <v>0.25</v>
      </c>
      <c r="Y102" s="77">
        <f>Y86</f>
        <v>0.75</v>
      </c>
      <c r="Z102" s="77">
        <f>Z86</f>
        <v>0</v>
      </c>
      <c r="AA102" s="78">
        <f>AA86</f>
        <v>0</v>
      </c>
      <c r="AD102" s="76" t="s">
        <v>68</v>
      </c>
      <c r="AE102" s="77">
        <f>AE86</f>
        <v>0.41666666666666674</v>
      </c>
      <c r="AF102" s="77">
        <f>AF86</f>
        <v>0.51666666666666661</v>
      </c>
      <c r="AG102" s="77">
        <f>AG86</f>
        <v>6.6666666666666666E-2</v>
      </c>
      <c r="AH102" s="78">
        <f>AH86</f>
        <v>0</v>
      </c>
      <c r="AK102" s="76" t="s">
        <v>68</v>
      </c>
      <c r="AL102" s="77">
        <f>AL86</f>
        <v>0.25</v>
      </c>
      <c r="AM102" s="77">
        <f>AM86</f>
        <v>0.75</v>
      </c>
      <c r="AN102" s="77">
        <f>AN86</f>
        <v>0</v>
      </c>
      <c r="AO102" s="78">
        <f>AO86</f>
        <v>0</v>
      </c>
      <c r="AR102" s="76" t="s">
        <v>68</v>
      </c>
      <c r="AS102" s="77">
        <f>AS86</f>
        <v>0.75</v>
      </c>
      <c r="AT102" s="77">
        <f>AT86</f>
        <v>0.25</v>
      </c>
      <c r="AU102" s="77">
        <f>AU86</f>
        <v>0</v>
      </c>
      <c r="AV102" s="78">
        <f>AV86</f>
        <v>0</v>
      </c>
      <c r="AY102" s="76" t="s">
        <v>68</v>
      </c>
      <c r="AZ102" s="77">
        <f>AZ86</f>
        <v>0</v>
      </c>
      <c r="BA102" s="77">
        <f>BA86</f>
        <v>0.91666666666666663</v>
      </c>
      <c r="BB102" s="77">
        <f>BB86</f>
        <v>8.3333333333333329E-2</v>
      </c>
      <c r="BC102" s="78">
        <f>BC86</f>
        <v>0</v>
      </c>
      <c r="BF102" s="76" t="s">
        <v>68</v>
      </c>
      <c r="BG102" s="77">
        <f>BG86</f>
        <v>0.5</v>
      </c>
      <c r="BH102" s="77">
        <f>BH86</f>
        <v>0.5</v>
      </c>
      <c r="BI102" s="77">
        <f>BI86</f>
        <v>0</v>
      </c>
      <c r="BJ102" s="78">
        <f>BJ86</f>
        <v>0</v>
      </c>
      <c r="BM102" s="76" t="s">
        <v>68</v>
      </c>
      <c r="BN102" s="77">
        <f>BN86</f>
        <v>1</v>
      </c>
      <c r="BO102" s="77">
        <f>BO86</f>
        <v>0</v>
      </c>
      <c r="BP102" s="77">
        <f>BP86</f>
        <v>0</v>
      </c>
      <c r="BQ102" s="78">
        <f>BQ86</f>
        <v>0</v>
      </c>
      <c r="BT102" s="76" t="s">
        <v>68</v>
      </c>
      <c r="BU102" s="58">
        <f t="shared" si="11"/>
        <v>0.5</v>
      </c>
      <c r="BV102" s="58">
        <f t="shared" si="12"/>
        <v>0.47222222222222215</v>
      </c>
      <c r="BW102" s="58">
        <f t="shared" si="13"/>
        <v>2.7777777777777776E-2</v>
      </c>
      <c r="BX102" s="58">
        <f t="shared" si="14"/>
        <v>0</v>
      </c>
    </row>
    <row r="103" spans="2:76" x14ac:dyDescent="0.25">
      <c r="B103" s="79" t="s">
        <v>669</v>
      </c>
      <c r="C103" s="81">
        <f>SUM(C94:C102)</f>
        <v>3.9927927927927933</v>
      </c>
      <c r="D103" s="81">
        <f>SUM(D94:D102)</f>
        <v>4.6121621621621625</v>
      </c>
      <c r="E103" s="81">
        <f>SUM(E94:E102)</f>
        <v>0.39504504504504506</v>
      </c>
      <c r="F103" s="84">
        <f>SUM(F94:F102)</f>
        <v>0</v>
      </c>
      <c r="I103" s="79" t="s">
        <v>669</v>
      </c>
      <c r="J103" s="81">
        <f>SUM(J94:J102)</f>
        <v>2.7233333333333336</v>
      </c>
      <c r="K103" s="81">
        <f>SUM(K94:K102)</f>
        <v>5.5866666666666678</v>
      </c>
      <c r="L103" s="81">
        <f>SUM(L94:L102)</f>
        <v>0.69000000000000006</v>
      </c>
      <c r="M103" s="84">
        <f>SUM(M94:M102)</f>
        <v>0</v>
      </c>
      <c r="P103" s="79" t="s">
        <v>669</v>
      </c>
      <c r="Q103" s="81">
        <f>SUM(Q94:Q102)</f>
        <v>2.8619047619047615</v>
      </c>
      <c r="R103" s="81">
        <f>SUM(R94:R102)</f>
        <v>5.6452380952380956</v>
      </c>
      <c r="S103" s="81">
        <f>SUM(S94:S102)</f>
        <v>0.49285714285714283</v>
      </c>
      <c r="T103" s="84">
        <f>SUM(T94:T102)</f>
        <v>0</v>
      </c>
      <c r="W103" s="79" t="s">
        <v>669</v>
      </c>
      <c r="X103" s="81">
        <f>SUM(X94:X102)</f>
        <v>6.2166666666666668</v>
      </c>
      <c r="Y103" s="81">
        <f>SUM(Y94:Y102)</f>
        <v>2.7833333333333332</v>
      </c>
      <c r="Z103" s="81">
        <f>SUM(Z94:Z102)</f>
        <v>0</v>
      </c>
      <c r="AA103" s="84">
        <f>SUM(AA94:AA102)</f>
        <v>0</v>
      </c>
      <c r="AD103" s="79" t="s">
        <v>669</v>
      </c>
      <c r="AE103" s="81">
        <f>SUM(AE94:AE102)</f>
        <v>4.4988888888888887</v>
      </c>
      <c r="AF103" s="81">
        <f>SUM(AF94:AF102)</f>
        <v>4.2633333333333336</v>
      </c>
      <c r="AG103" s="81">
        <f>SUM(AG94:AG102)</f>
        <v>0.23777777777777781</v>
      </c>
      <c r="AH103" s="84">
        <f>SUM(AH94:AH102)</f>
        <v>0</v>
      </c>
      <c r="AK103" s="79" t="s">
        <v>669</v>
      </c>
      <c r="AL103" s="81">
        <f>SUM(AL94:AL102)</f>
        <v>2.15</v>
      </c>
      <c r="AM103" s="81">
        <f>SUM(AM94:AM102)</f>
        <v>6.35</v>
      </c>
      <c r="AN103" s="81">
        <f>SUM(AN94:AN102)</f>
        <v>0.5</v>
      </c>
      <c r="AO103" s="84">
        <f>SUM(AO94:AO102)</f>
        <v>0</v>
      </c>
      <c r="AR103" s="79" t="s">
        <v>669</v>
      </c>
      <c r="AS103" s="81">
        <f>SUM(AS94:AS102)</f>
        <v>6.3166666666666664</v>
      </c>
      <c r="AT103" s="81">
        <f>SUM(AT94:AT102)</f>
        <v>2.6833333333333336</v>
      </c>
      <c r="AU103" s="81">
        <f>SUM(AU94:AU102)</f>
        <v>0</v>
      </c>
      <c r="AV103" s="84">
        <f>SUM(AV94:AV102)</f>
        <v>0</v>
      </c>
      <c r="AY103" s="79" t="s">
        <v>669</v>
      </c>
      <c r="AZ103" s="81">
        <f>SUM(AZ94:AZ102)</f>
        <v>2.4611111111111112</v>
      </c>
      <c r="BA103" s="81">
        <f>SUM(BA94:BA102)</f>
        <v>5.5555555555555554</v>
      </c>
      <c r="BB103" s="81">
        <f>SUM(BB94:BB102)</f>
        <v>0.98333333333333328</v>
      </c>
      <c r="BC103" s="84">
        <f>SUM(BC94:BC102)</f>
        <v>0</v>
      </c>
      <c r="BF103" s="79" t="s">
        <v>669</v>
      </c>
      <c r="BG103" s="81">
        <f>SUM(BG94:BG102)</f>
        <v>6.4</v>
      </c>
      <c r="BH103" s="81">
        <f>SUM(BH94:BH102)</f>
        <v>2.5</v>
      </c>
      <c r="BI103" s="81">
        <f>SUM(BI94:BI102)</f>
        <v>0.1</v>
      </c>
      <c r="BJ103" s="84">
        <f>SUM(BJ94:BJ102)</f>
        <v>0</v>
      </c>
      <c r="BM103" s="79" t="s">
        <v>669</v>
      </c>
      <c r="BN103" s="81">
        <f>SUM(BN94:BN102)</f>
        <v>6.2416666666666671</v>
      </c>
      <c r="BO103" s="81">
        <f>SUM(BO94:BO102)</f>
        <v>2.5083333333333333</v>
      </c>
      <c r="BP103" s="81">
        <f>SUM(BP94:BP102)</f>
        <v>0.25</v>
      </c>
      <c r="BQ103" s="84">
        <f>SUM(BQ94:BQ102)</f>
        <v>0</v>
      </c>
      <c r="BT103" s="79" t="s">
        <v>669</v>
      </c>
      <c r="BU103" s="81">
        <f>SUM(BU94:BU102)</f>
        <v>5.0342592592592599</v>
      </c>
      <c r="BV103" s="81">
        <f>SUM(BV94:BV102)</f>
        <v>3.5212962962962964</v>
      </c>
      <c r="BW103" s="81">
        <f>SUM(BW94:BW102)</f>
        <v>0.44444444444444442</v>
      </c>
      <c r="BX103" s="84">
        <f>SUM(BX94:BX102)</f>
        <v>0</v>
      </c>
    </row>
    <row r="104" spans="2:76" ht="15.75" thickBot="1" x14ac:dyDescent="0.3">
      <c r="B104" s="80" t="s">
        <v>670</v>
      </c>
      <c r="C104" s="82">
        <f>AVERAGE(C94:C102)</f>
        <v>0.44364364364364373</v>
      </c>
      <c r="D104" s="82">
        <f>AVERAGE(D94:D102)</f>
        <v>0.51246246246246252</v>
      </c>
      <c r="E104" s="82">
        <f>AVERAGE(E94:E102)</f>
        <v>4.3893893893893893E-2</v>
      </c>
      <c r="F104" s="85">
        <f>AVERAGE(F94:F102)</f>
        <v>0</v>
      </c>
      <c r="I104" s="80" t="s">
        <v>670</v>
      </c>
      <c r="J104" s="82">
        <f>AVERAGE(J94:J102)</f>
        <v>0.30259259259259264</v>
      </c>
      <c r="K104" s="82">
        <f>AVERAGE(K94:K102)</f>
        <v>0.62074074074074082</v>
      </c>
      <c r="L104" s="82">
        <f>AVERAGE(L94:L102)</f>
        <v>7.6666666666666675E-2</v>
      </c>
      <c r="M104" s="85">
        <f>AVERAGE(M94:M102)</f>
        <v>0</v>
      </c>
      <c r="P104" s="80" t="s">
        <v>670</v>
      </c>
      <c r="Q104" s="82">
        <f>AVERAGE(Q94:Q102)</f>
        <v>0.31798941798941793</v>
      </c>
      <c r="R104" s="82">
        <f>AVERAGE(R94:R102)</f>
        <v>0.62724867724867728</v>
      </c>
      <c r="S104" s="82">
        <f>AVERAGE(S94:S102)</f>
        <v>5.4761904761904762E-2</v>
      </c>
      <c r="T104" s="85">
        <f>AVERAGE(T94:T102)</f>
        <v>0</v>
      </c>
      <c r="W104" s="80" t="s">
        <v>670</v>
      </c>
      <c r="X104" s="82">
        <f>AVERAGE(X94:X102)</f>
        <v>0.69074074074074077</v>
      </c>
      <c r="Y104" s="82">
        <f>AVERAGE(Y94:Y102)</f>
        <v>0.30925925925925923</v>
      </c>
      <c r="Z104" s="82">
        <f>AVERAGE(Z94:Z102)</f>
        <v>0</v>
      </c>
      <c r="AA104" s="85">
        <f>AVERAGE(AA94:AA102)</f>
        <v>0</v>
      </c>
      <c r="AD104" s="80" t="s">
        <v>670</v>
      </c>
      <c r="AE104" s="82">
        <f>AVERAGE(AE94:AE102)</f>
        <v>0.49987654320987651</v>
      </c>
      <c r="AF104" s="82">
        <f>AVERAGE(AF94:AF102)</f>
        <v>0.47370370370370374</v>
      </c>
      <c r="AG104" s="82">
        <f>AVERAGE(AG94:AG102)</f>
        <v>2.6419753086419757E-2</v>
      </c>
      <c r="AH104" s="85">
        <f>AVERAGE(AH94:AH102)</f>
        <v>0</v>
      </c>
      <c r="AK104" s="80" t="s">
        <v>670</v>
      </c>
      <c r="AL104" s="82">
        <f>AVERAGE(AL94:AL102)</f>
        <v>0.23888888888888887</v>
      </c>
      <c r="AM104" s="82">
        <f>AVERAGE(AM94:AM102)</f>
        <v>0.70555555555555549</v>
      </c>
      <c r="AN104" s="82">
        <f>AVERAGE(AN94:AN102)</f>
        <v>5.5555555555555552E-2</v>
      </c>
      <c r="AO104" s="85">
        <f>AVERAGE(AO94:AO102)</f>
        <v>0</v>
      </c>
      <c r="AR104" s="80" t="s">
        <v>670</v>
      </c>
      <c r="AS104" s="82">
        <f>AVERAGE(AS94:AS102)</f>
        <v>0.70185185185185184</v>
      </c>
      <c r="AT104" s="82">
        <f>AVERAGE(AT94:AT102)</f>
        <v>0.29814814814814816</v>
      </c>
      <c r="AU104" s="82">
        <f>AVERAGE(AU94:AU102)</f>
        <v>0</v>
      </c>
      <c r="AV104" s="85">
        <f>AVERAGE(AV94:AV102)</f>
        <v>0</v>
      </c>
      <c r="AY104" s="80" t="s">
        <v>670</v>
      </c>
      <c r="AZ104" s="82">
        <f>AVERAGE(AZ94:AZ102)</f>
        <v>0.27345679012345681</v>
      </c>
      <c r="BA104" s="82">
        <f>AVERAGE(BA94:BA102)</f>
        <v>0.61728395061728392</v>
      </c>
      <c r="BB104" s="82">
        <f>AVERAGE(BB94:BB102)</f>
        <v>0.10925925925925925</v>
      </c>
      <c r="BC104" s="85">
        <f>AVERAGE(BC94:BC102)</f>
        <v>0</v>
      </c>
      <c r="BF104" s="80" t="s">
        <v>670</v>
      </c>
      <c r="BG104" s="82">
        <f>AVERAGE(BG94:BG102)</f>
        <v>0.71111111111111114</v>
      </c>
      <c r="BH104" s="82">
        <f>AVERAGE(BH94:BH102)</f>
        <v>0.27777777777777779</v>
      </c>
      <c r="BI104" s="82">
        <f>AVERAGE(BI94:BI102)</f>
        <v>1.1111111111111112E-2</v>
      </c>
      <c r="BJ104" s="85">
        <f>AVERAGE(BJ94:BJ102)</f>
        <v>0</v>
      </c>
      <c r="BM104" s="80" t="s">
        <v>670</v>
      </c>
      <c r="BN104" s="82">
        <f>AVERAGE(BN94:BN102)</f>
        <v>0.69351851851851853</v>
      </c>
      <c r="BO104" s="82">
        <f>AVERAGE(BO94:BO102)</f>
        <v>0.27870370370370368</v>
      </c>
      <c r="BP104" s="82">
        <f>AVERAGE(BP94:BP102)</f>
        <v>2.7777777777777776E-2</v>
      </c>
      <c r="BQ104" s="85">
        <f>AVERAGE(BQ94:BQ102)</f>
        <v>0</v>
      </c>
      <c r="BT104" s="80" t="s">
        <v>670</v>
      </c>
      <c r="BU104" s="82">
        <f>AVERAGE(BU94:BU102)</f>
        <v>0.55936213991769557</v>
      </c>
      <c r="BV104" s="82">
        <f>AVERAGE(BV94:BV102)</f>
        <v>0.39125514403292183</v>
      </c>
      <c r="BW104" s="82">
        <f>AVERAGE(BW94:BW102)</f>
        <v>4.9382716049382713E-2</v>
      </c>
      <c r="BX104" s="85">
        <f>AVERAGE(BX94:BX102)</f>
        <v>0</v>
      </c>
    </row>
    <row r="106" spans="2:76" ht="23.25" x14ac:dyDescent="0.35">
      <c r="B106" s="63" t="s">
        <v>674</v>
      </c>
    </row>
    <row r="107" spans="2:76" ht="15.75" thickBot="1" x14ac:dyDescent="0.3"/>
    <row r="108" spans="2:76" ht="17.25" thickBot="1" x14ac:dyDescent="0.3">
      <c r="B108" s="64" t="s">
        <v>66</v>
      </c>
      <c r="C108" s="86" t="s">
        <v>141</v>
      </c>
    </row>
    <row r="109" spans="2:76" ht="17.25" thickBot="1" x14ac:dyDescent="0.3">
      <c r="B109" s="64" t="s">
        <v>647</v>
      </c>
      <c r="C109" s="65">
        <f>C46</f>
        <v>2020</v>
      </c>
    </row>
    <row r="110" spans="2:76" ht="17.25" thickBot="1" x14ac:dyDescent="0.3">
      <c r="B110" s="64" t="s">
        <v>646</v>
      </c>
      <c r="C110" s="65">
        <f>COUNTIFS(TblUniv20196[th lulus],C109,TblUniv20196[Program Pendidikan],C108)</f>
        <v>32</v>
      </c>
    </row>
    <row r="111" spans="2:76" ht="16.5" x14ac:dyDescent="0.3">
      <c r="B111" s="55"/>
      <c r="C111" s="56" t="s">
        <v>69</v>
      </c>
      <c r="D111" s="56" t="s">
        <v>1</v>
      </c>
      <c r="E111" s="56" t="s">
        <v>75</v>
      </c>
      <c r="F111" s="56" t="s">
        <v>168</v>
      </c>
      <c r="G111" s="56"/>
    </row>
    <row r="112" spans="2:76" ht="16.5" x14ac:dyDescent="0.3">
      <c r="B112" s="57" t="s">
        <v>26</v>
      </c>
      <c r="C112" s="66">
        <f>COUNTIFS(TblUniv20196[B1],C$48,TblUniv20196[Program Pendidikan],$C$108)/$C$110*100%</f>
        <v>0.5625</v>
      </c>
      <c r="D112" s="66">
        <f>COUNTIFS(TblUniv20196[B1],D$48,TblUniv20196[Program Pendidikan],$C$108)/$C$110*100%</f>
        <v>0.4375</v>
      </c>
      <c r="E112" s="66">
        <f>COUNTIFS(TblUniv20196[B1],E$48,TblUniv20196[Program Pendidikan],$C$108)/$C$110*100%</f>
        <v>0</v>
      </c>
      <c r="F112" s="66">
        <f>COUNTIFS(TblUniv20196[B1],F$48,TblUniv20196[Program Pendidikan],$C$108)/$C$110*100%</f>
        <v>0</v>
      </c>
      <c r="G112" s="62">
        <f t="shared" ref="G112:G149" si="15">SUM(C112:F112)</f>
        <v>1</v>
      </c>
    </row>
    <row r="113" spans="2:7" ht="16.5" x14ac:dyDescent="0.3">
      <c r="B113" s="57" t="s">
        <v>27</v>
      </c>
      <c r="C113" s="66">
        <f>COUNTIFS(TblUniv20196[B2],C$48,TblUniv20196[Program Pendidikan],$C$108)/$C$110*100%</f>
        <v>0.375</v>
      </c>
      <c r="D113" s="66">
        <f>COUNTIFS(TblUniv20196[B2],D$48,TblUniv20196[Program Pendidikan],$C$108)/$C$110*100%</f>
        <v>0.59375</v>
      </c>
      <c r="E113" s="66">
        <f>COUNTIFS(TblUniv20196[B2],E$48,TblUniv20196[Program Pendidikan],$C$108)/$C$110*100%</f>
        <v>3.125E-2</v>
      </c>
      <c r="F113" s="66">
        <f>COUNTIFS(TblUniv20196[B2],F$48,TblUniv20196[Program Pendidikan],$C$108)/$C$110*100%</f>
        <v>0</v>
      </c>
      <c r="G113" s="62">
        <f t="shared" si="15"/>
        <v>1</v>
      </c>
    </row>
    <row r="114" spans="2:7" ht="16.5" x14ac:dyDescent="0.3">
      <c r="B114" s="57" t="s">
        <v>28</v>
      </c>
      <c r="C114" s="66">
        <f>COUNTIFS(TblUniv20196[B3],C$48,TblUniv20196[Program Pendidikan],$C$108)/$C$110*100%</f>
        <v>0.3125</v>
      </c>
      <c r="D114" s="66">
        <f>COUNTIFS(TblUniv20196[B3],D$48,TblUniv20196[Program Pendidikan],$C$108)/$C$110*100%</f>
        <v>0.625</v>
      </c>
      <c r="E114" s="66">
        <f>COUNTIFS(TblUniv20196[B3],E$48,TblUniv20196[Program Pendidikan],$C$108)/$C$110*100%</f>
        <v>6.25E-2</v>
      </c>
      <c r="F114" s="66">
        <f>COUNTIFS(TblUniv20196[B3],F$48,TblUniv20196[Program Pendidikan],$C$108)/$C$110*100%</f>
        <v>0</v>
      </c>
      <c r="G114" s="62">
        <f t="shared" si="15"/>
        <v>1</v>
      </c>
    </row>
    <row r="115" spans="2:7" ht="16.5" x14ac:dyDescent="0.3">
      <c r="B115" s="57" t="s">
        <v>29</v>
      </c>
      <c r="C115" s="66">
        <f>COUNTIFS(TblUniv20196[B4],C$48,TblUniv20196[Program Pendidikan],$C$108)/$C$110*100%</f>
        <v>0.3125</v>
      </c>
      <c r="D115" s="66">
        <f>COUNTIFS(TblUniv20196[B4],D$48,TblUniv20196[Program Pendidikan],$C$108)/$C$110*100%</f>
        <v>0.625</v>
      </c>
      <c r="E115" s="66">
        <f>COUNTIFS(TblUniv20196[B4],E$48,TblUniv20196[Program Pendidikan],$C$108)/$C$110*100%</f>
        <v>6.25E-2</v>
      </c>
      <c r="F115" s="66">
        <f>COUNTIFS(TblUniv20196[B4],F$48,TblUniv20196[Program Pendidikan],$C$108)/$C$110*100%</f>
        <v>0</v>
      </c>
      <c r="G115" s="62">
        <f t="shared" si="15"/>
        <v>1</v>
      </c>
    </row>
    <row r="116" spans="2:7" ht="16.5" x14ac:dyDescent="0.3">
      <c r="B116" s="57" t="s">
        <v>30</v>
      </c>
      <c r="C116" s="66">
        <f>COUNTIFS(TblUniv20196[B5],C$48,TblUniv20196[Program Pendidikan],$C$108)/$C$110*100%</f>
        <v>0.34375</v>
      </c>
      <c r="D116" s="66">
        <f>COUNTIFS(TblUniv20196[B5],D$48,TblUniv20196[Program Pendidikan],$C$108)/$C$110*100%</f>
        <v>0.65625</v>
      </c>
      <c r="E116" s="66">
        <f>COUNTIFS(TblUniv20196[B5],E$48,TblUniv20196[Program Pendidikan],$C$108)/$C$110*100%</f>
        <v>0</v>
      </c>
      <c r="F116" s="66">
        <f>COUNTIFS(TblUniv20196[B5],F$48,TblUniv20196[Program Pendidikan],$C$108)/$C$110*100%</f>
        <v>0</v>
      </c>
      <c r="G116" s="62">
        <f t="shared" si="15"/>
        <v>1</v>
      </c>
    </row>
    <row r="117" spans="2:7" ht="16.5" x14ac:dyDescent="0.3">
      <c r="B117" s="60"/>
      <c r="C117" s="61">
        <f>AVERAGE(C112:C116)</f>
        <v>0.38124999999999998</v>
      </c>
      <c r="D117" s="61">
        <f>AVERAGE(D112:D116)</f>
        <v>0.58750000000000002</v>
      </c>
      <c r="E117" s="61">
        <f>AVERAGE(E112:E116)</f>
        <v>3.125E-2</v>
      </c>
      <c r="F117" s="61">
        <f>AVERAGE(F112:F116)</f>
        <v>0</v>
      </c>
      <c r="G117" s="62">
        <f t="shared" si="15"/>
        <v>1</v>
      </c>
    </row>
    <row r="118" spans="2:7" ht="16.5" x14ac:dyDescent="0.3">
      <c r="B118" s="57" t="s">
        <v>31</v>
      </c>
      <c r="C118" s="66">
        <f>COUNTIFS(TblUniv20196[C1],C$48,TblUniv20196[Program Pendidikan],$C$108)/$C$110*100%</f>
        <v>0.65625</v>
      </c>
      <c r="D118" s="66">
        <f>COUNTIFS(TblUniv20196[C1],D$48,TblUniv20196[Program Pendidikan],$C$108)/$C$110*100%</f>
        <v>0.34375</v>
      </c>
      <c r="E118" s="66">
        <f>COUNTIFS(TblUniv20196[C1],E$48,TblUniv20196[Program Pendidikan],$C$108)/$C$110*100%</f>
        <v>0</v>
      </c>
      <c r="F118" s="66">
        <f>COUNTIFS(TblUniv20196[C1],F$48,TblUniv20196[Program Pendidikan],$C$108)/$C$110*100%</f>
        <v>0</v>
      </c>
      <c r="G118" s="62">
        <f t="shared" si="15"/>
        <v>1</v>
      </c>
    </row>
    <row r="119" spans="2:7" ht="16.5" x14ac:dyDescent="0.3">
      <c r="B119" s="57" t="s">
        <v>32</v>
      </c>
      <c r="C119" s="66">
        <f>COUNTIFS(TblUniv20196[C2],C$48,TblUniv20196[Program Pendidikan],$C$108)/$C$110*100%</f>
        <v>0.375</v>
      </c>
      <c r="D119" s="66">
        <f>COUNTIFS(TblUniv20196[C2],D$48,TblUniv20196[Program Pendidikan],$C$108)/$C$110*100%</f>
        <v>0.625</v>
      </c>
      <c r="E119" s="66">
        <f>COUNTIFS(TblUniv20196[C2],E$48,TblUniv20196[Program Pendidikan],$C$108)/$C$110*100%</f>
        <v>0</v>
      </c>
      <c r="F119" s="66">
        <f>COUNTIFS(TblUniv20196[C2],F$48,TblUniv20196[Program Pendidikan],$C$108)/$C$110*100%</f>
        <v>0</v>
      </c>
      <c r="G119" s="62">
        <f t="shared" si="15"/>
        <v>1</v>
      </c>
    </row>
    <row r="120" spans="2:7" ht="16.5" x14ac:dyDescent="0.3">
      <c r="B120" s="60"/>
      <c r="C120" s="61">
        <f>AVERAGE(C118:C119)</f>
        <v>0.515625</v>
      </c>
      <c r="D120" s="61">
        <f>AVERAGE(D118:D119)</f>
        <v>0.484375</v>
      </c>
      <c r="E120" s="61">
        <f>AVERAGE(E118:E119)</f>
        <v>0</v>
      </c>
      <c r="F120" s="61">
        <f>AVERAGE(F118:F119)</f>
        <v>0</v>
      </c>
      <c r="G120" s="62">
        <f t="shared" si="15"/>
        <v>1</v>
      </c>
    </row>
    <row r="121" spans="2:7" ht="16.5" x14ac:dyDescent="0.3">
      <c r="B121" s="57" t="s">
        <v>33</v>
      </c>
      <c r="C121" s="66">
        <f>COUNTIFS(TblUniv20196[D1],C$48,TblUniv20196[Program Pendidikan],$C$108)/$C$110*100%</f>
        <v>0.5625</v>
      </c>
      <c r="D121" s="66">
        <f>COUNTIFS(TblUniv20196[D1],D$48,TblUniv20196[Program Pendidikan],$C$108)/$C$110*100%</f>
        <v>0.25</v>
      </c>
      <c r="E121" s="66">
        <f>COUNTIFS(TblUniv20196[D1],E$48,TblUniv20196[Program Pendidikan],$C$108)/$C$110*100%</f>
        <v>0.1875</v>
      </c>
      <c r="F121" s="66">
        <f>COUNTIFS(TblUniv20196[D1],F$48,TblUniv20196[Program Pendidikan],$C$108)/$C$110*100%</f>
        <v>0</v>
      </c>
      <c r="G121" s="62">
        <f t="shared" si="15"/>
        <v>1</v>
      </c>
    </row>
    <row r="122" spans="2:7" ht="16.5" x14ac:dyDescent="0.3">
      <c r="B122" s="57" t="s">
        <v>34</v>
      </c>
      <c r="C122" s="66">
        <f>COUNTIFS(TblUniv20196[D2],C$48,TblUniv20196[Program Pendidikan],$C$108)/$C$110*100%</f>
        <v>0.25</v>
      </c>
      <c r="D122" s="66">
        <f>COUNTIFS(TblUniv20196[D2],D$48,TblUniv20196[Program Pendidikan],$C$108)/$C$110*100%</f>
        <v>0.5625</v>
      </c>
      <c r="E122" s="66">
        <f>COUNTIFS(TblUniv20196[D2],E$48,TblUniv20196[Program Pendidikan],$C$108)/$C$110*100%</f>
        <v>0.1875</v>
      </c>
      <c r="F122" s="66">
        <f>COUNTIFS(TblUniv20196[D2],F$48,TblUniv20196[Program Pendidikan],$C$108)/$C$110*100%</f>
        <v>0</v>
      </c>
      <c r="G122" s="62">
        <f t="shared" si="15"/>
        <v>1</v>
      </c>
    </row>
    <row r="123" spans="2:7" ht="16.5" x14ac:dyDescent="0.3">
      <c r="B123" s="60"/>
      <c r="C123" s="61">
        <f>AVERAGE(C121:C122)</f>
        <v>0.40625</v>
      </c>
      <c r="D123" s="61">
        <f>AVERAGE(D121:D122)</f>
        <v>0.40625</v>
      </c>
      <c r="E123" s="61">
        <f>AVERAGE(E121:E122)</f>
        <v>0.1875</v>
      </c>
      <c r="F123" s="61">
        <f>AVERAGE(F121:F122)</f>
        <v>0</v>
      </c>
      <c r="G123" s="62">
        <f t="shared" si="15"/>
        <v>1</v>
      </c>
    </row>
    <row r="124" spans="2:7" ht="16.5" x14ac:dyDescent="0.3">
      <c r="B124" s="57" t="s">
        <v>35</v>
      </c>
      <c r="C124" s="66">
        <f>COUNTIFS(TblUniv20196[E1],C$48,TblUniv20196[Program Pendidikan],$C$108)/$C$110*100%</f>
        <v>0.71875</v>
      </c>
      <c r="D124" s="66">
        <f>COUNTIFS(TblUniv20196[E1],D$48,TblUniv20196[Program Pendidikan],$C$108)/$C$110*100%</f>
        <v>0.28125</v>
      </c>
      <c r="E124" s="66">
        <f>COUNTIFS(TblUniv20196[E1],E$48,TblUniv20196[Program Pendidikan],$C$108)/$C$110*100%</f>
        <v>0</v>
      </c>
      <c r="F124" s="66">
        <f>COUNTIFS(TblUniv20196[E1],F$48,TblUniv20196[Program Pendidikan],$C$108)/$C$110*100%</f>
        <v>0</v>
      </c>
      <c r="G124" s="62">
        <f t="shared" si="15"/>
        <v>1</v>
      </c>
    </row>
    <row r="125" spans="2:7" ht="16.5" x14ac:dyDescent="0.3">
      <c r="B125" s="57" t="s">
        <v>36</v>
      </c>
      <c r="C125" s="66">
        <f>COUNTIFS(TblUniv20196[E2],C$48,TblUniv20196[Program Pendidikan],$C$108)/$C$110*100%</f>
        <v>0.71875</v>
      </c>
      <c r="D125" s="66">
        <f>COUNTIFS(TblUniv20196[E2],D$48,TblUniv20196[Program Pendidikan],$C$108)/$C$110*100%</f>
        <v>0.28125</v>
      </c>
      <c r="E125" s="66">
        <f>COUNTIFS(TblUniv20196[E2],E$48,TblUniv20196[Program Pendidikan],$C$108)/$C$110*100%</f>
        <v>0</v>
      </c>
      <c r="F125" s="66">
        <f>COUNTIFS(TblUniv20196[E2],F$48,TblUniv20196[Program Pendidikan],$C$108)/$C$110*100%</f>
        <v>0</v>
      </c>
      <c r="G125" s="62">
        <f t="shared" si="15"/>
        <v>1</v>
      </c>
    </row>
    <row r="126" spans="2:7" ht="16.5" x14ac:dyDescent="0.3">
      <c r="B126" s="60"/>
      <c r="C126" s="61">
        <f>AVERAGE(C124:C125)</f>
        <v>0.71875</v>
      </c>
      <c r="D126" s="61">
        <f>AVERAGE(D124:D125)</f>
        <v>0.28125</v>
      </c>
      <c r="E126" s="61">
        <f>AVERAGE(E124:E125)</f>
        <v>0</v>
      </c>
      <c r="F126" s="61">
        <f>AVERAGE(F124:F125)</f>
        <v>0</v>
      </c>
      <c r="G126" s="62">
        <f t="shared" si="15"/>
        <v>1</v>
      </c>
    </row>
    <row r="127" spans="2:7" ht="16.5" x14ac:dyDescent="0.3">
      <c r="B127" s="57" t="s">
        <v>37</v>
      </c>
      <c r="C127" s="66">
        <f>COUNTIFS(TblUniv20196[F1],C$48,TblUniv20196[Program Pendidikan],$C$108)/$C$110*100%</f>
        <v>0.53125</v>
      </c>
      <c r="D127" s="66">
        <f>COUNTIFS(TblUniv20196[F1],D$48,TblUniv20196[Program Pendidikan],$C$108)/$C$110*100%</f>
        <v>0.46875</v>
      </c>
      <c r="E127" s="66">
        <f>COUNTIFS(TblUniv20196[F1],E$48,TblUniv20196[Program Pendidikan],$C$108)/$C$110*100%</f>
        <v>0</v>
      </c>
      <c r="F127" s="66">
        <f>COUNTIFS(TblUniv20196[F1],F$48,TblUniv20196[Program Pendidikan],$C$108)/$C$110*100%</f>
        <v>0</v>
      </c>
      <c r="G127" s="62">
        <f t="shared" si="15"/>
        <v>1</v>
      </c>
    </row>
    <row r="128" spans="2:7" ht="16.5" x14ac:dyDescent="0.3">
      <c r="B128" s="57" t="s">
        <v>38</v>
      </c>
      <c r="C128" s="66">
        <f>COUNTIFS(TblUniv20196[F2],C$48,TblUniv20196[Program Pendidikan],$C$108)/$C$110*100%</f>
        <v>0.3125</v>
      </c>
      <c r="D128" s="66">
        <f>COUNTIFS(TblUniv20196[F2],D$48,TblUniv20196[Program Pendidikan],$C$108)/$C$110*100%</f>
        <v>0.65625</v>
      </c>
      <c r="E128" s="66">
        <f>COUNTIFS(TblUniv20196[F2],E$48,TblUniv20196[Program Pendidikan],$C$108)/$C$110*100%</f>
        <v>3.125E-2</v>
      </c>
      <c r="F128" s="66">
        <f>COUNTIFS(TblUniv20196[F2],F$48,TblUniv20196[Program Pendidikan],$C$108)/$C$110*100%</f>
        <v>0</v>
      </c>
      <c r="G128" s="62">
        <f t="shared" si="15"/>
        <v>1</v>
      </c>
    </row>
    <row r="129" spans="2:7" ht="16.5" x14ac:dyDescent="0.3">
      <c r="B129" s="57" t="s">
        <v>39</v>
      </c>
      <c r="C129" s="66">
        <f>COUNTIFS(TblUniv20196[F3],C$48,TblUniv20196[Program Pendidikan],$C$108)/$C$110*100%</f>
        <v>0.5</v>
      </c>
      <c r="D129" s="66">
        <f>COUNTIFS(TblUniv20196[F3],D$48,TblUniv20196[Program Pendidikan],$C$108)/$C$110*100%</f>
        <v>0.46875</v>
      </c>
      <c r="E129" s="66">
        <f>COUNTIFS(TblUniv20196[F3],E$48,TblUniv20196[Program Pendidikan],$C$108)/$C$110*100%</f>
        <v>3.125E-2</v>
      </c>
      <c r="F129" s="66">
        <f>COUNTIFS(TblUniv20196[F3],F$48,TblUniv20196[Program Pendidikan],$C$108)/$C$110*100%</f>
        <v>0</v>
      </c>
      <c r="G129" s="62">
        <f t="shared" si="15"/>
        <v>1</v>
      </c>
    </row>
    <row r="130" spans="2:7" ht="16.5" x14ac:dyDescent="0.3">
      <c r="B130" s="60"/>
      <c r="C130" s="61">
        <f>AVERAGE(C127:C129)</f>
        <v>0.44791666666666669</v>
      </c>
      <c r="D130" s="61">
        <f>AVERAGE(D127:D129)</f>
        <v>0.53125</v>
      </c>
      <c r="E130" s="61">
        <f>AVERAGE(E127:E129)</f>
        <v>2.0833333333333332E-2</v>
      </c>
      <c r="F130" s="61">
        <f>AVERAGE(F127:F129)</f>
        <v>0</v>
      </c>
      <c r="G130" s="62">
        <f t="shared" si="15"/>
        <v>1</v>
      </c>
    </row>
    <row r="131" spans="2:7" ht="16.5" x14ac:dyDescent="0.3">
      <c r="B131" s="57" t="s">
        <v>40</v>
      </c>
      <c r="C131" s="66">
        <f>COUNTIFS(TblUniv20196[G1],C$48,TblUniv20196[Program Pendidikan],$C$108)/$C$110*100%</f>
        <v>0.4375</v>
      </c>
      <c r="D131" s="66">
        <f>COUNTIFS(TblUniv20196[G1],D$48,TblUniv20196[Program Pendidikan],$C$108)/$C$110*100%</f>
        <v>0.5625</v>
      </c>
      <c r="E131" s="66">
        <f>COUNTIFS(TblUniv20196[G1],E$48,TblUniv20196[Program Pendidikan],$C$108)/$C$110*100%</f>
        <v>0</v>
      </c>
      <c r="F131" s="66">
        <f>COUNTIFS(TblUniv20196[G1],F$48,TblUniv20196[Program Pendidikan],$C$108)/$C$110*100%</f>
        <v>0</v>
      </c>
      <c r="G131" s="62">
        <f t="shared" si="15"/>
        <v>1</v>
      </c>
    </row>
    <row r="132" spans="2:7" ht="16.5" x14ac:dyDescent="0.3">
      <c r="B132" s="57" t="s">
        <v>41</v>
      </c>
      <c r="C132" s="66">
        <f>COUNTIFS(TblUniv20196[G2],C$48,TblUniv20196[Program Pendidikan],$C$108)/$C$110*100%</f>
        <v>0.375</v>
      </c>
      <c r="D132" s="66">
        <f>COUNTIFS(TblUniv20196[G2],D$48,TblUniv20196[Program Pendidikan],$C$108)/$C$110*100%</f>
        <v>0.625</v>
      </c>
      <c r="E132" s="66">
        <f>COUNTIFS(TblUniv20196[G2],E$48,TblUniv20196[Program Pendidikan],$C$108)/$C$110*100%</f>
        <v>0</v>
      </c>
      <c r="F132" s="66">
        <f>COUNTIFS(TblUniv20196[G2],F$48,TblUniv20196[Program Pendidikan],$C$108)/$C$110*100%</f>
        <v>0</v>
      </c>
      <c r="G132" s="62">
        <f t="shared" si="15"/>
        <v>1</v>
      </c>
    </row>
    <row r="133" spans="2:7" ht="16.5" x14ac:dyDescent="0.3">
      <c r="B133" s="60"/>
      <c r="C133" s="61">
        <f>AVERAGE(C131:C132)</f>
        <v>0.40625</v>
      </c>
      <c r="D133" s="61">
        <f>AVERAGE(D131:D132)</f>
        <v>0.59375</v>
      </c>
      <c r="E133" s="61">
        <f>AVERAGE(E131:E132)</f>
        <v>0</v>
      </c>
      <c r="F133" s="61">
        <f>AVERAGE(F131:F132)</f>
        <v>0</v>
      </c>
      <c r="G133" s="62">
        <f t="shared" si="15"/>
        <v>1</v>
      </c>
    </row>
    <row r="134" spans="2:7" ht="16.5" x14ac:dyDescent="0.3">
      <c r="B134" s="57" t="s">
        <v>42</v>
      </c>
      <c r="C134" s="66">
        <f>COUNTIFS(TblUniv20196[H1],C$48,TblUniv20196[Program Pendidikan],$C$108)/$C$110*100%</f>
        <v>0.5</v>
      </c>
      <c r="D134" s="66">
        <f>COUNTIFS(TblUniv20196[H1],D$48,TblUniv20196[Program Pendidikan],$C$108)/$C$110*100%</f>
        <v>0.5</v>
      </c>
      <c r="E134" s="66">
        <f>COUNTIFS(TblUniv20196[H1],E$48,TblUniv20196[Program Pendidikan],$C$108)/$C$110*100%</f>
        <v>0</v>
      </c>
      <c r="F134" s="66">
        <f>COUNTIFS(TblUniv20196[H1],F$48,TblUniv20196[Program Pendidikan],$C$108)/$C$110*100%</f>
        <v>0</v>
      </c>
      <c r="G134" s="62">
        <f t="shared" si="15"/>
        <v>1</v>
      </c>
    </row>
    <row r="135" spans="2:7" ht="16.5" x14ac:dyDescent="0.3">
      <c r="B135" s="57" t="s">
        <v>43</v>
      </c>
      <c r="C135" s="66">
        <f>COUNTIFS(TblUniv20196[H1],C$48,TblUniv20196[Program Pendidikan],$C$108)/$C$110*100%</f>
        <v>0.5</v>
      </c>
      <c r="D135" s="66">
        <f>COUNTIFS(TblUniv20196[H1],D$48,TblUniv20196[Program Pendidikan],$C$108)/$C$110*100%</f>
        <v>0.5</v>
      </c>
      <c r="E135" s="66">
        <f>COUNTIFS(TblUniv20196[H1],E$48,TblUniv20196[Program Pendidikan],$C$108)/$C$110*100%</f>
        <v>0</v>
      </c>
      <c r="F135" s="66">
        <f>COUNTIFS(TblUniv20196[H1],F$48,TblUniv20196[Program Pendidikan],$C$108)/$C$110*100%</f>
        <v>0</v>
      </c>
      <c r="G135" s="62">
        <f t="shared" si="15"/>
        <v>1</v>
      </c>
    </row>
    <row r="136" spans="2:7" ht="16.5" x14ac:dyDescent="0.3">
      <c r="B136" s="57" t="s">
        <v>44</v>
      </c>
      <c r="C136" s="66">
        <f>COUNTIFS(TblUniv20196[H3],C$48,TblUniv20196[Program Pendidikan],$C$108)/$C$110*100%</f>
        <v>0.40625</v>
      </c>
      <c r="D136" s="66">
        <f>COUNTIFS(TblUniv20196[H3],D$48,TblUniv20196[Program Pendidikan],$C$108)/$C$110*100%</f>
        <v>0.46875</v>
      </c>
      <c r="E136" s="66">
        <f>COUNTIFS(TblUniv20196[H3],E$48,TblUniv20196[Program Pendidikan],$C$108)/$C$110*100%</f>
        <v>0.125</v>
      </c>
      <c r="F136" s="66">
        <f>COUNTIFS(TblUniv20196[H3],F$48,TblUniv20196[Program Pendidikan],$C$108)/$C$110*100%</f>
        <v>0</v>
      </c>
      <c r="G136" s="62">
        <f t="shared" si="15"/>
        <v>1</v>
      </c>
    </row>
    <row r="137" spans="2:7" ht="16.5" x14ac:dyDescent="0.3">
      <c r="B137" s="57" t="s">
        <v>45</v>
      </c>
      <c r="C137" s="66">
        <f>COUNTIFS(TblUniv20196[H4],C$48,TblUniv20196[Program Pendidikan],$C$108)/$C$110*100%</f>
        <v>0.375</v>
      </c>
      <c r="D137" s="66">
        <f>COUNTIFS(TblUniv20196[H4],D$48,TblUniv20196[Program Pendidikan],$C$108)/$C$110*100%</f>
        <v>0.5</v>
      </c>
      <c r="E137" s="66">
        <f>COUNTIFS(TblUniv20196[H4],E$48,TblUniv20196[Program Pendidikan],$C$108)/$C$110*100%</f>
        <v>0.125</v>
      </c>
      <c r="F137" s="66">
        <f>COUNTIFS(TblUniv20196[H4],F$48,TblUniv20196[Program Pendidikan],$C$108)/$C$110*100%</f>
        <v>0</v>
      </c>
      <c r="G137" s="62">
        <f t="shared" si="15"/>
        <v>1</v>
      </c>
    </row>
    <row r="138" spans="2:7" ht="16.5" x14ac:dyDescent="0.3">
      <c r="B138" s="60"/>
      <c r="C138" s="61">
        <f>AVERAGE(C134:C137)</f>
        <v>0.4453125</v>
      </c>
      <c r="D138" s="61">
        <f>AVERAGE(D134:D137)</f>
        <v>0.4921875</v>
      </c>
      <c r="E138" s="61">
        <f>AVERAGE(E134:E137)</f>
        <v>6.25E-2</v>
      </c>
      <c r="F138" s="61">
        <f>AVERAGE(F134:F137)</f>
        <v>0</v>
      </c>
      <c r="G138" s="62">
        <f t="shared" si="15"/>
        <v>1</v>
      </c>
    </row>
    <row r="139" spans="2:7" ht="16.5" x14ac:dyDescent="0.3">
      <c r="B139" s="57" t="s">
        <v>648</v>
      </c>
      <c r="C139" s="66">
        <f>COUNTIFS(TblUniv20196[I. a1],C$48,TblUniv20196[Program Pendidikan],$C$108)/$C$110*100%</f>
        <v>0.3125</v>
      </c>
      <c r="D139" s="66">
        <f>COUNTIFS(TblUniv20196[I. a1],D$48,TblUniv20196[Program Pendidikan],$C$108)/$C$110*100%</f>
        <v>0.6875</v>
      </c>
      <c r="E139" s="66">
        <f>COUNTIFS(TblUniv20196[I. a1],E$48,TblUniv20196[Program Pendidikan],$C$108)/$C$110*100%</f>
        <v>0</v>
      </c>
      <c r="F139" s="66">
        <f>COUNTIFS(TblUniv20196[I. a1],F$48,TblUniv20196[Program Pendidikan],$C$108)/$C$110*100%</f>
        <v>0</v>
      </c>
      <c r="G139" s="62">
        <f t="shared" si="15"/>
        <v>1</v>
      </c>
    </row>
    <row r="140" spans="2:7" ht="16.5" x14ac:dyDescent="0.3">
      <c r="B140" s="57" t="s">
        <v>649</v>
      </c>
      <c r="C140" s="66">
        <f>COUNTIFS(TblUniv20196[I. a2],C$48,TblUniv20196[Program Pendidikan],$C$108)/$C$110*100%</f>
        <v>0.28125</v>
      </c>
      <c r="D140" s="66">
        <f>COUNTIFS(TblUniv20196[I. a2],D$48,TblUniv20196[Program Pendidikan],$C$108)/$C$110*100%</f>
        <v>0.71875</v>
      </c>
      <c r="E140" s="66">
        <f>COUNTIFS(TblUniv20196[I. a2],E$48,TblUniv20196[Program Pendidikan],$C$108)/$C$110*100%</f>
        <v>0</v>
      </c>
      <c r="F140" s="66">
        <f>COUNTIFS(TblUniv20196[I. a2],F$48,TblUniv20196[Program Pendidikan],$C$108)/$C$110*100%</f>
        <v>0</v>
      </c>
      <c r="G140" s="62">
        <f t="shared" si="15"/>
        <v>1</v>
      </c>
    </row>
    <row r="141" spans="2:7" ht="16.5" x14ac:dyDescent="0.3">
      <c r="B141" s="57" t="s">
        <v>650</v>
      </c>
      <c r="C141" s="66">
        <f>COUNTIFS(TblUniv20196[I. a3],C$48,TblUniv20196[Program Pendidikan],$C$108)/$C$110*100%</f>
        <v>0.4375</v>
      </c>
      <c r="D141" s="66">
        <f>COUNTIFS(TblUniv20196[I. a3],D$48,TblUniv20196[Program Pendidikan],$C$108)/$C$110*100%</f>
        <v>0.5625</v>
      </c>
      <c r="E141" s="66">
        <f>COUNTIFS(TblUniv20196[I. a3],E$48,TblUniv20196[Program Pendidikan],$C$108)/$C$110*100%</f>
        <v>0</v>
      </c>
      <c r="F141" s="66">
        <f>COUNTIFS(TblUniv20196[I. a3],F$48,TblUniv20196[Program Pendidikan],$C$108)/$C$110*100%</f>
        <v>0</v>
      </c>
      <c r="G141" s="62">
        <f t="shared" si="15"/>
        <v>1</v>
      </c>
    </row>
    <row r="142" spans="2:7" ht="16.5" x14ac:dyDescent="0.3">
      <c r="B142" s="57" t="s">
        <v>651</v>
      </c>
      <c r="C142" s="66">
        <f>COUNTIFS(TblUniv20196[I. a4],C$48,TblUniv20196[Program Pendidikan],$C$108)/$C$110*100%</f>
        <v>0.3125</v>
      </c>
      <c r="D142" s="66">
        <f>COUNTIFS(TblUniv20196[I. a4],D$48,TblUniv20196[Program Pendidikan],$C$108)/$C$110*100%</f>
        <v>0.6875</v>
      </c>
      <c r="E142" s="66">
        <f>COUNTIFS(TblUniv20196[I. a4],E$48,TblUniv20196[Program Pendidikan],$C$108)/$C$110*100%</f>
        <v>0</v>
      </c>
      <c r="F142" s="66">
        <f>COUNTIFS(TblUniv20196[I. a4],F$48,TblUniv20196[Program Pendidikan],$C$108)/$C$110*100%</f>
        <v>0</v>
      </c>
      <c r="G142" s="62">
        <f t="shared" si="15"/>
        <v>1</v>
      </c>
    </row>
    <row r="143" spans="2:7" ht="16.5" x14ac:dyDescent="0.3">
      <c r="B143" s="57" t="s">
        <v>652</v>
      </c>
      <c r="C143" s="66">
        <f>COUNTIFS(TblUniv20196[I. a5],C$48,TblUniv20196[Program Pendidikan],$C$108)/$C$110*100%</f>
        <v>0.71875</v>
      </c>
      <c r="D143" s="66">
        <f>COUNTIFS(TblUniv20196[I. a5],D$48,TblUniv20196[Program Pendidikan],$C$108)/$C$110*100%</f>
        <v>0.28125</v>
      </c>
      <c r="E143" s="66">
        <f>COUNTIFS(TblUniv20196[I. a5],E$48,TblUniv20196[Program Pendidikan],$C$108)/$C$110*100%</f>
        <v>0</v>
      </c>
      <c r="F143" s="66">
        <f>COUNTIFS(TblUniv20196[I. a5],F$48,TblUniv20196[Program Pendidikan],$C$108)/$C$110*100%</f>
        <v>0</v>
      </c>
      <c r="G143" s="62">
        <f t="shared" si="15"/>
        <v>1</v>
      </c>
    </row>
    <row r="144" spans="2:7" ht="16.5" x14ac:dyDescent="0.3">
      <c r="B144" s="60"/>
      <c r="C144" s="61">
        <f>AVERAGE(C139:C143)</f>
        <v>0.41249999999999998</v>
      </c>
      <c r="D144" s="61">
        <f>AVERAGE(D139:D143)</f>
        <v>0.58750000000000002</v>
      </c>
      <c r="E144" s="61">
        <f>AVERAGE(E139:E143)</f>
        <v>0</v>
      </c>
      <c r="F144" s="61">
        <f>AVERAGE(F139:F143)</f>
        <v>0</v>
      </c>
      <c r="G144" s="62">
        <f t="shared" si="15"/>
        <v>1</v>
      </c>
    </row>
    <row r="145" spans="2:7" ht="16.5" x14ac:dyDescent="0.3">
      <c r="B145" s="57" t="s">
        <v>653</v>
      </c>
      <c r="C145" s="66">
        <f>COUNTIFS(TblUniv20196[I. b1],C$48,TblUniv20196[Program Pendidikan],$C$108)/$C$110*100%</f>
        <v>0.4375</v>
      </c>
      <c r="D145" s="66">
        <f>COUNTIFS(TblUniv20196[I. b1],D$48,TblUniv20196[Program Pendidikan],$C$108)/$C$110*100%</f>
        <v>0.375</v>
      </c>
      <c r="E145" s="66">
        <f>COUNTIFS(TblUniv20196[I. b1],E$48,TblUniv20196[Program Pendidikan],$C$108)/$C$110*100%</f>
        <v>0.1875</v>
      </c>
      <c r="F145" s="66">
        <f>COUNTIFS(TblUniv20196[I. b1],F$48,TblUniv20196[Program Pendidikan],$C$108)/$C$110*100%</f>
        <v>0</v>
      </c>
      <c r="G145" s="62">
        <f t="shared" si="15"/>
        <v>1</v>
      </c>
    </row>
    <row r="146" spans="2:7" ht="16.5" x14ac:dyDescent="0.3">
      <c r="B146" s="57" t="s">
        <v>654</v>
      </c>
      <c r="C146" s="66">
        <f>COUNTIFS(TblUniv20196[I. b2],C$48,TblUniv20196[Program Pendidikan],$C$108)/$C$110*100%</f>
        <v>0.375</v>
      </c>
      <c r="D146" s="66">
        <f>COUNTIFS(TblUniv20196[I. b2],D$48,TblUniv20196[Program Pendidikan],$C$108)/$C$110*100%</f>
        <v>0.625</v>
      </c>
      <c r="E146" s="66">
        <f>COUNTIFS(TblUniv20196[I. b2],E$48,TblUniv20196[Program Pendidikan],$C$108)/$C$110*100%</f>
        <v>0</v>
      </c>
      <c r="F146" s="66">
        <f>COUNTIFS(TblUniv20196[I. b2],F$48,TblUniv20196[Program Pendidikan],$C$108)/$C$110*100%</f>
        <v>0</v>
      </c>
      <c r="G146" s="62">
        <f t="shared" si="15"/>
        <v>1</v>
      </c>
    </row>
    <row r="147" spans="2:7" ht="16.5" x14ac:dyDescent="0.3">
      <c r="B147" s="57" t="s">
        <v>655</v>
      </c>
      <c r="C147" s="66">
        <f>COUNTIFS(TblUniv20196[I. b3],C$48,TblUniv20196[Program Pendidikan],$C$108)/$C$110*100%</f>
        <v>0.4375</v>
      </c>
      <c r="D147" s="66">
        <f>COUNTIFS(TblUniv20196[I. b3],D$48,TblUniv20196[Program Pendidikan],$C$108)/$C$110*100%</f>
        <v>0.5625</v>
      </c>
      <c r="E147" s="66">
        <f>COUNTIFS(TblUniv20196[I. b3],E$48,TblUniv20196[Program Pendidikan],$C$108)/$C$110*100%</f>
        <v>0</v>
      </c>
      <c r="F147" s="66">
        <f>COUNTIFS(TblUniv20196[I. b3],F$48,TblUniv20196[Program Pendidikan],$C$108)/$C$110*100%</f>
        <v>0</v>
      </c>
      <c r="G147" s="62">
        <f t="shared" si="15"/>
        <v>1</v>
      </c>
    </row>
    <row r="148" spans="2:7" ht="16.5" x14ac:dyDescent="0.3">
      <c r="B148" s="57" t="s">
        <v>656</v>
      </c>
      <c r="C148" s="66">
        <f>COUNTIFS(TblUniv20196[I. b4],C$48,TblUniv20196[Program Pendidikan],$C$108)/$C$110*100%</f>
        <v>0.46875</v>
      </c>
      <c r="D148" s="66">
        <f>COUNTIFS(TblUniv20196[I. b4],D$48,TblUniv20196[Program Pendidikan],$C$108)/$C$110*100%</f>
        <v>0.53125</v>
      </c>
      <c r="E148" s="66">
        <f>COUNTIFS(TblUniv20196[I. b4],E$48,TblUniv20196[Program Pendidikan],$C$108)/$C$110*100%</f>
        <v>0</v>
      </c>
      <c r="F148" s="66">
        <f>COUNTIFS(TblUniv20196[I. b4],F$48,TblUniv20196[Program Pendidikan],$C$108)/$C$110*100%</f>
        <v>0</v>
      </c>
      <c r="G148" s="62">
        <f t="shared" si="15"/>
        <v>1</v>
      </c>
    </row>
    <row r="149" spans="2:7" ht="17.25" thickBot="1" x14ac:dyDescent="0.35">
      <c r="B149" s="67"/>
      <c r="C149" s="68">
        <f>AVERAGE(C145:C148)</f>
        <v>0.4296875</v>
      </c>
      <c r="D149" s="68">
        <f>AVERAGE(D145:D148)</f>
        <v>0.5234375</v>
      </c>
      <c r="E149" s="68">
        <f>AVERAGE(E145:E148)</f>
        <v>4.6875E-2</v>
      </c>
      <c r="F149" s="68">
        <f>AVERAGE(F145:F148)</f>
        <v>0</v>
      </c>
      <c r="G149" s="62">
        <f t="shared" si="15"/>
        <v>1</v>
      </c>
    </row>
    <row r="150" spans="2:7" ht="15.75" thickBot="1" x14ac:dyDescent="0.3"/>
    <row r="151" spans="2:7" ht="17.25" thickBot="1" x14ac:dyDescent="0.3">
      <c r="B151" s="64" t="s">
        <v>14</v>
      </c>
      <c r="C151" s="65" t="str">
        <f>C108</f>
        <v>Sarjana</v>
      </c>
    </row>
    <row r="152" spans="2:7" ht="17.25" thickBot="1" x14ac:dyDescent="0.3">
      <c r="B152" s="64" t="s">
        <v>647</v>
      </c>
      <c r="C152" s="65">
        <f>C109</f>
        <v>2020</v>
      </c>
    </row>
    <row r="153" spans="2:7" ht="17.25" thickBot="1" x14ac:dyDescent="0.3">
      <c r="B153" s="64" t="s">
        <v>646</v>
      </c>
      <c r="C153" s="65">
        <f>C110</f>
        <v>32</v>
      </c>
    </row>
    <row r="154" spans="2:7" ht="15.75" thickBot="1" x14ac:dyDescent="0.3">
      <c r="B154" s="222" t="s">
        <v>658</v>
      </c>
      <c r="C154" s="223" t="s">
        <v>664</v>
      </c>
      <c r="D154" s="223"/>
      <c r="E154" s="223"/>
      <c r="F154" s="223"/>
    </row>
    <row r="155" spans="2:7" ht="15.75" thickBot="1" x14ac:dyDescent="0.3">
      <c r="B155" s="222"/>
      <c r="C155" s="72" t="s">
        <v>645</v>
      </c>
      <c r="D155" s="72" t="s">
        <v>665</v>
      </c>
      <c r="E155" s="72" t="s">
        <v>666</v>
      </c>
      <c r="F155" s="72" t="s">
        <v>667</v>
      </c>
    </row>
    <row r="156" spans="2:7" x14ac:dyDescent="0.25">
      <c r="B156" s="73">
        <v>2</v>
      </c>
      <c r="C156" s="71">
        <v>3</v>
      </c>
      <c r="D156" s="71">
        <v>4</v>
      </c>
      <c r="E156" s="71">
        <v>5</v>
      </c>
      <c r="F156" s="74">
        <v>6</v>
      </c>
    </row>
    <row r="157" spans="2:7" x14ac:dyDescent="0.25">
      <c r="B157" s="75" t="s">
        <v>659</v>
      </c>
      <c r="C157" s="58">
        <f>C117</f>
        <v>0.38124999999999998</v>
      </c>
      <c r="D157" s="58">
        <f>D117</f>
        <v>0.58750000000000002</v>
      </c>
      <c r="E157" s="58">
        <f>E117</f>
        <v>3.125E-2</v>
      </c>
      <c r="F157" s="59">
        <f>F117</f>
        <v>0</v>
      </c>
    </row>
    <row r="158" spans="2:7" x14ac:dyDescent="0.25">
      <c r="B158" s="75" t="s">
        <v>660</v>
      </c>
      <c r="C158" s="58">
        <f>C120</f>
        <v>0.515625</v>
      </c>
      <c r="D158" s="58">
        <f>D120</f>
        <v>0.484375</v>
      </c>
      <c r="E158" s="58">
        <f>E120</f>
        <v>0</v>
      </c>
      <c r="F158" s="59">
        <f>F120</f>
        <v>0</v>
      </c>
    </row>
    <row r="159" spans="2:7" x14ac:dyDescent="0.25">
      <c r="B159" s="75" t="s">
        <v>661</v>
      </c>
      <c r="C159" s="58">
        <f>C123</f>
        <v>0.40625</v>
      </c>
      <c r="D159" s="58">
        <f>D123</f>
        <v>0.40625</v>
      </c>
      <c r="E159" s="58">
        <f>E123</f>
        <v>0.1875</v>
      </c>
      <c r="F159" s="59">
        <f>F123</f>
        <v>0</v>
      </c>
    </row>
    <row r="160" spans="2:7" x14ac:dyDescent="0.25">
      <c r="B160" s="75" t="s">
        <v>662</v>
      </c>
      <c r="C160" s="58">
        <f>C126</f>
        <v>0.71875</v>
      </c>
      <c r="D160" s="58">
        <f>D126</f>
        <v>0.28125</v>
      </c>
      <c r="E160" s="58">
        <f>E126</f>
        <v>0</v>
      </c>
      <c r="F160" s="59">
        <f>F126</f>
        <v>0</v>
      </c>
    </row>
    <row r="161" spans="2:7" x14ac:dyDescent="0.25">
      <c r="B161" s="75" t="s">
        <v>663</v>
      </c>
      <c r="C161" s="58">
        <f>C130</f>
        <v>0.44791666666666669</v>
      </c>
      <c r="D161" s="58">
        <f>D130</f>
        <v>0.53125</v>
      </c>
      <c r="E161" s="58">
        <f>E130</f>
        <v>2.0833333333333332E-2</v>
      </c>
      <c r="F161" s="59">
        <f>F130</f>
        <v>0</v>
      </c>
    </row>
    <row r="162" spans="2:7" x14ac:dyDescent="0.25">
      <c r="B162" s="75" t="s">
        <v>617</v>
      </c>
      <c r="C162" s="58">
        <f>C133</f>
        <v>0.40625</v>
      </c>
      <c r="D162" s="58">
        <f>D133</f>
        <v>0.59375</v>
      </c>
      <c r="E162" s="58">
        <f>E133</f>
        <v>0</v>
      </c>
      <c r="F162" s="59">
        <f>F133</f>
        <v>0</v>
      </c>
    </row>
    <row r="163" spans="2:7" x14ac:dyDescent="0.25">
      <c r="B163" s="75" t="s">
        <v>330</v>
      </c>
      <c r="C163" s="58">
        <f>C138</f>
        <v>0.4453125</v>
      </c>
      <c r="D163" s="58">
        <f>D138</f>
        <v>0.4921875</v>
      </c>
      <c r="E163" s="58">
        <f>E138</f>
        <v>6.25E-2</v>
      </c>
      <c r="F163" s="59">
        <f>F138</f>
        <v>0</v>
      </c>
    </row>
    <row r="164" spans="2:7" x14ac:dyDescent="0.25">
      <c r="B164" s="75" t="s">
        <v>68</v>
      </c>
      <c r="C164" s="58">
        <f>C144</f>
        <v>0.41249999999999998</v>
      </c>
      <c r="D164" s="58">
        <f>D144</f>
        <v>0.58750000000000002</v>
      </c>
      <c r="E164" s="58">
        <f>E144</f>
        <v>0</v>
      </c>
      <c r="F164" s="59">
        <f>F144</f>
        <v>0</v>
      </c>
    </row>
    <row r="165" spans="2:7" ht="15.75" thickBot="1" x14ac:dyDescent="0.3">
      <c r="B165" s="76" t="s">
        <v>68</v>
      </c>
      <c r="C165" s="77">
        <f>C149</f>
        <v>0.4296875</v>
      </c>
      <c r="D165" s="77">
        <f>D149</f>
        <v>0.5234375</v>
      </c>
      <c r="E165" s="77">
        <f>E149</f>
        <v>4.6875E-2</v>
      </c>
      <c r="F165" s="78">
        <f>F149</f>
        <v>0</v>
      </c>
    </row>
    <row r="166" spans="2:7" x14ac:dyDescent="0.25">
      <c r="B166" s="79" t="s">
        <v>669</v>
      </c>
      <c r="C166" s="81">
        <f>SUM(C157:C165)</f>
        <v>4.1635416666666671</v>
      </c>
      <c r="D166" s="81">
        <f>SUM(D157:D165)</f>
        <v>4.4874999999999998</v>
      </c>
      <c r="E166" s="81">
        <f>SUM(E157:E165)</f>
        <v>0.34895833333333337</v>
      </c>
      <c r="F166" s="84">
        <f>SUM(F157:F165)</f>
        <v>0</v>
      </c>
    </row>
    <row r="167" spans="2:7" ht="15.75" thickBot="1" x14ac:dyDescent="0.3">
      <c r="B167" s="80" t="s">
        <v>670</v>
      </c>
      <c r="C167" s="82">
        <f>AVERAGE(C157:C165)</f>
        <v>0.4626157407407408</v>
      </c>
      <c r="D167" s="82">
        <f>AVERAGE(D157:D165)</f>
        <v>0.49861111111111112</v>
      </c>
      <c r="E167" s="82">
        <f>AVERAGE(E157:E165)</f>
        <v>3.8773148148148154E-2</v>
      </c>
      <c r="F167" s="85">
        <f>AVERAGE(F157:F165)</f>
        <v>0</v>
      </c>
    </row>
    <row r="169" spans="2:7" ht="15.75" thickBot="1" x14ac:dyDescent="0.3"/>
    <row r="170" spans="2:7" ht="17.25" thickBot="1" x14ac:dyDescent="0.3">
      <c r="B170" s="64" t="s">
        <v>66</v>
      </c>
      <c r="C170" s="86" t="s">
        <v>128</v>
      </c>
    </row>
    <row r="171" spans="2:7" ht="17.25" thickBot="1" x14ac:dyDescent="0.3">
      <c r="B171" s="64" t="s">
        <v>647</v>
      </c>
      <c r="C171" s="65">
        <v>2020</v>
      </c>
    </row>
    <row r="172" spans="2:7" ht="17.25" thickBot="1" x14ac:dyDescent="0.3">
      <c r="B172" s="64" t="s">
        <v>646</v>
      </c>
      <c r="C172" s="65">
        <f>COUNTIFS(TblUniv20196[th lulus],C171,TblUniv20196[Program Pendidikan],C170)</f>
        <v>0</v>
      </c>
    </row>
    <row r="173" spans="2:7" ht="16.5" x14ac:dyDescent="0.3">
      <c r="B173" s="55"/>
      <c r="C173" s="56" t="s">
        <v>69</v>
      </c>
      <c r="D173" s="56" t="s">
        <v>1</v>
      </c>
      <c r="E173" s="56" t="s">
        <v>75</v>
      </c>
      <c r="F173" s="56" t="s">
        <v>168</v>
      </c>
      <c r="G173" s="56"/>
    </row>
    <row r="174" spans="2:7" ht="16.5" x14ac:dyDescent="0.3">
      <c r="B174" s="57" t="s">
        <v>26</v>
      </c>
      <c r="C174" s="66" t="e">
        <f>COUNTIFS(TblUniv20196[B1],C$48,TblUniv20196[Program Pendidikan],$C$170)/$C$172*100%</f>
        <v>#DIV/0!</v>
      </c>
      <c r="D174" s="66" t="e">
        <f>COUNTIFS(TblUniv20196[B1],D$48,TblUniv20196[Program Pendidikan],$C$170)/$C$172*100%</f>
        <v>#DIV/0!</v>
      </c>
      <c r="E174" s="66" t="e">
        <f>COUNTIFS(TblUniv20196[B1],E$48,TblUniv20196[Program Pendidikan],$C$170)/$C$172*100%</f>
        <v>#DIV/0!</v>
      </c>
      <c r="F174" s="66" t="e">
        <f>COUNTIFS(TblUniv20196[B1],F$48,TblUniv20196[Program Pendidikan],$C$170)/$C$172*100%</f>
        <v>#DIV/0!</v>
      </c>
      <c r="G174" s="62" t="e">
        <f t="shared" ref="G174:G211" si="16">SUM(C174:F174)</f>
        <v>#DIV/0!</v>
      </c>
    </row>
    <row r="175" spans="2:7" ht="16.5" x14ac:dyDescent="0.3">
      <c r="B175" s="57" t="s">
        <v>27</v>
      </c>
      <c r="C175" s="66" t="e">
        <f>COUNTIFS(TblUniv20196[B2],C$48,TblUniv20196[Program Pendidikan],$C$170)/$C$172*100%</f>
        <v>#DIV/0!</v>
      </c>
      <c r="D175" s="66" t="e">
        <f>COUNTIFS(TblUniv20196[B2],D$48,TblUniv20196[Program Pendidikan],$C$170)/$C$172*100%</f>
        <v>#DIV/0!</v>
      </c>
      <c r="E175" s="66" t="e">
        <f>COUNTIFS(TblUniv20196[B2],E$48,TblUniv20196[Program Pendidikan],$C$170)/$C$172*100%</f>
        <v>#DIV/0!</v>
      </c>
      <c r="F175" s="66" t="e">
        <f>COUNTIFS(TblUniv20196[B2],F$48,TblUniv20196[Program Pendidikan],$C$170)/$C$172*100%</f>
        <v>#DIV/0!</v>
      </c>
      <c r="G175" s="62" t="e">
        <f t="shared" si="16"/>
        <v>#DIV/0!</v>
      </c>
    </row>
    <row r="176" spans="2:7" ht="16.5" x14ac:dyDescent="0.3">
      <c r="B176" s="57" t="s">
        <v>28</v>
      </c>
      <c r="C176" s="66" t="e">
        <f>COUNTIFS(TblUniv20196[B3],C$48,TblUniv20196[Program Pendidikan],$C$170)/$C$172*100%</f>
        <v>#DIV/0!</v>
      </c>
      <c r="D176" s="66" t="e">
        <f>COUNTIFS(TblUniv20196[B3],D$48,TblUniv20196[Program Pendidikan],$C$170)/$C$172*100%</f>
        <v>#DIV/0!</v>
      </c>
      <c r="E176" s="66" t="e">
        <f>COUNTIFS(TblUniv20196[B3],E$48,TblUniv20196[Program Pendidikan],$C$170)/$C$172*100%</f>
        <v>#DIV/0!</v>
      </c>
      <c r="F176" s="66" t="e">
        <f>COUNTIFS(TblUniv20196[B3],F$48,TblUniv20196[Program Pendidikan],$C$170)/$C$172*100%</f>
        <v>#DIV/0!</v>
      </c>
      <c r="G176" s="62" t="e">
        <f t="shared" si="16"/>
        <v>#DIV/0!</v>
      </c>
    </row>
    <row r="177" spans="2:7" ht="16.5" x14ac:dyDescent="0.3">
      <c r="B177" s="57" t="s">
        <v>29</v>
      </c>
      <c r="C177" s="66" t="e">
        <f>COUNTIFS(TblUniv20196[B4],C$48,TblUniv20196[Program Pendidikan],$C$170)/$C$172*100%</f>
        <v>#DIV/0!</v>
      </c>
      <c r="D177" s="66" t="e">
        <f>COUNTIFS(TblUniv20196[B4],D$48,TblUniv20196[Program Pendidikan],$C$170)/$C$172*100%</f>
        <v>#DIV/0!</v>
      </c>
      <c r="E177" s="66" t="e">
        <f>COUNTIFS(TblUniv20196[B4],E$48,TblUniv20196[Program Pendidikan],$C$170)/$C$172*100%</f>
        <v>#DIV/0!</v>
      </c>
      <c r="F177" s="66" t="e">
        <f>COUNTIFS(TblUniv20196[B4],F$48,TblUniv20196[Program Pendidikan],$C$170)/$C$172*100%</f>
        <v>#DIV/0!</v>
      </c>
      <c r="G177" s="62" t="e">
        <f t="shared" si="16"/>
        <v>#DIV/0!</v>
      </c>
    </row>
    <row r="178" spans="2:7" ht="16.5" x14ac:dyDescent="0.3">
      <c r="B178" s="57" t="s">
        <v>30</v>
      </c>
      <c r="C178" s="66" t="e">
        <f>COUNTIFS(TblUniv20196[B5],C$48,TblUniv20196[Program Pendidikan],$C$170)/$C$172*100%</f>
        <v>#DIV/0!</v>
      </c>
      <c r="D178" s="66" t="e">
        <f>COUNTIFS(TblUniv20196[B5],D$48,TblUniv20196[Program Pendidikan],$C$170)/$C$172*100%</f>
        <v>#DIV/0!</v>
      </c>
      <c r="E178" s="66" t="e">
        <f>COUNTIFS(TblUniv20196[B5],E$48,TblUniv20196[Program Pendidikan],$C$170)/$C$172*100%</f>
        <v>#DIV/0!</v>
      </c>
      <c r="F178" s="66" t="e">
        <f>COUNTIFS(TblUniv20196[B5],F$48,TblUniv20196[Program Pendidikan],$C$170)/$C$172*100%</f>
        <v>#DIV/0!</v>
      </c>
      <c r="G178" s="62" t="e">
        <f t="shared" si="16"/>
        <v>#DIV/0!</v>
      </c>
    </row>
    <row r="179" spans="2:7" ht="16.5" x14ac:dyDescent="0.3">
      <c r="B179" s="60"/>
      <c r="C179" s="61" t="e">
        <f>AVERAGE(C174:C178)</f>
        <v>#DIV/0!</v>
      </c>
      <c r="D179" s="61" t="e">
        <f>AVERAGE(D174:D178)</f>
        <v>#DIV/0!</v>
      </c>
      <c r="E179" s="61" t="e">
        <f>AVERAGE(E174:E178)</f>
        <v>#DIV/0!</v>
      </c>
      <c r="F179" s="61" t="e">
        <f>AVERAGE(F174:F178)</f>
        <v>#DIV/0!</v>
      </c>
      <c r="G179" s="62" t="e">
        <f t="shared" si="16"/>
        <v>#DIV/0!</v>
      </c>
    </row>
    <row r="180" spans="2:7" ht="16.5" x14ac:dyDescent="0.3">
      <c r="B180" s="57" t="s">
        <v>31</v>
      </c>
      <c r="C180" s="66" t="e">
        <f>COUNTIFS(TblUniv20196[C1],C$48,TblUniv20196[Program Pendidikan],$C$170)/$C$172*100%</f>
        <v>#DIV/0!</v>
      </c>
      <c r="D180" s="66" t="e">
        <f>COUNTIFS(TblUniv20196[C1],D$48,TblUniv20196[Program Pendidikan],$C$170)/$C$172*100%</f>
        <v>#DIV/0!</v>
      </c>
      <c r="E180" s="66" t="e">
        <f>COUNTIFS(TblUniv20196[C1],E$48,TblUniv20196[Program Pendidikan],$C$170)/$C$172*100%</f>
        <v>#DIV/0!</v>
      </c>
      <c r="F180" s="66" t="e">
        <f>COUNTIFS(TblUniv20196[C1],F$48,TblUniv20196[Program Pendidikan],$C$170)/$C$172*100%</f>
        <v>#DIV/0!</v>
      </c>
      <c r="G180" s="62" t="e">
        <f t="shared" si="16"/>
        <v>#DIV/0!</v>
      </c>
    </row>
    <row r="181" spans="2:7" ht="16.5" x14ac:dyDescent="0.3">
      <c r="B181" s="57" t="s">
        <v>32</v>
      </c>
      <c r="C181" s="66" t="e">
        <f>COUNTIFS(TblUniv20196[C2],C$48,TblUniv20196[Program Pendidikan],$C$170)/$C$172*100%</f>
        <v>#DIV/0!</v>
      </c>
      <c r="D181" s="66" t="e">
        <f>COUNTIFS(TblUniv20196[C2],D$48,TblUniv20196[Program Pendidikan],$C$170)/$C$172*100%</f>
        <v>#DIV/0!</v>
      </c>
      <c r="E181" s="66" t="e">
        <f>COUNTIFS(TblUniv20196[C2],E$48,TblUniv20196[Program Pendidikan],$C$170)/$C$172*100%</f>
        <v>#DIV/0!</v>
      </c>
      <c r="F181" s="66" t="e">
        <f>COUNTIFS(TblUniv20196[C2],F$48,TblUniv20196[Program Pendidikan],$C$170)/$C$172*100%</f>
        <v>#DIV/0!</v>
      </c>
      <c r="G181" s="62" t="e">
        <f t="shared" si="16"/>
        <v>#DIV/0!</v>
      </c>
    </row>
    <row r="182" spans="2:7" ht="16.5" x14ac:dyDescent="0.3">
      <c r="B182" s="60"/>
      <c r="C182" s="61" t="e">
        <f>AVERAGE(C180:C181)</f>
        <v>#DIV/0!</v>
      </c>
      <c r="D182" s="61" t="e">
        <f>AVERAGE(D180:D181)</f>
        <v>#DIV/0!</v>
      </c>
      <c r="E182" s="61" t="e">
        <f>AVERAGE(E180:E181)</f>
        <v>#DIV/0!</v>
      </c>
      <c r="F182" s="61" t="e">
        <f>AVERAGE(F180:F181)</f>
        <v>#DIV/0!</v>
      </c>
      <c r="G182" s="62" t="e">
        <f t="shared" si="16"/>
        <v>#DIV/0!</v>
      </c>
    </row>
    <row r="183" spans="2:7" ht="16.5" x14ac:dyDescent="0.3">
      <c r="B183" s="57" t="s">
        <v>33</v>
      </c>
      <c r="C183" s="66" t="e">
        <f>COUNTIFS(TblUniv20196[D1],C$48,TblUniv20196[Program Pendidikan],$C$170)/$C$172*100%</f>
        <v>#DIV/0!</v>
      </c>
      <c r="D183" s="66" t="e">
        <f>COUNTIFS(TblUniv20196[D1],D$48,TblUniv20196[Program Pendidikan],$C$170)/$C$172*100%</f>
        <v>#DIV/0!</v>
      </c>
      <c r="E183" s="66" t="e">
        <f>COUNTIFS(TblUniv20196[D1],E$48,TblUniv20196[Program Pendidikan],$C$170)/$C$172*100%</f>
        <v>#DIV/0!</v>
      </c>
      <c r="F183" s="66" t="e">
        <f>COUNTIFS(TblUniv20196[D1],F$48,TblUniv20196[Program Pendidikan],$C$170)/$C$172*100%</f>
        <v>#DIV/0!</v>
      </c>
      <c r="G183" s="62" t="e">
        <f t="shared" si="16"/>
        <v>#DIV/0!</v>
      </c>
    </row>
    <row r="184" spans="2:7" ht="16.5" x14ac:dyDescent="0.3">
      <c r="B184" s="57" t="s">
        <v>34</v>
      </c>
      <c r="C184" s="66" t="e">
        <f>COUNTIFS(TblUniv20196[D2],C$48,TblUniv20196[Program Pendidikan],$C$170)/$C$172*100%</f>
        <v>#DIV/0!</v>
      </c>
      <c r="D184" s="66" t="e">
        <f>COUNTIFS(TblUniv20196[D2],D$48,TblUniv20196[Program Pendidikan],$C$170)/$C$172*100%</f>
        <v>#DIV/0!</v>
      </c>
      <c r="E184" s="66" t="e">
        <f>COUNTIFS(TblUniv20196[D2],E$48,TblUniv20196[Program Pendidikan],$C$170)/$C$172*100%</f>
        <v>#DIV/0!</v>
      </c>
      <c r="F184" s="66" t="e">
        <f>COUNTIFS(TblUniv20196[D2],F$48,TblUniv20196[Program Pendidikan],$C$170)/$C$172*100%</f>
        <v>#DIV/0!</v>
      </c>
      <c r="G184" s="62" t="e">
        <f t="shared" si="16"/>
        <v>#DIV/0!</v>
      </c>
    </row>
    <row r="185" spans="2:7" ht="16.5" x14ac:dyDescent="0.3">
      <c r="B185" s="60"/>
      <c r="C185" s="61" t="e">
        <f>AVERAGE(C183:C184)</f>
        <v>#DIV/0!</v>
      </c>
      <c r="D185" s="61" t="e">
        <f>AVERAGE(D183:D184)</f>
        <v>#DIV/0!</v>
      </c>
      <c r="E185" s="61" t="e">
        <f>AVERAGE(E183:E184)</f>
        <v>#DIV/0!</v>
      </c>
      <c r="F185" s="61" t="e">
        <f>AVERAGE(F183:F184)</f>
        <v>#DIV/0!</v>
      </c>
      <c r="G185" s="62" t="e">
        <f t="shared" si="16"/>
        <v>#DIV/0!</v>
      </c>
    </row>
    <row r="186" spans="2:7" ht="16.5" x14ac:dyDescent="0.3">
      <c r="B186" s="57" t="s">
        <v>35</v>
      </c>
      <c r="C186" s="66" t="e">
        <f>COUNTIFS(TblUniv20196[E1],C$48,TblUniv20196[Program Pendidikan],$C$170)/$C$172*100%</f>
        <v>#DIV/0!</v>
      </c>
      <c r="D186" s="66" t="e">
        <f>COUNTIFS(TblUniv20196[E1],D$48,TblUniv20196[Program Pendidikan],$C$170)/$C$172*100%</f>
        <v>#DIV/0!</v>
      </c>
      <c r="E186" s="66" t="e">
        <f>COUNTIFS(TblUniv20196[E1],E$48,TblUniv20196[Program Pendidikan],$C$170)/$C$172*100%</f>
        <v>#DIV/0!</v>
      </c>
      <c r="F186" s="66" t="e">
        <f>COUNTIFS(TblUniv20196[E1],F$48,TblUniv20196[Program Pendidikan],$C$170)/$C$172*100%</f>
        <v>#DIV/0!</v>
      </c>
      <c r="G186" s="62" t="e">
        <f t="shared" si="16"/>
        <v>#DIV/0!</v>
      </c>
    </row>
    <row r="187" spans="2:7" ht="16.5" x14ac:dyDescent="0.3">
      <c r="B187" s="57" t="s">
        <v>36</v>
      </c>
      <c r="C187" s="66" t="e">
        <f>COUNTIFS(TblUniv20196[E2],C$48,TblUniv20196[Program Pendidikan],$C$170)/$C$172*100%</f>
        <v>#DIV/0!</v>
      </c>
      <c r="D187" s="66" t="e">
        <f>COUNTIFS(TblUniv20196[E2],D$48,TblUniv20196[Program Pendidikan],$C$170)/$C$172*100%</f>
        <v>#DIV/0!</v>
      </c>
      <c r="E187" s="66" t="e">
        <f>COUNTIFS(TblUniv20196[E2],E$48,TblUniv20196[Program Pendidikan],$C$170)/$C$172*100%</f>
        <v>#DIV/0!</v>
      </c>
      <c r="F187" s="66" t="e">
        <f>COUNTIFS(TblUniv20196[E2],F$48,TblUniv20196[Program Pendidikan],$C$170)/$C$172*100%</f>
        <v>#DIV/0!</v>
      </c>
      <c r="G187" s="62" t="e">
        <f t="shared" si="16"/>
        <v>#DIV/0!</v>
      </c>
    </row>
    <row r="188" spans="2:7" ht="16.5" x14ac:dyDescent="0.3">
      <c r="B188" s="60"/>
      <c r="C188" s="61" t="e">
        <f>AVERAGE(C186:C187)</f>
        <v>#DIV/0!</v>
      </c>
      <c r="D188" s="61" t="e">
        <f>AVERAGE(D186:D187)</f>
        <v>#DIV/0!</v>
      </c>
      <c r="E188" s="61" t="e">
        <f>AVERAGE(E186:E187)</f>
        <v>#DIV/0!</v>
      </c>
      <c r="F188" s="61" t="e">
        <f>AVERAGE(F186:F187)</f>
        <v>#DIV/0!</v>
      </c>
      <c r="G188" s="62" t="e">
        <f t="shared" si="16"/>
        <v>#DIV/0!</v>
      </c>
    </row>
    <row r="189" spans="2:7" ht="16.5" x14ac:dyDescent="0.3">
      <c r="B189" s="57" t="s">
        <v>37</v>
      </c>
      <c r="C189" s="66" t="e">
        <f>COUNTIFS(TblUniv20196[F1],C$48,TblUniv20196[Program Pendidikan],$C$170)/$C$172*100%</f>
        <v>#DIV/0!</v>
      </c>
      <c r="D189" s="66" t="e">
        <f>COUNTIFS(TblUniv20196[F1],D$48,TblUniv20196[Program Pendidikan],$C$170)/$C$172*100%</f>
        <v>#DIV/0!</v>
      </c>
      <c r="E189" s="66" t="e">
        <f>COUNTIFS(TblUniv20196[F1],E$48,TblUniv20196[Program Pendidikan],$C$170)/$C$172*100%</f>
        <v>#DIV/0!</v>
      </c>
      <c r="F189" s="66" t="e">
        <f>COUNTIFS(TblUniv20196[F1],F$48,TblUniv20196[Program Pendidikan],$C$170)/$C$172*100%</f>
        <v>#DIV/0!</v>
      </c>
      <c r="G189" s="62" t="e">
        <f t="shared" si="16"/>
        <v>#DIV/0!</v>
      </c>
    </row>
    <row r="190" spans="2:7" ht="16.5" x14ac:dyDescent="0.3">
      <c r="B190" s="57" t="s">
        <v>38</v>
      </c>
      <c r="C190" s="66" t="e">
        <f>COUNTIFS(TblUniv20196[F2],C$48,TblUniv20196[Program Pendidikan],$C$170)/$C$172*100%</f>
        <v>#DIV/0!</v>
      </c>
      <c r="D190" s="66" t="e">
        <f>COUNTIFS(TblUniv20196[F2],D$48,TblUniv20196[Program Pendidikan],$C$170)/$C$172*100%</f>
        <v>#DIV/0!</v>
      </c>
      <c r="E190" s="66" t="e">
        <f>COUNTIFS(TblUniv20196[F2],E$48,TblUniv20196[Program Pendidikan],$C$170)/$C$172*100%</f>
        <v>#DIV/0!</v>
      </c>
      <c r="F190" s="66" t="e">
        <f>COUNTIFS(TblUniv20196[F2],F$48,TblUniv20196[Program Pendidikan],$C$170)/$C$172*100%</f>
        <v>#DIV/0!</v>
      </c>
      <c r="G190" s="62" t="e">
        <f t="shared" si="16"/>
        <v>#DIV/0!</v>
      </c>
    </row>
    <row r="191" spans="2:7" ht="16.5" x14ac:dyDescent="0.3">
      <c r="B191" s="57" t="s">
        <v>39</v>
      </c>
      <c r="C191" s="66" t="e">
        <f>COUNTIFS(TblUniv20196[F3],C$48,TblUniv20196[Program Pendidikan],$C$170)/$C$172*100%</f>
        <v>#DIV/0!</v>
      </c>
      <c r="D191" s="66" t="e">
        <f>COUNTIFS(TblUniv20196[F3],D$48,TblUniv20196[Program Pendidikan],$C$170)/$C$172*100%</f>
        <v>#DIV/0!</v>
      </c>
      <c r="E191" s="66" t="e">
        <f>COUNTIFS(TblUniv20196[F3],E$48,TblUniv20196[Program Pendidikan],$C$170)/$C$172*100%</f>
        <v>#DIV/0!</v>
      </c>
      <c r="F191" s="66" t="e">
        <f>COUNTIFS(TblUniv20196[F3],F$48,TblUniv20196[Program Pendidikan],$C$170)/$C$172*100%</f>
        <v>#DIV/0!</v>
      </c>
      <c r="G191" s="62" t="e">
        <f t="shared" si="16"/>
        <v>#DIV/0!</v>
      </c>
    </row>
    <row r="192" spans="2:7" ht="16.5" x14ac:dyDescent="0.3">
      <c r="B192" s="60"/>
      <c r="C192" s="61" t="e">
        <f>AVERAGE(C189:C191)</f>
        <v>#DIV/0!</v>
      </c>
      <c r="D192" s="61" t="e">
        <f>AVERAGE(D189:D191)</f>
        <v>#DIV/0!</v>
      </c>
      <c r="E192" s="61" t="e">
        <f>AVERAGE(E189:E191)</f>
        <v>#DIV/0!</v>
      </c>
      <c r="F192" s="61" t="e">
        <f>AVERAGE(F189:F191)</f>
        <v>#DIV/0!</v>
      </c>
      <c r="G192" s="62" t="e">
        <f t="shared" si="16"/>
        <v>#DIV/0!</v>
      </c>
    </row>
    <row r="193" spans="2:7" ht="16.5" x14ac:dyDescent="0.3">
      <c r="B193" s="57" t="s">
        <v>40</v>
      </c>
      <c r="C193" s="66" t="e">
        <f>COUNTIFS(TblUniv20196[G1],C$48,TblUniv20196[Program Pendidikan],$C$170)/$C$172*100%</f>
        <v>#DIV/0!</v>
      </c>
      <c r="D193" s="66" t="e">
        <f>COUNTIFS(TblUniv20196[G1],D$48,TblUniv20196[Program Pendidikan],$C$170)/$C$172*100%</f>
        <v>#DIV/0!</v>
      </c>
      <c r="E193" s="66" t="e">
        <f>COUNTIFS(TblUniv20196[G1],E$48,TblUniv20196[Program Pendidikan],$C$170)/$C$172*100%</f>
        <v>#DIV/0!</v>
      </c>
      <c r="F193" s="66" t="e">
        <f>COUNTIFS(TblUniv20196[G1],F$48,TblUniv20196[Program Pendidikan],$C$170)/$C$172*100%</f>
        <v>#DIV/0!</v>
      </c>
      <c r="G193" s="62" t="e">
        <f t="shared" si="16"/>
        <v>#DIV/0!</v>
      </c>
    </row>
    <row r="194" spans="2:7" ht="16.5" x14ac:dyDescent="0.3">
      <c r="B194" s="57" t="s">
        <v>41</v>
      </c>
      <c r="C194" s="66" t="e">
        <f>COUNTIFS(TblUniv20196[G2],C$48,TblUniv20196[Program Pendidikan],$C$170)/$C$172*100%</f>
        <v>#DIV/0!</v>
      </c>
      <c r="D194" s="66" t="e">
        <f>COUNTIFS(TblUniv20196[G2],D$48,TblUniv20196[Program Pendidikan],$C$170)/$C$172*100%</f>
        <v>#DIV/0!</v>
      </c>
      <c r="E194" s="66" t="e">
        <f>COUNTIFS(TblUniv20196[G2],E$48,TblUniv20196[Program Pendidikan],$C$170)/$C$172*100%</f>
        <v>#DIV/0!</v>
      </c>
      <c r="F194" s="66" t="e">
        <f>COUNTIFS(TblUniv20196[G2],F$48,TblUniv20196[Program Pendidikan],$C$170)/$C$172*100%</f>
        <v>#DIV/0!</v>
      </c>
      <c r="G194" s="62" t="e">
        <f t="shared" si="16"/>
        <v>#DIV/0!</v>
      </c>
    </row>
    <row r="195" spans="2:7" ht="16.5" x14ac:dyDescent="0.3">
      <c r="B195" s="60"/>
      <c r="C195" s="61" t="e">
        <f>AVERAGE(C193:C194)</f>
        <v>#DIV/0!</v>
      </c>
      <c r="D195" s="61" t="e">
        <f>AVERAGE(D193:D194)</f>
        <v>#DIV/0!</v>
      </c>
      <c r="E195" s="61" t="e">
        <f>AVERAGE(E193:E194)</f>
        <v>#DIV/0!</v>
      </c>
      <c r="F195" s="61" t="e">
        <f>AVERAGE(F193:F194)</f>
        <v>#DIV/0!</v>
      </c>
      <c r="G195" s="62" t="e">
        <f t="shared" si="16"/>
        <v>#DIV/0!</v>
      </c>
    </row>
    <row r="196" spans="2:7" ht="16.5" x14ac:dyDescent="0.3">
      <c r="B196" s="57" t="s">
        <v>42</v>
      </c>
      <c r="C196" s="66" t="e">
        <f>COUNTIFS(TblUniv20196[H1],C$48,TblUniv20196[Program Pendidikan],$C$170)/$C$172*100%</f>
        <v>#DIV/0!</v>
      </c>
      <c r="D196" s="66" t="e">
        <f>COUNTIFS(TblUniv20196[H1],D$48,TblUniv20196[Program Pendidikan],$C$170)/$C$172*100%</f>
        <v>#DIV/0!</v>
      </c>
      <c r="E196" s="66" t="e">
        <f>COUNTIFS(TblUniv20196[H1],E$48,TblUniv20196[Program Pendidikan],$C$170)/$C$172*100%</f>
        <v>#DIV/0!</v>
      </c>
      <c r="F196" s="66" t="e">
        <f>COUNTIFS(TblUniv20196[H1],F$48,TblUniv20196[Program Pendidikan],$C$170)/$C$172*100%</f>
        <v>#DIV/0!</v>
      </c>
      <c r="G196" s="62" t="e">
        <f t="shared" si="16"/>
        <v>#DIV/0!</v>
      </c>
    </row>
    <row r="197" spans="2:7" ht="16.5" x14ac:dyDescent="0.3">
      <c r="B197" s="57" t="s">
        <v>43</v>
      </c>
      <c r="C197" s="66" t="e">
        <f>COUNTIFS(TblUniv20196[H1],C$48,TblUniv20196[Program Pendidikan],$C$170)/$C$172*100%</f>
        <v>#DIV/0!</v>
      </c>
      <c r="D197" s="66" t="e">
        <f>COUNTIFS(TblUniv20196[H1],D$48,TblUniv20196[Program Pendidikan],$C$170)/$C$172*100%</f>
        <v>#DIV/0!</v>
      </c>
      <c r="E197" s="66" t="e">
        <f>COUNTIFS(TblUniv20196[H1],E$48,TblUniv20196[Program Pendidikan],$C$170)/$C$172*100%</f>
        <v>#DIV/0!</v>
      </c>
      <c r="F197" s="66" t="e">
        <f>COUNTIFS(TblUniv20196[H1],F$48,TblUniv20196[Program Pendidikan],$C$170)/$C$172*100%</f>
        <v>#DIV/0!</v>
      </c>
      <c r="G197" s="62" t="e">
        <f t="shared" si="16"/>
        <v>#DIV/0!</v>
      </c>
    </row>
    <row r="198" spans="2:7" ht="16.5" x14ac:dyDescent="0.3">
      <c r="B198" s="57" t="s">
        <v>44</v>
      </c>
      <c r="C198" s="66" t="e">
        <f>COUNTIFS(TblUniv20196[H3],C$48,TblUniv20196[Program Pendidikan],$C$170)/$C$172*100%</f>
        <v>#DIV/0!</v>
      </c>
      <c r="D198" s="66" t="e">
        <f>COUNTIFS(TblUniv20196[H3],D$48,TblUniv20196[Program Pendidikan],$C$170)/$C$172*100%</f>
        <v>#DIV/0!</v>
      </c>
      <c r="E198" s="66" t="e">
        <f>COUNTIFS(TblUniv20196[H3],E$48,TblUniv20196[Program Pendidikan],$C$170)/$C$172*100%</f>
        <v>#DIV/0!</v>
      </c>
      <c r="F198" s="66" t="e">
        <f>COUNTIFS(TblUniv20196[H3],F$48,TblUniv20196[Program Pendidikan],$C$170)/$C$172*100%</f>
        <v>#DIV/0!</v>
      </c>
      <c r="G198" s="62" t="e">
        <f t="shared" si="16"/>
        <v>#DIV/0!</v>
      </c>
    </row>
    <row r="199" spans="2:7" ht="16.5" x14ac:dyDescent="0.3">
      <c r="B199" s="57" t="s">
        <v>45</v>
      </c>
      <c r="C199" s="66" t="e">
        <f>COUNTIFS(TblUniv20196[H4],C$48,TblUniv20196[Program Pendidikan],$C$170)/$C$172*100%</f>
        <v>#DIV/0!</v>
      </c>
      <c r="D199" s="66" t="e">
        <f>COUNTIFS(TblUniv20196[H4],D$48,TblUniv20196[Program Pendidikan],$C$170)/$C$172*100%</f>
        <v>#DIV/0!</v>
      </c>
      <c r="E199" s="66" t="e">
        <f>COUNTIFS(TblUniv20196[H4],E$48,TblUniv20196[Program Pendidikan],$C$170)/$C$172*100%</f>
        <v>#DIV/0!</v>
      </c>
      <c r="F199" s="66" t="e">
        <f>COUNTIFS(TblUniv20196[H4],F$48,TblUniv20196[Program Pendidikan],$C$170)/$C$172*100%</f>
        <v>#DIV/0!</v>
      </c>
      <c r="G199" s="62" t="e">
        <f t="shared" si="16"/>
        <v>#DIV/0!</v>
      </c>
    </row>
    <row r="200" spans="2:7" ht="16.5" x14ac:dyDescent="0.3">
      <c r="B200" s="60"/>
      <c r="C200" s="61" t="e">
        <f>AVERAGE(C196:C199)</f>
        <v>#DIV/0!</v>
      </c>
      <c r="D200" s="61" t="e">
        <f>AVERAGE(D196:D199)</f>
        <v>#DIV/0!</v>
      </c>
      <c r="E200" s="61" t="e">
        <f>AVERAGE(E196:E199)</f>
        <v>#DIV/0!</v>
      </c>
      <c r="F200" s="61" t="e">
        <f>AVERAGE(F196:F199)</f>
        <v>#DIV/0!</v>
      </c>
      <c r="G200" s="62" t="e">
        <f t="shared" si="16"/>
        <v>#DIV/0!</v>
      </c>
    </row>
    <row r="201" spans="2:7" ht="16.5" x14ac:dyDescent="0.3">
      <c r="B201" s="57" t="s">
        <v>648</v>
      </c>
      <c r="C201" s="66" t="e">
        <f>COUNTIFS(TblUniv20196[I. a1],C$48,TblUniv20196[Program Pendidikan],$C$170)/$C$172*100%</f>
        <v>#DIV/0!</v>
      </c>
      <c r="D201" s="66" t="e">
        <f>COUNTIFS(TblUniv20196[I. a1],D$48,TblUniv20196[Program Pendidikan],$C$170)/$C$172*100%</f>
        <v>#DIV/0!</v>
      </c>
      <c r="E201" s="66" t="e">
        <f>COUNTIFS(TblUniv20196[I. a1],E$48,TblUniv20196[Program Pendidikan],$C$170)/$C$172*100%</f>
        <v>#DIV/0!</v>
      </c>
      <c r="F201" s="66" t="e">
        <f>COUNTIFS(TblUniv20196[I. a1],F$48,TblUniv20196[Program Pendidikan],$C$170)/$C$172*100%</f>
        <v>#DIV/0!</v>
      </c>
      <c r="G201" s="62" t="e">
        <f t="shared" si="16"/>
        <v>#DIV/0!</v>
      </c>
    </row>
    <row r="202" spans="2:7" ht="16.5" x14ac:dyDescent="0.3">
      <c r="B202" s="57" t="s">
        <v>649</v>
      </c>
      <c r="C202" s="66" t="e">
        <f>COUNTIFS(TblUniv20196[I. a2],C$48,TblUniv20196[Program Pendidikan],$C$170)/$C$172*100%</f>
        <v>#DIV/0!</v>
      </c>
      <c r="D202" s="66" t="e">
        <f>COUNTIFS(TblUniv20196[I. a2],D$48,TblUniv20196[Program Pendidikan],$C$170)/$C$172*100%</f>
        <v>#DIV/0!</v>
      </c>
      <c r="E202" s="66" t="e">
        <f>COUNTIFS(TblUniv20196[I. a2],E$48,TblUniv20196[Program Pendidikan],$C$170)/$C$172*100%</f>
        <v>#DIV/0!</v>
      </c>
      <c r="F202" s="66" t="e">
        <f>COUNTIFS(TblUniv20196[I. a2],F$48,TblUniv20196[Program Pendidikan],$C$170)/$C$172*100%</f>
        <v>#DIV/0!</v>
      </c>
      <c r="G202" s="62" t="e">
        <f t="shared" si="16"/>
        <v>#DIV/0!</v>
      </c>
    </row>
    <row r="203" spans="2:7" ht="16.5" x14ac:dyDescent="0.3">
      <c r="B203" s="57" t="s">
        <v>650</v>
      </c>
      <c r="C203" s="66" t="e">
        <f>COUNTIFS(TblUniv20196[I. a3],C$48,TblUniv20196[Program Pendidikan],$C$170)/$C$172*100%</f>
        <v>#DIV/0!</v>
      </c>
      <c r="D203" s="66" t="e">
        <f>COUNTIFS(TblUniv20196[I. a3],D$48,TblUniv20196[Program Pendidikan],$C$170)/$C$172*100%</f>
        <v>#DIV/0!</v>
      </c>
      <c r="E203" s="66" t="e">
        <f>COUNTIFS(TblUniv20196[I. a3],E$48,TblUniv20196[Program Pendidikan],$C$170)/$C$172*100%</f>
        <v>#DIV/0!</v>
      </c>
      <c r="F203" s="66" t="e">
        <f>COUNTIFS(TblUniv20196[I. a3],F$48,TblUniv20196[Program Pendidikan],$C$170)/$C$172*100%</f>
        <v>#DIV/0!</v>
      </c>
      <c r="G203" s="62" t="e">
        <f t="shared" si="16"/>
        <v>#DIV/0!</v>
      </c>
    </row>
    <row r="204" spans="2:7" ht="16.5" x14ac:dyDescent="0.3">
      <c r="B204" s="57" t="s">
        <v>651</v>
      </c>
      <c r="C204" s="66" t="e">
        <f>COUNTIFS(TblUniv20196[I. a4],C$48,TblUniv20196[Program Pendidikan],$C$170)/$C$172*100%</f>
        <v>#DIV/0!</v>
      </c>
      <c r="D204" s="66" t="e">
        <f>COUNTIFS(TblUniv20196[I. a4],D$48,TblUniv20196[Program Pendidikan],$C$170)/$C$172*100%</f>
        <v>#DIV/0!</v>
      </c>
      <c r="E204" s="66" t="e">
        <f>COUNTIFS(TblUniv20196[I. a4],E$48,TblUniv20196[Program Pendidikan],$C$170)/$C$172*100%</f>
        <v>#DIV/0!</v>
      </c>
      <c r="F204" s="66" t="e">
        <f>COUNTIFS(TblUniv20196[I. a4],F$48,TblUniv20196[Program Pendidikan],$C$170)/$C$172*100%</f>
        <v>#DIV/0!</v>
      </c>
      <c r="G204" s="62" t="e">
        <f t="shared" si="16"/>
        <v>#DIV/0!</v>
      </c>
    </row>
    <row r="205" spans="2:7" ht="16.5" x14ac:dyDescent="0.3">
      <c r="B205" s="57" t="s">
        <v>652</v>
      </c>
      <c r="C205" s="66" t="e">
        <f>COUNTIFS(TblUniv20196[I. a5],C$48,TblUniv20196[Program Pendidikan],$C$170)/$C$172*100%</f>
        <v>#DIV/0!</v>
      </c>
      <c r="D205" s="66" t="e">
        <f>COUNTIFS(TblUniv20196[I. a5],D$48,TblUniv20196[Program Pendidikan],$C$170)/$C$172*100%</f>
        <v>#DIV/0!</v>
      </c>
      <c r="E205" s="66" t="e">
        <f>COUNTIFS(TblUniv20196[I. a5],E$48,TblUniv20196[Program Pendidikan],$C$170)/$C$172*100%</f>
        <v>#DIV/0!</v>
      </c>
      <c r="F205" s="66" t="e">
        <f>COUNTIFS(TblUniv20196[I. a5],F$48,TblUniv20196[Program Pendidikan],$C$170)/$C$172*100%</f>
        <v>#DIV/0!</v>
      </c>
      <c r="G205" s="62" t="e">
        <f t="shared" si="16"/>
        <v>#DIV/0!</v>
      </c>
    </row>
    <row r="206" spans="2:7" ht="16.5" x14ac:dyDescent="0.3">
      <c r="B206" s="60"/>
      <c r="C206" s="61" t="e">
        <f>AVERAGE(C201:C205)</f>
        <v>#DIV/0!</v>
      </c>
      <c r="D206" s="61" t="e">
        <f>AVERAGE(D201:D205)</f>
        <v>#DIV/0!</v>
      </c>
      <c r="E206" s="61" t="e">
        <f>AVERAGE(E201:E205)</f>
        <v>#DIV/0!</v>
      </c>
      <c r="F206" s="61" t="e">
        <f>AVERAGE(F201:F205)</f>
        <v>#DIV/0!</v>
      </c>
      <c r="G206" s="62" t="e">
        <f t="shared" si="16"/>
        <v>#DIV/0!</v>
      </c>
    </row>
    <row r="207" spans="2:7" ht="16.5" x14ac:dyDescent="0.3">
      <c r="B207" s="57" t="s">
        <v>653</v>
      </c>
      <c r="C207" s="66" t="e">
        <f>COUNTIFS(TblUniv20196[I. b1],C$48,TblUniv20196[Program Pendidikan],$C$170)/$C$172*100%</f>
        <v>#DIV/0!</v>
      </c>
      <c r="D207" s="66" t="e">
        <f>COUNTIFS(TblUniv20196[I. b1],D$48,TblUniv20196[Program Pendidikan],$C$170)/$C$172*100%</f>
        <v>#DIV/0!</v>
      </c>
      <c r="E207" s="66" t="e">
        <f>COUNTIFS(TblUniv20196[I. b1],E$48,TblUniv20196[Program Pendidikan],$C$170)/$C$172*100%</f>
        <v>#DIV/0!</v>
      </c>
      <c r="F207" s="66" t="e">
        <f>COUNTIFS(TblUniv20196[I. b1],F$48,TblUniv20196[Program Pendidikan],$C$170)/$C$172*100%</f>
        <v>#DIV/0!</v>
      </c>
      <c r="G207" s="62" t="e">
        <f t="shared" si="16"/>
        <v>#DIV/0!</v>
      </c>
    </row>
    <row r="208" spans="2:7" ht="16.5" x14ac:dyDescent="0.3">
      <c r="B208" s="57" t="s">
        <v>654</v>
      </c>
      <c r="C208" s="66" t="e">
        <f>COUNTIFS(TblUniv20196[I. b2],C$48,TblUniv20196[Program Pendidikan],$C$170)/$C$172*100%</f>
        <v>#DIV/0!</v>
      </c>
      <c r="D208" s="66" t="e">
        <f>COUNTIFS(TblUniv20196[I. b2],D$48,TblUniv20196[Program Pendidikan],$C$170)/$C$172*100%</f>
        <v>#DIV/0!</v>
      </c>
      <c r="E208" s="66" t="e">
        <f>COUNTIFS(TblUniv20196[I. b2],E$48,TblUniv20196[Program Pendidikan],$C$170)/$C$172*100%</f>
        <v>#DIV/0!</v>
      </c>
      <c r="F208" s="66" t="e">
        <f>COUNTIFS(TblUniv20196[I. b2],F$48,TblUniv20196[Program Pendidikan],$C$170)/$C$172*100%</f>
        <v>#DIV/0!</v>
      </c>
      <c r="G208" s="62" t="e">
        <f t="shared" si="16"/>
        <v>#DIV/0!</v>
      </c>
    </row>
    <row r="209" spans="2:7" ht="16.5" x14ac:dyDescent="0.3">
      <c r="B209" s="57" t="s">
        <v>655</v>
      </c>
      <c r="C209" s="66" t="e">
        <f>COUNTIFS(TblUniv20196[I. b3],C$48,TblUniv20196[Program Pendidikan],$C$170)/$C$172*100%</f>
        <v>#DIV/0!</v>
      </c>
      <c r="D209" s="66" t="e">
        <f>COUNTIFS(TblUniv20196[I. b3],D$48,TblUniv20196[Program Pendidikan],$C$170)/$C$172*100%</f>
        <v>#DIV/0!</v>
      </c>
      <c r="E209" s="66" t="e">
        <f>COUNTIFS(TblUniv20196[I. b3],E$48,TblUniv20196[Program Pendidikan],$C$170)/$C$172*100%</f>
        <v>#DIV/0!</v>
      </c>
      <c r="F209" s="66" t="e">
        <f>COUNTIFS(TblUniv20196[I. b3],F$48,TblUniv20196[Program Pendidikan],$C$170)/$C$172*100%</f>
        <v>#DIV/0!</v>
      </c>
      <c r="G209" s="62" t="e">
        <f t="shared" si="16"/>
        <v>#DIV/0!</v>
      </c>
    </row>
    <row r="210" spans="2:7" ht="16.5" x14ac:dyDescent="0.3">
      <c r="B210" s="57" t="s">
        <v>656</v>
      </c>
      <c r="C210" s="66" t="e">
        <f>COUNTIFS(TblUniv20196[I. b4],C$48,TblUniv20196[Program Pendidikan],$C$170)/$C$172*100%</f>
        <v>#DIV/0!</v>
      </c>
      <c r="D210" s="66" t="e">
        <f>COUNTIFS(TblUniv20196[I. b4],D$48,TblUniv20196[Program Pendidikan],$C$170)/$C$172*100%</f>
        <v>#DIV/0!</v>
      </c>
      <c r="E210" s="66" t="e">
        <f>COUNTIFS(TblUniv20196[I. b4],E$48,TblUniv20196[Program Pendidikan],$C$170)/$C$172*100%</f>
        <v>#DIV/0!</v>
      </c>
      <c r="F210" s="66" t="e">
        <f>COUNTIFS(TblUniv20196[I. b4],F$48,TblUniv20196[Program Pendidikan],$C$170)/$C$172*100%</f>
        <v>#DIV/0!</v>
      </c>
      <c r="G210" s="62" t="e">
        <f t="shared" si="16"/>
        <v>#DIV/0!</v>
      </c>
    </row>
    <row r="211" spans="2:7" ht="17.25" thickBot="1" x14ac:dyDescent="0.35">
      <c r="B211" s="67"/>
      <c r="C211" s="68" t="e">
        <f>AVERAGE(C207:C210)</f>
        <v>#DIV/0!</v>
      </c>
      <c r="D211" s="68" t="e">
        <f>AVERAGE(D207:D210)</f>
        <v>#DIV/0!</v>
      </c>
      <c r="E211" s="68" t="e">
        <f>AVERAGE(E207:E210)</f>
        <v>#DIV/0!</v>
      </c>
      <c r="F211" s="68" t="e">
        <f>AVERAGE(F207:F210)</f>
        <v>#DIV/0!</v>
      </c>
      <c r="G211" s="62" t="e">
        <f t="shared" si="16"/>
        <v>#DIV/0!</v>
      </c>
    </row>
    <row r="212" spans="2:7" ht="15.75" thickBot="1" x14ac:dyDescent="0.3"/>
    <row r="213" spans="2:7" ht="17.25" thickBot="1" x14ac:dyDescent="0.3">
      <c r="B213" s="64" t="s">
        <v>14</v>
      </c>
      <c r="C213" s="65" t="str">
        <f>C170</f>
        <v>Diploma Empat/ Sarjana Terapan</v>
      </c>
    </row>
    <row r="214" spans="2:7" ht="17.25" thickBot="1" x14ac:dyDescent="0.3">
      <c r="B214" s="64" t="s">
        <v>647</v>
      </c>
      <c r="C214" s="65">
        <f>C171</f>
        <v>2020</v>
      </c>
    </row>
    <row r="215" spans="2:7" ht="17.25" thickBot="1" x14ac:dyDescent="0.3">
      <c r="B215" s="64" t="s">
        <v>646</v>
      </c>
      <c r="C215" s="65">
        <f>C172</f>
        <v>0</v>
      </c>
    </row>
    <row r="216" spans="2:7" ht="15.75" thickBot="1" x14ac:dyDescent="0.3">
      <c r="B216" s="222" t="s">
        <v>658</v>
      </c>
      <c r="C216" s="223" t="s">
        <v>664</v>
      </c>
      <c r="D216" s="223"/>
      <c r="E216" s="223"/>
      <c r="F216" s="223"/>
    </row>
    <row r="217" spans="2:7" ht="15.75" thickBot="1" x14ac:dyDescent="0.3">
      <c r="B217" s="222"/>
      <c r="C217" s="72" t="s">
        <v>645</v>
      </c>
      <c r="D217" s="72" t="s">
        <v>665</v>
      </c>
      <c r="E217" s="72" t="s">
        <v>666</v>
      </c>
      <c r="F217" s="72" t="s">
        <v>667</v>
      </c>
    </row>
    <row r="218" spans="2:7" x14ac:dyDescent="0.25">
      <c r="B218" s="73">
        <v>2</v>
      </c>
      <c r="C218" s="71">
        <v>3</v>
      </c>
      <c r="D218" s="71">
        <v>4</v>
      </c>
      <c r="E218" s="71">
        <v>5</v>
      </c>
      <c r="F218" s="74">
        <v>6</v>
      </c>
    </row>
    <row r="219" spans="2:7" x14ac:dyDescent="0.25">
      <c r="B219" s="75" t="s">
        <v>659</v>
      </c>
      <c r="C219" s="58" t="e">
        <f>C179</f>
        <v>#DIV/0!</v>
      </c>
      <c r="D219" s="58" t="e">
        <f>D179</f>
        <v>#DIV/0!</v>
      </c>
      <c r="E219" s="58" t="e">
        <f>E179</f>
        <v>#DIV/0!</v>
      </c>
      <c r="F219" s="59" t="e">
        <f>F179</f>
        <v>#DIV/0!</v>
      </c>
    </row>
    <row r="220" spans="2:7" x14ac:dyDescent="0.25">
      <c r="B220" s="75" t="s">
        <v>660</v>
      </c>
      <c r="C220" s="58" t="e">
        <f>C182</f>
        <v>#DIV/0!</v>
      </c>
      <c r="D220" s="58" t="e">
        <f>D182</f>
        <v>#DIV/0!</v>
      </c>
      <c r="E220" s="58" t="e">
        <f>E182</f>
        <v>#DIV/0!</v>
      </c>
      <c r="F220" s="59" t="e">
        <f>F182</f>
        <v>#DIV/0!</v>
      </c>
    </row>
    <row r="221" spans="2:7" x14ac:dyDescent="0.25">
      <c r="B221" s="75" t="s">
        <v>661</v>
      </c>
      <c r="C221" s="58" t="e">
        <f>C185</f>
        <v>#DIV/0!</v>
      </c>
      <c r="D221" s="58" t="e">
        <f>D185</f>
        <v>#DIV/0!</v>
      </c>
      <c r="E221" s="58" t="e">
        <f>E185</f>
        <v>#DIV/0!</v>
      </c>
      <c r="F221" s="59" t="e">
        <f>F185</f>
        <v>#DIV/0!</v>
      </c>
    </row>
    <row r="222" spans="2:7" x14ac:dyDescent="0.25">
      <c r="B222" s="75" t="s">
        <v>662</v>
      </c>
      <c r="C222" s="58" t="e">
        <f>C188</f>
        <v>#DIV/0!</v>
      </c>
      <c r="D222" s="58" t="e">
        <f>D188</f>
        <v>#DIV/0!</v>
      </c>
      <c r="E222" s="58" t="e">
        <f>E188</f>
        <v>#DIV/0!</v>
      </c>
      <c r="F222" s="59" t="e">
        <f>F188</f>
        <v>#DIV/0!</v>
      </c>
    </row>
    <row r="223" spans="2:7" x14ac:dyDescent="0.25">
      <c r="B223" s="75" t="s">
        <v>663</v>
      </c>
      <c r="C223" s="58" t="e">
        <f>C192</f>
        <v>#DIV/0!</v>
      </c>
      <c r="D223" s="58" t="e">
        <f>D192</f>
        <v>#DIV/0!</v>
      </c>
      <c r="E223" s="58" t="e">
        <f>E192</f>
        <v>#DIV/0!</v>
      </c>
      <c r="F223" s="59" t="e">
        <f>F192</f>
        <v>#DIV/0!</v>
      </c>
    </row>
    <row r="224" spans="2:7" x14ac:dyDescent="0.25">
      <c r="B224" s="75" t="s">
        <v>617</v>
      </c>
      <c r="C224" s="58" t="e">
        <f>C195</f>
        <v>#DIV/0!</v>
      </c>
      <c r="D224" s="58" t="e">
        <f>D195</f>
        <v>#DIV/0!</v>
      </c>
      <c r="E224" s="58" t="e">
        <f>E195</f>
        <v>#DIV/0!</v>
      </c>
      <c r="F224" s="59" t="e">
        <f>F195</f>
        <v>#DIV/0!</v>
      </c>
    </row>
    <row r="225" spans="2:7" x14ac:dyDescent="0.25">
      <c r="B225" s="75" t="s">
        <v>330</v>
      </c>
      <c r="C225" s="58" t="e">
        <f>C200</f>
        <v>#DIV/0!</v>
      </c>
      <c r="D225" s="58" t="e">
        <f>D200</f>
        <v>#DIV/0!</v>
      </c>
      <c r="E225" s="58" t="e">
        <f>E200</f>
        <v>#DIV/0!</v>
      </c>
      <c r="F225" s="59" t="e">
        <f>F200</f>
        <v>#DIV/0!</v>
      </c>
    </row>
    <row r="226" spans="2:7" x14ac:dyDescent="0.25">
      <c r="B226" s="75" t="s">
        <v>68</v>
      </c>
      <c r="C226" s="58" t="e">
        <f>C206</f>
        <v>#DIV/0!</v>
      </c>
      <c r="D226" s="58" t="e">
        <f>D206</f>
        <v>#DIV/0!</v>
      </c>
      <c r="E226" s="58" t="e">
        <f>E206</f>
        <v>#DIV/0!</v>
      </c>
      <c r="F226" s="59" t="e">
        <f>F206</f>
        <v>#DIV/0!</v>
      </c>
    </row>
    <row r="227" spans="2:7" ht="15.75" thickBot="1" x14ac:dyDescent="0.3">
      <c r="B227" s="76" t="s">
        <v>68</v>
      </c>
      <c r="C227" s="77" t="e">
        <f>C211</f>
        <v>#DIV/0!</v>
      </c>
      <c r="D227" s="77" t="e">
        <f>D211</f>
        <v>#DIV/0!</v>
      </c>
      <c r="E227" s="77" t="e">
        <f>E211</f>
        <v>#DIV/0!</v>
      </c>
      <c r="F227" s="78" t="e">
        <f>F211</f>
        <v>#DIV/0!</v>
      </c>
    </row>
    <row r="228" spans="2:7" x14ac:dyDescent="0.25">
      <c r="B228" s="79" t="s">
        <v>669</v>
      </c>
      <c r="C228" s="81" t="e">
        <f>SUM(C219:C227)</f>
        <v>#DIV/0!</v>
      </c>
      <c r="D228" s="81" t="e">
        <f>SUM(D219:D227)</f>
        <v>#DIV/0!</v>
      </c>
      <c r="E228" s="81" t="e">
        <f>SUM(E219:E227)</f>
        <v>#DIV/0!</v>
      </c>
      <c r="F228" s="84" t="e">
        <f>SUM(F219:F227)</f>
        <v>#DIV/0!</v>
      </c>
    </row>
    <row r="229" spans="2:7" ht="15.75" thickBot="1" x14ac:dyDescent="0.3">
      <c r="B229" s="80" t="s">
        <v>670</v>
      </c>
      <c r="C229" s="82" t="e">
        <f>AVERAGE(C219:C227)</f>
        <v>#DIV/0!</v>
      </c>
      <c r="D229" s="82" t="e">
        <f>AVERAGE(D219:D227)</f>
        <v>#DIV/0!</v>
      </c>
      <c r="E229" s="82" t="e">
        <f>AVERAGE(E219:E227)</f>
        <v>#DIV/0!</v>
      </c>
      <c r="F229" s="85" t="e">
        <f>AVERAGE(F219:F227)</f>
        <v>#DIV/0!</v>
      </c>
    </row>
    <row r="231" spans="2:7" ht="15.75" thickBot="1" x14ac:dyDescent="0.3"/>
    <row r="232" spans="2:7" ht="17.25" thickBot="1" x14ac:dyDescent="0.3">
      <c r="B232" s="64" t="s">
        <v>66</v>
      </c>
      <c r="C232" s="86" t="s">
        <v>73</v>
      </c>
    </row>
    <row r="233" spans="2:7" ht="17.25" thickBot="1" x14ac:dyDescent="0.3">
      <c r="B233" s="64" t="s">
        <v>647</v>
      </c>
      <c r="C233" s="65">
        <v>2019</v>
      </c>
    </row>
    <row r="234" spans="2:7" ht="17.25" thickBot="1" x14ac:dyDescent="0.3">
      <c r="B234" s="64" t="s">
        <v>646</v>
      </c>
      <c r="C234" s="65">
        <f>COUNTIFS(TblUniv20196[th lulus],C233,TblUniv20196[Program Pendidikan],C232)</f>
        <v>0</v>
      </c>
    </row>
    <row r="235" spans="2:7" ht="16.5" x14ac:dyDescent="0.3">
      <c r="B235" s="55"/>
      <c r="C235" s="56" t="s">
        <v>69</v>
      </c>
      <c r="D235" s="56" t="s">
        <v>1</v>
      </c>
      <c r="E235" s="56" t="s">
        <v>75</v>
      </c>
      <c r="F235" s="56" t="s">
        <v>168</v>
      </c>
      <c r="G235" s="56"/>
    </row>
    <row r="236" spans="2:7" ht="16.5" x14ac:dyDescent="0.3">
      <c r="B236" s="57" t="s">
        <v>26</v>
      </c>
      <c r="C236" s="66" t="e">
        <f>COUNTIFS(TblUniv20196[B1],C$48,TblUniv20196[Program Pendidikan],$C$232)/$C$234*100%</f>
        <v>#DIV/0!</v>
      </c>
      <c r="D236" s="66" t="e">
        <f>COUNTIFS(TblUniv20196[B1],D$48,TblUniv20196[Program Pendidikan],$C$232)/$C$234*100%</f>
        <v>#DIV/0!</v>
      </c>
      <c r="E236" s="66" t="e">
        <f>COUNTIFS(TblUniv20196[B1],E$48,TblUniv20196[Program Pendidikan],$C$232)/$C$234*100%</f>
        <v>#DIV/0!</v>
      </c>
      <c r="F236" s="66" t="e">
        <f>COUNTIFS(TblUniv20196[B1],F$48,TblUniv20196[Program Pendidikan],$C$232)/$C$234*100%</f>
        <v>#DIV/0!</v>
      </c>
      <c r="G236" s="62" t="e">
        <f t="shared" ref="G236:G273" si="17">SUM(C236:F236)</f>
        <v>#DIV/0!</v>
      </c>
    </row>
    <row r="237" spans="2:7" ht="16.5" x14ac:dyDescent="0.3">
      <c r="B237" s="57" t="s">
        <v>27</v>
      </c>
      <c r="C237" s="66" t="e">
        <f>COUNTIFS(TblUniv20196[B2],C$48,TblUniv20196[Program Pendidikan],$C$232)/$C$234*100%</f>
        <v>#DIV/0!</v>
      </c>
      <c r="D237" s="66" t="e">
        <f>COUNTIFS(TblUniv20196[B2],D$48,TblUniv20196[Program Pendidikan],$C$232)/$C$234*100%</f>
        <v>#DIV/0!</v>
      </c>
      <c r="E237" s="66" t="e">
        <f>COUNTIFS(TblUniv20196[B2],E$48,TblUniv20196[Program Pendidikan],$C$232)/$C$234*100%</f>
        <v>#DIV/0!</v>
      </c>
      <c r="F237" s="66" t="e">
        <f>COUNTIFS(TblUniv20196[B2],F$48,TblUniv20196[Program Pendidikan],$C$232)/$C$234*100%</f>
        <v>#DIV/0!</v>
      </c>
      <c r="G237" s="62" t="e">
        <f t="shared" si="17"/>
        <v>#DIV/0!</v>
      </c>
    </row>
    <row r="238" spans="2:7" ht="16.5" x14ac:dyDescent="0.3">
      <c r="B238" s="57" t="s">
        <v>28</v>
      </c>
      <c r="C238" s="66" t="e">
        <f>COUNTIFS(TblUniv20196[B3],C$48,TblUniv20196[Program Pendidikan],$C$232)/$C$234*100%</f>
        <v>#DIV/0!</v>
      </c>
      <c r="D238" s="66" t="e">
        <f>COUNTIFS(TblUniv20196[B3],D$48,TblUniv20196[Program Pendidikan],$C$232)/$C$234*100%</f>
        <v>#DIV/0!</v>
      </c>
      <c r="E238" s="66" t="e">
        <f>COUNTIFS(TblUniv20196[B3],E$48,TblUniv20196[Program Pendidikan],$C$232)/$C$234*100%</f>
        <v>#DIV/0!</v>
      </c>
      <c r="F238" s="66" t="e">
        <f>COUNTIFS(TblUniv20196[B3],F$48,TblUniv20196[Program Pendidikan],$C$232)/$C$234*100%</f>
        <v>#DIV/0!</v>
      </c>
      <c r="G238" s="62" t="e">
        <f t="shared" si="17"/>
        <v>#DIV/0!</v>
      </c>
    </row>
    <row r="239" spans="2:7" ht="16.5" x14ac:dyDescent="0.3">
      <c r="B239" s="57" t="s">
        <v>29</v>
      </c>
      <c r="C239" s="66" t="e">
        <f>COUNTIFS(TblUniv20196[B4],C$48,TblUniv20196[Program Pendidikan],$C$232)/$C$234*100%</f>
        <v>#DIV/0!</v>
      </c>
      <c r="D239" s="66" t="e">
        <f>COUNTIFS(TblUniv20196[B4],D$48,TblUniv20196[Program Pendidikan],$C$232)/$C$234*100%</f>
        <v>#DIV/0!</v>
      </c>
      <c r="E239" s="66" t="e">
        <f>COUNTIFS(TblUniv20196[B4],E$48,TblUniv20196[Program Pendidikan],$C$232)/$C$234*100%</f>
        <v>#DIV/0!</v>
      </c>
      <c r="F239" s="66" t="e">
        <f>COUNTIFS(TblUniv20196[B4],F$48,TblUniv20196[Program Pendidikan],$C$232)/$C$234*100%</f>
        <v>#DIV/0!</v>
      </c>
      <c r="G239" s="62" t="e">
        <f t="shared" si="17"/>
        <v>#DIV/0!</v>
      </c>
    </row>
    <row r="240" spans="2:7" ht="16.5" x14ac:dyDescent="0.3">
      <c r="B240" s="57" t="s">
        <v>30</v>
      </c>
      <c r="C240" s="66" t="e">
        <f>COUNTIFS(TblUniv20196[B5],C$48,TblUniv20196[Program Pendidikan],$C$232)/$C$234*100%</f>
        <v>#DIV/0!</v>
      </c>
      <c r="D240" s="66" t="e">
        <f>COUNTIFS(TblUniv20196[B5],D$48,TblUniv20196[Program Pendidikan],$C$232)/$C$234*100%</f>
        <v>#DIV/0!</v>
      </c>
      <c r="E240" s="66" t="e">
        <f>COUNTIFS(TblUniv20196[B5],E$48,TblUniv20196[Program Pendidikan],$C$232)/$C$234*100%</f>
        <v>#DIV/0!</v>
      </c>
      <c r="F240" s="66" t="e">
        <f>COUNTIFS(TblUniv20196[B5],F$48,TblUniv20196[Program Pendidikan],$C$232)/$C$234*100%</f>
        <v>#DIV/0!</v>
      </c>
      <c r="G240" s="62" t="e">
        <f t="shared" si="17"/>
        <v>#DIV/0!</v>
      </c>
    </row>
    <row r="241" spans="2:7" ht="16.5" x14ac:dyDescent="0.3">
      <c r="B241" s="60"/>
      <c r="C241" s="61" t="e">
        <f>AVERAGE(C236:C240)</f>
        <v>#DIV/0!</v>
      </c>
      <c r="D241" s="61" t="e">
        <f>AVERAGE(D236:D240)</f>
        <v>#DIV/0!</v>
      </c>
      <c r="E241" s="61" t="e">
        <f>AVERAGE(E236:E240)</f>
        <v>#DIV/0!</v>
      </c>
      <c r="F241" s="61" t="e">
        <f>AVERAGE(F236:F240)</f>
        <v>#DIV/0!</v>
      </c>
      <c r="G241" s="62" t="e">
        <f t="shared" si="17"/>
        <v>#DIV/0!</v>
      </c>
    </row>
    <row r="242" spans="2:7" ht="16.5" x14ac:dyDescent="0.3">
      <c r="B242" s="57" t="s">
        <v>31</v>
      </c>
      <c r="C242" s="66" t="e">
        <f>COUNTIFS(TblUniv20196[C1],C$48,TblUniv20196[Program Pendidikan],$C$232)/$C$234*100%</f>
        <v>#DIV/0!</v>
      </c>
      <c r="D242" s="66" t="e">
        <f>COUNTIFS(TblUniv20196[C1],D$48,TblUniv20196[Program Pendidikan],$C$232)/$C$234*100%</f>
        <v>#DIV/0!</v>
      </c>
      <c r="E242" s="66" t="e">
        <f>COUNTIFS(TblUniv20196[C1],E$48,TblUniv20196[Program Pendidikan],$C$232)/$C$234*100%</f>
        <v>#DIV/0!</v>
      </c>
      <c r="F242" s="66" t="e">
        <f>COUNTIFS(TblUniv20196[C1],F$48,TblUniv20196[Program Pendidikan],$C$232)/$C$234*100%</f>
        <v>#DIV/0!</v>
      </c>
      <c r="G242" s="62" t="e">
        <f t="shared" si="17"/>
        <v>#DIV/0!</v>
      </c>
    </row>
    <row r="243" spans="2:7" ht="16.5" x14ac:dyDescent="0.3">
      <c r="B243" s="57" t="s">
        <v>32</v>
      </c>
      <c r="C243" s="66" t="e">
        <f>COUNTIFS(TblUniv20196[C2],C$48,TblUniv20196[Program Pendidikan],$C$232)/$C$234*100%</f>
        <v>#DIV/0!</v>
      </c>
      <c r="D243" s="66" t="e">
        <f>COUNTIFS(TblUniv20196[C2],D$48,TblUniv20196[Program Pendidikan],$C$232)/$C$234*100%</f>
        <v>#DIV/0!</v>
      </c>
      <c r="E243" s="66" t="e">
        <f>COUNTIFS(TblUniv20196[C2],E$48,TblUniv20196[Program Pendidikan],$C$232)/$C$234*100%</f>
        <v>#DIV/0!</v>
      </c>
      <c r="F243" s="66" t="e">
        <f>COUNTIFS(TblUniv20196[C2],F$48,TblUniv20196[Program Pendidikan],$C$232)/$C$234*100%</f>
        <v>#DIV/0!</v>
      </c>
      <c r="G243" s="62" t="e">
        <f t="shared" si="17"/>
        <v>#DIV/0!</v>
      </c>
    </row>
    <row r="244" spans="2:7" ht="16.5" x14ac:dyDescent="0.3">
      <c r="B244" s="60"/>
      <c r="C244" s="61" t="e">
        <f>AVERAGE(C242:C243)</f>
        <v>#DIV/0!</v>
      </c>
      <c r="D244" s="61" t="e">
        <f>AVERAGE(D242:D243)</f>
        <v>#DIV/0!</v>
      </c>
      <c r="E244" s="61" t="e">
        <f>AVERAGE(E242:E243)</f>
        <v>#DIV/0!</v>
      </c>
      <c r="F244" s="61" t="e">
        <f>AVERAGE(F242:F243)</f>
        <v>#DIV/0!</v>
      </c>
      <c r="G244" s="62" t="e">
        <f t="shared" si="17"/>
        <v>#DIV/0!</v>
      </c>
    </row>
    <row r="245" spans="2:7" ht="16.5" x14ac:dyDescent="0.3">
      <c r="B245" s="57" t="s">
        <v>33</v>
      </c>
      <c r="C245" s="66" t="e">
        <f>COUNTIFS(TblUniv20196[D1],C$48,TblUniv20196[Program Pendidikan],$C$232)/$C$234*100%</f>
        <v>#DIV/0!</v>
      </c>
      <c r="D245" s="66" t="e">
        <f>COUNTIFS(TblUniv20196[D1],D$48,TblUniv20196[Program Pendidikan],$C$232)/$C$234*100%</f>
        <v>#DIV/0!</v>
      </c>
      <c r="E245" s="66" t="e">
        <f>COUNTIFS(TblUniv20196[D1],E$48,TblUniv20196[Program Pendidikan],$C$232)/$C$234*100%</f>
        <v>#DIV/0!</v>
      </c>
      <c r="F245" s="66" t="e">
        <f>COUNTIFS(TblUniv20196[D1],F$48,TblUniv20196[Program Pendidikan],$C$232)/$C$234*100%</f>
        <v>#DIV/0!</v>
      </c>
      <c r="G245" s="62" t="e">
        <f t="shared" si="17"/>
        <v>#DIV/0!</v>
      </c>
    </row>
    <row r="246" spans="2:7" ht="16.5" x14ac:dyDescent="0.3">
      <c r="B246" s="57" t="s">
        <v>34</v>
      </c>
      <c r="C246" s="66" t="e">
        <f>COUNTIFS(TblUniv20196[D2],C$48,TblUniv20196[Program Pendidikan],$C$232)/$C$234*100%</f>
        <v>#DIV/0!</v>
      </c>
      <c r="D246" s="66" t="e">
        <f>COUNTIFS(TblUniv20196[D2],D$48,TblUniv20196[Program Pendidikan],$C$232)/$C$234*100%</f>
        <v>#DIV/0!</v>
      </c>
      <c r="E246" s="66" t="e">
        <f>COUNTIFS(TblUniv20196[D2],E$48,TblUniv20196[Program Pendidikan],$C$232)/$C$234*100%</f>
        <v>#DIV/0!</v>
      </c>
      <c r="F246" s="66" t="e">
        <f>COUNTIFS(TblUniv20196[D2],F$48,TblUniv20196[Program Pendidikan],$C$232)/$C$234*100%</f>
        <v>#DIV/0!</v>
      </c>
      <c r="G246" s="62" t="e">
        <f t="shared" si="17"/>
        <v>#DIV/0!</v>
      </c>
    </row>
    <row r="247" spans="2:7" ht="16.5" x14ac:dyDescent="0.3">
      <c r="B247" s="60"/>
      <c r="C247" s="61" t="e">
        <f>AVERAGE(C245:C246)</f>
        <v>#DIV/0!</v>
      </c>
      <c r="D247" s="61" t="e">
        <f>AVERAGE(D245:D246)</f>
        <v>#DIV/0!</v>
      </c>
      <c r="E247" s="61" t="e">
        <f>AVERAGE(E245:E246)</f>
        <v>#DIV/0!</v>
      </c>
      <c r="F247" s="61" t="e">
        <f>AVERAGE(F245:F246)</f>
        <v>#DIV/0!</v>
      </c>
      <c r="G247" s="62" t="e">
        <f t="shared" si="17"/>
        <v>#DIV/0!</v>
      </c>
    </row>
    <row r="248" spans="2:7" ht="16.5" x14ac:dyDescent="0.3">
      <c r="B248" s="57" t="s">
        <v>35</v>
      </c>
      <c r="C248" s="66" t="e">
        <f>COUNTIFS(TblUniv20196[E1],C$48,TblUniv20196[Program Pendidikan],$C$232)/$C$234*100%</f>
        <v>#DIV/0!</v>
      </c>
      <c r="D248" s="66" t="e">
        <f>COUNTIFS(TblUniv20196[E1],D$48,TblUniv20196[Program Pendidikan],$C$232)/$C$234*100%</f>
        <v>#DIV/0!</v>
      </c>
      <c r="E248" s="66" t="e">
        <f>COUNTIFS(TblUniv20196[E1],E$48,TblUniv20196[Program Pendidikan],$C$232)/$C$234*100%</f>
        <v>#DIV/0!</v>
      </c>
      <c r="F248" s="66" t="e">
        <f>COUNTIFS(TblUniv20196[E1],F$48,TblUniv20196[Program Pendidikan],$C$232)/$C$234*100%</f>
        <v>#DIV/0!</v>
      </c>
      <c r="G248" s="62" t="e">
        <f t="shared" si="17"/>
        <v>#DIV/0!</v>
      </c>
    </row>
    <row r="249" spans="2:7" ht="16.5" x14ac:dyDescent="0.3">
      <c r="B249" s="57" t="s">
        <v>36</v>
      </c>
      <c r="C249" s="66" t="e">
        <f>COUNTIFS(TblUniv20196[E2],C$48,TblUniv20196[Program Pendidikan],$C$232)/$C$234*100%</f>
        <v>#DIV/0!</v>
      </c>
      <c r="D249" s="66" t="e">
        <f>COUNTIFS(TblUniv20196[E2],D$48,TblUniv20196[Program Pendidikan],$C$232)/$C$234*100%</f>
        <v>#DIV/0!</v>
      </c>
      <c r="E249" s="66" t="e">
        <f>COUNTIFS(TblUniv20196[E2],E$48,TblUniv20196[Program Pendidikan],$C$232)/$C$234*100%</f>
        <v>#DIV/0!</v>
      </c>
      <c r="F249" s="66" t="e">
        <f>COUNTIFS(TblUniv20196[E2],F$48,TblUniv20196[Program Pendidikan],$C$232)/$C$234*100%</f>
        <v>#DIV/0!</v>
      </c>
      <c r="G249" s="62" t="e">
        <f t="shared" si="17"/>
        <v>#DIV/0!</v>
      </c>
    </row>
    <row r="250" spans="2:7" ht="16.5" x14ac:dyDescent="0.3">
      <c r="B250" s="60"/>
      <c r="C250" s="61" t="e">
        <f>AVERAGE(C248:C249)</f>
        <v>#DIV/0!</v>
      </c>
      <c r="D250" s="61" t="e">
        <f>AVERAGE(D248:D249)</f>
        <v>#DIV/0!</v>
      </c>
      <c r="E250" s="61" t="e">
        <f>AVERAGE(E248:E249)</f>
        <v>#DIV/0!</v>
      </c>
      <c r="F250" s="61" t="e">
        <f>AVERAGE(F248:F249)</f>
        <v>#DIV/0!</v>
      </c>
      <c r="G250" s="62" t="e">
        <f t="shared" si="17"/>
        <v>#DIV/0!</v>
      </c>
    </row>
    <row r="251" spans="2:7" ht="16.5" x14ac:dyDescent="0.3">
      <c r="B251" s="57" t="s">
        <v>37</v>
      </c>
      <c r="C251" s="66" t="e">
        <f>COUNTIFS(TblUniv20196[F1],C$48,TblUniv20196[Program Pendidikan],$C$232)/$C$234*100%</f>
        <v>#DIV/0!</v>
      </c>
      <c r="D251" s="66" t="e">
        <f>COUNTIFS(TblUniv20196[F1],D$48,TblUniv20196[Program Pendidikan],$C$232)/$C$234*100%</f>
        <v>#DIV/0!</v>
      </c>
      <c r="E251" s="66" t="e">
        <f>COUNTIFS(TblUniv20196[F1],E$48,TblUniv20196[Program Pendidikan],$C$232)/$C$234*100%</f>
        <v>#DIV/0!</v>
      </c>
      <c r="F251" s="66" t="e">
        <f>COUNTIFS(TblUniv20196[F1],F$48,TblUniv20196[Program Pendidikan],$C$232)/$C$234*100%</f>
        <v>#DIV/0!</v>
      </c>
      <c r="G251" s="62" t="e">
        <f t="shared" si="17"/>
        <v>#DIV/0!</v>
      </c>
    </row>
    <row r="252" spans="2:7" ht="16.5" x14ac:dyDescent="0.3">
      <c r="B252" s="57" t="s">
        <v>38</v>
      </c>
      <c r="C252" s="66" t="e">
        <f>COUNTIFS(TblUniv20196[F2],C$48,TblUniv20196[Program Pendidikan],$C$232)/$C$234*100%</f>
        <v>#DIV/0!</v>
      </c>
      <c r="D252" s="66" t="e">
        <f>COUNTIFS(TblUniv20196[F2],D$48,TblUniv20196[Program Pendidikan],$C$232)/$C$234*100%</f>
        <v>#DIV/0!</v>
      </c>
      <c r="E252" s="66" t="e">
        <f>COUNTIFS(TblUniv20196[F2],E$48,TblUniv20196[Program Pendidikan],$C$232)/$C$234*100%</f>
        <v>#DIV/0!</v>
      </c>
      <c r="F252" s="66" t="e">
        <f>COUNTIFS(TblUniv20196[F2],F$48,TblUniv20196[Program Pendidikan],$C$232)/$C$234*100%</f>
        <v>#DIV/0!</v>
      </c>
      <c r="G252" s="62" t="e">
        <f t="shared" si="17"/>
        <v>#DIV/0!</v>
      </c>
    </row>
    <row r="253" spans="2:7" ht="16.5" x14ac:dyDescent="0.3">
      <c r="B253" s="57" t="s">
        <v>39</v>
      </c>
      <c r="C253" s="66" t="e">
        <f>COUNTIFS(TblUniv20196[F3],C$48,TblUniv20196[Program Pendidikan],$C$232)/$C$234*100%</f>
        <v>#DIV/0!</v>
      </c>
      <c r="D253" s="66" t="e">
        <f>COUNTIFS(TblUniv20196[F3],D$48,TblUniv20196[Program Pendidikan],$C$232)/$C$234*100%</f>
        <v>#DIV/0!</v>
      </c>
      <c r="E253" s="66" t="e">
        <f>COUNTIFS(TblUniv20196[F3],E$48,TblUniv20196[Program Pendidikan],$C$232)/$C$234*100%</f>
        <v>#DIV/0!</v>
      </c>
      <c r="F253" s="66" t="e">
        <f>COUNTIFS(TblUniv20196[F3],F$48,TblUniv20196[Program Pendidikan],$C$232)/$C$234*100%</f>
        <v>#DIV/0!</v>
      </c>
      <c r="G253" s="62" t="e">
        <f t="shared" si="17"/>
        <v>#DIV/0!</v>
      </c>
    </row>
    <row r="254" spans="2:7" ht="16.5" x14ac:dyDescent="0.3">
      <c r="B254" s="60"/>
      <c r="C254" s="61" t="e">
        <f>AVERAGE(C251:C253)</f>
        <v>#DIV/0!</v>
      </c>
      <c r="D254" s="61" t="e">
        <f>AVERAGE(D251:D253)</f>
        <v>#DIV/0!</v>
      </c>
      <c r="E254" s="61" t="e">
        <f>AVERAGE(E251:E253)</f>
        <v>#DIV/0!</v>
      </c>
      <c r="F254" s="61" t="e">
        <f>AVERAGE(F251:F253)</f>
        <v>#DIV/0!</v>
      </c>
      <c r="G254" s="62" t="e">
        <f t="shared" si="17"/>
        <v>#DIV/0!</v>
      </c>
    </row>
    <row r="255" spans="2:7" ht="16.5" x14ac:dyDescent="0.3">
      <c r="B255" s="57" t="s">
        <v>40</v>
      </c>
      <c r="C255" s="66" t="e">
        <f>COUNTIFS(TblUniv20196[G1],C$48,TblUniv20196[Program Pendidikan],$C$232)/$C$234*100%</f>
        <v>#DIV/0!</v>
      </c>
      <c r="D255" s="66" t="e">
        <f>COUNTIFS(TblUniv20196[G1],D$48,TblUniv20196[Program Pendidikan],$C$232)/$C$234*100%</f>
        <v>#DIV/0!</v>
      </c>
      <c r="E255" s="66" t="e">
        <f>COUNTIFS(TblUniv20196[G1],E$48,TblUniv20196[Program Pendidikan],$C$232)/$C$234*100%</f>
        <v>#DIV/0!</v>
      </c>
      <c r="F255" s="66" t="e">
        <f>COUNTIFS(TblUniv20196[G1],F$48,TblUniv20196[Program Pendidikan],$C$232)/$C$234*100%</f>
        <v>#DIV/0!</v>
      </c>
      <c r="G255" s="62" t="e">
        <f t="shared" si="17"/>
        <v>#DIV/0!</v>
      </c>
    </row>
    <row r="256" spans="2:7" ht="16.5" x14ac:dyDescent="0.3">
      <c r="B256" s="57" t="s">
        <v>41</v>
      </c>
      <c r="C256" s="66" t="e">
        <f>COUNTIFS(TblUniv20196[G2],C$48,TblUniv20196[Program Pendidikan],$C$232)/$C$234*100%</f>
        <v>#DIV/0!</v>
      </c>
      <c r="D256" s="66" t="e">
        <f>COUNTIFS(TblUniv20196[G2],D$48,TblUniv20196[Program Pendidikan],$C$232)/$C$234*100%</f>
        <v>#DIV/0!</v>
      </c>
      <c r="E256" s="66" t="e">
        <f>COUNTIFS(TblUniv20196[G2],E$48,TblUniv20196[Program Pendidikan],$C$232)/$C$234*100%</f>
        <v>#DIV/0!</v>
      </c>
      <c r="F256" s="66" t="e">
        <f>COUNTIFS(TblUniv20196[G2],F$48,TblUniv20196[Program Pendidikan],$C$232)/$C$234*100%</f>
        <v>#DIV/0!</v>
      </c>
      <c r="G256" s="62" t="e">
        <f t="shared" si="17"/>
        <v>#DIV/0!</v>
      </c>
    </row>
    <row r="257" spans="2:7" ht="16.5" x14ac:dyDescent="0.3">
      <c r="B257" s="60"/>
      <c r="C257" s="61" t="e">
        <f>AVERAGE(C255:C256)</f>
        <v>#DIV/0!</v>
      </c>
      <c r="D257" s="61" t="e">
        <f>AVERAGE(D255:D256)</f>
        <v>#DIV/0!</v>
      </c>
      <c r="E257" s="61" t="e">
        <f>AVERAGE(E255:E256)</f>
        <v>#DIV/0!</v>
      </c>
      <c r="F257" s="61" t="e">
        <f>AVERAGE(F255:F256)</f>
        <v>#DIV/0!</v>
      </c>
      <c r="G257" s="62" t="e">
        <f t="shared" si="17"/>
        <v>#DIV/0!</v>
      </c>
    </row>
    <row r="258" spans="2:7" ht="16.5" x14ac:dyDescent="0.3">
      <c r="B258" s="57" t="s">
        <v>42</v>
      </c>
      <c r="C258" s="66" t="e">
        <f>COUNTIFS(TblUniv20196[H1],C$48,TblUniv20196[Program Pendidikan],$C$232)/$C$234*100%</f>
        <v>#DIV/0!</v>
      </c>
      <c r="D258" s="66" t="e">
        <f>COUNTIFS(TblUniv20196[H1],D$48,TblUniv20196[Program Pendidikan],$C$232)/$C$234*100%</f>
        <v>#DIV/0!</v>
      </c>
      <c r="E258" s="66" t="e">
        <f>COUNTIFS(TblUniv20196[H1],E$48,TblUniv20196[Program Pendidikan],$C$232)/$C$234*100%</f>
        <v>#DIV/0!</v>
      </c>
      <c r="F258" s="66" t="e">
        <f>COUNTIFS(TblUniv20196[H1],F$48,TblUniv20196[Program Pendidikan],$C$232)/$C$234*100%</f>
        <v>#DIV/0!</v>
      </c>
      <c r="G258" s="62" t="e">
        <f t="shared" si="17"/>
        <v>#DIV/0!</v>
      </c>
    </row>
    <row r="259" spans="2:7" ht="16.5" x14ac:dyDescent="0.3">
      <c r="B259" s="57" t="s">
        <v>43</v>
      </c>
      <c r="C259" s="66" t="e">
        <f>COUNTIFS(TblUniv20196[H1],C$48,TblUniv20196[Program Pendidikan],$C$232)/$C$234*100%</f>
        <v>#DIV/0!</v>
      </c>
      <c r="D259" s="66" t="e">
        <f>COUNTIFS(TblUniv20196[H1],D$48,TblUniv20196[Program Pendidikan],$C$232)/$C$234*100%</f>
        <v>#DIV/0!</v>
      </c>
      <c r="E259" s="66" t="e">
        <f>COUNTIFS(TblUniv20196[H1],E$48,TblUniv20196[Program Pendidikan],$C$232)/$C$234*100%</f>
        <v>#DIV/0!</v>
      </c>
      <c r="F259" s="66" t="e">
        <f>COUNTIFS(TblUniv20196[H1],F$48,TblUniv20196[Program Pendidikan],$C$232)/$C$234*100%</f>
        <v>#DIV/0!</v>
      </c>
      <c r="G259" s="62" t="e">
        <f t="shared" si="17"/>
        <v>#DIV/0!</v>
      </c>
    </row>
    <row r="260" spans="2:7" ht="16.5" x14ac:dyDescent="0.3">
      <c r="B260" s="57" t="s">
        <v>44</v>
      </c>
      <c r="C260" s="66" t="e">
        <f>COUNTIFS(TblUniv20196[H3],C$48,TblUniv20196[Program Pendidikan],$C$232)/$C$234*100%</f>
        <v>#DIV/0!</v>
      </c>
      <c r="D260" s="66" t="e">
        <f>COUNTIFS(TblUniv20196[H3],D$48,TblUniv20196[Program Pendidikan],$C$232)/$C$234*100%</f>
        <v>#DIV/0!</v>
      </c>
      <c r="E260" s="66" t="e">
        <f>COUNTIFS(TblUniv20196[H3],E$48,TblUniv20196[Program Pendidikan],$C$232)/$C$234*100%</f>
        <v>#DIV/0!</v>
      </c>
      <c r="F260" s="66" t="e">
        <f>COUNTIFS(TblUniv20196[H3],F$48,TblUniv20196[Program Pendidikan],$C$232)/$C$234*100%</f>
        <v>#DIV/0!</v>
      </c>
      <c r="G260" s="62" t="e">
        <f t="shared" si="17"/>
        <v>#DIV/0!</v>
      </c>
    </row>
    <row r="261" spans="2:7" ht="16.5" x14ac:dyDescent="0.3">
      <c r="B261" s="57" t="s">
        <v>45</v>
      </c>
      <c r="C261" s="66" t="e">
        <f>COUNTIFS(TblUniv20196[H4],C$48,TblUniv20196[Program Pendidikan],$C$232)/$C$234*100%</f>
        <v>#DIV/0!</v>
      </c>
      <c r="D261" s="66" t="e">
        <f>COUNTIFS(TblUniv20196[H4],D$48,TblUniv20196[Program Pendidikan],$C$232)/$C$234*100%</f>
        <v>#DIV/0!</v>
      </c>
      <c r="E261" s="66" t="e">
        <f>COUNTIFS(TblUniv20196[H4],E$48,TblUniv20196[Program Pendidikan],$C$232)/$C$234*100%</f>
        <v>#DIV/0!</v>
      </c>
      <c r="F261" s="66" t="e">
        <f>COUNTIFS(TblUniv20196[H4],F$48,TblUniv20196[Program Pendidikan],$C$232)/$C$234*100%</f>
        <v>#DIV/0!</v>
      </c>
      <c r="G261" s="62" t="e">
        <f t="shared" si="17"/>
        <v>#DIV/0!</v>
      </c>
    </row>
    <row r="262" spans="2:7" ht="16.5" x14ac:dyDescent="0.3">
      <c r="B262" s="60"/>
      <c r="C262" s="61" t="e">
        <f>AVERAGE(C258:C261)</f>
        <v>#DIV/0!</v>
      </c>
      <c r="D262" s="61" t="e">
        <f>AVERAGE(D258:D261)</f>
        <v>#DIV/0!</v>
      </c>
      <c r="E262" s="61" t="e">
        <f>AVERAGE(E258:E261)</f>
        <v>#DIV/0!</v>
      </c>
      <c r="F262" s="61" t="e">
        <f>AVERAGE(F258:F261)</f>
        <v>#DIV/0!</v>
      </c>
      <c r="G262" s="62" t="e">
        <f t="shared" si="17"/>
        <v>#DIV/0!</v>
      </c>
    </row>
    <row r="263" spans="2:7" ht="16.5" x14ac:dyDescent="0.3">
      <c r="B263" s="57" t="s">
        <v>648</v>
      </c>
      <c r="C263" s="66" t="e">
        <f>COUNTIFS(TblUniv20196[I. a1],C$48,TblUniv20196[Program Pendidikan],$C$232)/$C$234*100%</f>
        <v>#DIV/0!</v>
      </c>
      <c r="D263" s="66" t="e">
        <f>COUNTIFS(TblUniv20196[I. a1],D$48,TblUniv20196[Program Pendidikan],$C$232)/$C$234*100%</f>
        <v>#DIV/0!</v>
      </c>
      <c r="E263" s="66" t="e">
        <f>COUNTIFS(TblUniv20196[I. a1],E$48,TblUniv20196[Program Pendidikan],$C$232)/$C$234*100%</f>
        <v>#DIV/0!</v>
      </c>
      <c r="F263" s="66" t="e">
        <f>COUNTIFS(TblUniv20196[I. a1],F$48,TblUniv20196[Program Pendidikan],$C$232)/$C$234*100%</f>
        <v>#DIV/0!</v>
      </c>
      <c r="G263" s="62" t="e">
        <f t="shared" si="17"/>
        <v>#DIV/0!</v>
      </c>
    </row>
    <row r="264" spans="2:7" ht="16.5" x14ac:dyDescent="0.3">
      <c r="B264" s="57" t="s">
        <v>649</v>
      </c>
      <c r="C264" s="66" t="e">
        <f>COUNTIFS(TblUniv20196[I. a2],C$48,TblUniv20196[Program Pendidikan],$C$232)/$C$234*100%</f>
        <v>#DIV/0!</v>
      </c>
      <c r="D264" s="66" t="e">
        <f>COUNTIFS(TblUniv20196[I. a2],D$48,TblUniv20196[Program Pendidikan],$C$232)/$C$234*100%</f>
        <v>#DIV/0!</v>
      </c>
      <c r="E264" s="66" t="e">
        <f>COUNTIFS(TblUniv20196[I. a2],E$48,TblUniv20196[Program Pendidikan],$C$232)/$C$234*100%</f>
        <v>#DIV/0!</v>
      </c>
      <c r="F264" s="66" t="e">
        <f>COUNTIFS(TblUniv20196[I. a2],F$48,TblUniv20196[Program Pendidikan],$C$232)/$C$234*100%</f>
        <v>#DIV/0!</v>
      </c>
      <c r="G264" s="62" t="e">
        <f t="shared" si="17"/>
        <v>#DIV/0!</v>
      </c>
    </row>
    <row r="265" spans="2:7" ht="16.5" x14ac:dyDescent="0.3">
      <c r="B265" s="57" t="s">
        <v>650</v>
      </c>
      <c r="C265" s="66" t="e">
        <f>COUNTIFS(TblUniv20196[I. a3],C$48,TblUniv20196[Program Pendidikan],$C$232)/$C$234*100%</f>
        <v>#DIV/0!</v>
      </c>
      <c r="D265" s="66" t="e">
        <f>COUNTIFS(TblUniv20196[I. a3],D$48,TblUniv20196[Program Pendidikan],$C$232)/$C$234*100%</f>
        <v>#DIV/0!</v>
      </c>
      <c r="E265" s="66" t="e">
        <f>COUNTIFS(TblUniv20196[I. a3],E$48,TblUniv20196[Program Pendidikan],$C$232)/$C$234*100%</f>
        <v>#DIV/0!</v>
      </c>
      <c r="F265" s="66" t="e">
        <f>COUNTIFS(TblUniv20196[I. a3],F$48,TblUniv20196[Program Pendidikan],$C$232)/$C$234*100%</f>
        <v>#DIV/0!</v>
      </c>
      <c r="G265" s="62" t="e">
        <f t="shared" si="17"/>
        <v>#DIV/0!</v>
      </c>
    </row>
    <row r="266" spans="2:7" ht="16.5" x14ac:dyDescent="0.3">
      <c r="B266" s="57" t="s">
        <v>651</v>
      </c>
      <c r="C266" s="66" t="e">
        <f>COUNTIFS(TblUniv20196[I. a4],C$48,TblUniv20196[Program Pendidikan],$C$232)/$C$234*100%</f>
        <v>#DIV/0!</v>
      </c>
      <c r="D266" s="66" t="e">
        <f>COUNTIFS(TblUniv20196[I. a4],D$48,TblUniv20196[Program Pendidikan],$C$232)/$C$234*100%</f>
        <v>#DIV/0!</v>
      </c>
      <c r="E266" s="66" t="e">
        <f>COUNTIFS(TblUniv20196[I. a4],E$48,TblUniv20196[Program Pendidikan],$C$232)/$C$234*100%</f>
        <v>#DIV/0!</v>
      </c>
      <c r="F266" s="66" t="e">
        <f>COUNTIFS(TblUniv20196[I. a4],F$48,TblUniv20196[Program Pendidikan],$C$232)/$C$234*100%</f>
        <v>#DIV/0!</v>
      </c>
      <c r="G266" s="62" t="e">
        <f t="shared" si="17"/>
        <v>#DIV/0!</v>
      </c>
    </row>
    <row r="267" spans="2:7" ht="16.5" x14ac:dyDescent="0.3">
      <c r="B267" s="57" t="s">
        <v>652</v>
      </c>
      <c r="C267" s="66" t="e">
        <f>COUNTIFS(TblUniv20196[I. a5],C$48,TblUniv20196[Program Pendidikan],$C$232)/$C$234*100%</f>
        <v>#DIV/0!</v>
      </c>
      <c r="D267" s="66" t="e">
        <f>COUNTIFS(TblUniv20196[I. a5],D$48,TblUniv20196[Program Pendidikan],$C$232)/$C$234*100%</f>
        <v>#DIV/0!</v>
      </c>
      <c r="E267" s="66" t="e">
        <f>COUNTIFS(TblUniv20196[I. a5],E$48,TblUniv20196[Program Pendidikan],$C$232)/$C$234*100%</f>
        <v>#DIV/0!</v>
      </c>
      <c r="F267" s="66" t="e">
        <f>COUNTIFS(TblUniv20196[I. a5],F$48,TblUniv20196[Program Pendidikan],$C$232)/$C$234*100%</f>
        <v>#DIV/0!</v>
      </c>
      <c r="G267" s="62" t="e">
        <f t="shared" si="17"/>
        <v>#DIV/0!</v>
      </c>
    </row>
    <row r="268" spans="2:7" ht="16.5" x14ac:dyDescent="0.3">
      <c r="B268" s="60"/>
      <c r="C268" s="61" t="e">
        <f>AVERAGE(C263:C267)</f>
        <v>#DIV/0!</v>
      </c>
      <c r="D268" s="61" t="e">
        <f>AVERAGE(D263:D267)</f>
        <v>#DIV/0!</v>
      </c>
      <c r="E268" s="61" t="e">
        <f>AVERAGE(E263:E267)</f>
        <v>#DIV/0!</v>
      </c>
      <c r="F268" s="61" t="e">
        <f>AVERAGE(F263:F267)</f>
        <v>#DIV/0!</v>
      </c>
      <c r="G268" s="62" t="e">
        <f t="shared" si="17"/>
        <v>#DIV/0!</v>
      </c>
    </row>
    <row r="269" spans="2:7" ht="16.5" x14ac:dyDescent="0.3">
      <c r="B269" s="57" t="s">
        <v>653</v>
      </c>
      <c r="C269" s="66" t="e">
        <f>COUNTIFS(TblUniv20196[I. b1],C$48,TblUniv20196[Program Pendidikan],$C$232)/$C$234*100%</f>
        <v>#DIV/0!</v>
      </c>
      <c r="D269" s="66" t="e">
        <f>COUNTIFS(TblUniv20196[I. b1],D$48,TblUniv20196[Program Pendidikan],$C$232)/$C$234*100%</f>
        <v>#DIV/0!</v>
      </c>
      <c r="E269" s="66" t="e">
        <f>COUNTIFS(TblUniv20196[I. b1],E$48,TblUniv20196[Program Pendidikan],$C$232)/$C$234*100%</f>
        <v>#DIV/0!</v>
      </c>
      <c r="F269" s="66" t="e">
        <f>COUNTIFS(TblUniv20196[I. b1],F$48,TblUniv20196[Program Pendidikan],$C$232)/$C$234*100%</f>
        <v>#DIV/0!</v>
      </c>
      <c r="G269" s="62" t="e">
        <f t="shared" si="17"/>
        <v>#DIV/0!</v>
      </c>
    </row>
    <row r="270" spans="2:7" ht="16.5" x14ac:dyDescent="0.3">
      <c r="B270" s="57" t="s">
        <v>654</v>
      </c>
      <c r="C270" s="66" t="e">
        <f>COUNTIFS(TblUniv20196[I. b2],C$48,TblUniv20196[Program Pendidikan],$C$232)/$C$234*100%</f>
        <v>#DIV/0!</v>
      </c>
      <c r="D270" s="66" t="e">
        <f>COUNTIFS(TblUniv20196[I. b2],D$48,TblUniv20196[Program Pendidikan],$C$232)/$C$234*100%</f>
        <v>#DIV/0!</v>
      </c>
      <c r="E270" s="66" t="e">
        <f>COUNTIFS(TblUniv20196[I. b2],E$48,TblUniv20196[Program Pendidikan],$C$232)/$C$234*100%</f>
        <v>#DIV/0!</v>
      </c>
      <c r="F270" s="66" t="e">
        <f>COUNTIFS(TblUniv20196[I. b2],F$48,TblUniv20196[Program Pendidikan],$C$232)/$C$234*100%</f>
        <v>#DIV/0!</v>
      </c>
      <c r="G270" s="62" t="e">
        <f t="shared" si="17"/>
        <v>#DIV/0!</v>
      </c>
    </row>
    <row r="271" spans="2:7" ht="16.5" x14ac:dyDescent="0.3">
      <c r="B271" s="57" t="s">
        <v>655</v>
      </c>
      <c r="C271" s="66" t="e">
        <f>COUNTIFS(TblUniv20196[I. b3],C$48,TblUniv20196[Program Pendidikan],$C$232)/$C$234*100%</f>
        <v>#DIV/0!</v>
      </c>
      <c r="D271" s="66" t="e">
        <f>COUNTIFS(TblUniv20196[I. b3],D$48,TblUniv20196[Program Pendidikan],$C$232)/$C$234*100%</f>
        <v>#DIV/0!</v>
      </c>
      <c r="E271" s="66" t="e">
        <f>COUNTIFS(TblUniv20196[I. b3],E$48,TblUniv20196[Program Pendidikan],$C$232)/$C$234*100%</f>
        <v>#DIV/0!</v>
      </c>
      <c r="F271" s="66" t="e">
        <f>COUNTIFS(TblUniv20196[I. b3],F$48,TblUniv20196[Program Pendidikan],$C$232)/$C$234*100%</f>
        <v>#DIV/0!</v>
      </c>
      <c r="G271" s="62" t="e">
        <f t="shared" si="17"/>
        <v>#DIV/0!</v>
      </c>
    </row>
    <row r="272" spans="2:7" ht="16.5" x14ac:dyDescent="0.3">
      <c r="B272" s="57" t="s">
        <v>656</v>
      </c>
      <c r="C272" s="66" t="e">
        <f>COUNTIFS(TblUniv20196[I. b4],C$48,TblUniv20196[Program Pendidikan],$C$232)/$C$234*100%</f>
        <v>#DIV/0!</v>
      </c>
      <c r="D272" s="66" t="e">
        <f>COUNTIFS(TblUniv20196[I. b4],D$48,TblUniv20196[Program Pendidikan],$C$232)/$C$234*100%</f>
        <v>#DIV/0!</v>
      </c>
      <c r="E272" s="66" t="e">
        <f>COUNTIFS(TblUniv20196[I. b4],E$48,TblUniv20196[Program Pendidikan],$C$232)/$C$234*100%</f>
        <v>#DIV/0!</v>
      </c>
      <c r="F272" s="66" t="e">
        <f>COUNTIFS(TblUniv20196[I. b4],F$48,TblUniv20196[Program Pendidikan],$C$232)/$C$234*100%</f>
        <v>#DIV/0!</v>
      </c>
      <c r="G272" s="62" t="e">
        <f t="shared" si="17"/>
        <v>#DIV/0!</v>
      </c>
    </row>
    <row r="273" spans="2:7" ht="17.25" thickBot="1" x14ac:dyDescent="0.35">
      <c r="B273" s="67"/>
      <c r="C273" s="68" t="e">
        <f>AVERAGE(C269:C272)</f>
        <v>#DIV/0!</v>
      </c>
      <c r="D273" s="68" t="e">
        <f>AVERAGE(D269:D272)</f>
        <v>#DIV/0!</v>
      </c>
      <c r="E273" s="68" t="e">
        <f>AVERAGE(E269:E272)</f>
        <v>#DIV/0!</v>
      </c>
      <c r="F273" s="68" t="e">
        <f>AVERAGE(F269:F272)</f>
        <v>#DIV/0!</v>
      </c>
      <c r="G273" s="62" t="e">
        <f t="shared" si="17"/>
        <v>#DIV/0!</v>
      </c>
    </row>
    <row r="274" spans="2:7" ht="15.75" thickBot="1" x14ac:dyDescent="0.3"/>
    <row r="275" spans="2:7" ht="17.25" thickBot="1" x14ac:dyDescent="0.3">
      <c r="B275" s="64" t="s">
        <v>14</v>
      </c>
      <c r="C275" s="65" t="str">
        <f>C232</f>
        <v>Diploma Tiga</v>
      </c>
    </row>
    <row r="276" spans="2:7" ht="17.25" thickBot="1" x14ac:dyDescent="0.3">
      <c r="B276" s="64" t="s">
        <v>647</v>
      </c>
      <c r="C276" s="65">
        <f>C233</f>
        <v>2019</v>
      </c>
    </row>
    <row r="277" spans="2:7" ht="17.25" thickBot="1" x14ac:dyDescent="0.3">
      <c r="B277" s="64" t="s">
        <v>646</v>
      </c>
      <c r="C277" s="65">
        <f>C234</f>
        <v>0</v>
      </c>
    </row>
    <row r="278" spans="2:7" ht="15.75" thickBot="1" x14ac:dyDescent="0.3">
      <c r="B278" s="222" t="s">
        <v>658</v>
      </c>
      <c r="C278" s="223" t="s">
        <v>664</v>
      </c>
      <c r="D278" s="223"/>
      <c r="E278" s="223"/>
      <c r="F278" s="223"/>
    </row>
    <row r="279" spans="2:7" ht="15.75" thickBot="1" x14ac:dyDescent="0.3">
      <c r="B279" s="222"/>
      <c r="C279" s="72" t="s">
        <v>645</v>
      </c>
      <c r="D279" s="72" t="s">
        <v>665</v>
      </c>
      <c r="E279" s="72" t="s">
        <v>666</v>
      </c>
      <c r="F279" s="72" t="s">
        <v>667</v>
      </c>
    </row>
    <row r="280" spans="2:7" x14ac:dyDescent="0.25">
      <c r="B280" s="73">
        <v>2</v>
      </c>
      <c r="C280" s="71">
        <v>3</v>
      </c>
      <c r="D280" s="71">
        <v>4</v>
      </c>
      <c r="E280" s="71">
        <v>5</v>
      </c>
      <c r="F280" s="74">
        <v>6</v>
      </c>
    </row>
    <row r="281" spans="2:7" x14ac:dyDescent="0.25">
      <c r="B281" s="75" t="s">
        <v>659</v>
      </c>
      <c r="C281" s="58" t="e">
        <f>C241</f>
        <v>#DIV/0!</v>
      </c>
      <c r="D281" s="58" t="e">
        <f>D241</f>
        <v>#DIV/0!</v>
      </c>
      <c r="E281" s="58" t="e">
        <f>E241</f>
        <v>#DIV/0!</v>
      </c>
      <c r="F281" s="59" t="e">
        <f>F241</f>
        <v>#DIV/0!</v>
      </c>
    </row>
    <row r="282" spans="2:7" x14ac:dyDescent="0.25">
      <c r="B282" s="75" t="s">
        <v>660</v>
      </c>
      <c r="C282" s="58" t="e">
        <f>C244</f>
        <v>#DIV/0!</v>
      </c>
      <c r="D282" s="58" t="e">
        <f>D244</f>
        <v>#DIV/0!</v>
      </c>
      <c r="E282" s="58" t="e">
        <f>E244</f>
        <v>#DIV/0!</v>
      </c>
      <c r="F282" s="59" t="e">
        <f>F244</f>
        <v>#DIV/0!</v>
      </c>
    </row>
    <row r="283" spans="2:7" x14ac:dyDescent="0.25">
      <c r="B283" s="75" t="s">
        <v>661</v>
      </c>
      <c r="C283" s="58" t="e">
        <f>C247</f>
        <v>#DIV/0!</v>
      </c>
      <c r="D283" s="58" t="e">
        <f>D247</f>
        <v>#DIV/0!</v>
      </c>
      <c r="E283" s="58" t="e">
        <f>E247</f>
        <v>#DIV/0!</v>
      </c>
      <c r="F283" s="59" t="e">
        <f>F247</f>
        <v>#DIV/0!</v>
      </c>
    </row>
    <row r="284" spans="2:7" x14ac:dyDescent="0.25">
      <c r="B284" s="75" t="s">
        <v>662</v>
      </c>
      <c r="C284" s="58" t="e">
        <f>C250</f>
        <v>#DIV/0!</v>
      </c>
      <c r="D284" s="58" t="e">
        <f>D250</f>
        <v>#DIV/0!</v>
      </c>
      <c r="E284" s="58" t="e">
        <f>E250</f>
        <v>#DIV/0!</v>
      </c>
      <c r="F284" s="59" t="e">
        <f>F250</f>
        <v>#DIV/0!</v>
      </c>
    </row>
    <row r="285" spans="2:7" x14ac:dyDescent="0.25">
      <c r="B285" s="75" t="s">
        <v>663</v>
      </c>
      <c r="C285" s="58" t="e">
        <f>C254</f>
        <v>#DIV/0!</v>
      </c>
      <c r="D285" s="58" t="e">
        <f>D254</f>
        <v>#DIV/0!</v>
      </c>
      <c r="E285" s="58" t="e">
        <f>E254</f>
        <v>#DIV/0!</v>
      </c>
      <c r="F285" s="59" t="e">
        <f>F254</f>
        <v>#DIV/0!</v>
      </c>
    </row>
    <row r="286" spans="2:7" x14ac:dyDescent="0.25">
      <c r="B286" s="75" t="s">
        <v>617</v>
      </c>
      <c r="C286" s="58" t="e">
        <f>C257</f>
        <v>#DIV/0!</v>
      </c>
      <c r="D286" s="58" t="e">
        <f>D257</f>
        <v>#DIV/0!</v>
      </c>
      <c r="E286" s="58" t="e">
        <f>E257</f>
        <v>#DIV/0!</v>
      </c>
      <c r="F286" s="59" t="e">
        <f>F257</f>
        <v>#DIV/0!</v>
      </c>
    </row>
    <row r="287" spans="2:7" x14ac:dyDescent="0.25">
      <c r="B287" s="75" t="s">
        <v>330</v>
      </c>
      <c r="C287" s="58" t="e">
        <f>C262</f>
        <v>#DIV/0!</v>
      </c>
      <c r="D287" s="58" t="e">
        <f>D262</f>
        <v>#DIV/0!</v>
      </c>
      <c r="E287" s="58" t="e">
        <f>E262</f>
        <v>#DIV/0!</v>
      </c>
      <c r="F287" s="59" t="e">
        <f>F262</f>
        <v>#DIV/0!</v>
      </c>
    </row>
    <row r="288" spans="2:7" x14ac:dyDescent="0.25">
      <c r="B288" s="75" t="s">
        <v>68</v>
      </c>
      <c r="C288" s="58" t="e">
        <f>C268</f>
        <v>#DIV/0!</v>
      </c>
      <c r="D288" s="58" t="e">
        <f>D268</f>
        <v>#DIV/0!</v>
      </c>
      <c r="E288" s="58" t="e">
        <f>E268</f>
        <v>#DIV/0!</v>
      </c>
      <c r="F288" s="59" t="e">
        <f>F268</f>
        <v>#DIV/0!</v>
      </c>
    </row>
    <row r="289" spans="2:6" ht="15.75" thickBot="1" x14ac:dyDescent="0.3">
      <c r="B289" s="76" t="s">
        <v>68</v>
      </c>
      <c r="C289" s="77" t="e">
        <f>C273</f>
        <v>#DIV/0!</v>
      </c>
      <c r="D289" s="77" t="e">
        <f>D273</f>
        <v>#DIV/0!</v>
      </c>
      <c r="E289" s="77" t="e">
        <f>E273</f>
        <v>#DIV/0!</v>
      </c>
      <c r="F289" s="78" t="e">
        <f>F273</f>
        <v>#DIV/0!</v>
      </c>
    </row>
    <row r="290" spans="2:6" x14ac:dyDescent="0.25">
      <c r="B290" s="79" t="s">
        <v>669</v>
      </c>
      <c r="C290" s="81" t="e">
        <f>SUM(C281:C289)</f>
        <v>#DIV/0!</v>
      </c>
      <c r="D290" s="81" t="e">
        <f>SUM(D281:D289)</f>
        <v>#DIV/0!</v>
      </c>
      <c r="E290" s="81" t="e">
        <f>SUM(E281:E289)</f>
        <v>#DIV/0!</v>
      </c>
      <c r="F290" s="84" t="e">
        <f>SUM(F281:F289)</f>
        <v>#DIV/0!</v>
      </c>
    </row>
    <row r="291" spans="2:6" ht="15.75" thickBot="1" x14ac:dyDescent="0.3">
      <c r="B291" s="80" t="s">
        <v>670</v>
      </c>
      <c r="C291" s="82" t="e">
        <f>AVERAGE(C281:C289)</f>
        <v>#DIV/0!</v>
      </c>
      <c r="D291" s="82" t="e">
        <f>AVERAGE(D281:D289)</f>
        <v>#DIV/0!</v>
      </c>
      <c r="E291" s="82" t="e">
        <f>AVERAGE(E281:E289)</f>
        <v>#DIV/0!</v>
      </c>
      <c r="F291" s="85" t="e">
        <f>AVERAGE(F281:F289)</f>
        <v>#DIV/0!</v>
      </c>
    </row>
  </sheetData>
  <mergeCells count="33">
    <mergeCell ref="AA1:AC1"/>
    <mergeCell ref="G1:O1"/>
    <mergeCell ref="P1:T1"/>
    <mergeCell ref="U1:V1"/>
    <mergeCell ref="W1:X1"/>
    <mergeCell ref="Y1:Z1"/>
    <mergeCell ref="BC1:BE1"/>
    <mergeCell ref="B91:B92"/>
    <mergeCell ref="C91:F91"/>
    <mergeCell ref="I91:I92"/>
    <mergeCell ref="J91:M91"/>
    <mergeCell ref="P91:P92"/>
    <mergeCell ref="Q91:T91"/>
    <mergeCell ref="W91:W92"/>
    <mergeCell ref="X91:AA91"/>
    <mergeCell ref="AD91:AD92"/>
    <mergeCell ref="AD1:AE1"/>
    <mergeCell ref="AF1:AI1"/>
    <mergeCell ref="AJ1:AN1"/>
    <mergeCell ref="AO1:AR1"/>
    <mergeCell ref="AS1:AV1"/>
    <mergeCell ref="AW1:BB1"/>
    <mergeCell ref="B278:B279"/>
    <mergeCell ref="C278:F278"/>
    <mergeCell ref="B154:B155"/>
    <mergeCell ref="C154:F154"/>
    <mergeCell ref="B216:B217"/>
    <mergeCell ref="C216:F216"/>
    <mergeCell ref="AE91:AH91"/>
    <mergeCell ref="AK91:AK92"/>
    <mergeCell ref="AL91:AO91"/>
    <mergeCell ref="AY91:AY92"/>
    <mergeCell ref="AZ91:BC91"/>
  </mergeCells>
  <phoneticPr fontId="8" type="noConversion"/>
  <conditionalFormatting sqref="E40">
    <cfRule type="duplicateValues" dxfId="26" priority="50"/>
    <cfRule type="duplicateValues" dxfId="25" priority="51"/>
  </conditionalFormatting>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59"/>
  <sheetViews>
    <sheetView topLeftCell="I220" zoomScale="70" zoomScaleNormal="70" workbookViewId="0">
      <selection activeCell="M253" sqref="M253"/>
    </sheetView>
  </sheetViews>
  <sheetFormatPr defaultRowHeight="15" x14ac:dyDescent="0.25"/>
  <cols>
    <col min="1" max="1" width="38.28515625" style="119" bestFit="1" customWidth="1"/>
    <col min="2" max="2" width="35.28515625" style="119" bestFit="1" customWidth="1"/>
    <col min="3" max="3" width="29" customWidth="1"/>
    <col min="4" max="4" width="29.42578125" style="118" customWidth="1"/>
    <col min="5" max="5" width="24.28515625" style="118" customWidth="1"/>
    <col min="6" max="6" width="31" style="118" customWidth="1"/>
    <col min="7" max="7" width="27.85546875" style="118" customWidth="1"/>
    <col min="8" max="8" width="37.85546875" style="118" customWidth="1"/>
    <col min="9" max="9" width="40.140625" style="118" customWidth="1"/>
    <col min="10" max="22" width="14.7109375" customWidth="1"/>
    <col min="23" max="23" width="25" bestFit="1" customWidth="1"/>
    <col min="24" max="36" width="14.7109375" customWidth="1"/>
    <col min="37" max="37" width="11.5703125" customWidth="1"/>
    <col min="38" max="38" width="36" customWidth="1"/>
    <col min="39" max="39" width="31.5703125" customWidth="1"/>
    <col min="40" max="41" width="14.7109375" customWidth="1"/>
    <col min="42" max="42" width="37.28515625" customWidth="1"/>
    <col min="43" max="43" width="47.7109375" customWidth="1"/>
    <col min="44" max="44" width="88.5703125" customWidth="1"/>
    <col min="45" max="45" width="95.5703125" customWidth="1"/>
  </cols>
  <sheetData>
    <row r="1" spans="1:38" ht="15.75" thickBot="1" x14ac:dyDescent="0.3"/>
    <row r="2" spans="1:38" s="122" customFormat="1" ht="99" customHeight="1" thickBot="1" x14ac:dyDescent="0.3">
      <c r="A2" s="119" t="s">
        <v>1166</v>
      </c>
      <c r="B2" s="119" t="s">
        <v>14</v>
      </c>
      <c r="C2" s="125" t="s">
        <v>1207</v>
      </c>
      <c r="D2" s="125" t="s">
        <v>1209</v>
      </c>
      <c r="E2" s="123" t="s">
        <v>26</v>
      </c>
      <c r="F2" s="121" t="s">
        <v>27</v>
      </c>
      <c r="G2" s="121" t="s">
        <v>28</v>
      </c>
      <c r="H2" s="121" t="s">
        <v>31</v>
      </c>
      <c r="I2" s="121" t="s">
        <v>32</v>
      </c>
      <c r="J2" s="121" t="s">
        <v>1164</v>
      </c>
      <c r="K2" s="121" t="s">
        <v>33</v>
      </c>
      <c r="L2" s="121" t="s">
        <v>34</v>
      </c>
      <c r="M2" s="121" t="s">
        <v>35</v>
      </c>
      <c r="N2" s="121" t="s">
        <v>36</v>
      </c>
      <c r="O2" s="121" t="s">
        <v>1168</v>
      </c>
      <c r="P2" s="121" t="s">
        <v>1584</v>
      </c>
      <c r="Q2" s="121" t="s">
        <v>37</v>
      </c>
      <c r="R2" s="121" t="s">
        <v>38</v>
      </c>
      <c r="S2" s="121" t="s">
        <v>39</v>
      </c>
      <c r="T2" s="121" t="s">
        <v>1170</v>
      </c>
      <c r="U2" s="121" t="s">
        <v>40</v>
      </c>
      <c r="V2" s="121" t="s">
        <v>41</v>
      </c>
      <c r="W2" s="121" t="s">
        <v>1172</v>
      </c>
      <c r="X2" s="121" t="s">
        <v>1585</v>
      </c>
      <c r="Y2" s="121" t="s">
        <v>42</v>
      </c>
      <c r="Z2" s="121" t="s">
        <v>43</v>
      </c>
      <c r="AA2" s="121" t="s">
        <v>44</v>
      </c>
      <c r="AB2" s="121" t="s">
        <v>1175</v>
      </c>
      <c r="AC2" s="121" t="s">
        <v>1176</v>
      </c>
      <c r="AD2" s="121" t="s">
        <v>1177</v>
      </c>
      <c r="AE2" s="121" t="s">
        <v>1178</v>
      </c>
      <c r="AF2" s="121" t="s">
        <v>1179</v>
      </c>
      <c r="AG2" s="121" t="s">
        <v>1181</v>
      </c>
      <c r="AH2" s="121" t="s">
        <v>1182</v>
      </c>
      <c r="AI2" s="121" t="s">
        <v>1183</v>
      </c>
      <c r="AJ2" s="121" t="s">
        <v>1184</v>
      </c>
      <c r="AK2" s="120" t="s">
        <v>1236</v>
      </c>
      <c r="AL2" s="126" t="s">
        <v>1238</v>
      </c>
    </row>
    <row r="3" spans="1:38" ht="26.25" thickBot="1" x14ac:dyDescent="0.3">
      <c r="B3" s="127" t="s">
        <v>90</v>
      </c>
      <c r="C3" s="120" t="s">
        <v>1215</v>
      </c>
      <c r="D3" s="120" t="s">
        <v>1216</v>
      </c>
      <c r="E3" s="120" t="s">
        <v>1205</v>
      </c>
      <c r="F3" s="120" t="s">
        <v>1206</v>
      </c>
      <c r="G3" s="120" t="s">
        <v>1206</v>
      </c>
      <c r="H3" s="120" t="s">
        <v>1205</v>
      </c>
      <c r="I3" s="120" t="s">
        <v>1205</v>
      </c>
      <c r="J3" s="120" t="s">
        <v>1205</v>
      </c>
      <c r="K3" s="120" t="s">
        <v>1206</v>
      </c>
      <c r="L3" s="120" t="s">
        <v>1229</v>
      </c>
      <c r="M3" s="120" t="s">
        <v>1205</v>
      </c>
      <c r="N3" s="120" t="s">
        <v>1205</v>
      </c>
      <c r="O3" s="120" t="s">
        <v>1205</v>
      </c>
      <c r="P3" s="120" t="s">
        <v>1205</v>
      </c>
      <c r="Q3" s="120" t="s">
        <v>1205</v>
      </c>
      <c r="R3" s="120" t="s">
        <v>1205</v>
      </c>
      <c r="S3" s="120" t="s">
        <v>1205</v>
      </c>
      <c r="T3" s="120" t="s">
        <v>1205</v>
      </c>
      <c r="U3" s="120" t="s">
        <v>1205</v>
      </c>
      <c r="V3" s="120" t="s">
        <v>1205</v>
      </c>
      <c r="W3" s="120" t="s">
        <v>1205</v>
      </c>
      <c r="X3" s="120" t="s">
        <v>1205</v>
      </c>
      <c r="Y3" s="120" t="s">
        <v>1205</v>
      </c>
      <c r="Z3" s="120" t="s">
        <v>1205</v>
      </c>
      <c r="AA3" s="120" t="s">
        <v>1206</v>
      </c>
      <c r="AB3" s="120" t="s">
        <v>1205</v>
      </c>
      <c r="AC3" s="120" t="s">
        <v>1205</v>
      </c>
      <c r="AD3" s="120" t="s">
        <v>1206</v>
      </c>
      <c r="AE3" s="120" t="s">
        <v>1206</v>
      </c>
      <c r="AF3" s="120" t="s">
        <v>1206</v>
      </c>
      <c r="AG3" s="120" t="s">
        <v>1206</v>
      </c>
      <c r="AH3" s="120" t="s">
        <v>1206</v>
      </c>
      <c r="AI3" s="120" t="s">
        <v>1206</v>
      </c>
      <c r="AJ3" s="120" t="s">
        <v>1206</v>
      </c>
      <c r="AK3" s="120" t="s">
        <v>665</v>
      </c>
      <c r="AL3" s="126" t="s">
        <v>1231</v>
      </c>
    </row>
    <row r="4" spans="1:38" ht="15.75" thickBot="1" x14ac:dyDescent="0.3">
      <c r="B4" s="127" t="s">
        <v>197</v>
      </c>
      <c r="C4" s="120" t="s">
        <v>1213</v>
      </c>
      <c r="D4" s="120" t="s">
        <v>1214</v>
      </c>
      <c r="E4" s="120" t="s">
        <v>1206</v>
      </c>
      <c r="F4" s="120" t="s">
        <v>1206</v>
      </c>
      <c r="G4" s="120" t="s">
        <v>1206</v>
      </c>
      <c r="H4" s="120" t="s">
        <v>1205</v>
      </c>
      <c r="I4" s="120" t="s">
        <v>1205</v>
      </c>
      <c r="J4" s="120" t="s">
        <v>1205</v>
      </c>
      <c r="K4" s="120" t="s">
        <v>1206</v>
      </c>
      <c r="L4" s="120" t="s">
        <v>1206</v>
      </c>
      <c r="M4" s="120" t="s">
        <v>1206</v>
      </c>
      <c r="N4" s="120" t="s">
        <v>1206</v>
      </c>
      <c r="O4" s="120" t="s">
        <v>1206</v>
      </c>
      <c r="P4" s="120" t="s">
        <v>1206</v>
      </c>
      <c r="Q4" s="120" t="s">
        <v>1229</v>
      </c>
      <c r="R4" s="120" t="s">
        <v>1229</v>
      </c>
      <c r="S4" s="120" t="s">
        <v>1229</v>
      </c>
      <c r="T4" s="120" t="s">
        <v>1229</v>
      </c>
      <c r="U4" s="120" t="s">
        <v>1206</v>
      </c>
      <c r="V4" s="120" t="s">
        <v>1206</v>
      </c>
      <c r="W4" s="120" t="s">
        <v>1206</v>
      </c>
      <c r="X4" s="120" t="s">
        <v>1206</v>
      </c>
      <c r="Y4" s="120" t="s">
        <v>1206</v>
      </c>
      <c r="Z4" s="120" t="s">
        <v>1206</v>
      </c>
      <c r="AA4" s="120" t="s">
        <v>1206</v>
      </c>
      <c r="AB4" s="120" t="s">
        <v>1205</v>
      </c>
      <c r="AC4" s="120" t="s">
        <v>1205</v>
      </c>
      <c r="AD4" s="120" t="s">
        <v>1205</v>
      </c>
      <c r="AE4" s="120" t="s">
        <v>1205</v>
      </c>
      <c r="AF4" s="120" t="s">
        <v>1205</v>
      </c>
      <c r="AG4" s="120" t="s">
        <v>1205</v>
      </c>
      <c r="AH4" s="120" t="s">
        <v>1205</v>
      </c>
      <c r="AI4" s="120" t="s">
        <v>1205</v>
      </c>
      <c r="AJ4" s="120" t="s">
        <v>1205</v>
      </c>
      <c r="AK4" s="120" t="s">
        <v>645</v>
      </c>
      <c r="AL4" s="126"/>
    </row>
    <row r="5" spans="1:38" ht="39" thickBot="1" x14ac:dyDescent="0.3">
      <c r="B5" s="127" t="s">
        <v>197</v>
      </c>
      <c r="C5" s="120" t="s">
        <v>1218</v>
      </c>
      <c r="D5" s="120" t="s">
        <v>1219</v>
      </c>
      <c r="E5" s="120" t="s">
        <v>1206</v>
      </c>
      <c r="F5" s="120" t="s">
        <v>1206</v>
      </c>
      <c r="G5" s="120" t="s">
        <v>1206</v>
      </c>
      <c r="H5" s="120" t="s">
        <v>1205</v>
      </c>
      <c r="I5" s="120" t="s">
        <v>1205</v>
      </c>
      <c r="J5" s="120" t="s">
        <v>1205</v>
      </c>
      <c r="K5" s="120" t="s">
        <v>1206</v>
      </c>
      <c r="L5" s="120" t="s">
        <v>1206</v>
      </c>
      <c r="M5" s="120" t="s">
        <v>1205</v>
      </c>
      <c r="N5" s="120" t="s">
        <v>1205</v>
      </c>
      <c r="O5" s="120" t="s">
        <v>1205</v>
      </c>
      <c r="P5" s="120" t="s">
        <v>1205</v>
      </c>
      <c r="Q5" s="120" t="s">
        <v>1205</v>
      </c>
      <c r="R5" s="120" t="s">
        <v>1205</v>
      </c>
      <c r="S5" s="120" t="s">
        <v>1205</v>
      </c>
      <c r="T5" s="120" t="s">
        <v>1205</v>
      </c>
      <c r="U5" s="120" t="s">
        <v>1206</v>
      </c>
      <c r="V5" s="120" t="s">
        <v>1206</v>
      </c>
      <c r="W5" s="120" t="s">
        <v>1206</v>
      </c>
      <c r="X5" s="120" t="s">
        <v>1206</v>
      </c>
      <c r="Y5" s="120" t="s">
        <v>1206</v>
      </c>
      <c r="Z5" s="120" t="s">
        <v>1206</v>
      </c>
      <c r="AA5" s="120" t="s">
        <v>1206</v>
      </c>
      <c r="AB5" s="120" t="s">
        <v>1206</v>
      </c>
      <c r="AC5" s="120" t="s">
        <v>1206</v>
      </c>
      <c r="AD5" s="120" t="s">
        <v>1206</v>
      </c>
      <c r="AE5" s="120" t="s">
        <v>1206</v>
      </c>
      <c r="AF5" s="120" t="s">
        <v>1206</v>
      </c>
      <c r="AG5" s="120" t="s">
        <v>1206</v>
      </c>
      <c r="AH5" s="120" t="s">
        <v>1206</v>
      </c>
      <c r="AI5" s="120" t="s">
        <v>1206</v>
      </c>
      <c r="AJ5" s="120" t="s">
        <v>1206</v>
      </c>
      <c r="AK5" s="120" t="s">
        <v>665</v>
      </c>
      <c r="AL5" s="126" t="s">
        <v>1233</v>
      </c>
    </row>
    <row r="6" spans="1:38" ht="15.75" thickBot="1" x14ac:dyDescent="0.3">
      <c r="B6" s="127" t="s">
        <v>197</v>
      </c>
      <c r="C6" s="120" t="s">
        <v>1220</v>
      </c>
      <c r="D6" s="120" t="s">
        <v>1221</v>
      </c>
      <c r="E6" s="120" t="s">
        <v>1205</v>
      </c>
      <c r="F6" s="120" t="s">
        <v>1206</v>
      </c>
      <c r="G6" s="120" t="s">
        <v>1205</v>
      </c>
      <c r="H6" s="120" t="s">
        <v>1206</v>
      </c>
      <c r="I6" s="120" t="s">
        <v>1206</v>
      </c>
      <c r="J6" s="120" t="s">
        <v>1206</v>
      </c>
      <c r="K6" s="120" t="s">
        <v>1206</v>
      </c>
      <c r="L6" s="120" t="s">
        <v>1206</v>
      </c>
      <c r="M6" s="120" t="s">
        <v>1206</v>
      </c>
      <c r="N6" s="120" t="s">
        <v>1206</v>
      </c>
      <c r="O6" s="120" t="s">
        <v>1206</v>
      </c>
      <c r="P6" s="120" t="s">
        <v>1206</v>
      </c>
      <c r="Q6" s="120" t="s">
        <v>1205</v>
      </c>
      <c r="R6" s="120" t="s">
        <v>1205</v>
      </c>
      <c r="S6" s="120" t="s">
        <v>1205</v>
      </c>
      <c r="T6" s="120" t="s">
        <v>1205</v>
      </c>
      <c r="U6" s="120" t="s">
        <v>1206</v>
      </c>
      <c r="V6" s="120" t="s">
        <v>1206</v>
      </c>
      <c r="W6" s="120" t="s">
        <v>1206</v>
      </c>
      <c r="X6" s="120" t="s">
        <v>1206</v>
      </c>
      <c r="Y6" s="120" t="s">
        <v>1205</v>
      </c>
      <c r="Z6" s="120" t="s">
        <v>1205</v>
      </c>
      <c r="AA6" s="120" t="s">
        <v>1205</v>
      </c>
      <c r="AB6" s="120" t="s">
        <v>1206</v>
      </c>
      <c r="AC6" s="120" t="s">
        <v>1205</v>
      </c>
      <c r="AD6" s="120" t="s">
        <v>1205</v>
      </c>
      <c r="AE6" s="120" t="s">
        <v>1205</v>
      </c>
      <c r="AF6" s="120" t="s">
        <v>1206</v>
      </c>
      <c r="AG6" s="120" t="s">
        <v>1206</v>
      </c>
      <c r="AH6" s="120" t="s">
        <v>1205</v>
      </c>
      <c r="AI6" s="120" t="s">
        <v>1206</v>
      </c>
      <c r="AJ6" s="120" t="s">
        <v>1206</v>
      </c>
      <c r="AK6" s="120" t="s">
        <v>665</v>
      </c>
      <c r="AL6" s="126" t="s">
        <v>1234</v>
      </c>
    </row>
    <row r="7" spans="1:38" ht="15.75" thickBot="1" x14ac:dyDescent="0.3">
      <c r="B7" s="127" t="s">
        <v>197</v>
      </c>
      <c r="C7" s="120" t="s">
        <v>1224</v>
      </c>
      <c r="D7" s="120" t="s">
        <v>1225</v>
      </c>
      <c r="E7" s="120" t="s">
        <v>1206</v>
      </c>
      <c r="F7" s="120" t="s">
        <v>1206</v>
      </c>
      <c r="G7" s="120" t="s">
        <v>1206</v>
      </c>
      <c r="H7" s="120" t="s">
        <v>1205</v>
      </c>
      <c r="I7" s="120" t="s">
        <v>1205</v>
      </c>
      <c r="J7" s="120" t="s">
        <v>1205</v>
      </c>
      <c r="K7" s="120" t="s">
        <v>1206</v>
      </c>
      <c r="L7" s="120" t="s">
        <v>1206</v>
      </c>
      <c r="M7" s="120" t="s">
        <v>1206</v>
      </c>
      <c r="N7" s="120" t="s">
        <v>1206</v>
      </c>
      <c r="O7" s="120" t="s">
        <v>1206</v>
      </c>
      <c r="P7" s="120" t="s">
        <v>1206</v>
      </c>
      <c r="Q7" s="120" t="s">
        <v>1205</v>
      </c>
      <c r="R7" s="120" t="s">
        <v>1205</v>
      </c>
      <c r="S7" s="120" t="s">
        <v>1205</v>
      </c>
      <c r="T7" s="120" t="s">
        <v>1205</v>
      </c>
      <c r="U7" s="120" t="s">
        <v>1206</v>
      </c>
      <c r="V7" s="120" t="s">
        <v>1206</v>
      </c>
      <c r="W7" s="120" t="s">
        <v>1206</v>
      </c>
      <c r="X7" s="120" t="s">
        <v>1206</v>
      </c>
      <c r="Y7" s="120" t="s">
        <v>1206</v>
      </c>
      <c r="Z7" s="120" t="s">
        <v>1206</v>
      </c>
      <c r="AA7" s="120" t="s">
        <v>1206</v>
      </c>
      <c r="AB7" s="120" t="s">
        <v>1205</v>
      </c>
      <c r="AC7" s="120" t="s">
        <v>1205</v>
      </c>
      <c r="AD7" s="120" t="s">
        <v>1205</v>
      </c>
      <c r="AE7" s="120" t="s">
        <v>1205</v>
      </c>
      <c r="AF7" s="120" t="s">
        <v>1205</v>
      </c>
      <c r="AG7" s="120" t="s">
        <v>1205</v>
      </c>
      <c r="AH7" s="120" t="s">
        <v>1205</v>
      </c>
      <c r="AI7" s="120" t="s">
        <v>1205</v>
      </c>
      <c r="AJ7" s="120" t="s">
        <v>1205</v>
      </c>
      <c r="AK7" s="120" t="s">
        <v>645</v>
      </c>
      <c r="AL7" s="126" t="s">
        <v>1235</v>
      </c>
    </row>
    <row r="8" spans="1:38" ht="45.75" thickBot="1" x14ac:dyDescent="0.3">
      <c r="B8" s="127" t="s">
        <v>197</v>
      </c>
      <c r="C8" s="120" t="s">
        <v>1226</v>
      </c>
      <c r="D8" s="120" t="s">
        <v>1227</v>
      </c>
      <c r="E8" s="120" t="s">
        <v>1206</v>
      </c>
      <c r="F8" s="120" t="s">
        <v>1206</v>
      </c>
      <c r="G8" s="120" t="s">
        <v>1206</v>
      </c>
      <c r="H8" s="120" t="s">
        <v>1205</v>
      </c>
      <c r="I8" s="120" t="s">
        <v>1205</v>
      </c>
      <c r="J8" s="120" t="s">
        <v>1205</v>
      </c>
      <c r="K8" s="120" t="s">
        <v>1206</v>
      </c>
      <c r="L8" s="120" t="s">
        <v>1206</v>
      </c>
      <c r="M8" s="120" t="s">
        <v>1205</v>
      </c>
      <c r="N8" s="120" t="s">
        <v>1205</v>
      </c>
      <c r="O8" s="120" t="s">
        <v>1205</v>
      </c>
      <c r="P8" s="120" t="s">
        <v>1205</v>
      </c>
      <c r="Q8" s="120" t="s">
        <v>1205</v>
      </c>
      <c r="R8" s="120" t="s">
        <v>1205</v>
      </c>
      <c r="S8" s="120" t="s">
        <v>1205</v>
      </c>
      <c r="T8" s="120" t="s">
        <v>1205</v>
      </c>
      <c r="U8" s="120" t="s">
        <v>1206</v>
      </c>
      <c r="V8" s="120" t="s">
        <v>1206</v>
      </c>
      <c r="W8" s="120" t="s">
        <v>1206</v>
      </c>
      <c r="X8" s="120" t="s">
        <v>1206</v>
      </c>
      <c r="Y8" s="120" t="s">
        <v>1205</v>
      </c>
      <c r="Z8" s="120" t="s">
        <v>1205</v>
      </c>
      <c r="AA8" s="120" t="s">
        <v>1205</v>
      </c>
      <c r="AB8" s="120" t="s">
        <v>1206</v>
      </c>
      <c r="AC8" s="120" t="s">
        <v>1206</v>
      </c>
      <c r="AD8" s="120" t="s">
        <v>1205</v>
      </c>
      <c r="AE8" s="120" t="s">
        <v>1206</v>
      </c>
      <c r="AF8" s="120" t="s">
        <v>1205</v>
      </c>
      <c r="AG8" s="120" t="s">
        <v>1206</v>
      </c>
      <c r="AH8" s="120" t="s">
        <v>1206</v>
      </c>
      <c r="AI8" s="120" t="s">
        <v>1206</v>
      </c>
      <c r="AJ8" s="120" t="s">
        <v>1206</v>
      </c>
      <c r="AK8" s="120" t="s">
        <v>665</v>
      </c>
      <c r="AL8" s="206" t="s">
        <v>1671</v>
      </c>
    </row>
    <row r="9" spans="1:38" ht="45.75" thickBot="1" x14ac:dyDescent="0.3">
      <c r="B9" s="127" t="s">
        <v>197</v>
      </c>
      <c r="C9" s="120" t="s">
        <v>78</v>
      </c>
      <c r="D9" t="s">
        <v>1668</v>
      </c>
      <c r="E9" s="120" t="s">
        <v>1205</v>
      </c>
      <c r="F9" s="120" t="s">
        <v>1205</v>
      </c>
      <c r="G9" s="120" t="s">
        <v>1205</v>
      </c>
      <c r="H9" s="120" t="s">
        <v>1205</v>
      </c>
      <c r="I9" s="120" t="s">
        <v>1205</v>
      </c>
      <c r="J9" s="120" t="s">
        <v>1205</v>
      </c>
      <c r="K9" s="120" t="s">
        <v>1206</v>
      </c>
      <c r="L9" s="120" t="s">
        <v>1206</v>
      </c>
      <c r="M9" s="120" t="s">
        <v>1205</v>
      </c>
      <c r="N9" s="120" t="s">
        <v>1205</v>
      </c>
      <c r="O9" s="120" t="s">
        <v>1205</v>
      </c>
      <c r="P9" s="120" t="s">
        <v>1205</v>
      </c>
      <c r="Q9" s="120" t="s">
        <v>1205</v>
      </c>
      <c r="R9" s="120" t="s">
        <v>1206</v>
      </c>
      <c r="S9" s="120" t="s">
        <v>1206</v>
      </c>
      <c r="T9" s="120" t="s">
        <v>1206</v>
      </c>
      <c r="U9" s="120" t="s">
        <v>1229</v>
      </c>
      <c r="V9" s="120" t="s">
        <v>1229</v>
      </c>
      <c r="W9" s="120" t="s">
        <v>1206</v>
      </c>
      <c r="X9" s="120" t="s">
        <v>1229</v>
      </c>
      <c r="Y9" s="120" t="s">
        <v>1206</v>
      </c>
      <c r="Z9" s="120" t="s">
        <v>1206</v>
      </c>
      <c r="AA9" s="120" t="s">
        <v>1206</v>
      </c>
      <c r="AB9" s="120" t="s">
        <v>1206</v>
      </c>
      <c r="AC9" s="120" t="s">
        <v>1206</v>
      </c>
      <c r="AD9" s="120" t="s">
        <v>1206</v>
      </c>
      <c r="AE9" s="120" t="s">
        <v>1206</v>
      </c>
      <c r="AF9" s="120" t="s">
        <v>1206</v>
      </c>
      <c r="AG9" s="120" t="s">
        <v>1206</v>
      </c>
      <c r="AH9" s="120" t="s">
        <v>1206</v>
      </c>
      <c r="AI9" s="120" t="s">
        <v>1206</v>
      </c>
      <c r="AJ9" s="120" t="s">
        <v>1206</v>
      </c>
      <c r="AK9" s="120" t="s">
        <v>665</v>
      </c>
      <c r="AL9" s="206" t="s">
        <v>1672</v>
      </c>
    </row>
    <row r="10" spans="1:38" ht="30.75" thickBot="1" x14ac:dyDescent="0.3">
      <c r="B10" s="127" t="s">
        <v>197</v>
      </c>
      <c r="C10" s="120" t="s">
        <v>86</v>
      </c>
      <c r="D10" t="s">
        <v>1669</v>
      </c>
      <c r="E10" s="120" t="s">
        <v>1205</v>
      </c>
      <c r="F10" s="120" t="s">
        <v>1205</v>
      </c>
      <c r="G10" s="120" t="s">
        <v>1205</v>
      </c>
      <c r="H10" s="120" t="s">
        <v>1205</v>
      </c>
      <c r="I10" s="120" t="s">
        <v>1205</v>
      </c>
      <c r="J10" s="120" t="s">
        <v>1205</v>
      </c>
      <c r="K10" s="120" t="s">
        <v>1206</v>
      </c>
      <c r="L10" s="120" t="s">
        <v>1206</v>
      </c>
      <c r="M10" s="120" t="s">
        <v>1205</v>
      </c>
      <c r="N10" s="120" t="s">
        <v>1205</v>
      </c>
      <c r="O10" s="120" t="s">
        <v>1205</v>
      </c>
      <c r="P10" s="120" t="s">
        <v>1205</v>
      </c>
      <c r="Q10" s="120" t="s">
        <v>1205</v>
      </c>
      <c r="R10" s="120" t="s">
        <v>1206</v>
      </c>
      <c r="S10" s="120" t="s">
        <v>1206</v>
      </c>
      <c r="T10" s="120" t="s">
        <v>1206</v>
      </c>
      <c r="U10" s="120" t="s">
        <v>1229</v>
      </c>
      <c r="V10" s="120" t="s">
        <v>1229</v>
      </c>
      <c r="W10" s="120" t="s">
        <v>1436</v>
      </c>
      <c r="X10" s="120" t="s">
        <v>1229</v>
      </c>
      <c r="Y10" s="120" t="s">
        <v>1205</v>
      </c>
      <c r="Z10" s="120" t="s">
        <v>1205</v>
      </c>
      <c r="AA10" s="120" t="s">
        <v>1205</v>
      </c>
      <c r="AB10" s="120" t="s">
        <v>1206</v>
      </c>
      <c r="AC10" s="120" t="s">
        <v>1205</v>
      </c>
      <c r="AD10" s="120" t="s">
        <v>1205</v>
      </c>
      <c r="AE10" s="120" t="s">
        <v>1205</v>
      </c>
      <c r="AF10" s="120" t="s">
        <v>1206</v>
      </c>
      <c r="AG10" s="120" t="s">
        <v>1206</v>
      </c>
      <c r="AH10" s="120" t="s">
        <v>1205</v>
      </c>
      <c r="AI10" s="120" t="s">
        <v>1206</v>
      </c>
      <c r="AJ10" s="120" t="s">
        <v>1206</v>
      </c>
      <c r="AK10" s="120" t="s">
        <v>665</v>
      </c>
      <c r="AL10" s="206" t="s">
        <v>1673</v>
      </c>
    </row>
    <row r="11" spans="1:38" ht="45.75" thickBot="1" x14ac:dyDescent="0.3">
      <c r="B11" s="127" t="s">
        <v>197</v>
      </c>
      <c r="C11" s="120" t="s">
        <v>96</v>
      </c>
      <c r="D11" t="s">
        <v>1670</v>
      </c>
      <c r="E11" s="120" t="s">
        <v>1205</v>
      </c>
      <c r="F11" s="120" t="s">
        <v>1205</v>
      </c>
      <c r="G11" s="120" t="s">
        <v>1205</v>
      </c>
      <c r="H11" s="120" t="s">
        <v>1205</v>
      </c>
      <c r="I11" s="120" t="s">
        <v>1205</v>
      </c>
      <c r="J11" s="120" t="s">
        <v>1205</v>
      </c>
      <c r="K11" s="120" t="s">
        <v>1206</v>
      </c>
      <c r="L11" s="120" t="s">
        <v>1206</v>
      </c>
      <c r="M11" s="120" t="s">
        <v>1205</v>
      </c>
      <c r="N11" s="120" t="s">
        <v>1205</v>
      </c>
      <c r="O11" s="120" t="s">
        <v>1205</v>
      </c>
      <c r="P11" s="120" t="s">
        <v>1205</v>
      </c>
      <c r="Q11" s="120" t="s">
        <v>1205</v>
      </c>
      <c r="R11" s="120" t="s">
        <v>1206</v>
      </c>
      <c r="S11" s="120" t="s">
        <v>1206</v>
      </c>
      <c r="T11" s="120" t="s">
        <v>1206</v>
      </c>
      <c r="U11" s="120" t="s">
        <v>1205</v>
      </c>
      <c r="V11" s="120" t="s">
        <v>1205</v>
      </c>
      <c r="W11" s="120" t="s">
        <v>1205</v>
      </c>
      <c r="X11" s="120" t="s">
        <v>1205</v>
      </c>
      <c r="Y11" s="120" t="s">
        <v>1205</v>
      </c>
      <c r="Z11" s="120" t="s">
        <v>1205</v>
      </c>
      <c r="AA11" s="120" t="s">
        <v>1205</v>
      </c>
      <c r="AB11" s="120" t="s">
        <v>1205</v>
      </c>
      <c r="AC11" s="120" t="s">
        <v>1205</v>
      </c>
      <c r="AD11" s="120" t="s">
        <v>1205</v>
      </c>
      <c r="AE11" s="120" t="s">
        <v>1205</v>
      </c>
      <c r="AF11" s="120" t="s">
        <v>1205</v>
      </c>
      <c r="AG11" s="120" t="s">
        <v>1205</v>
      </c>
      <c r="AH11" s="120" t="s">
        <v>1205</v>
      </c>
      <c r="AI11" s="120" t="s">
        <v>1205</v>
      </c>
      <c r="AJ11" s="120" t="s">
        <v>1205</v>
      </c>
      <c r="AK11" s="120" t="s">
        <v>645</v>
      </c>
      <c r="AL11" s="206" t="s">
        <v>1674</v>
      </c>
    </row>
    <row r="12" spans="1:38" ht="26.25" hidden="1" thickBot="1" x14ac:dyDescent="0.3">
      <c r="B12" s="127" t="s">
        <v>618</v>
      </c>
      <c r="C12" s="120" t="s">
        <v>1222</v>
      </c>
      <c r="D12" s="120" t="s">
        <v>1223</v>
      </c>
      <c r="E12" s="120" t="s">
        <v>1205</v>
      </c>
      <c r="F12" s="120" t="s">
        <v>1205</v>
      </c>
      <c r="G12" s="120" t="s">
        <v>1205</v>
      </c>
      <c r="H12" s="120" t="s">
        <v>1205</v>
      </c>
      <c r="I12" s="120" t="s">
        <v>1205</v>
      </c>
      <c r="J12" s="120" t="s">
        <v>1205</v>
      </c>
      <c r="K12" s="120" t="s">
        <v>1205</v>
      </c>
      <c r="L12" s="120" t="s">
        <v>1205</v>
      </c>
      <c r="M12" s="120" t="s">
        <v>1205</v>
      </c>
      <c r="N12" s="120" t="s">
        <v>1205</v>
      </c>
      <c r="O12" s="120" t="s">
        <v>1205</v>
      </c>
      <c r="P12" s="120" t="s">
        <v>1205</v>
      </c>
      <c r="Q12" s="120" t="s">
        <v>1205</v>
      </c>
      <c r="R12" s="120" t="s">
        <v>1205</v>
      </c>
      <c r="S12" s="120" t="s">
        <v>1205</v>
      </c>
      <c r="T12" s="120" t="s">
        <v>1205</v>
      </c>
      <c r="U12" s="120" t="s">
        <v>1205</v>
      </c>
      <c r="V12" s="120" t="s">
        <v>1205</v>
      </c>
      <c r="W12" s="120" t="s">
        <v>1205</v>
      </c>
      <c r="X12" s="120" t="s">
        <v>1205</v>
      </c>
      <c r="Y12" s="120" t="s">
        <v>1205</v>
      </c>
      <c r="Z12" s="120" t="s">
        <v>1205</v>
      </c>
      <c r="AA12" s="120" t="s">
        <v>1205</v>
      </c>
      <c r="AB12" s="120" t="s">
        <v>1206</v>
      </c>
      <c r="AC12" s="120" t="s">
        <v>1206</v>
      </c>
      <c r="AD12" s="120" t="s">
        <v>1205</v>
      </c>
      <c r="AE12" s="120" t="s">
        <v>1206</v>
      </c>
      <c r="AF12" s="120" t="s">
        <v>1205</v>
      </c>
      <c r="AG12" s="120" t="s">
        <v>1206</v>
      </c>
      <c r="AH12" s="120" t="s">
        <v>1206</v>
      </c>
      <c r="AI12" s="120" t="s">
        <v>1206</v>
      </c>
      <c r="AJ12" s="120" t="s">
        <v>1206</v>
      </c>
      <c r="AK12" s="120" t="s">
        <v>665</v>
      </c>
      <c r="AL12" s="126" t="s">
        <v>1681</v>
      </c>
    </row>
    <row r="14" spans="1:38" hidden="1" x14ac:dyDescent="0.25"/>
    <row r="15" spans="1:38" ht="25.5" hidden="1" x14ac:dyDescent="0.25">
      <c r="A15" s="119" t="s">
        <v>1161</v>
      </c>
      <c r="B15" s="119" t="s">
        <v>14</v>
      </c>
      <c r="C15" s="125" t="s">
        <v>1209</v>
      </c>
      <c r="D15" s="125" t="s">
        <v>1212</v>
      </c>
      <c r="E15" s="125" t="s">
        <v>1211</v>
      </c>
      <c r="F15" s="125" t="s">
        <v>1210</v>
      </c>
      <c r="G15" s="124" t="s">
        <v>26</v>
      </c>
      <c r="H15" s="116" t="s">
        <v>27</v>
      </c>
      <c r="I15" s="116" t="s">
        <v>28</v>
      </c>
      <c r="J15" s="116" t="s">
        <v>29</v>
      </c>
      <c r="K15" s="116" t="s">
        <v>30</v>
      </c>
      <c r="L15" s="116" t="s">
        <v>31</v>
      </c>
      <c r="M15" s="116" t="s">
        <v>32</v>
      </c>
      <c r="N15" s="116" t="s">
        <v>33</v>
      </c>
      <c r="O15" s="116" t="s">
        <v>34</v>
      </c>
      <c r="P15" s="116" t="s">
        <v>35</v>
      </c>
      <c r="Q15" s="116" t="s">
        <v>36</v>
      </c>
      <c r="R15" s="161" t="s">
        <v>1168</v>
      </c>
      <c r="S15" s="116" t="s">
        <v>37</v>
      </c>
      <c r="T15" s="116" t="s">
        <v>38</v>
      </c>
      <c r="U15" s="116" t="s">
        <v>39</v>
      </c>
      <c r="V15" s="116" t="s">
        <v>40</v>
      </c>
      <c r="W15" s="116" t="s">
        <v>41</v>
      </c>
      <c r="X15" s="116" t="s">
        <v>1172</v>
      </c>
      <c r="Y15" s="116" t="s">
        <v>42</v>
      </c>
      <c r="Z15" s="116" t="s">
        <v>43</v>
      </c>
      <c r="AA15" s="116" t="s">
        <v>44</v>
      </c>
      <c r="AB15" s="116" t="s">
        <v>45</v>
      </c>
      <c r="AC15" s="116" t="s">
        <v>1175</v>
      </c>
      <c r="AD15" s="116" t="s">
        <v>1176</v>
      </c>
      <c r="AE15" s="116" t="s">
        <v>1177</v>
      </c>
      <c r="AF15" s="116" t="s">
        <v>1178</v>
      </c>
      <c r="AG15" s="116" t="s">
        <v>1179</v>
      </c>
      <c r="AH15" s="116" t="s">
        <v>1181</v>
      </c>
      <c r="AI15" s="116" t="s">
        <v>1182</v>
      </c>
      <c r="AJ15" s="116" t="s">
        <v>1183</v>
      </c>
      <c r="AK15" s="116" t="s">
        <v>1184</v>
      </c>
    </row>
    <row r="16" spans="1:38" ht="27" hidden="1" thickBot="1" x14ac:dyDescent="0.3">
      <c r="B16" s="119" t="s">
        <v>142</v>
      </c>
      <c r="C16" s="160" t="s">
        <v>1433</v>
      </c>
      <c r="D16" s="160" t="s">
        <v>1217</v>
      </c>
      <c r="E16" s="160" t="s">
        <v>72</v>
      </c>
      <c r="F16" s="160" t="s">
        <v>72</v>
      </c>
      <c r="G16" t="s">
        <v>1206</v>
      </c>
      <c r="H16" t="s">
        <v>1206</v>
      </c>
      <c r="I16" t="s">
        <v>1205</v>
      </c>
      <c r="J16" t="s">
        <v>1205</v>
      </c>
      <c r="K16" t="s">
        <v>1205</v>
      </c>
      <c r="L16" t="s">
        <v>1206</v>
      </c>
      <c r="M16" t="s">
        <v>1206</v>
      </c>
      <c r="N16" t="s">
        <v>1205</v>
      </c>
      <c r="O16" t="s">
        <v>1229</v>
      </c>
      <c r="P16" t="s">
        <v>1206</v>
      </c>
      <c r="Q16" t="s">
        <v>1205</v>
      </c>
      <c r="R16" t="s">
        <v>1205</v>
      </c>
      <c r="S16" t="s">
        <v>1205</v>
      </c>
      <c r="T16" t="s">
        <v>1206</v>
      </c>
      <c r="U16" t="s">
        <v>1206</v>
      </c>
      <c r="V16" t="s">
        <v>1206</v>
      </c>
      <c r="W16" t="s">
        <v>1206</v>
      </c>
      <c r="X16" t="s">
        <v>1206</v>
      </c>
      <c r="Y16" t="s">
        <v>1229</v>
      </c>
      <c r="Z16" t="s">
        <v>1206</v>
      </c>
      <c r="AA16" t="s">
        <v>1205</v>
      </c>
      <c r="AB16" t="s">
        <v>1206</v>
      </c>
      <c r="AC16" s="160" t="s">
        <v>1205</v>
      </c>
      <c r="AD16" s="160" t="s">
        <v>1205</v>
      </c>
      <c r="AE16" s="160" t="s">
        <v>1205</v>
      </c>
      <c r="AF16" s="160" t="s">
        <v>1206</v>
      </c>
      <c r="AG16" s="160" t="s">
        <v>1205</v>
      </c>
      <c r="AH16" s="160" t="s">
        <v>1205</v>
      </c>
      <c r="AI16" s="160" t="s">
        <v>1205</v>
      </c>
      <c r="AJ16" s="160" t="s">
        <v>1205</v>
      </c>
      <c r="AK16" s="160" t="s">
        <v>1205</v>
      </c>
    </row>
    <row r="17" spans="2:37" ht="27" hidden="1" thickBot="1" x14ac:dyDescent="0.3">
      <c r="B17" s="119" t="s">
        <v>142</v>
      </c>
      <c r="C17" s="160" t="s">
        <v>1434</v>
      </c>
      <c r="D17" s="160" t="s">
        <v>1435</v>
      </c>
      <c r="E17" s="160" t="s">
        <v>72</v>
      </c>
      <c r="F17" s="160" t="s">
        <v>72</v>
      </c>
      <c r="G17" t="s">
        <v>1205</v>
      </c>
      <c r="H17" t="s">
        <v>1205</v>
      </c>
      <c r="I17" t="s">
        <v>1206</v>
      </c>
      <c r="J17" t="s">
        <v>1206</v>
      </c>
      <c r="K17" t="s">
        <v>1205</v>
      </c>
      <c r="L17" t="s">
        <v>1206</v>
      </c>
      <c r="M17" t="s">
        <v>1206</v>
      </c>
      <c r="N17" t="s">
        <v>1206</v>
      </c>
      <c r="O17" t="s">
        <v>1229</v>
      </c>
      <c r="P17" t="s">
        <v>1206</v>
      </c>
      <c r="Q17" t="s">
        <v>1205</v>
      </c>
      <c r="R17" t="s">
        <v>1206</v>
      </c>
      <c r="S17" t="s">
        <v>1206</v>
      </c>
      <c r="T17" t="s">
        <v>1206</v>
      </c>
      <c r="U17" t="s">
        <v>1229</v>
      </c>
      <c r="V17" t="s">
        <v>1206</v>
      </c>
      <c r="W17" t="s">
        <v>1205</v>
      </c>
      <c r="X17" t="s">
        <v>1206</v>
      </c>
      <c r="Y17" t="s">
        <v>1205</v>
      </c>
      <c r="Z17" t="s">
        <v>1206</v>
      </c>
      <c r="AA17" t="s">
        <v>1206</v>
      </c>
      <c r="AB17" t="s">
        <v>1206</v>
      </c>
      <c r="AC17" s="160" t="s">
        <v>1436</v>
      </c>
      <c r="AD17" s="160" t="s">
        <v>1229</v>
      </c>
      <c r="AE17" s="160" t="s">
        <v>1229</v>
      </c>
      <c r="AF17" s="160" t="s">
        <v>1229</v>
      </c>
      <c r="AG17" s="160" t="s">
        <v>1436</v>
      </c>
      <c r="AH17" s="160" t="s">
        <v>1436</v>
      </c>
      <c r="AI17" s="160" t="s">
        <v>1229</v>
      </c>
      <c r="AJ17" s="160" t="s">
        <v>1229</v>
      </c>
      <c r="AK17" s="160" t="s">
        <v>1436</v>
      </c>
    </row>
    <row r="18" spans="2:37" ht="27" hidden="1" thickBot="1" x14ac:dyDescent="0.3">
      <c r="B18" s="119" t="s">
        <v>142</v>
      </c>
      <c r="C18" s="203" t="s">
        <v>1621</v>
      </c>
      <c r="D18" s="160" t="s">
        <v>1217</v>
      </c>
      <c r="E18" s="160" t="s">
        <v>72</v>
      </c>
      <c r="F18" s="160" t="s">
        <v>72</v>
      </c>
      <c r="G18" t="s">
        <v>1205</v>
      </c>
      <c r="H18" t="s">
        <v>1206</v>
      </c>
      <c r="I18" t="s">
        <v>1206</v>
      </c>
      <c r="J18" t="s">
        <v>1205</v>
      </c>
      <c r="K18" t="s">
        <v>1206</v>
      </c>
      <c r="L18" t="s">
        <v>1205</v>
      </c>
      <c r="M18" t="s">
        <v>1206</v>
      </c>
      <c r="N18" t="s">
        <v>1205</v>
      </c>
      <c r="O18" t="s">
        <v>1205</v>
      </c>
      <c r="P18" t="s">
        <v>1205</v>
      </c>
      <c r="Q18" t="s">
        <v>1205</v>
      </c>
      <c r="R18" t="s">
        <v>1205</v>
      </c>
      <c r="S18" t="s">
        <v>1206</v>
      </c>
      <c r="T18" t="s">
        <v>1205</v>
      </c>
      <c r="U18" t="s">
        <v>1205</v>
      </c>
      <c r="V18" t="s">
        <v>1205</v>
      </c>
      <c r="W18" t="s">
        <v>1205</v>
      </c>
      <c r="X18" t="s">
        <v>1205</v>
      </c>
      <c r="Y18" t="s">
        <v>1205</v>
      </c>
      <c r="Z18" t="s">
        <v>1206</v>
      </c>
      <c r="AA18" t="s">
        <v>1206</v>
      </c>
      <c r="AB18" t="s">
        <v>1205</v>
      </c>
      <c r="AC18" s="160" t="s">
        <v>1205</v>
      </c>
      <c r="AD18" s="160" t="s">
        <v>1205</v>
      </c>
      <c r="AE18" s="160" t="s">
        <v>1205</v>
      </c>
      <c r="AF18" s="160" t="s">
        <v>1206</v>
      </c>
      <c r="AG18" s="160" t="s">
        <v>1205</v>
      </c>
      <c r="AH18" s="160" t="s">
        <v>1205</v>
      </c>
      <c r="AI18" s="160" t="s">
        <v>1205</v>
      </c>
      <c r="AJ18" s="160" t="s">
        <v>1205</v>
      </c>
      <c r="AK18" s="160" t="s">
        <v>1205</v>
      </c>
    </row>
    <row r="19" spans="2:37" ht="27" hidden="1" thickBot="1" x14ac:dyDescent="0.3">
      <c r="B19" s="119" t="s">
        <v>142</v>
      </c>
      <c r="C19" t="s">
        <v>1622</v>
      </c>
      <c r="D19" s="160" t="s">
        <v>1644</v>
      </c>
      <c r="E19" s="160" t="s">
        <v>72</v>
      </c>
      <c r="F19" s="160" t="s">
        <v>72</v>
      </c>
      <c r="G19" t="s">
        <v>1205</v>
      </c>
      <c r="H19" t="s">
        <v>1206</v>
      </c>
      <c r="I19" t="s">
        <v>1205</v>
      </c>
      <c r="J19" t="s">
        <v>1206</v>
      </c>
      <c r="K19" t="s">
        <v>1205</v>
      </c>
      <c r="L19" t="s">
        <v>1205</v>
      </c>
      <c r="M19" t="s">
        <v>1206</v>
      </c>
      <c r="N19" t="s">
        <v>1229</v>
      </c>
      <c r="O19" t="s">
        <v>1205</v>
      </c>
      <c r="P19" t="s">
        <v>1206</v>
      </c>
      <c r="Q19" t="s">
        <v>1205</v>
      </c>
      <c r="R19" t="s">
        <v>1205</v>
      </c>
      <c r="S19" t="s">
        <v>1206</v>
      </c>
      <c r="T19" t="s">
        <v>1205</v>
      </c>
      <c r="U19" t="s">
        <v>1229</v>
      </c>
      <c r="V19" t="s">
        <v>1205</v>
      </c>
      <c r="W19" t="s">
        <v>1205</v>
      </c>
      <c r="X19" t="s">
        <v>1206</v>
      </c>
      <c r="Y19" t="s">
        <v>1206</v>
      </c>
      <c r="Z19" t="s">
        <v>1205</v>
      </c>
      <c r="AA19" t="s">
        <v>1206</v>
      </c>
      <c r="AB19" t="s">
        <v>1205</v>
      </c>
      <c r="AC19" s="160" t="s">
        <v>1436</v>
      </c>
      <c r="AD19" s="160" t="s">
        <v>1229</v>
      </c>
      <c r="AE19" s="160" t="s">
        <v>1229</v>
      </c>
      <c r="AF19" s="160" t="s">
        <v>1229</v>
      </c>
      <c r="AG19" s="160" t="s">
        <v>1436</v>
      </c>
      <c r="AH19" s="160" t="s">
        <v>1436</v>
      </c>
      <c r="AI19" s="160" t="s">
        <v>1229</v>
      </c>
      <c r="AJ19" s="160" t="s">
        <v>1229</v>
      </c>
      <c r="AK19" s="160" t="s">
        <v>1436</v>
      </c>
    </row>
    <row r="20" spans="2:37" ht="27" hidden="1" thickBot="1" x14ac:dyDescent="0.3">
      <c r="B20" s="119" t="s">
        <v>142</v>
      </c>
      <c r="C20" t="s">
        <v>1623</v>
      </c>
      <c r="D20" s="160" t="s">
        <v>1217</v>
      </c>
      <c r="E20" s="160" t="s">
        <v>72</v>
      </c>
      <c r="F20" s="160" t="s">
        <v>72</v>
      </c>
      <c r="G20" t="s">
        <v>1206</v>
      </c>
      <c r="H20" t="s">
        <v>1206</v>
      </c>
      <c r="I20" t="s">
        <v>1205</v>
      </c>
      <c r="J20" t="s">
        <v>1206</v>
      </c>
      <c r="K20" t="s">
        <v>1206</v>
      </c>
      <c r="L20" t="s">
        <v>1206</v>
      </c>
      <c r="M20" t="s">
        <v>1205</v>
      </c>
      <c r="N20" t="s">
        <v>1205</v>
      </c>
      <c r="O20" t="s">
        <v>1206</v>
      </c>
      <c r="P20" t="s">
        <v>1205</v>
      </c>
      <c r="Q20" t="s">
        <v>1206</v>
      </c>
      <c r="R20" t="s">
        <v>1205</v>
      </c>
      <c r="S20" t="s">
        <v>1206</v>
      </c>
      <c r="T20" t="s">
        <v>1205</v>
      </c>
      <c r="U20" t="s">
        <v>1205</v>
      </c>
      <c r="V20" t="s">
        <v>1206</v>
      </c>
      <c r="W20" t="s">
        <v>1205</v>
      </c>
      <c r="X20" t="s">
        <v>1206</v>
      </c>
      <c r="Y20" t="s">
        <v>1205</v>
      </c>
      <c r="Z20" t="s">
        <v>1206</v>
      </c>
      <c r="AA20" t="s">
        <v>1206</v>
      </c>
      <c r="AB20" t="s">
        <v>1206</v>
      </c>
      <c r="AC20" s="160" t="s">
        <v>1205</v>
      </c>
      <c r="AD20" s="160" t="s">
        <v>1205</v>
      </c>
      <c r="AE20" s="160" t="s">
        <v>1205</v>
      </c>
      <c r="AF20" s="160" t="s">
        <v>1206</v>
      </c>
      <c r="AG20" s="160" t="s">
        <v>1205</v>
      </c>
      <c r="AH20" s="160" t="s">
        <v>1205</v>
      </c>
      <c r="AI20" s="160" t="s">
        <v>1205</v>
      </c>
      <c r="AJ20" s="160" t="s">
        <v>1205</v>
      </c>
      <c r="AK20" s="160" t="s">
        <v>1205</v>
      </c>
    </row>
    <row r="21" spans="2:37" ht="27" hidden="1" thickBot="1" x14ac:dyDescent="0.3">
      <c r="B21" s="119" t="s">
        <v>142</v>
      </c>
      <c r="C21" s="204" t="s">
        <v>1624</v>
      </c>
      <c r="D21" s="160" t="s">
        <v>1217</v>
      </c>
      <c r="E21" s="160" t="s">
        <v>72</v>
      </c>
      <c r="F21" s="160" t="s">
        <v>72</v>
      </c>
      <c r="G21" t="s">
        <v>1206</v>
      </c>
      <c r="H21" t="s">
        <v>1205</v>
      </c>
      <c r="I21" t="s">
        <v>1206</v>
      </c>
      <c r="J21" t="s">
        <v>1206</v>
      </c>
      <c r="K21" t="s">
        <v>1206</v>
      </c>
      <c r="L21" t="s">
        <v>1206</v>
      </c>
      <c r="M21" t="s">
        <v>1205</v>
      </c>
      <c r="N21" t="s">
        <v>1206</v>
      </c>
      <c r="O21" t="s">
        <v>1206</v>
      </c>
      <c r="P21" t="s">
        <v>1205</v>
      </c>
      <c r="Q21" t="s">
        <v>1205</v>
      </c>
      <c r="R21" t="s">
        <v>1205</v>
      </c>
      <c r="S21" t="s">
        <v>1206</v>
      </c>
      <c r="T21" t="s">
        <v>1205</v>
      </c>
      <c r="U21" t="s">
        <v>1205</v>
      </c>
      <c r="V21" t="s">
        <v>1205</v>
      </c>
      <c r="W21" t="s">
        <v>1205</v>
      </c>
      <c r="X21" t="s">
        <v>1205</v>
      </c>
      <c r="Y21" t="s">
        <v>1206</v>
      </c>
      <c r="Z21" t="s">
        <v>1205</v>
      </c>
      <c r="AA21" t="s">
        <v>1206</v>
      </c>
      <c r="AB21" t="s">
        <v>1205</v>
      </c>
      <c r="AC21" s="160" t="s">
        <v>1436</v>
      </c>
      <c r="AD21" s="160" t="s">
        <v>1229</v>
      </c>
      <c r="AE21" s="160" t="s">
        <v>1229</v>
      </c>
      <c r="AF21" s="160" t="s">
        <v>1229</v>
      </c>
      <c r="AG21" s="160" t="s">
        <v>1436</v>
      </c>
      <c r="AH21" s="160" t="s">
        <v>1436</v>
      </c>
      <c r="AI21" s="160" t="s">
        <v>1229</v>
      </c>
      <c r="AJ21" s="160" t="s">
        <v>1229</v>
      </c>
      <c r="AK21" s="160" t="s">
        <v>1436</v>
      </c>
    </row>
    <row r="22" spans="2:37" ht="27" hidden="1" thickBot="1" x14ac:dyDescent="0.3">
      <c r="B22" s="119" t="s">
        <v>142</v>
      </c>
      <c r="C22" s="204" t="s">
        <v>1625</v>
      </c>
      <c r="D22" s="160" t="s">
        <v>1645</v>
      </c>
      <c r="E22" s="160" t="s">
        <v>72</v>
      </c>
      <c r="F22" s="160" t="s">
        <v>72</v>
      </c>
      <c r="G22" t="s">
        <v>1206</v>
      </c>
      <c r="H22" t="s">
        <v>1206</v>
      </c>
      <c r="I22" t="s">
        <v>1206</v>
      </c>
      <c r="J22" t="s">
        <v>1206</v>
      </c>
      <c r="K22" t="s">
        <v>1205</v>
      </c>
      <c r="L22" t="s">
        <v>1205</v>
      </c>
      <c r="M22" t="s">
        <v>1205</v>
      </c>
      <c r="N22" t="s">
        <v>1206</v>
      </c>
      <c r="O22" t="s">
        <v>1206</v>
      </c>
      <c r="P22" t="s">
        <v>1205</v>
      </c>
      <c r="Q22" t="s">
        <v>1205</v>
      </c>
      <c r="R22" t="s">
        <v>1205</v>
      </c>
      <c r="S22" t="s">
        <v>1205</v>
      </c>
      <c r="T22" t="s">
        <v>1206</v>
      </c>
      <c r="U22" t="s">
        <v>1206</v>
      </c>
      <c r="V22" t="s">
        <v>1205</v>
      </c>
      <c r="W22" t="s">
        <v>1206</v>
      </c>
      <c r="X22" t="s">
        <v>1206</v>
      </c>
      <c r="Y22" t="s">
        <v>1206</v>
      </c>
      <c r="Z22" t="s">
        <v>1206</v>
      </c>
      <c r="AA22" t="s">
        <v>1206</v>
      </c>
      <c r="AB22" t="s">
        <v>1206</v>
      </c>
      <c r="AC22" s="160" t="s">
        <v>1205</v>
      </c>
      <c r="AD22" s="160" t="s">
        <v>1205</v>
      </c>
      <c r="AE22" s="160" t="s">
        <v>1205</v>
      </c>
      <c r="AF22" s="160" t="s">
        <v>1206</v>
      </c>
      <c r="AG22" s="160" t="s">
        <v>1205</v>
      </c>
      <c r="AH22" s="160" t="s">
        <v>1205</v>
      </c>
      <c r="AI22" s="160" t="s">
        <v>1205</v>
      </c>
      <c r="AJ22" s="160" t="s">
        <v>1205</v>
      </c>
      <c r="AK22" s="160" t="s">
        <v>1205</v>
      </c>
    </row>
    <row r="23" spans="2:37" ht="27" hidden="1" thickBot="1" x14ac:dyDescent="0.3">
      <c r="B23" s="119" t="s">
        <v>142</v>
      </c>
      <c r="C23" s="204" t="s">
        <v>1626</v>
      </c>
      <c r="D23" s="160" t="s">
        <v>1646</v>
      </c>
      <c r="E23" s="160" t="s">
        <v>72</v>
      </c>
      <c r="F23" s="160" t="s">
        <v>72</v>
      </c>
      <c r="G23" t="s">
        <v>1205</v>
      </c>
      <c r="H23" t="s">
        <v>1205</v>
      </c>
      <c r="I23" t="s">
        <v>1205</v>
      </c>
      <c r="J23" t="s">
        <v>1206</v>
      </c>
      <c r="K23" t="s">
        <v>1205</v>
      </c>
      <c r="L23" t="s">
        <v>1205</v>
      </c>
      <c r="M23" t="s">
        <v>1206</v>
      </c>
      <c r="N23" t="s">
        <v>1206</v>
      </c>
      <c r="O23" t="s">
        <v>1206</v>
      </c>
      <c r="P23" t="s">
        <v>1205</v>
      </c>
      <c r="Q23" t="s">
        <v>1206</v>
      </c>
      <c r="R23" t="s">
        <v>1205</v>
      </c>
      <c r="S23" t="s">
        <v>1205</v>
      </c>
      <c r="T23" t="s">
        <v>1206</v>
      </c>
      <c r="U23" t="s">
        <v>1205</v>
      </c>
      <c r="V23" t="s">
        <v>1205</v>
      </c>
      <c r="W23" t="s">
        <v>1206</v>
      </c>
      <c r="X23" t="s">
        <v>1206</v>
      </c>
      <c r="Y23" t="s">
        <v>1205</v>
      </c>
      <c r="Z23" t="s">
        <v>1206</v>
      </c>
      <c r="AA23" t="s">
        <v>1206</v>
      </c>
      <c r="AB23" t="s">
        <v>1206</v>
      </c>
      <c r="AC23" s="160" t="s">
        <v>1436</v>
      </c>
      <c r="AD23" s="160" t="s">
        <v>1229</v>
      </c>
      <c r="AE23" s="160" t="s">
        <v>1229</v>
      </c>
      <c r="AF23" s="160" t="s">
        <v>1229</v>
      </c>
      <c r="AG23" s="160" t="s">
        <v>1436</v>
      </c>
      <c r="AH23" s="160" t="s">
        <v>1436</v>
      </c>
      <c r="AI23" s="160" t="s">
        <v>1229</v>
      </c>
      <c r="AJ23" s="160" t="s">
        <v>1229</v>
      </c>
      <c r="AK23" s="160" t="s">
        <v>1436</v>
      </c>
    </row>
    <row r="24" spans="2:37" ht="27" hidden="1" thickBot="1" x14ac:dyDescent="0.3">
      <c r="B24" s="119" t="s">
        <v>142</v>
      </c>
      <c r="C24" s="204" t="s">
        <v>1627</v>
      </c>
      <c r="D24" s="160" t="s">
        <v>1338</v>
      </c>
      <c r="E24" s="160" t="s">
        <v>72</v>
      </c>
      <c r="F24" s="160" t="s">
        <v>72</v>
      </c>
      <c r="G24" t="s">
        <v>1205</v>
      </c>
      <c r="H24" t="s">
        <v>1205</v>
      </c>
      <c r="I24" t="s">
        <v>1206</v>
      </c>
      <c r="J24" t="s">
        <v>1206</v>
      </c>
      <c r="K24" t="s">
        <v>1206</v>
      </c>
      <c r="L24" t="s">
        <v>1206</v>
      </c>
      <c r="M24" t="s">
        <v>1206</v>
      </c>
      <c r="N24" t="s">
        <v>1206</v>
      </c>
      <c r="O24" t="s">
        <v>1206</v>
      </c>
      <c r="P24" t="s">
        <v>1205</v>
      </c>
      <c r="Q24" t="s">
        <v>1206</v>
      </c>
      <c r="R24" t="s">
        <v>1205</v>
      </c>
      <c r="S24" t="s">
        <v>1206</v>
      </c>
      <c r="T24" t="s">
        <v>1206</v>
      </c>
      <c r="U24" t="s">
        <v>1205</v>
      </c>
      <c r="V24" t="s">
        <v>1206</v>
      </c>
      <c r="W24" t="s">
        <v>1206</v>
      </c>
      <c r="X24" t="s">
        <v>1206</v>
      </c>
      <c r="Y24" t="s">
        <v>1206</v>
      </c>
      <c r="Z24" t="s">
        <v>1206</v>
      </c>
      <c r="AA24" t="s">
        <v>1205</v>
      </c>
      <c r="AB24" t="s">
        <v>1205</v>
      </c>
      <c r="AC24" s="160" t="s">
        <v>1205</v>
      </c>
      <c r="AD24" s="160" t="s">
        <v>1205</v>
      </c>
      <c r="AE24" s="160" t="s">
        <v>1205</v>
      </c>
      <c r="AF24" s="160" t="s">
        <v>1206</v>
      </c>
      <c r="AG24" s="160" t="s">
        <v>1205</v>
      </c>
      <c r="AH24" s="160" t="s">
        <v>1205</v>
      </c>
      <c r="AI24" s="160" t="s">
        <v>1205</v>
      </c>
      <c r="AJ24" s="160" t="s">
        <v>1205</v>
      </c>
      <c r="AK24" s="160" t="s">
        <v>1205</v>
      </c>
    </row>
    <row r="25" spans="2:37" ht="27" hidden="1" thickBot="1" x14ac:dyDescent="0.3">
      <c r="B25" s="119" t="s">
        <v>142</v>
      </c>
      <c r="C25" s="204" t="s">
        <v>1627</v>
      </c>
      <c r="D25" s="160" t="s">
        <v>1338</v>
      </c>
      <c r="E25" s="160" t="s">
        <v>72</v>
      </c>
      <c r="F25" s="160" t="s">
        <v>72</v>
      </c>
      <c r="G25" t="s">
        <v>1205</v>
      </c>
      <c r="H25" t="s">
        <v>1206</v>
      </c>
      <c r="I25" t="s">
        <v>1206</v>
      </c>
      <c r="J25" t="s">
        <v>1206</v>
      </c>
      <c r="K25" t="s">
        <v>1206</v>
      </c>
      <c r="L25" t="s">
        <v>1206</v>
      </c>
      <c r="M25" t="s">
        <v>1206</v>
      </c>
      <c r="N25" t="s">
        <v>1206</v>
      </c>
      <c r="O25" t="s">
        <v>1206</v>
      </c>
      <c r="P25" t="s">
        <v>1205</v>
      </c>
      <c r="Q25" t="s">
        <v>1205</v>
      </c>
      <c r="R25" t="s">
        <v>1205</v>
      </c>
      <c r="S25" t="s">
        <v>1205</v>
      </c>
      <c r="T25" t="s">
        <v>1206</v>
      </c>
      <c r="U25" t="s">
        <v>1206</v>
      </c>
      <c r="V25" t="s">
        <v>1205</v>
      </c>
      <c r="W25" t="s">
        <v>1205</v>
      </c>
      <c r="X25" t="s">
        <v>1206</v>
      </c>
      <c r="Y25" t="s">
        <v>1206</v>
      </c>
      <c r="Z25" t="s">
        <v>1206</v>
      </c>
      <c r="AA25" t="s">
        <v>1206</v>
      </c>
      <c r="AB25" t="s">
        <v>1205</v>
      </c>
      <c r="AC25" s="160" t="s">
        <v>1436</v>
      </c>
      <c r="AD25" s="160" t="s">
        <v>1229</v>
      </c>
      <c r="AE25" s="160" t="s">
        <v>1229</v>
      </c>
      <c r="AF25" s="160" t="s">
        <v>1229</v>
      </c>
      <c r="AG25" s="160" t="s">
        <v>1436</v>
      </c>
      <c r="AH25" s="160" t="s">
        <v>1436</v>
      </c>
      <c r="AI25" s="160" t="s">
        <v>1229</v>
      </c>
      <c r="AJ25" s="160" t="s">
        <v>1229</v>
      </c>
      <c r="AK25" s="160" t="s">
        <v>1436</v>
      </c>
    </row>
    <row r="26" spans="2:37" ht="27" hidden="1" thickBot="1" x14ac:dyDescent="0.3">
      <c r="B26" s="119" t="s">
        <v>142</v>
      </c>
      <c r="C26" s="204" t="s">
        <v>1628</v>
      </c>
      <c r="D26" s="160" t="s">
        <v>1647</v>
      </c>
      <c r="E26" s="160" t="s">
        <v>72</v>
      </c>
      <c r="F26" s="160" t="s">
        <v>72</v>
      </c>
      <c r="G26" t="s">
        <v>1206</v>
      </c>
      <c r="H26" t="s">
        <v>1205</v>
      </c>
      <c r="I26" t="s">
        <v>1229</v>
      </c>
      <c r="J26" t="s">
        <v>1206</v>
      </c>
      <c r="K26" t="s">
        <v>1206</v>
      </c>
      <c r="L26" t="s">
        <v>1205</v>
      </c>
      <c r="M26" t="s">
        <v>1206</v>
      </c>
      <c r="N26" t="s">
        <v>1206</v>
      </c>
      <c r="O26" t="s">
        <v>1205</v>
      </c>
      <c r="P26" t="s">
        <v>1205</v>
      </c>
      <c r="Q26" t="s">
        <v>1205</v>
      </c>
      <c r="R26" t="s">
        <v>1205</v>
      </c>
      <c r="S26" t="s">
        <v>1205</v>
      </c>
      <c r="T26" t="s">
        <v>1205</v>
      </c>
      <c r="U26" t="s">
        <v>1206</v>
      </c>
      <c r="V26" t="s">
        <v>1206</v>
      </c>
      <c r="W26" t="s">
        <v>1206</v>
      </c>
      <c r="X26" t="s">
        <v>1205</v>
      </c>
      <c r="Y26" t="s">
        <v>1206</v>
      </c>
      <c r="Z26" t="s">
        <v>1206</v>
      </c>
      <c r="AA26" t="s">
        <v>1205</v>
      </c>
      <c r="AB26" t="s">
        <v>1205</v>
      </c>
      <c r="AC26" s="160" t="s">
        <v>1205</v>
      </c>
      <c r="AD26" s="160" t="s">
        <v>1205</v>
      </c>
      <c r="AE26" s="160" t="s">
        <v>1205</v>
      </c>
      <c r="AF26" s="160" t="s">
        <v>1206</v>
      </c>
      <c r="AG26" s="160" t="s">
        <v>1205</v>
      </c>
      <c r="AH26" s="160" t="s">
        <v>1205</v>
      </c>
      <c r="AI26" s="160" t="s">
        <v>1205</v>
      </c>
      <c r="AJ26" s="160" t="s">
        <v>1205</v>
      </c>
      <c r="AK26" s="160" t="s">
        <v>1205</v>
      </c>
    </row>
    <row r="27" spans="2:37" ht="27" hidden="1" thickBot="1" x14ac:dyDescent="0.3">
      <c r="B27" s="119" t="s">
        <v>142</v>
      </c>
      <c r="C27" s="204" t="s">
        <v>1629</v>
      </c>
      <c r="D27" s="160" t="s">
        <v>1304</v>
      </c>
      <c r="E27" s="160" t="s">
        <v>72</v>
      </c>
      <c r="F27" s="160" t="s">
        <v>72</v>
      </c>
      <c r="G27" t="s">
        <v>1205</v>
      </c>
      <c r="H27" t="s">
        <v>1206</v>
      </c>
      <c r="I27" t="s">
        <v>1206</v>
      </c>
      <c r="J27" t="s">
        <v>1206</v>
      </c>
      <c r="K27" t="s">
        <v>1205</v>
      </c>
      <c r="L27" t="s">
        <v>1206</v>
      </c>
      <c r="M27" t="s">
        <v>1205</v>
      </c>
      <c r="N27" t="s">
        <v>1206</v>
      </c>
      <c r="O27" t="s">
        <v>1205</v>
      </c>
      <c r="P27" t="s">
        <v>1205</v>
      </c>
      <c r="Q27" t="s">
        <v>1206</v>
      </c>
      <c r="R27" t="s">
        <v>1205</v>
      </c>
      <c r="S27" t="s">
        <v>1206</v>
      </c>
      <c r="T27" t="s">
        <v>1205</v>
      </c>
      <c r="U27" t="s">
        <v>1205</v>
      </c>
      <c r="V27" t="s">
        <v>1206</v>
      </c>
      <c r="W27" t="s">
        <v>1206</v>
      </c>
      <c r="X27" t="s">
        <v>1205</v>
      </c>
      <c r="Y27" t="s">
        <v>1206</v>
      </c>
      <c r="Z27" t="s">
        <v>1205</v>
      </c>
      <c r="AA27" t="s">
        <v>1205</v>
      </c>
      <c r="AB27" t="s">
        <v>1206</v>
      </c>
      <c r="AC27" s="160" t="s">
        <v>1436</v>
      </c>
      <c r="AD27" s="160" t="s">
        <v>1229</v>
      </c>
      <c r="AE27" s="160" t="s">
        <v>1229</v>
      </c>
      <c r="AF27" s="160" t="s">
        <v>1229</v>
      </c>
      <c r="AG27" s="160" t="s">
        <v>1436</v>
      </c>
      <c r="AH27" s="160" t="s">
        <v>1436</v>
      </c>
      <c r="AI27" s="160" t="s">
        <v>1229</v>
      </c>
      <c r="AJ27" s="160" t="s">
        <v>1229</v>
      </c>
      <c r="AK27" s="160" t="s">
        <v>1436</v>
      </c>
    </row>
    <row r="28" spans="2:37" ht="27" hidden="1" thickBot="1" x14ac:dyDescent="0.3">
      <c r="B28" s="119" t="s">
        <v>142</v>
      </c>
      <c r="C28" s="204" t="s">
        <v>1630</v>
      </c>
      <c r="D28" s="160" t="s">
        <v>1648</v>
      </c>
      <c r="E28" s="160" t="s">
        <v>72</v>
      </c>
      <c r="F28" s="160" t="s">
        <v>72</v>
      </c>
      <c r="G28" t="s">
        <v>1206</v>
      </c>
      <c r="H28" t="s">
        <v>1205</v>
      </c>
      <c r="I28" t="s">
        <v>1229</v>
      </c>
      <c r="J28" t="s">
        <v>1206</v>
      </c>
      <c r="K28" t="s">
        <v>1206</v>
      </c>
      <c r="L28" t="s">
        <v>1205</v>
      </c>
      <c r="M28" t="s">
        <v>1205</v>
      </c>
      <c r="N28" t="s">
        <v>1205</v>
      </c>
      <c r="O28" t="s">
        <v>1205</v>
      </c>
      <c r="P28" t="s">
        <v>1205</v>
      </c>
      <c r="Q28" t="s">
        <v>1205</v>
      </c>
      <c r="R28" t="s">
        <v>1205</v>
      </c>
      <c r="S28" t="s">
        <v>1205</v>
      </c>
      <c r="T28" t="s">
        <v>1206</v>
      </c>
      <c r="U28" t="s">
        <v>1206</v>
      </c>
      <c r="V28" t="s">
        <v>1205</v>
      </c>
      <c r="W28" t="s">
        <v>1205</v>
      </c>
      <c r="X28" t="s">
        <v>1206</v>
      </c>
      <c r="Y28" t="s">
        <v>1205</v>
      </c>
      <c r="Z28" t="s">
        <v>1206</v>
      </c>
      <c r="AA28" t="s">
        <v>1206</v>
      </c>
      <c r="AB28" t="s">
        <v>1206</v>
      </c>
      <c r="AC28" s="160" t="s">
        <v>1205</v>
      </c>
      <c r="AD28" s="160" t="s">
        <v>1205</v>
      </c>
      <c r="AE28" s="160" t="s">
        <v>1205</v>
      </c>
      <c r="AF28" s="160" t="s">
        <v>1206</v>
      </c>
      <c r="AG28" s="160" t="s">
        <v>1205</v>
      </c>
      <c r="AH28" s="160" t="s">
        <v>1205</v>
      </c>
      <c r="AI28" s="160" t="s">
        <v>1205</v>
      </c>
      <c r="AJ28" s="160" t="s">
        <v>1205</v>
      </c>
      <c r="AK28" s="160" t="s">
        <v>1205</v>
      </c>
    </row>
    <row r="29" spans="2:37" ht="27" hidden="1" thickBot="1" x14ac:dyDescent="0.3">
      <c r="B29" s="119" t="s">
        <v>142</v>
      </c>
      <c r="C29" s="204" t="s">
        <v>1631</v>
      </c>
      <c r="D29" s="160" t="s">
        <v>1649</v>
      </c>
      <c r="E29" s="160" t="s">
        <v>72</v>
      </c>
      <c r="F29" s="160" t="s">
        <v>72</v>
      </c>
      <c r="G29" t="s">
        <v>1205</v>
      </c>
      <c r="H29" t="s">
        <v>1206</v>
      </c>
      <c r="I29" t="s">
        <v>1205</v>
      </c>
      <c r="J29" t="s">
        <v>1206</v>
      </c>
      <c r="K29" t="s">
        <v>1206</v>
      </c>
      <c r="L29" t="s">
        <v>1205</v>
      </c>
      <c r="M29" t="s">
        <v>1205</v>
      </c>
      <c r="N29" t="s">
        <v>1205</v>
      </c>
      <c r="O29" t="s">
        <v>1205</v>
      </c>
      <c r="P29" t="s">
        <v>1205</v>
      </c>
      <c r="Q29" t="s">
        <v>1205</v>
      </c>
      <c r="R29" t="s">
        <v>1205</v>
      </c>
      <c r="S29" t="s">
        <v>1205</v>
      </c>
      <c r="T29" t="s">
        <v>1206</v>
      </c>
      <c r="U29" t="s">
        <v>1205</v>
      </c>
      <c r="V29" t="s">
        <v>1205</v>
      </c>
      <c r="W29" t="s">
        <v>1206</v>
      </c>
      <c r="X29" t="s">
        <v>1206</v>
      </c>
      <c r="Y29" t="s">
        <v>1206</v>
      </c>
      <c r="Z29" t="s">
        <v>1205</v>
      </c>
      <c r="AA29" t="s">
        <v>1206</v>
      </c>
      <c r="AB29" t="s">
        <v>1205</v>
      </c>
      <c r="AC29" s="160" t="s">
        <v>1436</v>
      </c>
      <c r="AD29" s="160" t="s">
        <v>1229</v>
      </c>
      <c r="AE29" s="160" t="s">
        <v>1229</v>
      </c>
      <c r="AF29" s="160" t="s">
        <v>1229</v>
      </c>
      <c r="AG29" s="160" t="s">
        <v>1436</v>
      </c>
      <c r="AH29" s="160" t="s">
        <v>1436</v>
      </c>
      <c r="AI29" s="160" t="s">
        <v>1229</v>
      </c>
      <c r="AJ29" s="160" t="s">
        <v>1229</v>
      </c>
      <c r="AK29" s="160" t="s">
        <v>1436</v>
      </c>
    </row>
    <row r="30" spans="2:37" ht="27" hidden="1" thickBot="1" x14ac:dyDescent="0.3">
      <c r="B30" s="119" t="s">
        <v>142</v>
      </c>
      <c r="C30" s="204" t="s">
        <v>1632</v>
      </c>
      <c r="D30" s="160" t="s">
        <v>1217</v>
      </c>
      <c r="E30" s="160" t="s">
        <v>72</v>
      </c>
      <c r="F30" s="160" t="s">
        <v>72</v>
      </c>
      <c r="G30" t="s">
        <v>1205</v>
      </c>
      <c r="H30" t="s">
        <v>1206</v>
      </c>
      <c r="I30" t="s">
        <v>1205</v>
      </c>
      <c r="J30" t="s">
        <v>1206</v>
      </c>
      <c r="K30" t="s">
        <v>1206</v>
      </c>
      <c r="L30" t="s">
        <v>1206</v>
      </c>
      <c r="M30" t="s">
        <v>1205</v>
      </c>
      <c r="N30" t="s">
        <v>1205</v>
      </c>
      <c r="O30" t="s">
        <v>1206</v>
      </c>
      <c r="P30" t="s">
        <v>1205</v>
      </c>
      <c r="Q30" t="s">
        <v>1205</v>
      </c>
      <c r="R30" t="s">
        <v>1205</v>
      </c>
      <c r="S30" t="s">
        <v>1205</v>
      </c>
      <c r="T30" t="s">
        <v>1206</v>
      </c>
      <c r="U30" t="s">
        <v>1206</v>
      </c>
      <c r="V30" t="s">
        <v>1206</v>
      </c>
      <c r="W30" t="s">
        <v>1206</v>
      </c>
      <c r="X30" t="s">
        <v>1205</v>
      </c>
      <c r="Y30" t="s">
        <v>1206</v>
      </c>
      <c r="Z30" t="s">
        <v>1205</v>
      </c>
      <c r="AA30" t="s">
        <v>1206</v>
      </c>
      <c r="AB30" t="s">
        <v>1205</v>
      </c>
      <c r="AC30" s="160" t="s">
        <v>1205</v>
      </c>
      <c r="AD30" s="160" t="s">
        <v>1205</v>
      </c>
      <c r="AE30" s="160" t="s">
        <v>1205</v>
      </c>
      <c r="AF30" s="160" t="s">
        <v>1206</v>
      </c>
      <c r="AG30" s="160" t="s">
        <v>1205</v>
      </c>
      <c r="AH30" s="160" t="s">
        <v>1205</v>
      </c>
      <c r="AI30" s="160" t="s">
        <v>1205</v>
      </c>
      <c r="AJ30" s="160" t="s">
        <v>1205</v>
      </c>
      <c r="AK30" s="160" t="s">
        <v>1205</v>
      </c>
    </row>
    <row r="31" spans="2:37" ht="27" hidden="1" thickBot="1" x14ac:dyDescent="0.3">
      <c r="B31" s="119" t="s">
        <v>142</v>
      </c>
      <c r="C31" s="204" t="s">
        <v>1633</v>
      </c>
      <c r="D31" s="160" t="s">
        <v>888</v>
      </c>
      <c r="E31" s="160" t="s">
        <v>72</v>
      </c>
      <c r="F31" s="160" t="s">
        <v>72</v>
      </c>
      <c r="G31" t="s">
        <v>1205</v>
      </c>
      <c r="H31" t="s">
        <v>1205</v>
      </c>
      <c r="I31" t="s">
        <v>1206</v>
      </c>
      <c r="J31" t="s">
        <v>1205</v>
      </c>
      <c r="K31" t="s">
        <v>1206</v>
      </c>
      <c r="L31" t="s">
        <v>1206</v>
      </c>
      <c r="M31" t="s">
        <v>1205</v>
      </c>
      <c r="N31" t="s">
        <v>1206</v>
      </c>
      <c r="O31" t="s">
        <v>1206</v>
      </c>
      <c r="P31" t="s">
        <v>1205</v>
      </c>
      <c r="Q31" t="s">
        <v>1205</v>
      </c>
      <c r="R31" t="s">
        <v>1205</v>
      </c>
      <c r="S31" t="s">
        <v>1205</v>
      </c>
      <c r="T31" t="s">
        <v>1205</v>
      </c>
      <c r="U31" t="s">
        <v>1206</v>
      </c>
      <c r="V31" t="s">
        <v>1206</v>
      </c>
      <c r="W31" t="s">
        <v>1206</v>
      </c>
      <c r="X31" t="s">
        <v>1205</v>
      </c>
      <c r="Y31" t="s">
        <v>1206</v>
      </c>
      <c r="Z31" t="s">
        <v>1206</v>
      </c>
      <c r="AA31" t="s">
        <v>1205</v>
      </c>
      <c r="AB31" t="s">
        <v>1205</v>
      </c>
      <c r="AC31" s="160" t="s">
        <v>1436</v>
      </c>
      <c r="AD31" s="160" t="s">
        <v>1229</v>
      </c>
      <c r="AE31" s="160" t="s">
        <v>1229</v>
      </c>
      <c r="AF31" s="160" t="s">
        <v>1229</v>
      </c>
      <c r="AG31" s="160" t="s">
        <v>1436</v>
      </c>
      <c r="AH31" s="160" t="s">
        <v>1436</v>
      </c>
      <c r="AI31" s="160" t="s">
        <v>1229</v>
      </c>
      <c r="AJ31" s="160" t="s">
        <v>1229</v>
      </c>
      <c r="AK31" s="160" t="s">
        <v>1436</v>
      </c>
    </row>
    <row r="32" spans="2:37" ht="27" hidden="1" thickBot="1" x14ac:dyDescent="0.3">
      <c r="B32" s="119" t="s">
        <v>142</v>
      </c>
      <c r="C32" s="204" t="s">
        <v>1634</v>
      </c>
      <c r="D32" s="160" t="s">
        <v>888</v>
      </c>
      <c r="E32" s="160" t="s">
        <v>72</v>
      </c>
      <c r="F32" s="160" t="s">
        <v>72</v>
      </c>
      <c r="G32" t="s">
        <v>1206</v>
      </c>
      <c r="H32" t="s">
        <v>1205</v>
      </c>
      <c r="I32" t="s">
        <v>1205</v>
      </c>
      <c r="J32" t="s">
        <v>1206</v>
      </c>
      <c r="K32" t="s">
        <v>1206</v>
      </c>
      <c r="L32" t="s">
        <v>1206</v>
      </c>
      <c r="M32" t="s">
        <v>1206</v>
      </c>
      <c r="N32" t="s">
        <v>1205</v>
      </c>
      <c r="O32" t="s">
        <v>1206</v>
      </c>
      <c r="P32" t="s">
        <v>1206</v>
      </c>
      <c r="Q32" t="s">
        <v>1205</v>
      </c>
      <c r="R32" t="s">
        <v>1205</v>
      </c>
      <c r="S32" t="s">
        <v>1206</v>
      </c>
      <c r="T32" t="s">
        <v>1206</v>
      </c>
      <c r="U32" t="s">
        <v>1206</v>
      </c>
      <c r="V32" t="s">
        <v>1206</v>
      </c>
      <c r="W32" t="s">
        <v>1206</v>
      </c>
      <c r="X32" t="s">
        <v>1205</v>
      </c>
      <c r="Y32" t="s">
        <v>1206</v>
      </c>
      <c r="Z32" t="s">
        <v>1206</v>
      </c>
      <c r="AA32" t="s">
        <v>1205</v>
      </c>
      <c r="AB32" t="s">
        <v>1206</v>
      </c>
      <c r="AC32" s="160" t="s">
        <v>1205</v>
      </c>
      <c r="AD32" s="160" t="s">
        <v>1205</v>
      </c>
      <c r="AE32" s="160" t="s">
        <v>1205</v>
      </c>
      <c r="AF32" s="160" t="s">
        <v>1206</v>
      </c>
      <c r="AG32" s="160" t="s">
        <v>1205</v>
      </c>
      <c r="AH32" s="160" t="s">
        <v>1205</v>
      </c>
      <c r="AI32" s="160" t="s">
        <v>1205</v>
      </c>
      <c r="AJ32" s="160" t="s">
        <v>1205</v>
      </c>
      <c r="AK32" s="160" t="s">
        <v>1205</v>
      </c>
    </row>
    <row r="33" spans="1:40" ht="27" hidden="1" thickBot="1" x14ac:dyDescent="0.3">
      <c r="B33" s="119" t="s">
        <v>142</v>
      </c>
      <c r="C33" s="204" t="s">
        <v>1635</v>
      </c>
      <c r="D33" s="160" t="s">
        <v>888</v>
      </c>
      <c r="E33" s="160" t="s">
        <v>72</v>
      </c>
      <c r="F33" s="160" t="s">
        <v>72</v>
      </c>
      <c r="G33" t="s">
        <v>1206</v>
      </c>
      <c r="H33" t="s">
        <v>1205</v>
      </c>
      <c r="I33" t="s">
        <v>1205</v>
      </c>
      <c r="J33" t="s">
        <v>1206</v>
      </c>
      <c r="K33" t="s">
        <v>1206</v>
      </c>
      <c r="L33" t="s">
        <v>1205</v>
      </c>
      <c r="M33" t="s">
        <v>1205</v>
      </c>
      <c r="N33" t="s">
        <v>1206</v>
      </c>
      <c r="O33" t="s">
        <v>1206</v>
      </c>
      <c r="P33" t="s">
        <v>1205</v>
      </c>
      <c r="Q33" t="s">
        <v>1206</v>
      </c>
      <c r="R33" t="s">
        <v>1206</v>
      </c>
      <c r="S33" t="s">
        <v>1205</v>
      </c>
      <c r="T33" t="s">
        <v>1205</v>
      </c>
      <c r="U33" t="s">
        <v>1206</v>
      </c>
      <c r="V33" t="s">
        <v>1205</v>
      </c>
      <c r="W33" t="s">
        <v>1206</v>
      </c>
      <c r="X33" t="s">
        <v>1205</v>
      </c>
      <c r="Y33" t="s">
        <v>1205</v>
      </c>
      <c r="Z33" t="s">
        <v>1206</v>
      </c>
      <c r="AA33" t="s">
        <v>1205</v>
      </c>
      <c r="AB33" t="s">
        <v>1205</v>
      </c>
      <c r="AC33" s="160" t="s">
        <v>1436</v>
      </c>
      <c r="AD33" s="160" t="s">
        <v>1229</v>
      </c>
      <c r="AE33" s="160" t="s">
        <v>1229</v>
      </c>
      <c r="AF33" s="160" t="s">
        <v>1229</v>
      </c>
      <c r="AG33" s="160" t="s">
        <v>1436</v>
      </c>
      <c r="AH33" s="160" t="s">
        <v>1436</v>
      </c>
      <c r="AI33" s="160" t="s">
        <v>1229</v>
      </c>
      <c r="AJ33" s="160" t="s">
        <v>1229</v>
      </c>
      <c r="AK33" s="160" t="s">
        <v>1436</v>
      </c>
    </row>
    <row r="34" spans="1:40" ht="27" hidden="1" thickBot="1" x14ac:dyDescent="0.3">
      <c r="B34" s="119" t="s">
        <v>142</v>
      </c>
      <c r="C34" s="204" t="s">
        <v>1636</v>
      </c>
      <c r="D34" s="160" t="s">
        <v>888</v>
      </c>
      <c r="E34" s="160" t="s">
        <v>72</v>
      </c>
      <c r="F34" s="160" t="s">
        <v>72</v>
      </c>
      <c r="G34" t="s">
        <v>1206</v>
      </c>
      <c r="H34" t="s">
        <v>1205</v>
      </c>
      <c r="I34" t="s">
        <v>1205</v>
      </c>
      <c r="J34" t="s">
        <v>1229</v>
      </c>
      <c r="K34" t="s">
        <v>1206</v>
      </c>
      <c r="L34" t="s">
        <v>1205</v>
      </c>
      <c r="M34" t="s">
        <v>1205</v>
      </c>
      <c r="N34" t="s">
        <v>1206</v>
      </c>
      <c r="O34" t="s">
        <v>1205</v>
      </c>
      <c r="P34" t="s">
        <v>1205</v>
      </c>
      <c r="Q34" t="s">
        <v>1205</v>
      </c>
      <c r="R34" t="s">
        <v>1205</v>
      </c>
      <c r="S34" t="s">
        <v>1206</v>
      </c>
      <c r="T34" t="s">
        <v>1206</v>
      </c>
      <c r="U34" t="s">
        <v>1205</v>
      </c>
      <c r="V34" t="s">
        <v>1205</v>
      </c>
      <c r="W34" t="s">
        <v>1206</v>
      </c>
      <c r="X34" t="s">
        <v>1205</v>
      </c>
      <c r="Y34" t="s">
        <v>1205</v>
      </c>
      <c r="Z34" t="s">
        <v>1206</v>
      </c>
      <c r="AA34" t="s">
        <v>1205</v>
      </c>
      <c r="AB34" t="s">
        <v>1206</v>
      </c>
      <c r="AC34" s="160" t="s">
        <v>1205</v>
      </c>
      <c r="AD34" s="160" t="s">
        <v>1205</v>
      </c>
      <c r="AE34" s="160" t="s">
        <v>1205</v>
      </c>
      <c r="AF34" s="160" t="s">
        <v>1206</v>
      </c>
      <c r="AG34" s="160" t="s">
        <v>1205</v>
      </c>
      <c r="AH34" s="160" t="s">
        <v>1205</v>
      </c>
      <c r="AI34" s="160" t="s">
        <v>1205</v>
      </c>
      <c r="AJ34" s="160" t="s">
        <v>1205</v>
      </c>
      <c r="AK34" s="160" t="s">
        <v>1205</v>
      </c>
    </row>
    <row r="35" spans="1:40" ht="27" hidden="1" thickBot="1" x14ac:dyDescent="0.3">
      <c r="B35" s="119" t="s">
        <v>142</v>
      </c>
      <c r="C35" s="204" t="s">
        <v>1637</v>
      </c>
      <c r="D35" s="160" t="s">
        <v>1217</v>
      </c>
      <c r="E35" s="160" t="s">
        <v>72</v>
      </c>
      <c r="F35" s="160" t="s">
        <v>72</v>
      </c>
      <c r="G35" t="s">
        <v>1205</v>
      </c>
      <c r="H35" t="s">
        <v>1206</v>
      </c>
      <c r="I35" t="s">
        <v>1206</v>
      </c>
      <c r="J35" t="s">
        <v>1205</v>
      </c>
      <c r="K35" t="s">
        <v>1206</v>
      </c>
      <c r="L35" t="s">
        <v>1205</v>
      </c>
      <c r="M35" t="s">
        <v>1205</v>
      </c>
      <c r="N35" t="s">
        <v>1206</v>
      </c>
      <c r="O35" t="s">
        <v>1206</v>
      </c>
      <c r="P35" t="s">
        <v>1205</v>
      </c>
      <c r="Q35" t="s">
        <v>1205</v>
      </c>
      <c r="R35" t="s">
        <v>1205</v>
      </c>
      <c r="S35" t="s">
        <v>1206</v>
      </c>
      <c r="T35" t="s">
        <v>1205</v>
      </c>
      <c r="U35" t="s">
        <v>1205</v>
      </c>
      <c r="V35" t="s">
        <v>1206</v>
      </c>
      <c r="W35" t="s">
        <v>1205</v>
      </c>
      <c r="X35" t="s">
        <v>1205</v>
      </c>
      <c r="Y35" t="s">
        <v>1205</v>
      </c>
      <c r="Z35" t="s">
        <v>1206</v>
      </c>
      <c r="AA35" t="s">
        <v>1206</v>
      </c>
      <c r="AB35" t="s">
        <v>1205</v>
      </c>
      <c r="AC35" s="160" t="s">
        <v>1436</v>
      </c>
      <c r="AD35" s="160" t="s">
        <v>1229</v>
      </c>
      <c r="AE35" s="160" t="s">
        <v>1229</v>
      </c>
      <c r="AF35" s="160" t="s">
        <v>1229</v>
      </c>
      <c r="AG35" s="160" t="s">
        <v>1436</v>
      </c>
      <c r="AH35" s="160" t="s">
        <v>1436</v>
      </c>
      <c r="AI35" s="160" t="s">
        <v>1229</v>
      </c>
      <c r="AJ35" s="160" t="s">
        <v>1229</v>
      </c>
      <c r="AK35" s="160" t="s">
        <v>1436</v>
      </c>
    </row>
    <row r="36" spans="1:40" ht="27" hidden="1" thickBot="1" x14ac:dyDescent="0.3">
      <c r="B36" s="119" t="s">
        <v>142</v>
      </c>
      <c r="C36" s="204" t="s">
        <v>1643</v>
      </c>
      <c r="D36" s="160" t="s">
        <v>888</v>
      </c>
      <c r="E36" s="160" t="s">
        <v>72</v>
      </c>
      <c r="F36" s="160" t="s">
        <v>72</v>
      </c>
      <c r="G36" t="s">
        <v>1205</v>
      </c>
      <c r="H36" t="s">
        <v>1206</v>
      </c>
      <c r="I36" t="s">
        <v>1205</v>
      </c>
      <c r="J36" t="s">
        <v>1205</v>
      </c>
      <c r="K36" t="s">
        <v>1205</v>
      </c>
      <c r="L36" t="s">
        <v>1205</v>
      </c>
      <c r="M36" t="s">
        <v>1206</v>
      </c>
      <c r="N36" t="s">
        <v>1206</v>
      </c>
      <c r="O36" t="s">
        <v>1206</v>
      </c>
      <c r="P36" t="s">
        <v>1205</v>
      </c>
      <c r="Q36" t="s">
        <v>1205</v>
      </c>
      <c r="R36" t="s">
        <v>1206</v>
      </c>
      <c r="S36" t="s">
        <v>1206</v>
      </c>
      <c r="T36" t="s">
        <v>1206</v>
      </c>
      <c r="U36" t="s">
        <v>1206</v>
      </c>
      <c r="V36" t="s">
        <v>1206</v>
      </c>
      <c r="W36" t="s">
        <v>1205</v>
      </c>
      <c r="X36" t="s">
        <v>1206</v>
      </c>
      <c r="Y36" t="s">
        <v>1205</v>
      </c>
      <c r="Z36" t="s">
        <v>1205</v>
      </c>
      <c r="AA36" t="s">
        <v>1206</v>
      </c>
      <c r="AB36" t="s">
        <v>1206</v>
      </c>
      <c r="AC36" s="160" t="s">
        <v>1205</v>
      </c>
      <c r="AD36" s="160" t="s">
        <v>1205</v>
      </c>
      <c r="AE36" s="160" t="s">
        <v>1205</v>
      </c>
      <c r="AF36" s="160" t="s">
        <v>1206</v>
      </c>
      <c r="AG36" s="160" t="s">
        <v>1205</v>
      </c>
      <c r="AH36" s="160" t="s">
        <v>1205</v>
      </c>
      <c r="AI36" s="160" t="s">
        <v>1205</v>
      </c>
      <c r="AJ36" s="160" t="s">
        <v>1205</v>
      </c>
      <c r="AK36" s="160" t="s">
        <v>1205</v>
      </c>
    </row>
    <row r="37" spans="1:40" ht="27" hidden="1" thickBot="1" x14ac:dyDescent="0.3">
      <c r="B37" s="119" t="s">
        <v>142</v>
      </c>
      <c r="C37" s="204" t="s">
        <v>1638</v>
      </c>
      <c r="D37" s="160" t="s">
        <v>74</v>
      </c>
      <c r="E37" s="160" t="s">
        <v>72</v>
      </c>
      <c r="F37" s="160" t="s">
        <v>72</v>
      </c>
      <c r="G37" t="s">
        <v>1206</v>
      </c>
      <c r="H37" t="s">
        <v>1205</v>
      </c>
      <c r="I37" t="s">
        <v>1206</v>
      </c>
      <c r="J37" t="s">
        <v>1206</v>
      </c>
      <c r="K37" t="s">
        <v>1206</v>
      </c>
      <c r="L37" t="s">
        <v>1205</v>
      </c>
      <c r="M37" t="s">
        <v>1205</v>
      </c>
      <c r="N37" t="s">
        <v>1205</v>
      </c>
      <c r="O37" t="s">
        <v>1205</v>
      </c>
      <c r="P37" t="s">
        <v>1205</v>
      </c>
      <c r="Q37" t="s">
        <v>1205</v>
      </c>
      <c r="R37" t="s">
        <v>1206</v>
      </c>
      <c r="S37" t="s">
        <v>1229</v>
      </c>
      <c r="T37" t="s">
        <v>1206</v>
      </c>
      <c r="U37" t="s">
        <v>1206</v>
      </c>
      <c r="V37" t="s">
        <v>1206</v>
      </c>
      <c r="W37" t="s">
        <v>1206</v>
      </c>
      <c r="X37" t="s">
        <v>1205</v>
      </c>
      <c r="Y37" t="s">
        <v>1229</v>
      </c>
      <c r="Z37" t="s">
        <v>1205</v>
      </c>
      <c r="AA37" t="s">
        <v>1206</v>
      </c>
      <c r="AB37" t="s">
        <v>1206</v>
      </c>
      <c r="AC37" s="160" t="s">
        <v>1436</v>
      </c>
      <c r="AD37" s="160" t="s">
        <v>1229</v>
      </c>
      <c r="AE37" s="160" t="s">
        <v>1229</v>
      </c>
      <c r="AF37" s="160" t="s">
        <v>1229</v>
      </c>
      <c r="AG37" s="160" t="s">
        <v>1436</v>
      </c>
      <c r="AH37" s="160" t="s">
        <v>1436</v>
      </c>
      <c r="AI37" s="160" t="s">
        <v>1229</v>
      </c>
      <c r="AJ37" s="160" t="s">
        <v>1229</v>
      </c>
      <c r="AK37" s="160" t="s">
        <v>1436</v>
      </c>
    </row>
    <row r="38" spans="1:40" ht="27" hidden="1" thickBot="1" x14ac:dyDescent="0.3">
      <c r="B38" s="119" t="s">
        <v>142</v>
      </c>
      <c r="C38" s="204" t="s">
        <v>1639</v>
      </c>
      <c r="D38" s="160" t="s">
        <v>1650</v>
      </c>
      <c r="E38" s="160" t="s">
        <v>72</v>
      </c>
      <c r="F38" s="160" t="s">
        <v>72</v>
      </c>
      <c r="G38" t="s">
        <v>1206</v>
      </c>
      <c r="H38" t="s">
        <v>1205</v>
      </c>
      <c r="I38" t="s">
        <v>1205</v>
      </c>
      <c r="J38" t="s">
        <v>1205</v>
      </c>
      <c r="K38" t="s">
        <v>1206</v>
      </c>
      <c r="L38" t="s">
        <v>1206</v>
      </c>
      <c r="M38" t="s">
        <v>1206</v>
      </c>
      <c r="N38" t="s">
        <v>1205</v>
      </c>
      <c r="O38" t="s">
        <v>1229</v>
      </c>
      <c r="P38" t="s">
        <v>1205</v>
      </c>
      <c r="Q38" t="s">
        <v>1205</v>
      </c>
      <c r="R38" t="s">
        <v>1206</v>
      </c>
      <c r="S38" t="s">
        <v>1205</v>
      </c>
      <c r="T38" t="s">
        <v>1205</v>
      </c>
      <c r="U38" t="s">
        <v>1206</v>
      </c>
      <c r="V38" t="s">
        <v>1206</v>
      </c>
      <c r="W38" t="s">
        <v>1205</v>
      </c>
      <c r="X38" t="s">
        <v>1205</v>
      </c>
      <c r="Y38" t="s">
        <v>1206</v>
      </c>
      <c r="Z38" t="s">
        <v>1205</v>
      </c>
      <c r="AA38" t="s">
        <v>1206</v>
      </c>
      <c r="AB38" t="s">
        <v>1206</v>
      </c>
      <c r="AC38" s="160" t="s">
        <v>1205</v>
      </c>
      <c r="AD38" s="160" t="s">
        <v>1205</v>
      </c>
      <c r="AE38" s="160" t="s">
        <v>1205</v>
      </c>
      <c r="AF38" s="160" t="s">
        <v>1206</v>
      </c>
      <c r="AG38" s="160" t="s">
        <v>1205</v>
      </c>
      <c r="AH38" s="160" t="s">
        <v>1205</v>
      </c>
      <c r="AI38" s="160" t="s">
        <v>1205</v>
      </c>
      <c r="AJ38" s="160" t="s">
        <v>1205</v>
      </c>
      <c r="AK38" s="160" t="s">
        <v>1205</v>
      </c>
    </row>
    <row r="39" spans="1:40" ht="27" hidden="1" thickBot="1" x14ac:dyDescent="0.3">
      <c r="B39" s="119" t="s">
        <v>142</v>
      </c>
      <c r="C39" s="204" t="s">
        <v>1640</v>
      </c>
      <c r="D39" s="160" t="s">
        <v>1651</v>
      </c>
      <c r="E39" s="160" t="s">
        <v>72</v>
      </c>
      <c r="F39" s="160" t="s">
        <v>72</v>
      </c>
      <c r="G39" t="s">
        <v>1206</v>
      </c>
      <c r="H39" t="s">
        <v>1205</v>
      </c>
      <c r="I39" t="s">
        <v>1206</v>
      </c>
      <c r="J39" t="s">
        <v>1229</v>
      </c>
      <c r="K39" t="s">
        <v>1206</v>
      </c>
      <c r="L39" t="s">
        <v>1206</v>
      </c>
      <c r="M39" t="s">
        <v>1206</v>
      </c>
      <c r="N39" t="s">
        <v>1205</v>
      </c>
      <c r="O39" t="s">
        <v>1205</v>
      </c>
      <c r="P39" t="s">
        <v>1206</v>
      </c>
      <c r="Q39" t="s">
        <v>1206</v>
      </c>
      <c r="R39" t="s">
        <v>1205</v>
      </c>
      <c r="S39" t="s">
        <v>1206</v>
      </c>
      <c r="T39" t="s">
        <v>1206</v>
      </c>
      <c r="U39" t="s">
        <v>1206</v>
      </c>
      <c r="V39" t="s">
        <v>1206</v>
      </c>
      <c r="W39" t="s">
        <v>1205</v>
      </c>
      <c r="X39" t="s">
        <v>1205</v>
      </c>
      <c r="Y39" t="s">
        <v>1206</v>
      </c>
      <c r="Z39" t="s">
        <v>1205</v>
      </c>
      <c r="AA39" t="s">
        <v>1205</v>
      </c>
      <c r="AB39" t="s">
        <v>1205</v>
      </c>
      <c r="AC39" s="160" t="s">
        <v>1436</v>
      </c>
      <c r="AD39" s="160" t="s">
        <v>1229</v>
      </c>
      <c r="AE39" s="160" t="s">
        <v>1229</v>
      </c>
      <c r="AF39" s="160" t="s">
        <v>1229</v>
      </c>
      <c r="AG39" s="160" t="s">
        <v>1436</v>
      </c>
      <c r="AH39" s="160" t="s">
        <v>1436</v>
      </c>
      <c r="AI39" s="160" t="s">
        <v>1229</v>
      </c>
      <c r="AJ39" s="160" t="s">
        <v>1229</v>
      </c>
      <c r="AK39" s="160" t="s">
        <v>1436</v>
      </c>
    </row>
    <row r="40" spans="1:40" ht="27" hidden="1" thickBot="1" x14ac:dyDescent="0.3">
      <c r="B40" s="119" t="s">
        <v>142</v>
      </c>
      <c r="C40" s="204" t="s">
        <v>1641</v>
      </c>
      <c r="D40" s="182" t="s">
        <v>1217</v>
      </c>
      <c r="E40" s="160" t="s">
        <v>72</v>
      </c>
      <c r="F40" s="160" t="s">
        <v>72</v>
      </c>
      <c r="G40" t="s">
        <v>1205</v>
      </c>
      <c r="H40" t="s">
        <v>1206</v>
      </c>
      <c r="I40" t="s">
        <v>1205</v>
      </c>
      <c r="J40" t="s">
        <v>1205</v>
      </c>
      <c r="K40" t="s">
        <v>1206</v>
      </c>
      <c r="L40" t="s">
        <v>1206</v>
      </c>
      <c r="M40" t="s">
        <v>1205</v>
      </c>
      <c r="N40" t="s">
        <v>1205</v>
      </c>
      <c r="O40" t="s">
        <v>1206</v>
      </c>
      <c r="P40" t="s">
        <v>1205</v>
      </c>
      <c r="Q40" t="s">
        <v>1205</v>
      </c>
      <c r="R40" t="s">
        <v>1205</v>
      </c>
      <c r="S40" t="s">
        <v>1206</v>
      </c>
      <c r="T40" t="s">
        <v>1206</v>
      </c>
      <c r="U40" t="s">
        <v>1205</v>
      </c>
      <c r="V40" t="s">
        <v>1205</v>
      </c>
      <c r="W40" t="s">
        <v>1206</v>
      </c>
      <c r="X40" t="s">
        <v>1206</v>
      </c>
      <c r="Y40" t="s">
        <v>1206</v>
      </c>
      <c r="Z40" t="s">
        <v>1206</v>
      </c>
      <c r="AA40" t="s">
        <v>1206</v>
      </c>
      <c r="AB40" t="s">
        <v>1205</v>
      </c>
      <c r="AC40" s="160" t="s">
        <v>1436</v>
      </c>
      <c r="AD40" s="160" t="s">
        <v>1229</v>
      </c>
      <c r="AE40" s="160" t="s">
        <v>1229</v>
      </c>
      <c r="AF40" s="160" t="s">
        <v>1229</v>
      </c>
      <c r="AG40" s="160" t="s">
        <v>1436</v>
      </c>
      <c r="AH40" s="160" t="s">
        <v>1436</v>
      </c>
      <c r="AI40" s="160" t="s">
        <v>1229</v>
      </c>
      <c r="AJ40" s="160" t="s">
        <v>1229</v>
      </c>
      <c r="AK40" s="160" t="s">
        <v>1436</v>
      </c>
    </row>
    <row r="41" spans="1:40" ht="27" hidden="1" thickBot="1" x14ac:dyDescent="0.3">
      <c r="B41" s="119" t="s">
        <v>1195</v>
      </c>
      <c r="C41" s="204" t="s">
        <v>1642</v>
      </c>
      <c r="D41" s="160"/>
      <c r="E41" s="160" t="s">
        <v>72</v>
      </c>
      <c r="F41" s="160" t="s">
        <v>72</v>
      </c>
      <c r="G41" t="s">
        <v>1206</v>
      </c>
      <c r="H41" t="s">
        <v>1205</v>
      </c>
      <c r="I41" t="s">
        <v>1206</v>
      </c>
      <c r="J41" t="s">
        <v>1206</v>
      </c>
      <c r="K41" t="s">
        <v>1206</v>
      </c>
      <c r="L41" t="s">
        <v>1205</v>
      </c>
      <c r="M41" t="s">
        <v>1205</v>
      </c>
      <c r="N41" t="s">
        <v>1205</v>
      </c>
      <c r="O41" t="s">
        <v>1205</v>
      </c>
      <c r="P41" t="s">
        <v>1205</v>
      </c>
      <c r="Q41" t="s">
        <v>1205</v>
      </c>
      <c r="R41" t="s">
        <v>1206</v>
      </c>
      <c r="S41" t="s">
        <v>1229</v>
      </c>
      <c r="T41" t="s">
        <v>1206</v>
      </c>
      <c r="U41" t="s">
        <v>1206</v>
      </c>
      <c r="V41" t="s">
        <v>1206</v>
      </c>
      <c r="W41" t="s">
        <v>1206</v>
      </c>
      <c r="X41" t="s">
        <v>1205</v>
      </c>
      <c r="Y41" t="s">
        <v>1229</v>
      </c>
      <c r="Z41" t="s">
        <v>1205</v>
      </c>
      <c r="AA41" t="s">
        <v>1206</v>
      </c>
      <c r="AB41" t="s">
        <v>1206</v>
      </c>
      <c r="AC41" s="160" t="s">
        <v>1436</v>
      </c>
      <c r="AD41" s="160" t="s">
        <v>1229</v>
      </c>
      <c r="AE41" s="160" t="s">
        <v>1229</v>
      </c>
      <c r="AF41" s="160" t="s">
        <v>1229</v>
      </c>
      <c r="AG41" s="160" t="s">
        <v>1436</v>
      </c>
      <c r="AH41" s="160" t="s">
        <v>1436</v>
      </c>
      <c r="AI41" s="160" t="s">
        <v>1229</v>
      </c>
      <c r="AJ41" s="160" t="s">
        <v>1229</v>
      </c>
      <c r="AK41" s="160" t="s">
        <v>1436</v>
      </c>
    </row>
    <row r="42" spans="1:40" ht="27" hidden="1" thickBot="1" x14ac:dyDescent="0.3">
      <c r="B42" s="119" t="s">
        <v>1195</v>
      </c>
      <c r="C42" s="204" t="s">
        <v>1640</v>
      </c>
      <c r="D42" s="160"/>
      <c r="E42" s="160" t="s">
        <v>72</v>
      </c>
      <c r="F42" s="160" t="s">
        <v>72</v>
      </c>
      <c r="G42" t="s">
        <v>1206</v>
      </c>
      <c r="H42" t="s">
        <v>1205</v>
      </c>
      <c r="I42" t="s">
        <v>1205</v>
      </c>
      <c r="J42" t="s">
        <v>1205</v>
      </c>
      <c r="K42" t="s">
        <v>1206</v>
      </c>
      <c r="L42" t="s">
        <v>1206</v>
      </c>
      <c r="M42" t="s">
        <v>1206</v>
      </c>
      <c r="N42" t="s">
        <v>1205</v>
      </c>
      <c r="O42" t="s">
        <v>1229</v>
      </c>
      <c r="P42" t="s">
        <v>1205</v>
      </c>
      <c r="Q42" t="s">
        <v>1205</v>
      </c>
      <c r="R42" t="s">
        <v>1206</v>
      </c>
      <c r="S42" t="s">
        <v>1205</v>
      </c>
      <c r="T42" t="s">
        <v>1205</v>
      </c>
      <c r="U42" t="s">
        <v>1206</v>
      </c>
      <c r="V42" t="s">
        <v>1206</v>
      </c>
      <c r="W42" t="s">
        <v>1205</v>
      </c>
      <c r="X42" t="s">
        <v>1205</v>
      </c>
      <c r="Y42" t="s">
        <v>1206</v>
      </c>
      <c r="Z42" t="s">
        <v>1205</v>
      </c>
      <c r="AA42" t="s">
        <v>1206</v>
      </c>
      <c r="AB42" t="s">
        <v>1206</v>
      </c>
      <c r="AC42" s="160" t="s">
        <v>1205</v>
      </c>
      <c r="AD42" s="160" t="s">
        <v>1205</v>
      </c>
      <c r="AE42" s="160" t="s">
        <v>1205</v>
      </c>
      <c r="AF42" s="160" t="s">
        <v>1206</v>
      </c>
      <c r="AG42" s="160" t="s">
        <v>1205</v>
      </c>
      <c r="AH42" s="160" t="s">
        <v>1205</v>
      </c>
      <c r="AI42" s="160" t="s">
        <v>1205</v>
      </c>
      <c r="AJ42" s="160" t="s">
        <v>1205</v>
      </c>
      <c r="AK42" s="160" t="s">
        <v>1205</v>
      </c>
    </row>
    <row r="43" spans="1:40" ht="27" hidden="1" thickBot="1" x14ac:dyDescent="0.3">
      <c r="B43" s="119" t="s">
        <v>127</v>
      </c>
      <c r="C43" s="204" t="s">
        <v>1640</v>
      </c>
      <c r="D43" s="160"/>
      <c r="E43" s="160" t="s">
        <v>72</v>
      </c>
      <c r="F43" s="160" t="s">
        <v>72</v>
      </c>
      <c r="G43" t="s">
        <v>1206</v>
      </c>
      <c r="H43" t="s">
        <v>1205</v>
      </c>
      <c r="I43" t="s">
        <v>1206</v>
      </c>
      <c r="J43" t="s">
        <v>1229</v>
      </c>
      <c r="K43" t="s">
        <v>1206</v>
      </c>
      <c r="L43" t="s">
        <v>1206</v>
      </c>
      <c r="M43" t="s">
        <v>1206</v>
      </c>
      <c r="N43" t="s">
        <v>1205</v>
      </c>
      <c r="O43" t="s">
        <v>1205</v>
      </c>
      <c r="P43" t="s">
        <v>1206</v>
      </c>
      <c r="Q43" t="s">
        <v>1206</v>
      </c>
      <c r="R43" t="s">
        <v>1205</v>
      </c>
      <c r="S43" t="s">
        <v>1206</v>
      </c>
      <c r="T43" t="s">
        <v>1206</v>
      </c>
      <c r="U43" t="s">
        <v>1206</v>
      </c>
      <c r="V43" t="s">
        <v>1206</v>
      </c>
      <c r="W43" t="s">
        <v>1205</v>
      </c>
      <c r="X43" t="s">
        <v>1205</v>
      </c>
      <c r="Y43" t="s">
        <v>1206</v>
      </c>
      <c r="Z43" t="s">
        <v>1205</v>
      </c>
      <c r="AA43" t="s">
        <v>1205</v>
      </c>
      <c r="AB43" t="s">
        <v>1205</v>
      </c>
      <c r="AC43" s="160" t="s">
        <v>1436</v>
      </c>
      <c r="AD43" s="160" t="s">
        <v>1229</v>
      </c>
      <c r="AE43" s="160" t="s">
        <v>1229</v>
      </c>
      <c r="AF43" s="160" t="s">
        <v>1229</v>
      </c>
      <c r="AG43" s="160" t="s">
        <v>1436</v>
      </c>
      <c r="AH43" s="160" t="s">
        <v>1436</v>
      </c>
      <c r="AI43" s="160" t="s">
        <v>1229</v>
      </c>
      <c r="AJ43" s="160" t="s">
        <v>1229</v>
      </c>
      <c r="AK43" s="160" t="s">
        <v>1436</v>
      </c>
    </row>
    <row r="44" spans="1:40" ht="27" hidden="1" thickBot="1" x14ac:dyDescent="0.3">
      <c r="B44" s="186" t="s">
        <v>127</v>
      </c>
      <c r="D44" s="205" t="s">
        <v>1640</v>
      </c>
      <c r="E44" s="160"/>
      <c r="F44" s="160" t="s">
        <v>72</v>
      </c>
      <c r="G44" s="160" t="s">
        <v>72</v>
      </c>
      <c r="H44" s="202" t="s">
        <v>1206</v>
      </c>
      <c r="I44" s="202" t="s">
        <v>1205</v>
      </c>
      <c r="J44" t="s">
        <v>1205</v>
      </c>
      <c r="K44" t="s">
        <v>1206</v>
      </c>
      <c r="L44" t="s">
        <v>1205</v>
      </c>
      <c r="M44" t="s">
        <v>1205</v>
      </c>
      <c r="N44" t="s">
        <v>1206</v>
      </c>
      <c r="O44" t="s">
        <v>1206</v>
      </c>
      <c r="P44" t="s">
        <v>1205</v>
      </c>
      <c r="Q44" t="s">
        <v>1205</v>
      </c>
      <c r="R44" t="s">
        <v>1206</v>
      </c>
      <c r="S44" t="s">
        <v>1205</v>
      </c>
      <c r="T44" t="s">
        <v>1205</v>
      </c>
      <c r="U44" t="s">
        <v>1205</v>
      </c>
      <c r="V44" t="s">
        <v>1206</v>
      </c>
      <c r="W44" t="s">
        <v>1206</v>
      </c>
      <c r="X44" t="s">
        <v>1205</v>
      </c>
      <c r="Y44" t="s">
        <v>1205</v>
      </c>
      <c r="Z44" t="s">
        <v>1206</v>
      </c>
      <c r="AA44" t="s">
        <v>1206</v>
      </c>
      <c r="AB44" t="s">
        <v>1206</v>
      </c>
      <c r="AC44" t="s">
        <v>1206</v>
      </c>
      <c r="AD44" t="s">
        <v>1206</v>
      </c>
      <c r="AE44" t="s">
        <v>1205</v>
      </c>
      <c r="AF44" s="160" t="s">
        <v>1436</v>
      </c>
      <c r="AG44" s="160" t="s">
        <v>1229</v>
      </c>
      <c r="AH44" s="160" t="s">
        <v>1229</v>
      </c>
      <c r="AI44" s="160" t="s">
        <v>1229</v>
      </c>
      <c r="AJ44" s="160" t="s">
        <v>1436</v>
      </c>
      <c r="AK44" s="160" t="s">
        <v>1436</v>
      </c>
      <c r="AL44" s="160" t="s">
        <v>1229</v>
      </c>
      <c r="AM44" s="160" t="s">
        <v>1229</v>
      </c>
      <c r="AN44" s="160" t="s">
        <v>1436</v>
      </c>
    </row>
    <row r="45" spans="1:40" hidden="1" x14ac:dyDescent="0.25">
      <c r="D45" s="187"/>
      <c r="E45" s="187"/>
      <c r="F45" s="187"/>
      <c r="G45" s="187"/>
      <c r="H45" s="187"/>
      <c r="I45" s="187"/>
      <c r="AF45" s="187"/>
      <c r="AG45" s="187"/>
      <c r="AH45" s="187"/>
      <c r="AI45" s="187"/>
      <c r="AJ45" s="187"/>
      <c r="AK45" s="187"/>
      <c r="AL45" s="187"/>
      <c r="AM45" s="187"/>
      <c r="AN45" s="187"/>
    </row>
    <row r="46" spans="1:40" hidden="1" x14ac:dyDescent="0.25">
      <c r="A46" s="119" t="s">
        <v>1185</v>
      </c>
    </row>
    <row r="47" spans="1:40" ht="25.5" hidden="1" x14ac:dyDescent="0.25">
      <c r="B47" s="119" t="s">
        <v>14</v>
      </c>
      <c r="C47" s="122" t="s">
        <v>1239</v>
      </c>
      <c r="D47" s="125" t="s">
        <v>1208</v>
      </c>
      <c r="E47" s="125" t="s">
        <v>1207</v>
      </c>
      <c r="F47" s="125" t="s">
        <v>1209</v>
      </c>
      <c r="G47" s="125" t="s">
        <v>1212</v>
      </c>
      <c r="H47" s="125" t="s">
        <v>1211</v>
      </c>
      <c r="I47" s="125" t="s">
        <v>1210</v>
      </c>
      <c r="J47" s="116" t="s">
        <v>26</v>
      </c>
      <c r="K47" s="116" t="s">
        <v>27</v>
      </c>
      <c r="L47" s="116" t="s">
        <v>28</v>
      </c>
      <c r="M47" s="116" t="s">
        <v>29</v>
      </c>
      <c r="N47" s="116" t="s">
        <v>31</v>
      </c>
      <c r="O47" s="116" t="s">
        <v>32</v>
      </c>
      <c r="P47" s="116" t="s">
        <v>33</v>
      </c>
      <c r="Q47" s="116" t="s">
        <v>34</v>
      </c>
      <c r="R47" s="116" t="s">
        <v>35</v>
      </c>
      <c r="S47" s="116" t="s">
        <v>36</v>
      </c>
      <c r="T47" s="116" t="s">
        <v>37</v>
      </c>
      <c r="U47" s="116" t="s">
        <v>38</v>
      </c>
      <c r="V47" s="116" t="s">
        <v>39</v>
      </c>
      <c r="W47" s="116" t="s">
        <v>1170</v>
      </c>
      <c r="X47" s="116" t="s">
        <v>40</v>
      </c>
      <c r="Y47" s="116" t="s">
        <v>41</v>
      </c>
      <c r="Z47" s="116" t="s">
        <v>1172</v>
      </c>
      <c r="AA47" s="116" t="s">
        <v>42</v>
      </c>
      <c r="AB47" s="116" t="s">
        <v>43</v>
      </c>
      <c r="AC47" s="116" t="s">
        <v>44</v>
      </c>
      <c r="AD47" s="116" t="s">
        <v>45</v>
      </c>
      <c r="AE47" s="116" t="s">
        <v>1175</v>
      </c>
      <c r="AF47" s="116" t="s">
        <v>1176</v>
      </c>
      <c r="AG47" s="116" t="s">
        <v>1177</v>
      </c>
      <c r="AH47" s="116" t="s">
        <v>1178</v>
      </c>
      <c r="AI47" s="116" t="s">
        <v>1179</v>
      </c>
      <c r="AJ47" s="116" t="s">
        <v>1181</v>
      </c>
      <c r="AK47" s="116" t="s">
        <v>1182</v>
      </c>
      <c r="AL47" s="116" t="s">
        <v>1183</v>
      </c>
      <c r="AM47" s="116" t="s">
        <v>1184</v>
      </c>
    </row>
    <row r="48" spans="1:40" ht="27" hidden="1" thickBot="1" x14ac:dyDescent="0.3">
      <c r="B48" s="119" t="s">
        <v>1357</v>
      </c>
      <c r="C48" s="122"/>
      <c r="D48" s="189"/>
      <c r="E48" s="189"/>
      <c r="F48" s="189"/>
      <c r="G48" s="189"/>
      <c r="H48" s="189"/>
      <c r="I48" s="189"/>
      <c r="J48" s="160" t="s">
        <v>1205</v>
      </c>
      <c r="K48" s="160" t="s">
        <v>1205</v>
      </c>
      <c r="L48" s="160" t="s">
        <v>1205</v>
      </c>
      <c r="M48" s="160" t="s">
        <v>1205</v>
      </c>
      <c r="N48" s="160" t="s">
        <v>1206</v>
      </c>
      <c r="O48" s="160" t="s">
        <v>1205</v>
      </c>
      <c r="P48" s="160" t="s">
        <v>1206</v>
      </c>
      <c r="Q48" s="160" t="s">
        <v>1205</v>
      </c>
      <c r="R48" s="160" t="s">
        <v>1205</v>
      </c>
      <c r="S48" s="160" t="s">
        <v>1205</v>
      </c>
      <c r="T48" s="160" t="s">
        <v>1205</v>
      </c>
      <c r="U48" s="160" t="s">
        <v>1205</v>
      </c>
      <c r="V48" s="160" t="s">
        <v>1205</v>
      </c>
      <c r="W48" s="160" t="s">
        <v>1205</v>
      </c>
      <c r="X48" s="160" t="s">
        <v>1205</v>
      </c>
      <c r="Y48" s="160" t="s">
        <v>1205</v>
      </c>
      <c r="Z48" s="160" t="s">
        <v>1205</v>
      </c>
      <c r="AA48" s="160" t="s">
        <v>1205</v>
      </c>
      <c r="AB48" s="160" t="s">
        <v>1205</v>
      </c>
      <c r="AC48" s="160" t="s">
        <v>1205</v>
      </c>
      <c r="AD48" s="160" t="s">
        <v>1205</v>
      </c>
      <c r="AE48" s="160" t="s">
        <v>1205</v>
      </c>
      <c r="AF48" s="160" t="s">
        <v>1206</v>
      </c>
      <c r="AG48" s="160" t="s">
        <v>1205</v>
      </c>
      <c r="AH48" s="160" t="s">
        <v>1206</v>
      </c>
      <c r="AI48" s="160" t="s">
        <v>1205</v>
      </c>
      <c r="AJ48" s="160" t="s">
        <v>1205</v>
      </c>
      <c r="AK48" s="160" t="s">
        <v>1205</v>
      </c>
      <c r="AL48" s="160" t="s">
        <v>1205</v>
      </c>
      <c r="AM48" s="160" t="s">
        <v>1205</v>
      </c>
    </row>
    <row r="49" spans="1:39" ht="27" hidden="1" thickBot="1" x14ac:dyDescent="0.3">
      <c r="B49" s="119" t="s">
        <v>1577</v>
      </c>
      <c r="D49" s="162" t="s">
        <v>1437</v>
      </c>
      <c r="E49" s="162" t="s">
        <v>1438</v>
      </c>
      <c r="F49" s="162" t="s">
        <v>1439</v>
      </c>
      <c r="G49" s="162" t="s">
        <v>1217</v>
      </c>
      <c r="H49" s="162" t="s">
        <v>72</v>
      </c>
      <c r="I49" s="162" t="s">
        <v>72</v>
      </c>
      <c r="J49" s="160" t="s">
        <v>1205</v>
      </c>
      <c r="K49" s="160" t="s">
        <v>1205</v>
      </c>
      <c r="L49" s="160" t="s">
        <v>1206</v>
      </c>
      <c r="M49" s="160" t="s">
        <v>1206</v>
      </c>
      <c r="N49" s="160" t="s">
        <v>1206</v>
      </c>
      <c r="O49" s="160" t="s">
        <v>1205</v>
      </c>
      <c r="P49" s="160" t="s">
        <v>1206</v>
      </c>
      <c r="Q49" s="160" t="s">
        <v>1206</v>
      </c>
      <c r="R49" s="160" t="s">
        <v>1205</v>
      </c>
      <c r="S49" s="160" t="s">
        <v>1205</v>
      </c>
      <c r="T49" s="160" t="s">
        <v>1205</v>
      </c>
      <c r="U49" s="160" t="s">
        <v>1205</v>
      </c>
      <c r="V49" s="160" t="s">
        <v>1205</v>
      </c>
      <c r="W49" s="160" t="s">
        <v>1206</v>
      </c>
      <c r="X49" s="160" t="s">
        <v>1205</v>
      </c>
      <c r="Y49" s="160" t="s">
        <v>1205</v>
      </c>
      <c r="Z49" s="160" t="s">
        <v>1205</v>
      </c>
      <c r="AA49" s="160" t="s">
        <v>1205</v>
      </c>
      <c r="AB49" s="160" t="s">
        <v>1205</v>
      </c>
      <c r="AC49" s="160" t="s">
        <v>1205</v>
      </c>
      <c r="AD49" s="160" t="s">
        <v>1205</v>
      </c>
      <c r="AE49" s="160" t="s">
        <v>1205</v>
      </c>
      <c r="AF49" s="160" t="s">
        <v>1206</v>
      </c>
      <c r="AG49" s="160" t="s">
        <v>1205</v>
      </c>
      <c r="AH49" s="160" t="s">
        <v>1206</v>
      </c>
      <c r="AI49" s="160" t="s">
        <v>1205</v>
      </c>
      <c r="AJ49" s="160" t="s">
        <v>1205</v>
      </c>
      <c r="AK49" s="160" t="s">
        <v>1205</v>
      </c>
      <c r="AL49" s="160" t="s">
        <v>1205</v>
      </c>
      <c r="AM49" s="160" t="s">
        <v>1205</v>
      </c>
    </row>
    <row r="50" spans="1:39" hidden="1" x14ac:dyDescent="0.25"/>
    <row r="52" spans="1:39" s="176" customFormat="1" x14ac:dyDescent="0.25">
      <c r="A52" s="175"/>
      <c r="B52" s="175"/>
      <c r="D52" s="177"/>
      <c r="E52" s="177"/>
      <c r="F52" s="177"/>
      <c r="G52" s="177"/>
      <c r="H52" s="177"/>
      <c r="I52" s="177"/>
    </row>
    <row r="53" spans="1:39" s="208" customFormat="1" x14ac:dyDescent="0.25">
      <c r="A53" s="207"/>
      <c r="B53" s="207"/>
      <c r="D53" s="209"/>
      <c r="E53" s="209"/>
      <c r="F53" s="209"/>
      <c r="G53" s="209"/>
      <c r="H53" s="209"/>
      <c r="I53" s="209"/>
    </row>
    <row r="54" spans="1:39" hidden="1" x14ac:dyDescent="0.25"/>
    <row r="55" spans="1:39" ht="17.25" hidden="1" thickBot="1" x14ac:dyDescent="0.3">
      <c r="A55" s="64" t="s">
        <v>14</v>
      </c>
    </row>
    <row r="56" spans="1:39" ht="17.25" hidden="1" thickBot="1" x14ac:dyDescent="0.3">
      <c r="A56" s="64" t="s">
        <v>647</v>
      </c>
      <c r="B56" s="65" t="s">
        <v>1166</v>
      </c>
      <c r="D56"/>
      <c r="E56"/>
      <c r="F56"/>
      <c r="H56" s="64" t="s">
        <v>14</v>
      </c>
      <c r="I56" s="65" t="s">
        <v>197</v>
      </c>
      <c r="O56" s="64" t="s">
        <v>14</v>
      </c>
      <c r="P56" s="65" t="s">
        <v>618</v>
      </c>
      <c r="V56" s="64" t="s">
        <v>14</v>
      </c>
      <c r="W56" s="65" t="s">
        <v>90</v>
      </c>
    </row>
    <row r="57" spans="1:39" ht="17.25" hidden="1" thickBot="1" x14ac:dyDescent="0.3">
      <c r="A57" s="64" t="s">
        <v>646</v>
      </c>
      <c r="B57" s="65">
        <v>2021</v>
      </c>
      <c r="D57"/>
      <c r="E57"/>
      <c r="F57"/>
      <c r="H57" s="64" t="s">
        <v>647</v>
      </c>
      <c r="I57" s="65">
        <v>2022</v>
      </c>
      <c r="O57" s="64" t="s">
        <v>647</v>
      </c>
      <c r="P57" s="65">
        <v>2022</v>
      </c>
      <c r="V57" s="64" t="s">
        <v>647</v>
      </c>
      <c r="W57" s="65">
        <v>2022</v>
      </c>
    </row>
    <row r="58" spans="1:39" ht="17.25" hidden="1" thickBot="1" x14ac:dyDescent="0.3">
      <c r="A58" s="55"/>
      <c r="B58" s="65">
        <f>I58+P58+W58</f>
        <v>10</v>
      </c>
      <c r="D58"/>
      <c r="E58"/>
      <c r="F58"/>
      <c r="H58" s="64" t="s">
        <v>646</v>
      </c>
      <c r="I58" s="65">
        <f>COUNTIF(Table6[Prodi],"S1 Sistem Informasi")</f>
        <v>8</v>
      </c>
      <c r="O58" s="64" t="s">
        <v>646</v>
      </c>
      <c r="P58" s="65">
        <f>COUNTIF(Table6[Prodi],"S1 Teknik Komputer")</f>
        <v>1</v>
      </c>
      <c r="V58" s="64" t="s">
        <v>646</v>
      </c>
      <c r="W58" s="65">
        <f>COUNTIF(Table6[Prodi],"D3 Sistem Informasi")</f>
        <v>1</v>
      </c>
    </row>
    <row r="59" spans="1:39" ht="16.5" hidden="1" x14ac:dyDescent="0.3">
      <c r="A59" s="57" t="s">
        <v>26</v>
      </c>
      <c r="B59" s="56" t="s">
        <v>1205</v>
      </c>
      <c r="C59" s="56" t="s">
        <v>1206</v>
      </c>
      <c r="D59" s="56" t="s">
        <v>1229</v>
      </c>
      <c r="E59" s="56" t="s">
        <v>1436</v>
      </c>
      <c r="F59" s="56"/>
      <c r="H59" s="55"/>
      <c r="I59" s="56" t="s">
        <v>1205</v>
      </c>
      <c r="J59" s="56" t="s">
        <v>1206</v>
      </c>
      <c r="K59" s="56" t="s">
        <v>1229</v>
      </c>
      <c r="L59" s="56" t="s">
        <v>1436</v>
      </c>
      <c r="M59" s="56"/>
      <c r="O59" s="55"/>
      <c r="P59" s="56" t="s">
        <v>1205</v>
      </c>
      <c r="Q59" s="56" t="s">
        <v>1206</v>
      </c>
      <c r="R59" s="56" t="s">
        <v>1229</v>
      </c>
      <c r="S59" s="56" t="s">
        <v>1436</v>
      </c>
      <c r="T59" s="56"/>
      <c r="V59" s="55"/>
      <c r="W59" s="56" t="s">
        <v>1205</v>
      </c>
      <c r="X59" s="56" t="s">
        <v>1206</v>
      </c>
      <c r="Y59" s="56" t="s">
        <v>1229</v>
      </c>
      <c r="Z59" s="56" t="s">
        <v>1436</v>
      </c>
      <c r="AA59" s="56"/>
    </row>
    <row r="60" spans="1:39" ht="16.5" hidden="1" x14ac:dyDescent="0.3">
      <c r="A60" s="57" t="s">
        <v>27</v>
      </c>
      <c r="B60" s="188">
        <f t="shared" ref="B60:E62" si="0">(I60+P60+W60)/3</f>
        <v>0.83333333333333337</v>
      </c>
      <c r="C60" s="188">
        <f t="shared" si="0"/>
        <v>0.16666666666666666</v>
      </c>
      <c r="D60" s="188">
        <f t="shared" si="0"/>
        <v>0</v>
      </c>
      <c r="E60" s="188">
        <f t="shared" si="0"/>
        <v>0</v>
      </c>
      <c r="F60" s="62">
        <f t="shared" ref="F60:F100" si="1">SUM(B60:E60)</f>
        <v>1</v>
      </c>
      <c r="H60" s="57" t="s">
        <v>26</v>
      </c>
      <c r="I60" s="66">
        <f>COUNTIFS(Table6[Prodi],"S1 Sistem Informasi",Table6[B1],I$59)/$I$58</f>
        <v>0.5</v>
      </c>
      <c r="J60" s="66">
        <f>COUNTIFS(Table6[Prodi],"S1 Sistem Informasi",Table6[B1],J$59)/$I$58</f>
        <v>0.5</v>
      </c>
      <c r="K60" s="66">
        <f>COUNTIFS(Table6[Prodi],"S1 Sistem Informasi",Table6[B1],K$59)/$I$58</f>
        <v>0</v>
      </c>
      <c r="L60" s="66">
        <f>COUNTIFS(Table6[Prodi],"S1 Sistem Informasi",Table6[B1],L$59)/$I$58</f>
        <v>0</v>
      </c>
      <c r="M60" s="62">
        <f t="shared" ref="M60:M66" si="2">SUM(I60:L60)</f>
        <v>1</v>
      </c>
      <c r="O60" s="57" t="s">
        <v>26</v>
      </c>
      <c r="P60" s="66">
        <f>COUNTIFS(Table6[Prodi],"S1 Teknik Komputer",Table6[B1],P$59)/$P$58</f>
        <v>1</v>
      </c>
      <c r="Q60" s="66">
        <f>COUNTIFS(Table6[Prodi],"S1 Teknik Komputer",Table6[B1],Q$59)/$P$58</f>
        <v>0</v>
      </c>
      <c r="R60" s="66">
        <f>COUNTIFS(Table6[Prodi],"S1 Teknik Komputer",Table6[B1],R$59)/$P$58</f>
        <v>0</v>
      </c>
      <c r="S60" s="66">
        <f>COUNTIFS(Table6[Prodi],"S1 Teknik Komputer",Table6[B1],S$59)/$P$58</f>
        <v>0</v>
      </c>
      <c r="T60" s="62">
        <f t="shared" ref="T60:T66" si="3">SUM(P60:S60)</f>
        <v>1</v>
      </c>
      <c r="V60" s="57" t="s">
        <v>26</v>
      </c>
      <c r="W60" s="66">
        <f>COUNTIFS(Table6[Prodi],"S1 Teknik Komputer",Table6[B1],W$59)/$W$58</f>
        <v>1</v>
      </c>
      <c r="X60" s="66">
        <f>COUNTIFS(Table6[Prodi],"S1 Teknik Komputer",Table6[B1],X$59)/$W$58</f>
        <v>0</v>
      </c>
      <c r="Y60" s="66">
        <f>COUNTIFS(Table6[Prodi],"S1 Teknik Komputer",Table6[B1],Y$59)/$W$58</f>
        <v>0</v>
      </c>
      <c r="Z60" s="66">
        <f>COUNTIFS(Table6[Prodi],"S1 Teknik Komputer",Table6[B1],Z$59)/$W$58</f>
        <v>0</v>
      </c>
      <c r="AA60" s="62">
        <f t="shared" ref="AA60:AA66" si="4">SUM(W60:Z60)</f>
        <v>1</v>
      </c>
    </row>
    <row r="61" spans="1:39" ht="16.5" hidden="1" x14ac:dyDescent="0.3">
      <c r="A61" s="57" t="s">
        <v>28</v>
      </c>
      <c r="B61" s="188">
        <f t="shared" si="0"/>
        <v>0.79166666666666663</v>
      </c>
      <c r="C61" s="188">
        <f t="shared" si="0"/>
        <v>0.20833333333333334</v>
      </c>
      <c r="D61" s="188">
        <f t="shared" si="0"/>
        <v>0</v>
      </c>
      <c r="E61" s="188">
        <f t="shared" si="0"/>
        <v>0</v>
      </c>
      <c r="F61" s="62">
        <f t="shared" si="1"/>
        <v>1</v>
      </c>
      <c r="H61" s="57" t="s">
        <v>27</v>
      </c>
      <c r="I61" s="66">
        <f>COUNTIFS(Table6[Prodi],"S1 Sistem Informasi",Table6[B2],I$59)/$I$58</f>
        <v>0.375</v>
      </c>
      <c r="J61" s="66">
        <f>COUNTIFS(Table6[Prodi],"S1 Sistem Informasi",Table6[B2],J$59)/$I$58</f>
        <v>0.625</v>
      </c>
      <c r="K61" s="66">
        <f>COUNTIFS(Table6[Prodi],"S1 Sistem Informasi",Table6[B2],K$59)/$I$58</f>
        <v>0</v>
      </c>
      <c r="L61" s="66">
        <f>COUNTIFS(Table6[Prodi],"S1 Sistem Informasi",Table6[B2],L$59)/$I$58</f>
        <v>0</v>
      </c>
      <c r="M61" s="62">
        <f t="shared" si="2"/>
        <v>1</v>
      </c>
      <c r="O61" s="57" t="s">
        <v>27</v>
      </c>
      <c r="P61" s="66">
        <f>COUNTIFS(Table6[Prodi],"S1 Teknik Komputer",Table6[B2],P$59)/$P$58</f>
        <v>1</v>
      </c>
      <c r="Q61" s="66">
        <f>COUNTIFS(Table6[Prodi],"S1 Teknik Komputer",Table6[B2],Q$59)/$P$58</f>
        <v>0</v>
      </c>
      <c r="R61" s="66">
        <f>COUNTIFS(Table6[Prodi],"S1 Teknik Komputer",Table6[B2],R$59)/$P$58</f>
        <v>0</v>
      </c>
      <c r="S61" s="66">
        <f>COUNTIFS(Table6[Prodi],"S1 Teknik Komputer",Table6[B2],S$59)/$P$58</f>
        <v>0</v>
      </c>
      <c r="T61" s="62">
        <f t="shared" si="3"/>
        <v>1</v>
      </c>
      <c r="V61" s="57" t="s">
        <v>27</v>
      </c>
      <c r="W61" s="66">
        <f>COUNTIFS(Table6[Prodi],"S1 Teknik Komputer",Table6[B2],W$59)/$W$58</f>
        <v>1</v>
      </c>
      <c r="X61" s="66">
        <f>COUNTIFS(Table6[Prodi],"S1 Teknik Komputer",Table6[B2],X$59)/$W$58</f>
        <v>0</v>
      </c>
      <c r="Y61" s="66">
        <f>COUNTIFS(Table6[Prodi],"S1 Teknik Komputer",Table6[B2],Y$59)/$W$58</f>
        <v>0</v>
      </c>
      <c r="Z61" s="66">
        <f>COUNTIFS(Table6[Prodi],"S1 Teknik Komputer",Table6[B2],Z$59)/$W$58</f>
        <v>0</v>
      </c>
      <c r="AA61" s="62">
        <f t="shared" si="4"/>
        <v>1</v>
      </c>
    </row>
    <row r="62" spans="1:39" ht="16.5" hidden="1" x14ac:dyDescent="0.3">
      <c r="A62" s="60"/>
      <c r="B62" s="188">
        <f t="shared" si="0"/>
        <v>0.83333333333333337</v>
      </c>
      <c r="C62" s="188">
        <f t="shared" si="0"/>
        <v>0.16666666666666666</v>
      </c>
      <c r="D62" s="188">
        <f t="shared" si="0"/>
        <v>0</v>
      </c>
      <c r="E62" s="188">
        <f t="shared" si="0"/>
        <v>0</v>
      </c>
      <c r="F62" s="62">
        <f t="shared" si="1"/>
        <v>1</v>
      </c>
      <c r="H62" s="57" t="s">
        <v>28</v>
      </c>
      <c r="I62" s="66">
        <f>COUNTIFS(Table6[Prodi],"S1 Sistem Informasi",Table6[B3],I$59)/$I$58</f>
        <v>0.5</v>
      </c>
      <c r="J62" s="66">
        <f>COUNTIFS(Table6[Prodi],"S1 Sistem Informasi",Table6[B3],J$59)/$I$58</f>
        <v>0.5</v>
      </c>
      <c r="K62" s="66">
        <f>COUNTIFS(Table6[Prodi],"S1 Sistem Informasi",Table6[B3],K$59)/$I$58</f>
        <v>0</v>
      </c>
      <c r="L62" s="66">
        <f>COUNTIFS(Table6[Prodi],"S1 Sistem Informasi",Table6[B3],L$59)/$I$58</f>
        <v>0</v>
      </c>
      <c r="M62" s="62">
        <f t="shared" si="2"/>
        <v>1</v>
      </c>
      <c r="O62" s="57" t="s">
        <v>28</v>
      </c>
      <c r="P62" s="66">
        <f>COUNTIFS(Table6[Prodi],"S1 Teknik Komputer",Table6[B3],P$59)/$P$58</f>
        <v>1</v>
      </c>
      <c r="Q62" s="66">
        <f>COUNTIFS(Table6[Prodi],"S1 Teknik Komputer",Table6[B3],Q$59)/$P$58</f>
        <v>0</v>
      </c>
      <c r="R62" s="66">
        <f>COUNTIFS(Table6[Prodi],"S1 Teknik Komputer",Table6[B3],R$59)/$P$58</f>
        <v>0</v>
      </c>
      <c r="S62" s="66">
        <f>COUNTIFS(Table6[Prodi],"S1 Teknik Komputer",Table6[B3],S$59)/$P$58</f>
        <v>0</v>
      </c>
      <c r="T62" s="62">
        <f t="shared" si="3"/>
        <v>1</v>
      </c>
      <c r="V62" s="57" t="s">
        <v>28</v>
      </c>
      <c r="W62" s="66">
        <f>COUNTIFS(Table6[Prodi],"S1 Teknik Komputer",Table6[B3],W$59)/$W$58</f>
        <v>1</v>
      </c>
      <c r="X62" s="66">
        <f>COUNTIFS(Table6[Prodi],"S1 Teknik Komputer",Table6[B3],X$59)/$W$58</f>
        <v>0</v>
      </c>
      <c r="Y62" s="66">
        <f>COUNTIFS(Table6[Prodi],"S1 Teknik Komputer",Table6[B3],Y$59)/$W$58</f>
        <v>0</v>
      </c>
      <c r="Z62" s="66">
        <f>COUNTIFS(Table6[Prodi],"S1 Teknik Komputer",Table6[B3],Z$59)/$W$58</f>
        <v>0</v>
      </c>
      <c r="AA62" s="62">
        <f t="shared" si="4"/>
        <v>1</v>
      </c>
    </row>
    <row r="63" spans="1:39" ht="16.5" hidden="1" x14ac:dyDescent="0.3">
      <c r="A63" s="57" t="s">
        <v>31</v>
      </c>
      <c r="B63" s="61">
        <f>AVERAGE(B60:B62)</f>
        <v>0.81944444444444453</v>
      </c>
      <c r="C63" s="61">
        <f>AVERAGE(C60:C62)</f>
        <v>0.18055555555555555</v>
      </c>
      <c r="D63" s="61">
        <f>AVERAGE(D60:D62)</f>
        <v>0</v>
      </c>
      <c r="E63" s="61">
        <f>AVERAGE(E60:E62)</f>
        <v>0</v>
      </c>
      <c r="F63" s="62">
        <f t="shared" si="1"/>
        <v>1</v>
      </c>
      <c r="H63" s="60"/>
      <c r="I63" s="61">
        <f>AVERAGE(I60:I62)</f>
        <v>0.45833333333333331</v>
      </c>
      <c r="J63" s="61">
        <f>AVERAGE(J60:J62)</f>
        <v>0.54166666666666663</v>
      </c>
      <c r="K63" s="61">
        <f>AVERAGE(K60:K62)</f>
        <v>0</v>
      </c>
      <c r="L63" s="61">
        <f>AVERAGE(L60:L62)</f>
        <v>0</v>
      </c>
      <c r="M63" s="62">
        <f t="shared" si="2"/>
        <v>1</v>
      </c>
      <c r="O63" s="60"/>
      <c r="P63" s="61">
        <f>AVERAGE(P60:P62)</f>
        <v>1</v>
      </c>
      <c r="Q63" s="61">
        <f>AVERAGE(Q60:Q62)</f>
        <v>0</v>
      </c>
      <c r="R63" s="61">
        <f>AVERAGE(R60:R62)</f>
        <v>0</v>
      </c>
      <c r="S63" s="61">
        <f>AVERAGE(S60:S62)</f>
        <v>0</v>
      </c>
      <c r="T63" s="62">
        <f t="shared" si="3"/>
        <v>1</v>
      </c>
      <c r="V63" s="60"/>
      <c r="W63" s="61">
        <f>AVERAGE(W60:W62)</f>
        <v>1</v>
      </c>
      <c r="X63" s="61">
        <f>AVERAGE(X60:X62)</f>
        <v>0</v>
      </c>
      <c r="Y63" s="61">
        <f>AVERAGE(Y60:Y62)</f>
        <v>0</v>
      </c>
      <c r="Z63" s="61">
        <f>AVERAGE(Z60:Z62)</f>
        <v>0</v>
      </c>
      <c r="AA63" s="62">
        <f t="shared" si="4"/>
        <v>1</v>
      </c>
    </row>
    <row r="64" spans="1:39" ht="16.5" hidden="1" x14ac:dyDescent="0.3">
      <c r="A64" s="57" t="s">
        <v>32</v>
      </c>
      <c r="B64" s="188">
        <f t="shared" ref="B64:E66" si="5">(I64+P64+W64)/3</f>
        <v>0.95833333333333337</v>
      </c>
      <c r="C64" s="188">
        <f t="shared" si="5"/>
        <v>4.1666666666666664E-2</v>
      </c>
      <c r="D64" s="188">
        <f t="shared" si="5"/>
        <v>0</v>
      </c>
      <c r="E64" s="188">
        <f t="shared" si="5"/>
        <v>0</v>
      </c>
      <c r="F64" s="62">
        <f t="shared" si="1"/>
        <v>1</v>
      </c>
      <c r="H64" s="57" t="s">
        <v>31</v>
      </c>
      <c r="I64" s="66">
        <f>COUNTIFS(Table6[Prodi],"S1 Sistem Informasi",Table6[C1],I$59)/$I$58</f>
        <v>0.875</v>
      </c>
      <c r="J64" s="66">
        <f>COUNTIFS(Table6[Prodi],"S1 Sistem Informasi",Table6[C1],J$59)/$I$58</f>
        <v>0.125</v>
      </c>
      <c r="K64" s="66">
        <f>COUNTIFS(Table6[Prodi],"S1 Sistem Informasi",Table6[C1],K$59)/$I$58</f>
        <v>0</v>
      </c>
      <c r="L64" s="66">
        <f>COUNTIFS(Table6[Prodi],"S1 Sistem Informasi",Table6[C1],L$59)/$I$58</f>
        <v>0</v>
      </c>
      <c r="M64" s="62">
        <f t="shared" si="2"/>
        <v>1</v>
      </c>
      <c r="O64" s="57" t="s">
        <v>31</v>
      </c>
      <c r="P64" s="66">
        <f>COUNTIFS(Table6[Prodi],"S1 Teknik Komputer",Table6[C1],P$59)/$P$58</f>
        <v>1</v>
      </c>
      <c r="Q64" s="66">
        <f>COUNTIFS(Table6[Prodi],"S1 Teknik Komputer",Table6[C1],Q$59)/$P$58</f>
        <v>0</v>
      </c>
      <c r="R64" s="66">
        <f>COUNTIFS(Table6[Prodi],"S1 Teknik Komputer",Table6[C1],R$59)/$P$58</f>
        <v>0</v>
      </c>
      <c r="S64" s="66">
        <f>COUNTIFS(Table6[Prodi],"S1 Teknik Komputer",Table6[C1],S$59)/$P$58</f>
        <v>0</v>
      </c>
      <c r="T64" s="62">
        <f t="shared" si="3"/>
        <v>1</v>
      </c>
      <c r="V64" s="57" t="s">
        <v>31</v>
      </c>
      <c r="W64" s="66">
        <f>COUNTIFS(Table6[Prodi],"S1 Teknik Komputer",Table6[C1],W$59)/$W$58</f>
        <v>1</v>
      </c>
      <c r="X64" s="66">
        <f>COUNTIFS(Table6[Prodi],"S1 Teknik Komputer",Table6[C1],X$59)/$W$58</f>
        <v>0</v>
      </c>
      <c r="Y64" s="66">
        <f>COUNTIFS(Table6[Prodi],"S1 Teknik Komputer",Table6[C1],Y$59)/$W$58</f>
        <v>0</v>
      </c>
      <c r="Z64" s="66">
        <f>COUNTIFS(Table6[Prodi],"S1 Teknik Komputer",Table6[C1],Z$59)/$W$58</f>
        <v>0</v>
      </c>
      <c r="AA64" s="62">
        <f t="shared" si="4"/>
        <v>1</v>
      </c>
    </row>
    <row r="65" spans="1:27" ht="16.5" hidden="1" x14ac:dyDescent="0.3">
      <c r="A65" s="57" t="s">
        <v>1164</v>
      </c>
      <c r="B65" s="188">
        <f t="shared" si="5"/>
        <v>0.95833333333333337</v>
      </c>
      <c r="C65" s="188">
        <f t="shared" si="5"/>
        <v>4.1666666666666664E-2</v>
      </c>
      <c r="D65" s="188">
        <f t="shared" si="5"/>
        <v>0</v>
      </c>
      <c r="E65" s="188">
        <f t="shared" si="5"/>
        <v>0</v>
      </c>
      <c r="F65" s="62">
        <f t="shared" si="1"/>
        <v>1</v>
      </c>
      <c r="H65" s="57" t="s">
        <v>32</v>
      </c>
      <c r="I65" s="66">
        <f>COUNTIFS(Table6[Prodi],"S1 Sistem Informasi",Table6[C2],I$59)/$I$58</f>
        <v>0.875</v>
      </c>
      <c r="J65" s="66">
        <f>COUNTIFS(Table6[Prodi],"S1 Sistem Informasi",Table6[C2],J$59)/$I$58</f>
        <v>0.125</v>
      </c>
      <c r="K65" s="66">
        <f>COUNTIFS(Table6[Prodi],"S1 Sistem Informasi",Table6[C2],K$59)/$I$58</f>
        <v>0</v>
      </c>
      <c r="L65" s="66">
        <f>COUNTIFS(Table6[Prodi],"S1 Sistem Informasi",Table6[C2],L$59)/$I$58</f>
        <v>0</v>
      </c>
      <c r="M65" s="62">
        <f t="shared" si="2"/>
        <v>1</v>
      </c>
      <c r="O65" s="57" t="s">
        <v>32</v>
      </c>
      <c r="P65" s="66">
        <f>COUNTIFS(Table6[Prodi],"S1 Teknik Komputer",Table6[C2],P$59)/$P$58</f>
        <v>1</v>
      </c>
      <c r="Q65" s="66">
        <f>COUNTIFS(Table6[Prodi],"S1 Teknik Komputer",Table6[C2],Q$59)/$P$58</f>
        <v>0</v>
      </c>
      <c r="R65" s="66">
        <f>COUNTIFS(Table6[Prodi],"S1 Teknik Komputer",Table6[C2],R$59)/$P$58</f>
        <v>0</v>
      </c>
      <c r="S65" s="66">
        <f>COUNTIFS(Table6[Prodi],"S1 Teknik Komputer",Table6[C2],S$59)/$P$58</f>
        <v>0</v>
      </c>
      <c r="T65" s="62">
        <f t="shared" si="3"/>
        <v>1</v>
      </c>
      <c r="V65" s="57" t="s">
        <v>32</v>
      </c>
      <c r="W65" s="66">
        <f>COUNTIFS(Table6[Prodi],"S1 Teknik Komputer",Table6[C2],W$59)/$W$58</f>
        <v>1</v>
      </c>
      <c r="X65" s="66">
        <f>COUNTIFS(Table6[Prodi],"S1 Teknik Komputer",Table6[C2],X$59)/$W$58</f>
        <v>0</v>
      </c>
      <c r="Y65" s="66">
        <f>COUNTIFS(Table6[Prodi],"S1 Teknik Komputer",Table6[C2],Y$59)/$W$58</f>
        <v>0</v>
      </c>
      <c r="Z65" s="66">
        <f>COUNTIFS(Table6[Prodi],"S1 Teknik Komputer",Table6[C2],Z$59)/$W$58</f>
        <v>0</v>
      </c>
      <c r="AA65" s="62">
        <f t="shared" si="4"/>
        <v>1</v>
      </c>
    </row>
    <row r="66" spans="1:27" ht="16.5" hidden="1" x14ac:dyDescent="0.3">
      <c r="A66" s="60"/>
      <c r="B66" s="188">
        <f t="shared" si="5"/>
        <v>0.95833333333333337</v>
      </c>
      <c r="C66" s="188">
        <f t="shared" si="5"/>
        <v>4.1666666666666664E-2</v>
      </c>
      <c r="D66" s="188">
        <f t="shared" si="5"/>
        <v>0</v>
      </c>
      <c r="E66" s="188">
        <f t="shared" si="5"/>
        <v>0</v>
      </c>
      <c r="F66" s="62">
        <f t="shared" si="1"/>
        <v>1</v>
      </c>
      <c r="H66" s="57" t="s">
        <v>1164</v>
      </c>
      <c r="I66" s="66">
        <f>COUNTIFS(Table6[Prodi],"S1 Sistem Informasi",Table6[C3],I$59)/$I$58</f>
        <v>0.875</v>
      </c>
      <c r="J66" s="66">
        <f>COUNTIFS(Table6[Prodi],"S1 Sistem Informasi",Table6[C3],J$59)/$I$58</f>
        <v>0.125</v>
      </c>
      <c r="K66" s="66">
        <f>COUNTIFS(Table6[Prodi],"S1 Sistem Informasi",Table6[C3],K$59)/$I$58</f>
        <v>0</v>
      </c>
      <c r="L66" s="66">
        <f>COUNTIFS(Table6[Prodi],"S1 Sistem Informasi",Table6[C3],L$59)/$I$58</f>
        <v>0</v>
      </c>
      <c r="M66" s="62">
        <f t="shared" si="2"/>
        <v>1</v>
      </c>
      <c r="O66" s="57" t="s">
        <v>1164</v>
      </c>
      <c r="P66" s="66">
        <f>COUNTIFS(Table6[Prodi],"S1 Teknik Komputer",Table6[C3],P$59)/$P$58</f>
        <v>1</v>
      </c>
      <c r="Q66" s="66">
        <f>COUNTIFS(Table6[Prodi],"S1 Teknik Komputer",Table6[C3],Q$59)/$P$58</f>
        <v>0</v>
      </c>
      <c r="R66" s="66">
        <f>COUNTIFS(Table6[Prodi],"S1 Teknik Komputer",Table6[C3],R$59)/$P$58</f>
        <v>0</v>
      </c>
      <c r="S66" s="66">
        <f>COUNTIFS(Table6[Prodi],"S1 Teknik Komputer",Table6[C3],S$59)/$P$58</f>
        <v>0</v>
      </c>
      <c r="T66" s="62">
        <f t="shared" si="3"/>
        <v>1</v>
      </c>
      <c r="V66" s="57" t="s">
        <v>1164</v>
      </c>
      <c r="W66" s="66">
        <f>COUNTIFS(Table6[Prodi],"S1 Teknik Komputer",Table6[C3],W$59)/$W$58</f>
        <v>1</v>
      </c>
      <c r="X66" s="66">
        <f>COUNTIFS(Table6[Prodi],"S1 Teknik Komputer",Table6[C3],X$59)/$W$58</f>
        <v>0</v>
      </c>
      <c r="Y66" s="66">
        <f>COUNTIFS(Table6[Prodi],"S1 Teknik Komputer",Table6[C3],Y$59)/$W$58</f>
        <v>0</v>
      </c>
      <c r="Z66" s="66">
        <f>COUNTIFS(Table6[Prodi],"S1 Teknik Komputer",Table6[C3],Z$59)/$W$58</f>
        <v>0</v>
      </c>
      <c r="AA66" s="62">
        <f t="shared" si="4"/>
        <v>1</v>
      </c>
    </row>
    <row r="67" spans="1:27" ht="16.5" hidden="1" x14ac:dyDescent="0.3">
      <c r="A67" s="57" t="s">
        <v>33</v>
      </c>
      <c r="B67" s="61">
        <f>AVERAGE(B64:B66)</f>
        <v>0.95833333333333337</v>
      </c>
      <c r="C67" s="61">
        <f>AVERAGE(C64:C66)</f>
        <v>4.1666666666666664E-2</v>
      </c>
      <c r="D67" s="61">
        <f>AVERAGE(D64:D66)</f>
        <v>0</v>
      </c>
      <c r="E67" s="61">
        <f>AVERAGE(E64:E66)</f>
        <v>0</v>
      </c>
      <c r="F67" s="62">
        <f>SUM(B67:E67)</f>
        <v>1</v>
      </c>
      <c r="H67" s="60"/>
      <c r="I67" s="61">
        <f>AVERAGE(I64:I66)</f>
        <v>0.875</v>
      </c>
      <c r="J67" s="61">
        <f>AVERAGE(J64:J66)</f>
        <v>0.125</v>
      </c>
      <c r="K67" s="61">
        <f>AVERAGE(K64:K66)</f>
        <v>0</v>
      </c>
      <c r="L67" s="61">
        <f>AVERAGE(L64:L66)</f>
        <v>0</v>
      </c>
      <c r="M67" s="62">
        <f>SUM(I67:L67)</f>
        <v>1</v>
      </c>
      <c r="O67" s="60"/>
      <c r="P67" s="61">
        <f>AVERAGE(P64:P66)</f>
        <v>1</v>
      </c>
      <c r="Q67" s="61">
        <f>AVERAGE(Q64:Q66)</f>
        <v>0</v>
      </c>
      <c r="R67" s="61">
        <f>AVERAGE(R64:R66)</f>
        <v>0</v>
      </c>
      <c r="S67" s="61">
        <f>AVERAGE(S64:S66)</f>
        <v>0</v>
      </c>
      <c r="T67" s="62">
        <f>SUM(P67:S67)</f>
        <v>1</v>
      </c>
      <c r="V67" s="60"/>
      <c r="W67" s="61">
        <f>AVERAGE(W64:W66)</f>
        <v>1</v>
      </c>
      <c r="X67" s="61">
        <f>AVERAGE(X64:X66)</f>
        <v>0</v>
      </c>
      <c r="Y67" s="61">
        <f>AVERAGE(Y64:Y66)</f>
        <v>0</v>
      </c>
      <c r="Z67" s="61">
        <f>AVERAGE(Z64:Z66)</f>
        <v>0</v>
      </c>
      <c r="AA67" s="62">
        <f>SUM(W67:Z67)</f>
        <v>1</v>
      </c>
    </row>
    <row r="68" spans="1:27" ht="16.5" hidden="1" x14ac:dyDescent="0.3">
      <c r="A68" s="57" t="s">
        <v>34</v>
      </c>
      <c r="B68" s="188">
        <f t="shared" ref="B68:E69" si="6">(I68+P68+W68)/3</f>
        <v>0.66666666666666663</v>
      </c>
      <c r="C68" s="188">
        <f t="shared" si="6"/>
        <v>0.33333333333333331</v>
      </c>
      <c r="D68" s="188">
        <f t="shared" si="6"/>
        <v>0</v>
      </c>
      <c r="E68" s="188">
        <f t="shared" si="6"/>
        <v>0</v>
      </c>
      <c r="F68" s="62">
        <f t="shared" si="1"/>
        <v>1</v>
      </c>
      <c r="H68" s="57" t="s">
        <v>33</v>
      </c>
      <c r="I68" s="66">
        <f>COUNTIFS(Table6[Prodi],"S1 Sistem Informasi",Table6[D1],I$59)/$I$58</f>
        <v>0</v>
      </c>
      <c r="J68" s="66">
        <f>COUNTIFS(Table6[Prodi],"S1 Sistem Informasi",Table6[D1],J$59)/$I$58</f>
        <v>1</v>
      </c>
      <c r="K68" s="66">
        <f>COUNTIFS(Table6[Prodi],"S1 Sistem Informasi",Table6[D1],K$59)/$I$58</f>
        <v>0</v>
      </c>
      <c r="L68" s="66">
        <f>COUNTIFS(Table6[Prodi],"S1 Sistem Informasi",Table6[D1],L$59)/$I$58</f>
        <v>0</v>
      </c>
      <c r="M68" s="62">
        <f t="shared" ref="M68:M100" si="7">SUM(I68:L68)</f>
        <v>1</v>
      </c>
      <c r="O68" s="57" t="s">
        <v>33</v>
      </c>
      <c r="P68" s="66">
        <f>COUNTIFS(Table6[Prodi],"S1 Teknik Komputer",Table6[D1],P$59)/$P$58</f>
        <v>1</v>
      </c>
      <c r="Q68" s="66">
        <f>COUNTIFS(Table6[Prodi],"S1 Teknik Komputer",Table6[D1],Q$59)/$P$58</f>
        <v>0</v>
      </c>
      <c r="R68" s="66">
        <f>COUNTIFS(Table6[Prodi],"S1 Teknik Komputer",Table6[D1],R$59)/$P$58</f>
        <v>0</v>
      </c>
      <c r="S68" s="66">
        <f>COUNTIFS(Table6[Prodi],"S1 Teknik Komputer",Table6[D1],S$59)/$P$58</f>
        <v>0</v>
      </c>
      <c r="T68" s="62">
        <f t="shared" ref="T68:T85" si="8">SUM(P68:S68)</f>
        <v>1</v>
      </c>
      <c r="V68" s="57" t="s">
        <v>33</v>
      </c>
      <c r="W68" s="66">
        <f>COUNTIFS(Table6[Prodi],"S1 Teknik Komputer",Table6[D1],W$59)/$W$58</f>
        <v>1</v>
      </c>
      <c r="X68" s="66">
        <f>COUNTIFS(Table6[Prodi],"S1 Teknik Komputer",Table6[D1],X$59)/$W$58</f>
        <v>0</v>
      </c>
      <c r="Y68" s="66">
        <f>COUNTIFS(Table6[Prodi],"S1 Teknik Komputer",Table6[D1],Y$59)/$W$58</f>
        <v>0</v>
      </c>
      <c r="Z68" s="66">
        <f>COUNTIFS(Table6[Prodi],"S1 Teknik Komputer",Table6[D1],Z$59)/$W$58</f>
        <v>0</v>
      </c>
      <c r="AA68" s="62">
        <f t="shared" ref="AA68:AA85" si="9">SUM(W68:Z68)</f>
        <v>1</v>
      </c>
    </row>
    <row r="69" spans="1:27" ht="16.5" hidden="1" x14ac:dyDescent="0.3">
      <c r="A69" s="60"/>
      <c r="B69" s="188">
        <f t="shared" si="6"/>
        <v>0.66666666666666663</v>
      </c>
      <c r="C69" s="188">
        <f t="shared" si="6"/>
        <v>0.33333333333333331</v>
      </c>
      <c r="D69" s="188">
        <f t="shared" si="6"/>
        <v>0</v>
      </c>
      <c r="E69" s="188">
        <f t="shared" si="6"/>
        <v>0</v>
      </c>
      <c r="F69" s="62">
        <f t="shared" si="1"/>
        <v>1</v>
      </c>
      <c r="H69" s="57" t="s">
        <v>34</v>
      </c>
      <c r="I69" s="66">
        <f>COUNTIFS(Table6[Prodi],"S1 Sistem Informasi",Table6[D2],I$59)/$I$58</f>
        <v>0</v>
      </c>
      <c r="J69" s="66">
        <f>COUNTIFS(Table6[Prodi],"S1 Sistem Informasi",Table6[D2],J$59)/$I$58</f>
        <v>1</v>
      </c>
      <c r="K69" s="66">
        <f>COUNTIFS(Table6[Prodi],"S1 Sistem Informasi",Table6[D2],K$59)/$I$58</f>
        <v>0</v>
      </c>
      <c r="L69" s="66">
        <f>COUNTIFS(Table6[Prodi],"S1 Sistem Informasi",Table6[D2],L$59)/$I$58</f>
        <v>0</v>
      </c>
      <c r="M69" s="62">
        <f t="shared" si="7"/>
        <v>1</v>
      </c>
      <c r="O69" s="57" t="s">
        <v>34</v>
      </c>
      <c r="P69" s="66">
        <f>COUNTIFS(Table6[Prodi],"S1 Teknik Komputer",Table6[D2],P$59)/$P$58</f>
        <v>1</v>
      </c>
      <c r="Q69" s="66">
        <f>COUNTIFS(Table6[Prodi],"S1 Teknik Komputer",Table6[D2],Q$59)/$P$58</f>
        <v>0</v>
      </c>
      <c r="R69" s="66">
        <f>COUNTIFS(Table6[Prodi],"S1 Teknik Komputer",Table6[D2],R$59)/$P$58</f>
        <v>0</v>
      </c>
      <c r="S69" s="66">
        <f>COUNTIFS(Table6[Prodi],"S1 Teknik Komputer",Table6[D2],S$59)/$P$58</f>
        <v>0</v>
      </c>
      <c r="T69" s="62">
        <f t="shared" si="8"/>
        <v>1</v>
      </c>
      <c r="V69" s="57" t="s">
        <v>34</v>
      </c>
      <c r="W69" s="66">
        <f>COUNTIFS(Table6[Prodi],"S1 Teknik Komputer",Table6[D2],W$59)/$W$58</f>
        <v>1</v>
      </c>
      <c r="X69" s="66">
        <f>COUNTIFS(Table6[Prodi],"S1 Teknik Komputer",Table6[D2],X$59)/$W$58</f>
        <v>0</v>
      </c>
      <c r="Y69" s="66">
        <f>COUNTIFS(Table6[Prodi],"S1 Teknik Komputer",Table6[D2],Y$59)/$W$58</f>
        <v>0</v>
      </c>
      <c r="Z69" s="66">
        <f>COUNTIFS(Table6[Prodi],"S1 Teknik Komputer",Table6[D2],Z$59)/$W$58</f>
        <v>0</v>
      </c>
      <c r="AA69" s="62">
        <f t="shared" si="9"/>
        <v>1</v>
      </c>
    </row>
    <row r="70" spans="1:27" ht="16.5" hidden="1" x14ac:dyDescent="0.3">
      <c r="A70" s="57" t="s">
        <v>35</v>
      </c>
      <c r="B70" s="61">
        <f>AVERAGE(B68:B69)</f>
        <v>0.66666666666666663</v>
      </c>
      <c r="C70" s="61">
        <f>AVERAGE(C68:C69)</f>
        <v>0.33333333333333331</v>
      </c>
      <c r="D70" s="61">
        <f>AVERAGE(D68:D69)</f>
        <v>0</v>
      </c>
      <c r="E70" s="61">
        <f>AVERAGE(E68:E69)</f>
        <v>0</v>
      </c>
      <c r="F70" s="62">
        <f t="shared" si="1"/>
        <v>1</v>
      </c>
      <c r="H70" s="60"/>
      <c r="I70" s="61">
        <f>AVERAGE(I68:I69)</f>
        <v>0</v>
      </c>
      <c r="J70" s="61">
        <f>AVERAGE(J68:J69)</f>
        <v>1</v>
      </c>
      <c r="K70" s="61">
        <f>AVERAGE(K68:K69)</f>
        <v>0</v>
      </c>
      <c r="L70" s="61">
        <f>AVERAGE(L68:L69)</f>
        <v>0</v>
      </c>
      <c r="M70" s="62">
        <f t="shared" si="7"/>
        <v>1</v>
      </c>
      <c r="O70" s="60"/>
      <c r="P70" s="61">
        <f>AVERAGE(P68:P69)</f>
        <v>1</v>
      </c>
      <c r="Q70" s="61">
        <f>AVERAGE(Q68:Q69)</f>
        <v>0</v>
      </c>
      <c r="R70" s="61">
        <f>AVERAGE(R68:R69)</f>
        <v>0</v>
      </c>
      <c r="S70" s="61">
        <f>AVERAGE(S68:S69)</f>
        <v>0</v>
      </c>
      <c r="T70" s="62">
        <f t="shared" si="8"/>
        <v>1</v>
      </c>
      <c r="V70" s="60"/>
      <c r="W70" s="61">
        <f>AVERAGE(W68:W69)</f>
        <v>1</v>
      </c>
      <c r="X70" s="61">
        <f>AVERAGE(X68:X69)</f>
        <v>0</v>
      </c>
      <c r="Y70" s="61">
        <f>AVERAGE(Y68:Y69)</f>
        <v>0</v>
      </c>
      <c r="Z70" s="61">
        <f>AVERAGE(Z68:Z69)</f>
        <v>0</v>
      </c>
      <c r="AA70" s="62">
        <f t="shared" si="9"/>
        <v>1</v>
      </c>
    </row>
    <row r="71" spans="1:27" ht="16.5" hidden="1" x14ac:dyDescent="0.3">
      <c r="A71" s="57" t="s">
        <v>36</v>
      </c>
      <c r="B71" s="188">
        <f t="shared" ref="B71:E74" si="10">(I71+P71+W71)/3</f>
        <v>0.875</v>
      </c>
      <c r="C71" s="188">
        <f t="shared" si="10"/>
        <v>0.125</v>
      </c>
      <c r="D71" s="188">
        <f t="shared" si="10"/>
        <v>0</v>
      </c>
      <c r="E71" s="188">
        <f t="shared" si="10"/>
        <v>0</v>
      </c>
      <c r="F71" s="62">
        <f t="shared" si="1"/>
        <v>1</v>
      </c>
      <c r="H71" s="57" t="s">
        <v>35</v>
      </c>
      <c r="I71" s="66">
        <f>COUNTIFS(Table6[Prodi],"S1 Sistem Informasi",Table6[E1],I$59)/$I$58</f>
        <v>0.625</v>
      </c>
      <c r="J71" s="66">
        <f>COUNTIFS(Table6[Prodi],"S1 Sistem Informasi",Table6[E1],J$59)/$I$58</f>
        <v>0.375</v>
      </c>
      <c r="K71" s="66">
        <f>COUNTIFS(Table6[Prodi],"S1 Sistem Informasi",Table6[E1],K$59)/$I$58</f>
        <v>0</v>
      </c>
      <c r="L71" s="66">
        <f>COUNTIFS(Table6[Prodi],"S1 Sistem Informasi",Table6[E1],L$59)/$I$58</f>
        <v>0</v>
      </c>
      <c r="M71" s="62">
        <f t="shared" si="7"/>
        <v>1</v>
      </c>
      <c r="O71" s="57" t="s">
        <v>35</v>
      </c>
      <c r="P71" s="66">
        <f>COUNTIFS(Table6[Prodi],"S1 Teknik Komputer",Table6[E1],P$59)/$P$58</f>
        <v>1</v>
      </c>
      <c r="Q71" s="66">
        <f>COUNTIFS(Table6[Prodi],"S1 Teknik Komputer",Table6[E1],Q$59)/$P$58</f>
        <v>0</v>
      </c>
      <c r="R71" s="66">
        <f>COUNTIFS(Table6[Prodi],"S1 Teknik Komputer",Table6[E1],R$59)/$P$58</f>
        <v>0</v>
      </c>
      <c r="S71" s="66">
        <f>COUNTIFS(Table6[Prodi],"S1 Teknik Komputer",Table6[E1],S$59)/$P$58</f>
        <v>0</v>
      </c>
      <c r="T71" s="62">
        <f t="shared" si="8"/>
        <v>1</v>
      </c>
      <c r="V71" s="57" t="s">
        <v>35</v>
      </c>
      <c r="W71" s="66">
        <f>COUNTIFS(Table6[Prodi],"S1 Teknik Komputer",Table6[E1],W$59)/$W$58</f>
        <v>1</v>
      </c>
      <c r="X71" s="66">
        <f>COUNTIFS(Table6[Prodi],"S1 Teknik Komputer",Table6[E1],X$59)/$W$58</f>
        <v>0</v>
      </c>
      <c r="Y71" s="66">
        <f>COUNTIFS(Table6[Prodi],"S1 Teknik Komputer",Table6[E1],Y$59)/$W$58</f>
        <v>0</v>
      </c>
      <c r="Z71" s="66">
        <f>COUNTIFS(Table6[Prodi],"S1 Teknik Komputer",Table6[E1],Z$59)/$W$58</f>
        <v>0</v>
      </c>
      <c r="AA71" s="62">
        <f t="shared" si="9"/>
        <v>1</v>
      </c>
    </row>
    <row r="72" spans="1:27" ht="16.5" hidden="1" x14ac:dyDescent="0.3">
      <c r="A72" s="57" t="s">
        <v>1168</v>
      </c>
      <c r="B72" s="188">
        <f t="shared" si="10"/>
        <v>0.875</v>
      </c>
      <c r="C72" s="188">
        <f t="shared" si="10"/>
        <v>0.125</v>
      </c>
      <c r="D72" s="188">
        <f t="shared" si="10"/>
        <v>0</v>
      </c>
      <c r="E72" s="188">
        <f t="shared" si="10"/>
        <v>0</v>
      </c>
      <c r="F72" s="62">
        <f t="shared" si="1"/>
        <v>1</v>
      </c>
      <c r="H72" s="57" t="s">
        <v>36</v>
      </c>
      <c r="I72" s="66">
        <f>COUNTIFS(Table6[Prodi],"S1 Sistem Informasi",Table6[E2],I$59)/$I$58</f>
        <v>0.625</v>
      </c>
      <c r="J72" s="66">
        <f>COUNTIFS(Table6[Prodi],"S1 Sistem Informasi",Table6[E2],J$59)/$I$58</f>
        <v>0.375</v>
      </c>
      <c r="K72" s="66">
        <f>COUNTIFS(Table6[Prodi],"S1 Sistem Informasi",Table6[E2],K$59)/$I$58</f>
        <v>0</v>
      </c>
      <c r="L72" s="66">
        <f>COUNTIFS(Table6[Prodi],"S1 Sistem Informasi",Table6[E2],L$59)/$I$58</f>
        <v>0</v>
      </c>
      <c r="M72" s="62">
        <f t="shared" si="7"/>
        <v>1</v>
      </c>
      <c r="O72" s="57" t="s">
        <v>36</v>
      </c>
      <c r="P72" s="66">
        <f>COUNTIFS(Table6[Prodi],"S1 Teknik Komputer",Table6[E2],P$59)/$P$58</f>
        <v>1</v>
      </c>
      <c r="Q72" s="66">
        <f>COUNTIFS(Table6[Prodi],"S1 Teknik Komputer",Table6[E2],Q$59)/$P$58</f>
        <v>0</v>
      </c>
      <c r="R72" s="66">
        <f>COUNTIFS(Table6[Prodi],"S1 Teknik Komputer",Table6[E2],R$59)/$P$58</f>
        <v>0</v>
      </c>
      <c r="S72" s="66">
        <f>COUNTIFS(Table6[Prodi],"S1 Teknik Komputer",Table6[E2],S$59)/$P$58</f>
        <v>0</v>
      </c>
      <c r="T72" s="62">
        <f t="shared" si="8"/>
        <v>1</v>
      </c>
      <c r="V72" s="57" t="s">
        <v>36</v>
      </c>
      <c r="W72" s="66">
        <f>COUNTIFS(Table6[Prodi],"S1 Teknik Komputer",Table6[E2],W$59)/$W$58</f>
        <v>1</v>
      </c>
      <c r="X72" s="66">
        <f>COUNTIFS(Table6[Prodi],"S1 Teknik Komputer",Table6[E2],X$59)/$W$58</f>
        <v>0</v>
      </c>
      <c r="Y72" s="66">
        <f>COUNTIFS(Table6[Prodi],"S1 Teknik Komputer",Table6[E2],Y$59)/$W$58</f>
        <v>0</v>
      </c>
      <c r="Z72" s="66">
        <f>COUNTIFS(Table6[Prodi],"S1 Teknik Komputer",Table6[E2],Z$59)/$W$58</f>
        <v>0</v>
      </c>
      <c r="AA72" s="62">
        <f t="shared" si="9"/>
        <v>1</v>
      </c>
    </row>
    <row r="73" spans="1:27" ht="16.5" hidden="1" x14ac:dyDescent="0.3">
      <c r="A73" s="57" t="s">
        <v>1584</v>
      </c>
      <c r="B73" s="188">
        <f t="shared" si="10"/>
        <v>0.875</v>
      </c>
      <c r="C73" s="188">
        <f t="shared" si="10"/>
        <v>0.125</v>
      </c>
      <c r="D73" s="188">
        <f t="shared" si="10"/>
        <v>0</v>
      </c>
      <c r="E73" s="188">
        <f t="shared" si="10"/>
        <v>0</v>
      </c>
      <c r="F73" s="62">
        <f t="shared" si="1"/>
        <v>1</v>
      </c>
      <c r="H73" s="57" t="s">
        <v>1168</v>
      </c>
      <c r="I73" s="66">
        <f>COUNTIFS(Table6[Prodi],"S1 Sistem Informasi",Table6[E3],I$59)/$I$58</f>
        <v>0.625</v>
      </c>
      <c r="J73" s="66">
        <f>COUNTIFS(Table6[Prodi],"S1 Sistem Informasi",Table6[E3],J$59)/$I$58</f>
        <v>0.375</v>
      </c>
      <c r="K73" s="66">
        <f>COUNTIFS(Table6[Prodi],"S1 Sistem Informasi",Table6[E3],K$59)/$I$58</f>
        <v>0</v>
      </c>
      <c r="L73" s="66">
        <f>COUNTIFS(Table6[Prodi],"S1 Sistem Informasi",Table6[E3],L$59)/$I$58</f>
        <v>0</v>
      </c>
      <c r="M73" s="62">
        <f t="shared" si="7"/>
        <v>1</v>
      </c>
      <c r="O73" s="57" t="s">
        <v>1168</v>
      </c>
      <c r="P73" s="66">
        <f>COUNTIFS(Table6[Prodi],"S1 Teknik Komputer",Table6[E3],P$59)/$P$58</f>
        <v>1</v>
      </c>
      <c r="Q73" s="66">
        <f>COUNTIFS(Table6[Prodi],"S1 Teknik Komputer",Table6[E3],Q$59)/$P$58</f>
        <v>0</v>
      </c>
      <c r="R73" s="66">
        <f>COUNTIFS(Table6[Prodi],"S1 Teknik Komputer",Table6[E3],R$59)/$P$58</f>
        <v>0</v>
      </c>
      <c r="S73" s="66">
        <f>COUNTIFS(Table6[Prodi],"S1 Teknik Komputer",Table6[E3],S$59)/$P$58</f>
        <v>0</v>
      </c>
      <c r="T73" s="62">
        <f t="shared" si="8"/>
        <v>1</v>
      </c>
      <c r="V73" s="57" t="s">
        <v>1168</v>
      </c>
      <c r="W73" s="66">
        <f>COUNTIFS(Table6[Prodi],"S1 Teknik Komputer",Table6[E3],W$59)/$W$58</f>
        <v>1</v>
      </c>
      <c r="X73" s="66">
        <f>COUNTIFS(Table6[Prodi],"S1 Teknik Komputer",Table6[E3],X$59)/$W$58</f>
        <v>0</v>
      </c>
      <c r="Y73" s="66">
        <f>COUNTIFS(Table6[Prodi],"S1 Teknik Komputer",Table6[E3],Y$59)/$W$58</f>
        <v>0</v>
      </c>
      <c r="Z73" s="66">
        <f>COUNTIFS(Table6[Prodi],"S1 Teknik Komputer",Table6[E3],Z$59)/$W$58</f>
        <v>0</v>
      </c>
      <c r="AA73" s="62">
        <f t="shared" si="9"/>
        <v>1</v>
      </c>
    </row>
    <row r="74" spans="1:27" ht="16.5" hidden="1" x14ac:dyDescent="0.3">
      <c r="A74" s="60"/>
      <c r="B74" s="188">
        <f t="shared" si="10"/>
        <v>0.875</v>
      </c>
      <c r="C74" s="188">
        <f t="shared" si="10"/>
        <v>0.125</v>
      </c>
      <c r="D74" s="188">
        <f t="shared" si="10"/>
        <v>0</v>
      </c>
      <c r="E74" s="188">
        <f t="shared" si="10"/>
        <v>0</v>
      </c>
      <c r="F74" s="62">
        <f t="shared" si="1"/>
        <v>1</v>
      </c>
      <c r="H74" s="57" t="s">
        <v>1584</v>
      </c>
      <c r="I74" s="66">
        <f>COUNTIFS(Table6[Prodi],"S1 Sistem Informasi",Table6[E4],I$59)/$I$58</f>
        <v>0.625</v>
      </c>
      <c r="J74" s="66">
        <f>COUNTIFS(Table6[Prodi],"S1 Sistem Informasi",Table6[E4],J$59)/$I$58</f>
        <v>0.375</v>
      </c>
      <c r="K74" s="66">
        <f>COUNTIFS(Table6[Prodi],"S1 Sistem Informasi",Table6[E4],K$59)/$I$58</f>
        <v>0</v>
      </c>
      <c r="L74" s="66">
        <f>COUNTIFS(Table6[Prodi],"S1 Sistem Informasi",Table6[E4],L$59)/$I$58</f>
        <v>0</v>
      </c>
      <c r="M74" s="62"/>
      <c r="O74" s="57" t="s">
        <v>1584</v>
      </c>
      <c r="P74" s="66">
        <f>COUNTIFS(Table6[Prodi],"S1 Teknik Komputer",Table6[E4],P$59)/$P$58</f>
        <v>1</v>
      </c>
      <c r="Q74" s="66">
        <f>COUNTIFS(Table6[Prodi],"S1 Teknik Komputer",Table6[E4],Q$59)/$P$58</f>
        <v>0</v>
      </c>
      <c r="R74" s="66">
        <f>COUNTIFS(Table6[Prodi],"S1 Teknik Komputer",Table6[E4],R$59)/$P$58</f>
        <v>0</v>
      </c>
      <c r="S74" s="66">
        <f>COUNTIFS(Table6[Prodi],"S1 Teknik Komputer",Table6[E4],S$59)/$P$58</f>
        <v>0</v>
      </c>
      <c r="T74" s="62">
        <f t="shared" si="8"/>
        <v>1</v>
      </c>
      <c r="V74" s="57" t="s">
        <v>1584</v>
      </c>
      <c r="W74" s="66">
        <f>COUNTIFS(Table6[Prodi],"S1 Teknik Komputer",Table6[E4],W$59)/$W$58</f>
        <v>1</v>
      </c>
      <c r="X74" s="66">
        <f>COUNTIFS(Table6[Prodi],"S1 Teknik Komputer",Table6[E4],X$59)/$W$58</f>
        <v>0</v>
      </c>
      <c r="Y74" s="66">
        <f>COUNTIFS(Table6[Prodi],"S1 Teknik Komputer",Table6[E4],Y$59)/$W$58</f>
        <v>0</v>
      </c>
      <c r="Z74" s="66">
        <f>COUNTIFS(Table6[Prodi],"S1 Teknik Komputer",Table6[E4],Z$59)/$W$58</f>
        <v>0</v>
      </c>
      <c r="AA74" s="62">
        <f t="shared" si="9"/>
        <v>1</v>
      </c>
    </row>
    <row r="75" spans="1:27" ht="16.5" hidden="1" x14ac:dyDescent="0.3">
      <c r="A75" s="57" t="s">
        <v>37</v>
      </c>
      <c r="B75" s="61">
        <f>AVERAGE(B71:B74)</f>
        <v>0.875</v>
      </c>
      <c r="C75" s="61">
        <f>AVERAGE(C71:C74)</f>
        <v>0.125</v>
      </c>
      <c r="D75" s="61">
        <f>AVERAGE(D71:D74)</f>
        <v>0</v>
      </c>
      <c r="E75" s="61">
        <f>AVERAGE(E71:E74)</f>
        <v>0</v>
      </c>
      <c r="F75" s="62">
        <f t="shared" si="1"/>
        <v>1</v>
      </c>
      <c r="H75" s="60"/>
      <c r="I75" s="61">
        <f>AVERAGE(I71:I73)</f>
        <v>0.625</v>
      </c>
      <c r="J75" s="61">
        <f>AVERAGE(J71:J73)</f>
        <v>0.375</v>
      </c>
      <c r="K75" s="61">
        <f>AVERAGE(K71:K73)</f>
        <v>0</v>
      </c>
      <c r="L75" s="61">
        <f>AVERAGE(L71:L73)</f>
        <v>0</v>
      </c>
      <c r="M75" s="62">
        <f t="shared" si="7"/>
        <v>1</v>
      </c>
      <c r="O75" s="60"/>
      <c r="P75" s="61">
        <f>AVERAGE(P71:P73)</f>
        <v>1</v>
      </c>
      <c r="Q75" s="61">
        <f>AVERAGE(Q71:Q73)</f>
        <v>0</v>
      </c>
      <c r="R75" s="61">
        <f>AVERAGE(R71:R73)</f>
        <v>0</v>
      </c>
      <c r="S75" s="61">
        <f>AVERAGE(S71:S73)</f>
        <v>0</v>
      </c>
      <c r="T75" s="62">
        <f t="shared" si="8"/>
        <v>1</v>
      </c>
      <c r="V75" s="60"/>
      <c r="W75" s="61">
        <f>AVERAGE(W71:W73)</f>
        <v>1</v>
      </c>
      <c r="X75" s="61">
        <f>AVERAGE(X71:X73)</f>
        <v>0</v>
      </c>
      <c r="Y75" s="61">
        <f>AVERAGE(Y71:Y73)</f>
        <v>0</v>
      </c>
      <c r="Z75" s="61">
        <f>AVERAGE(Z71:Z73)</f>
        <v>0</v>
      </c>
      <c r="AA75" s="62">
        <f t="shared" si="9"/>
        <v>1</v>
      </c>
    </row>
    <row r="76" spans="1:27" ht="16.5" hidden="1" x14ac:dyDescent="0.3">
      <c r="A76" s="57" t="s">
        <v>38</v>
      </c>
      <c r="B76" s="188">
        <f t="shared" ref="B76:E79" si="11">(I76+P76+W76)/3</f>
        <v>0.95833333333333337</v>
      </c>
      <c r="C76" s="188">
        <f t="shared" si="11"/>
        <v>0</v>
      </c>
      <c r="D76" s="188">
        <f t="shared" si="11"/>
        <v>4.1666666666666664E-2</v>
      </c>
      <c r="E76" s="188">
        <f t="shared" si="11"/>
        <v>0</v>
      </c>
      <c r="F76" s="62">
        <f t="shared" si="1"/>
        <v>1</v>
      </c>
      <c r="H76" s="57" t="s">
        <v>37</v>
      </c>
      <c r="I76" s="66">
        <f>COUNTIFS(Table6[Prodi],"S1 Sistem Informasi",Table6[F1],I$59)/$I$58</f>
        <v>0.875</v>
      </c>
      <c r="J76" s="66">
        <f>COUNTIFS(Table6[Prodi],"S1 Sistem Informasi",Table6[F1],J$59)/$I$58</f>
        <v>0</v>
      </c>
      <c r="K76" s="66">
        <f>COUNTIFS(Table6[Prodi],"S1 Sistem Informasi",Table6[F1],K$59)/$I$58</f>
        <v>0.125</v>
      </c>
      <c r="L76" s="66">
        <f>COUNTIFS(Table6[Prodi],"S1 Sistem Informasi",Table6[F1],L$59)/$I$58</f>
        <v>0</v>
      </c>
      <c r="M76" s="62">
        <f t="shared" si="7"/>
        <v>1</v>
      </c>
      <c r="O76" s="57" t="s">
        <v>37</v>
      </c>
      <c r="P76" s="66">
        <f>COUNTIFS(Table6[Prodi],"S1 Teknik Komputer",Table6[F1],P$59)/$P$58</f>
        <v>1</v>
      </c>
      <c r="Q76" s="66">
        <f>COUNTIFS(Table6[Prodi],"S1 Teknik Komputer",Table6[F1],Q$59)/$P$58</f>
        <v>0</v>
      </c>
      <c r="R76" s="66">
        <f>COUNTIFS(Table6[Prodi],"S1 Teknik Komputer",Table6[F1],R$59)/$P$58</f>
        <v>0</v>
      </c>
      <c r="S76" s="66">
        <f>COUNTIFS(Table6[Prodi],"S1 Teknik Komputer",Table6[F1],S$59)/$P$58</f>
        <v>0</v>
      </c>
      <c r="T76" s="62">
        <f t="shared" si="8"/>
        <v>1</v>
      </c>
      <c r="V76" s="57" t="s">
        <v>37</v>
      </c>
      <c r="W76" s="66">
        <f>COUNTIFS(Table6[Prodi],"S1 Teknik Komputer",Table6[F1],W$59)/$W$58</f>
        <v>1</v>
      </c>
      <c r="X76" s="66">
        <f>COUNTIFS(Table6[Prodi],"S1 Teknik Komputer",Table6[F1],X$59)/$W$58</f>
        <v>0</v>
      </c>
      <c r="Y76" s="66">
        <f>COUNTIFS(Table6[Prodi],"S1 Teknik Komputer",Table6[F1],Y$59)/$W$58</f>
        <v>0</v>
      </c>
      <c r="Z76" s="66">
        <f>COUNTIFS(Table6[Prodi],"S1 Teknik Komputer",Table6[F1],Z$59)/$W$58</f>
        <v>0</v>
      </c>
      <c r="AA76" s="62">
        <f t="shared" si="9"/>
        <v>1</v>
      </c>
    </row>
    <row r="77" spans="1:27" ht="16.5" hidden="1" x14ac:dyDescent="0.3">
      <c r="A77" s="57" t="s">
        <v>39</v>
      </c>
      <c r="B77" s="188">
        <f t="shared" si="11"/>
        <v>0.83333333333333337</v>
      </c>
      <c r="C77" s="188">
        <f t="shared" si="11"/>
        <v>0.125</v>
      </c>
      <c r="D77" s="188">
        <f t="shared" si="11"/>
        <v>4.1666666666666664E-2</v>
      </c>
      <c r="E77" s="188">
        <f t="shared" si="11"/>
        <v>0</v>
      </c>
      <c r="F77" s="62">
        <f t="shared" si="1"/>
        <v>1</v>
      </c>
      <c r="H77" s="57" t="s">
        <v>38</v>
      </c>
      <c r="I77" s="66">
        <f>COUNTIFS(Table6[Prodi],"S1 Sistem Informasi",Table6[F2],I$59)/$I$58</f>
        <v>0.5</v>
      </c>
      <c r="J77" s="66">
        <f>COUNTIFS(Table6[Prodi],"S1 Sistem Informasi",Table6[F2],J$59)/$I$58</f>
        <v>0.375</v>
      </c>
      <c r="K77" s="66">
        <f>COUNTIFS(Table6[Prodi],"S1 Sistem Informasi",Table6[F2],K$59)/$I$58</f>
        <v>0.125</v>
      </c>
      <c r="L77" s="66">
        <f>COUNTIFS(Table6[Prodi],"S1 Sistem Informasi",Table6[F2],L$59)/$I$58</f>
        <v>0</v>
      </c>
      <c r="M77" s="62">
        <f t="shared" si="7"/>
        <v>1</v>
      </c>
      <c r="O77" s="57" t="s">
        <v>38</v>
      </c>
      <c r="P77" s="66">
        <f>COUNTIFS(Table6[Prodi],"S1 Teknik Komputer",Table6[F2],P$59)/$P$58</f>
        <v>1</v>
      </c>
      <c r="Q77" s="66">
        <f>COUNTIFS(Table6[Prodi],"S1 Teknik Komputer",Table6[F2],Q$59)/$P$58</f>
        <v>0</v>
      </c>
      <c r="R77" s="66">
        <f>COUNTIFS(Table6[Prodi],"S1 Teknik Komputer",Table6[F2],R$59)/$P$58</f>
        <v>0</v>
      </c>
      <c r="S77" s="66">
        <f>COUNTIFS(Table6[Prodi],"S1 Teknik Komputer",Table6[F2],S$59)/$P$58</f>
        <v>0</v>
      </c>
      <c r="T77" s="62">
        <f t="shared" si="8"/>
        <v>1</v>
      </c>
      <c r="V77" s="57" t="s">
        <v>38</v>
      </c>
      <c r="W77" s="66">
        <f>COUNTIFS(Table6[Prodi],"S1 Teknik Komputer",Table6[F2],W$59)/$W$58</f>
        <v>1</v>
      </c>
      <c r="X77" s="66">
        <f>COUNTIFS(Table6[Prodi],"S1 Teknik Komputer",Table6[F2],X$59)/$W$58</f>
        <v>0</v>
      </c>
      <c r="Y77" s="66">
        <f>COUNTIFS(Table6[Prodi],"S1 Teknik Komputer",Table6[F2],Y$59)/$W$58</f>
        <v>0</v>
      </c>
      <c r="Z77" s="66">
        <f>COUNTIFS(Table6[Prodi],"S1 Teknik Komputer",Table6[F2],Z$59)/$W$58</f>
        <v>0</v>
      </c>
      <c r="AA77" s="62">
        <f t="shared" si="9"/>
        <v>1</v>
      </c>
    </row>
    <row r="78" spans="1:27" ht="16.5" hidden="1" x14ac:dyDescent="0.3">
      <c r="A78" s="57" t="s">
        <v>1170</v>
      </c>
      <c r="B78" s="188">
        <f t="shared" si="11"/>
        <v>0.83333333333333337</v>
      </c>
      <c r="C78" s="188">
        <f t="shared" si="11"/>
        <v>0.125</v>
      </c>
      <c r="D78" s="188">
        <f t="shared" si="11"/>
        <v>4.1666666666666664E-2</v>
      </c>
      <c r="E78" s="188">
        <f t="shared" si="11"/>
        <v>0</v>
      </c>
      <c r="F78" s="62">
        <f t="shared" si="1"/>
        <v>1</v>
      </c>
      <c r="H78" s="57" t="s">
        <v>39</v>
      </c>
      <c r="I78" s="66">
        <f>COUNTIFS(Table6[Prodi],"S1 Sistem Informasi",Table6[F3],I$59)/$I$58</f>
        <v>0.5</v>
      </c>
      <c r="J78" s="66">
        <f>COUNTIFS(Table6[Prodi],"S1 Sistem Informasi",Table6[F3],J$59)/$I$58</f>
        <v>0.375</v>
      </c>
      <c r="K78" s="66">
        <f>COUNTIFS(Table6[Prodi],"S1 Sistem Informasi",Table6[F3],K$59)/$I$58</f>
        <v>0.125</v>
      </c>
      <c r="L78" s="66">
        <f>COUNTIFS(Table6[Prodi],"S1 Sistem Informasi",Table6[F3],L$59)/$I$58</f>
        <v>0</v>
      </c>
      <c r="M78" s="62">
        <f t="shared" si="7"/>
        <v>1</v>
      </c>
      <c r="O78" s="57" t="s">
        <v>39</v>
      </c>
      <c r="P78" s="66">
        <f>COUNTIFS(Table6[Prodi],"S1 Teknik Komputer",Table6[F3],P$59)/$P$58</f>
        <v>1</v>
      </c>
      <c r="Q78" s="66">
        <f>COUNTIFS(Table6[Prodi],"S1 Teknik Komputer",Table6[F3],Q$59)/$P$58</f>
        <v>0</v>
      </c>
      <c r="R78" s="66">
        <f>COUNTIFS(Table6[Prodi],"S1 Teknik Komputer",Table6[F3],R$59)/$P$58</f>
        <v>0</v>
      </c>
      <c r="S78" s="66">
        <f>COUNTIFS(Table6[Prodi],"S1 Teknik Komputer",Table6[F3],S$59)/$P$58</f>
        <v>0</v>
      </c>
      <c r="T78" s="62">
        <f t="shared" si="8"/>
        <v>1</v>
      </c>
      <c r="V78" s="57" t="s">
        <v>39</v>
      </c>
      <c r="W78" s="66">
        <f>COUNTIFS(Table6[Prodi],"S1 Teknik Komputer",Table6[F3],W$59)/$W$58</f>
        <v>1</v>
      </c>
      <c r="X78" s="66">
        <f>COUNTIFS(Table6[Prodi],"S1 Teknik Komputer",Table6[F3],X$59)/$W$58</f>
        <v>0</v>
      </c>
      <c r="Y78" s="66">
        <f>COUNTIFS(Table6[Prodi],"S1 Teknik Komputer",Table6[F3],Y$59)/$W$58</f>
        <v>0</v>
      </c>
      <c r="Z78" s="66">
        <f>COUNTIFS(Table6[Prodi],"S1 Teknik Komputer",Table6[F3],Z$59)/$W$58</f>
        <v>0</v>
      </c>
      <c r="AA78" s="62">
        <f t="shared" si="9"/>
        <v>1</v>
      </c>
    </row>
    <row r="79" spans="1:27" ht="16.5" hidden="1" x14ac:dyDescent="0.3">
      <c r="A79" s="60"/>
      <c r="B79" s="188">
        <f t="shared" si="11"/>
        <v>0.83333333333333337</v>
      </c>
      <c r="C79" s="188">
        <f t="shared" si="11"/>
        <v>0.125</v>
      </c>
      <c r="D79" s="188">
        <f t="shared" si="11"/>
        <v>4.1666666666666664E-2</v>
      </c>
      <c r="E79" s="188">
        <f t="shared" si="11"/>
        <v>0</v>
      </c>
      <c r="F79" s="62">
        <f t="shared" si="1"/>
        <v>1</v>
      </c>
      <c r="H79" s="57" t="s">
        <v>1170</v>
      </c>
      <c r="I79" s="66">
        <f>COUNTIFS(Table6[Prodi],"S1 Sistem Informasi",Table6[F4],I$59)/$I$58</f>
        <v>0.5</v>
      </c>
      <c r="J79" s="66">
        <f>COUNTIFS(Table6[Prodi],"S1 Sistem Informasi",Table6[F4],J$59)/$I$58</f>
        <v>0.375</v>
      </c>
      <c r="K79" s="66">
        <f>COUNTIFS(Table6[Prodi],"S1 Sistem Informasi",Table6[F4],K$59)/$I$58</f>
        <v>0.125</v>
      </c>
      <c r="L79" s="66">
        <f>COUNTIFS(Table6[Prodi],"S1 Sistem Informasi",Table6[F4],L$59)/$I$58</f>
        <v>0</v>
      </c>
      <c r="M79" s="62">
        <f t="shared" si="7"/>
        <v>1</v>
      </c>
      <c r="O79" s="57" t="s">
        <v>1170</v>
      </c>
      <c r="P79" s="66">
        <f>COUNTIFS(Table6[Prodi],"S1 Teknik Komputer",Table6[F4],P$59)/$P$58</f>
        <v>1</v>
      </c>
      <c r="Q79" s="66">
        <f>COUNTIFS(Table6[Prodi],"S1 Teknik Komputer",Table6[F4],Q$59)/$P$58</f>
        <v>0</v>
      </c>
      <c r="R79" s="66">
        <f>COUNTIFS(Table6[Prodi],"S1 Teknik Komputer",Table6[F4],R$59)/$P$58</f>
        <v>0</v>
      </c>
      <c r="S79" s="66">
        <f>COUNTIFS(Table6[Prodi],"S1 Teknik Komputer",Table6[F4],S$59)/$P$58</f>
        <v>0</v>
      </c>
      <c r="T79" s="62">
        <f t="shared" si="8"/>
        <v>1</v>
      </c>
      <c r="V79" s="57" t="s">
        <v>1170</v>
      </c>
      <c r="W79" s="66">
        <f>COUNTIFS(Table6[Prodi],"S1 Teknik Komputer",Table6[F4],W$59)/$W$58</f>
        <v>1</v>
      </c>
      <c r="X79" s="66">
        <f>COUNTIFS(Table6[Prodi],"S1 Teknik Komputer",Table6[F4],X$59)/$W$58</f>
        <v>0</v>
      </c>
      <c r="Y79" s="66">
        <f>COUNTIFS(Table6[Prodi],"S1 Teknik Komputer",Table6[F4],Y$59)/$W$58</f>
        <v>0</v>
      </c>
      <c r="Z79" s="66">
        <f>COUNTIFS(Table6[Prodi],"S1 Teknik Komputer",Table6[F4],Z$59)/$W$58</f>
        <v>0</v>
      </c>
      <c r="AA79" s="62">
        <f t="shared" si="9"/>
        <v>1</v>
      </c>
    </row>
    <row r="80" spans="1:27" ht="16.5" hidden="1" x14ac:dyDescent="0.3">
      <c r="A80" s="57" t="s">
        <v>40</v>
      </c>
      <c r="B80" s="61">
        <f>AVERAGE(B76:B79)</f>
        <v>0.86458333333333337</v>
      </c>
      <c r="C80" s="61">
        <f>AVERAGE(C76:C79)</f>
        <v>9.375E-2</v>
      </c>
      <c r="D80" s="61">
        <f>AVERAGE(D76:D79)</f>
        <v>4.1666666666666664E-2</v>
      </c>
      <c r="E80" s="61">
        <f>AVERAGE(E76:E79)</f>
        <v>0</v>
      </c>
      <c r="F80" s="62">
        <f t="shared" si="1"/>
        <v>1</v>
      </c>
      <c r="H80" s="60"/>
      <c r="I80" s="61">
        <f>AVERAGE(I76:I79)</f>
        <v>0.59375</v>
      </c>
      <c r="J80" s="61">
        <f>AVERAGE(J76:J79)</f>
        <v>0.28125</v>
      </c>
      <c r="K80" s="61">
        <f>AVERAGE(K76:K79)</f>
        <v>0.125</v>
      </c>
      <c r="L80" s="61">
        <f>AVERAGE(L76:L79)</f>
        <v>0</v>
      </c>
      <c r="M80" s="62">
        <f t="shared" si="7"/>
        <v>1</v>
      </c>
      <c r="O80" s="60"/>
      <c r="P80" s="61">
        <f>AVERAGE(P76:P79)</f>
        <v>1</v>
      </c>
      <c r="Q80" s="61">
        <f>AVERAGE(Q76:Q79)</f>
        <v>0</v>
      </c>
      <c r="R80" s="61">
        <f>AVERAGE(R76:R79)</f>
        <v>0</v>
      </c>
      <c r="S80" s="61">
        <f>AVERAGE(S76:S79)</f>
        <v>0</v>
      </c>
      <c r="T80" s="62">
        <f t="shared" si="8"/>
        <v>1</v>
      </c>
      <c r="V80" s="60"/>
      <c r="W80" s="61">
        <f>AVERAGE(W76:W79)</f>
        <v>1</v>
      </c>
      <c r="X80" s="61">
        <f>AVERAGE(X76:X79)</f>
        <v>0</v>
      </c>
      <c r="Y80" s="61">
        <f>AVERAGE(Y76:Y79)</f>
        <v>0</v>
      </c>
      <c r="Z80" s="61">
        <f>AVERAGE(Z76:Z79)</f>
        <v>0</v>
      </c>
      <c r="AA80" s="62">
        <f t="shared" si="9"/>
        <v>1</v>
      </c>
    </row>
    <row r="81" spans="1:27" ht="16.5" hidden="1" x14ac:dyDescent="0.3">
      <c r="A81" s="57" t="s">
        <v>41</v>
      </c>
      <c r="B81" s="188">
        <f t="shared" ref="B81:E84" si="12">(I81+P81+W81)/3</f>
        <v>0.70833333333333337</v>
      </c>
      <c r="C81" s="188">
        <f t="shared" si="12"/>
        <v>0.20833333333333334</v>
      </c>
      <c r="D81" s="188">
        <f t="shared" si="12"/>
        <v>8.3333333333333329E-2</v>
      </c>
      <c r="E81" s="188">
        <f t="shared" si="12"/>
        <v>0</v>
      </c>
      <c r="F81" s="62">
        <f t="shared" si="1"/>
        <v>1</v>
      </c>
      <c r="H81" s="57" t="s">
        <v>40</v>
      </c>
      <c r="I81" s="66">
        <f>COUNTIFS(Table6[Prodi],"S1 Sistem Informasi",Table6[G1],I$59)/$I$58</f>
        <v>0.125</v>
      </c>
      <c r="J81" s="66">
        <f>COUNTIFS(Table6[Prodi],"S1 Sistem Informasi",Table6[G1],J$59)/$I$58</f>
        <v>0.625</v>
      </c>
      <c r="K81" s="66">
        <f>COUNTIFS(Table6[Prodi],"S1 Sistem Informasi",Table6[G1],K$59)/$I$58</f>
        <v>0.25</v>
      </c>
      <c r="L81" s="66">
        <f>COUNTIFS(Table6[Prodi],"S1 Sistem Informasi",Table6[G1],L$59)/$I$58</f>
        <v>0</v>
      </c>
      <c r="M81" s="62">
        <f t="shared" si="7"/>
        <v>1</v>
      </c>
      <c r="O81" s="57" t="s">
        <v>40</v>
      </c>
      <c r="P81" s="66">
        <f>COUNTIFS(Table6[Prodi],"S1 Teknik Komputer",Table6[G1],P$59)/$P$58</f>
        <v>1</v>
      </c>
      <c r="Q81" s="66">
        <f>COUNTIFS(Table6[Prodi],"S1 Teknik Komputer",Table6[G1],Q$59)/$P$58</f>
        <v>0</v>
      </c>
      <c r="R81" s="66">
        <f>COUNTIFS(Table6[Prodi],"S1 Teknik Komputer",Table6[G1],R$59)/$P$58</f>
        <v>0</v>
      </c>
      <c r="S81" s="66">
        <f>COUNTIFS(Table6[Prodi],"S1 Teknik Komputer",Table6[G1],S$59)/$P$58</f>
        <v>0</v>
      </c>
      <c r="T81" s="62">
        <f t="shared" si="8"/>
        <v>1</v>
      </c>
      <c r="V81" s="57" t="s">
        <v>40</v>
      </c>
      <c r="W81" s="66">
        <f>COUNTIFS(Table6[Prodi],"S1 Teknik Komputer",Table6[G1],W$59)/$W$58</f>
        <v>1</v>
      </c>
      <c r="X81" s="66">
        <f>COUNTIFS(Table6[Prodi],"S1 Teknik Komputer",Table6[G1],X$59)/$W$58</f>
        <v>0</v>
      </c>
      <c r="Y81" s="66">
        <f>COUNTIFS(Table6[Prodi],"S1 Teknik Komputer",Table6[G1],Y$59)/$W$58</f>
        <v>0</v>
      </c>
      <c r="Z81" s="66">
        <f>COUNTIFS(Table6[Prodi],"S1 Teknik Komputer",Table6[G1],Z$59)/$W$58</f>
        <v>0</v>
      </c>
      <c r="AA81" s="62">
        <f t="shared" si="9"/>
        <v>1</v>
      </c>
    </row>
    <row r="82" spans="1:27" ht="16.5" hidden="1" x14ac:dyDescent="0.3">
      <c r="A82" s="57" t="s">
        <v>1172</v>
      </c>
      <c r="B82" s="188">
        <f t="shared" si="12"/>
        <v>0.70833333333333337</v>
      </c>
      <c r="C82" s="188">
        <f t="shared" si="12"/>
        <v>0.20833333333333334</v>
      </c>
      <c r="D82" s="188">
        <f t="shared" si="12"/>
        <v>8.3333333333333329E-2</v>
      </c>
      <c r="E82" s="188">
        <f t="shared" si="12"/>
        <v>0</v>
      </c>
      <c r="F82" s="62">
        <f t="shared" si="1"/>
        <v>1</v>
      </c>
      <c r="H82" s="57" t="s">
        <v>41</v>
      </c>
      <c r="I82" s="66">
        <f>COUNTIFS(Table6[Prodi],"S1 Sistem Informasi",Table6[G2],I$59)/$I$58</f>
        <v>0.125</v>
      </c>
      <c r="J82" s="66">
        <f>COUNTIFS(Table6[Prodi],"S1 Sistem Informasi",Table6[G2],J$59)/$I$58</f>
        <v>0.625</v>
      </c>
      <c r="K82" s="66">
        <f>COUNTIFS(Table6[Prodi],"S1 Sistem Informasi",Table6[G2],K$59)/$I$58</f>
        <v>0.25</v>
      </c>
      <c r="L82" s="66">
        <f>COUNTIFS(Table6[Prodi],"S1 Sistem Informasi",Table6[G2],L$59)/$I$58</f>
        <v>0</v>
      </c>
      <c r="M82" s="62">
        <f t="shared" si="7"/>
        <v>1</v>
      </c>
      <c r="O82" s="57" t="s">
        <v>41</v>
      </c>
      <c r="P82" s="66">
        <f>COUNTIFS(Table6[Prodi],"S1 Teknik Komputer",Table6[G2],P$59)/$P$58</f>
        <v>1</v>
      </c>
      <c r="Q82" s="66">
        <f>COUNTIFS(Table6[Prodi],"S1 Teknik Komputer",Table6[G2],Q$59)/$P$58</f>
        <v>0</v>
      </c>
      <c r="R82" s="66">
        <f>COUNTIFS(Table6[Prodi],"S1 Teknik Komputer",Table6[G2],R$59)/$P$58</f>
        <v>0</v>
      </c>
      <c r="S82" s="66">
        <f>COUNTIFS(Table6[Prodi],"S1 Teknik Komputer",Table6[G2],S$59)/$P$58</f>
        <v>0</v>
      </c>
      <c r="T82" s="62">
        <f t="shared" si="8"/>
        <v>1</v>
      </c>
      <c r="V82" s="57" t="s">
        <v>41</v>
      </c>
      <c r="W82" s="66">
        <f>COUNTIFS(Table6[Prodi],"S1 Teknik Komputer",Table6[G2],W$59)/$W$58</f>
        <v>1</v>
      </c>
      <c r="X82" s="66">
        <f>COUNTIFS(Table6[Prodi],"S1 Teknik Komputer",Table6[G2],X$59)/$W$58</f>
        <v>0</v>
      </c>
      <c r="Y82" s="66">
        <f>COUNTIFS(Table6[Prodi],"S1 Teknik Komputer",Table6[G2],Y$59)/$W$58</f>
        <v>0</v>
      </c>
      <c r="Z82" s="66">
        <f>COUNTIFS(Table6[Prodi],"S1 Teknik Komputer",Table6[G2],Z$59)/$W$58</f>
        <v>0</v>
      </c>
      <c r="AA82" s="62">
        <f t="shared" si="9"/>
        <v>1</v>
      </c>
    </row>
    <row r="83" spans="1:27" ht="16.5" hidden="1" x14ac:dyDescent="0.3">
      <c r="A83" s="57" t="s">
        <v>1585</v>
      </c>
      <c r="B83" s="188">
        <f t="shared" si="12"/>
        <v>0.70833333333333337</v>
      </c>
      <c r="C83" s="188">
        <f t="shared" si="12"/>
        <v>0.25</v>
      </c>
      <c r="D83" s="188">
        <f t="shared" si="12"/>
        <v>0</v>
      </c>
      <c r="E83" s="188">
        <f t="shared" si="12"/>
        <v>4.1666666666666664E-2</v>
      </c>
      <c r="F83" s="62">
        <f t="shared" si="1"/>
        <v>1</v>
      </c>
      <c r="H83" s="57" t="s">
        <v>1172</v>
      </c>
      <c r="I83" s="66">
        <f>COUNTIFS(Table6[Prodi],"S1 Sistem Informasi",Table6[G3],I$59)/$I$58</f>
        <v>0.125</v>
      </c>
      <c r="J83" s="66">
        <f>COUNTIFS(Table6[Prodi],"S1 Sistem Informasi",Table6[G3],J$59)/$I$58</f>
        <v>0.75</v>
      </c>
      <c r="K83" s="66">
        <f>COUNTIFS(Table6[Prodi],"S1 Sistem Informasi",Table6[G3],K$59)/$I$58</f>
        <v>0</v>
      </c>
      <c r="L83" s="66">
        <f>COUNTIFS(Table6[Prodi],"S1 Sistem Informasi",Table6[G3],L$59)/$I$58</f>
        <v>0.125</v>
      </c>
      <c r="M83" s="62">
        <f t="shared" si="7"/>
        <v>1</v>
      </c>
      <c r="O83" s="57" t="s">
        <v>1172</v>
      </c>
      <c r="P83" s="66">
        <f>COUNTIFS(Table6[Prodi],"S1 Teknik Komputer",Table6[G3],P$59)/$P$58</f>
        <v>1</v>
      </c>
      <c r="Q83" s="66">
        <f>COUNTIFS(Table6[Prodi],"S1 Teknik Komputer",Table6[G3],Q$59)/$P$58</f>
        <v>0</v>
      </c>
      <c r="R83" s="66">
        <f>COUNTIFS(Table6[Prodi],"S1 Teknik Komputer",Table6[G3],R$59)/$P$58</f>
        <v>0</v>
      </c>
      <c r="S83" s="66">
        <f>COUNTIFS(Table6[Prodi],"S1 Teknik Komputer",Table6[G3],S$59)/$P$58</f>
        <v>0</v>
      </c>
      <c r="T83" s="62">
        <f t="shared" si="8"/>
        <v>1</v>
      </c>
      <c r="V83" s="57" t="s">
        <v>1172</v>
      </c>
      <c r="W83" s="66">
        <f>COUNTIFS(Table6[Prodi],"S1 Teknik Komputer",Table6[G3],W$59)/$W$58</f>
        <v>1</v>
      </c>
      <c r="X83" s="66">
        <f>COUNTIFS(Table6[Prodi],"S1 Teknik Komputer",Table6[G3],X$59)/$W$58</f>
        <v>0</v>
      </c>
      <c r="Y83" s="66">
        <f>COUNTIFS(Table6[Prodi],"S1 Teknik Komputer",Table6[G3],Y$59)/$W$58</f>
        <v>0</v>
      </c>
      <c r="Z83" s="66">
        <f>COUNTIFS(Table6[Prodi],"S1 Teknik Komputer",Table6[G3],Z$59)/$W$58</f>
        <v>0</v>
      </c>
      <c r="AA83" s="62">
        <f t="shared" si="9"/>
        <v>1</v>
      </c>
    </row>
    <row r="84" spans="1:27" ht="16.5" hidden="1" x14ac:dyDescent="0.3">
      <c r="A84" s="60"/>
      <c r="B84" s="188">
        <f t="shared" si="12"/>
        <v>0.70833333333333337</v>
      </c>
      <c r="C84" s="188">
        <f t="shared" si="12"/>
        <v>0.20833333333333334</v>
      </c>
      <c r="D84" s="188">
        <f t="shared" si="12"/>
        <v>8.3333333333333329E-2</v>
      </c>
      <c r="E84" s="188">
        <f t="shared" si="12"/>
        <v>0</v>
      </c>
      <c r="F84" s="62">
        <f t="shared" si="1"/>
        <v>1</v>
      </c>
      <c r="H84" s="57" t="s">
        <v>1585</v>
      </c>
      <c r="I84" s="66">
        <f>COUNTIFS(Table6[Prodi],"S1 Sistem Informasi",Table6[G4],I$59)/$I$58</f>
        <v>0.125</v>
      </c>
      <c r="J84" s="66">
        <f>COUNTIFS(Table6[Prodi],"S1 Sistem Informasi",Table6[G4],J$59)/$I$58</f>
        <v>0.625</v>
      </c>
      <c r="K84" s="66">
        <f>COUNTIFS(Table6[Prodi],"S1 Sistem Informasi",Table6[G4],K$59)/$I$58</f>
        <v>0.25</v>
      </c>
      <c r="L84" s="66">
        <f>COUNTIFS(Table6[Prodi],"S1 Sistem Informasi",Table6[G4],L$59)/$I$58</f>
        <v>0</v>
      </c>
      <c r="M84" s="62"/>
      <c r="O84" s="57" t="s">
        <v>1585</v>
      </c>
      <c r="P84" s="66">
        <f>COUNTIFS(Table6[Prodi],"S1 Teknik Komputer",Table6[G4],P$59)/$P$58</f>
        <v>1</v>
      </c>
      <c r="Q84" s="66">
        <f>COUNTIFS(Table6[Prodi],"S1 Teknik Komputer",Table6[G4],Q$59)/$P$58</f>
        <v>0</v>
      </c>
      <c r="R84" s="66">
        <f>COUNTIFS(Table6[Prodi],"S1 Teknik Komputer",Table6[G4],R$59)/$P$58</f>
        <v>0</v>
      </c>
      <c r="S84" s="66">
        <f>COUNTIFS(Table6[Prodi],"S1 Teknik Komputer",Table6[G4],S$59)/$P$58</f>
        <v>0</v>
      </c>
      <c r="T84" s="62">
        <f t="shared" si="8"/>
        <v>1</v>
      </c>
      <c r="V84" s="57" t="s">
        <v>1585</v>
      </c>
      <c r="W84" s="66">
        <f>COUNTIFS(Table6[Prodi],"S1 Teknik Komputer",Table6[G4],W$59)/$W$58</f>
        <v>1</v>
      </c>
      <c r="X84" s="66">
        <f>COUNTIFS(Table6[Prodi],"S1 Teknik Komputer",Table6[G4],X$59)/$W$58</f>
        <v>0</v>
      </c>
      <c r="Y84" s="66">
        <f>COUNTIFS(Table6[Prodi],"S1 Teknik Komputer",Table6[G4],Y$59)/$W$58</f>
        <v>0</v>
      </c>
      <c r="Z84" s="66">
        <f>COUNTIFS(Table6[Prodi],"S1 Teknik Komputer",Table6[G4],Z$59)/$W$58</f>
        <v>0</v>
      </c>
      <c r="AA84" s="62">
        <f t="shared" si="9"/>
        <v>1</v>
      </c>
    </row>
    <row r="85" spans="1:27" ht="16.5" hidden="1" x14ac:dyDescent="0.3">
      <c r="A85" s="57" t="s">
        <v>42</v>
      </c>
      <c r="B85" s="61">
        <f>AVERAGE(B81:B84)</f>
        <v>0.70833333333333337</v>
      </c>
      <c r="C85" s="61">
        <f>AVERAGE(C81:C84)</f>
        <v>0.21875000000000003</v>
      </c>
      <c r="D85" s="61">
        <f>AVERAGE(D81:D84)</f>
        <v>6.25E-2</v>
      </c>
      <c r="E85" s="61">
        <f>AVERAGE(E81:E84)</f>
        <v>1.0416666666666666E-2</v>
      </c>
      <c r="F85" s="62">
        <f t="shared" si="1"/>
        <v>1</v>
      </c>
      <c r="H85" s="60"/>
      <c r="I85" s="61">
        <f>AVERAGE(I81:I83)</f>
        <v>0.125</v>
      </c>
      <c r="J85" s="61">
        <f>AVERAGE(J81:J83)</f>
        <v>0.66666666666666663</v>
      </c>
      <c r="K85" s="61">
        <f>AVERAGE(K81:K83)</f>
        <v>0.16666666666666666</v>
      </c>
      <c r="L85" s="61">
        <f>AVERAGE(L81:L83)</f>
        <v>4.1666666666666664E-2</v>
      </c>
      <c r="M85" s="62">
        <f t="shared" si="7"/>
        <v>0.99999999999999989</v>
      </c>
      <c r="O85" s="60"/>
      <c r="P85" s="61">
        <f>AVERAGE(P81:P83)</f>
        <v>1</v>
      </c>
      <c r="Q85" s="61">
        <f>AVERAGE(Q81:Q83)</f>
        <v>0</v>
      </c>
      <c r="R85" s="61">
        <f>AVERAGE(R81:R83)</f>
        <v>0</v>
      </c>
      <c r="S85" s="61">
        <f>AVERAGE(S81:S83)</f>
        <v>0</v>
      </c>
      <c r="T85" s="62">
        <f t="shared" si="8"/>
        <v>1</v>
      </c>
      <c r="V85" s="60"/>
      <c r="W85" s="61">
        <f>AVERAGE(W81:W83)</f>
        <v>1</v>
      </c>
      <c r="X85" s="61">
        <f>AVERAGE(X81:X83)</f>
        <v>0</v>
      </c>
      <c r="Y85" s="61">
        <f>AVERAGE(Y81:Y83)</f>
        <v>0</v>
      </c>
      <c r="Z85" s="61">
        <f>AVERAGE(Z81:Z83)</f>
        <v>0</v>
      </c>
      <c r="AA85" s="62">
        <f t="shared" si="9"/>
        <v>1</v>
      </c>
    </row>
    <row r="86" spans="1:27" ht="16.5" hidden="1" x14ac:dyDescent="0.3">
      <c r="A86" s="57" t="s">
        <v>43</v>
      </c>
      <c r="B86" s="188">
        <f t="shared" ref="B86:E88" si="13">(I86+P86+W86)/3</f>
        <v>0.83333333333333337</v>
      </c>
      <c r="C86" s="188">
        <f t="shared" si="13"/>
        <v>0.16666666666666666</v>
      </c>
      <c r="D86" s="188">
        <f t="shared" si="13"/>
        <v>0</v>
      </c>
      <c r="E86" s="188">
        <f t="shared" si="13"/>
        <v>0</v>
      </c>
      <c r="F86" s="62">
        <f t="shared" si="1"/>
        <v>1</v>
      </c>
      <c r="H86" s="57" t="s">
        <v>42</v>
      </c>
      <c r="I86" s="66">
        <f>COUNTIFS(Table6[Prodi],"S1 Sistem Informasi",Table6[H1],I$59)/$I$58</f>
        <v>0.5</v>
      </c>
      <c r="J86" s="66">
        <f>COUNTIFS(Table6[Prodi],"S1 Sistem Informasi",Table6[H1],J$59)/$I$58</f>
        <v>0.5</v>
      </c>
      <c r="K86" s="66">
        <f>COUNTIFS(Table6[Prodi],"S1 Sistem Informasi",Table6[H1],K$59)/$I$58</f>
        <v>0</v>
      </c>
      <c r="L86" s="66">
        <f>COUNTIFS(Table6[Prodi],"S1 Sistem Informasi",Table6[H1],L$59)/$I$58</f>
        <v>0</v>
      </c>
      <c r="M86" s="62">
        <f>SUM(I86:L86)</f>
        <v>1</v>
      </c>
      <c r="O86" s="57" t="s">
        <v>42</v>
      </c>
      <c r="P86" s="66">
        <f>COUNTIFS(Table6[Prodi],"S1 Teknik Komputer",Table6[H1],P$59)/$P$58</f>
        <v>1</v>
      </c>
      <c r="Q86" s="66">
        <f>COUNTIFS(Table6[Prodi],"S1 Teknik Komputer",Table6[H1],Q$59)/$P$58</f>
        <v>0</v>
      </c>
      <c r="R86" s="66">
        <f>COUNTIFS(Table6[Prodi],"S1 Teknik Komputer",Table6[H1],R$59)/$P$58</f>
        <v>0</v>
      </c>
      <c r="S86" s="66">
        <f>COUNTIFS(Table6[Prodi],"S1 Teknik Komputer",Table6[H1],S$59)/$P$58</f>
        <v>0</v>
      </c>
      <c r="T86" s="62">
        <f>SUM(P86:S86)</f>
        <v>1</v>
      </c>
      <c r="V86" s="57" t="s">
        <v>42</v>
      </c>
      <c r="W86" s="66">
        <f>COUNTIFS(Table6[Prodi],"S1 Teknik Komputer",Table6[H1],W$59)/$W$58</f>
        <v>1</v>
      </c>
      <c r="X86" s="66">
        <f>COUNTIFS(Table6[Prodi],"S1 Teknik Komputer",Table6[H1],X$59)/$W$58</f>
        <v>0</v>
      </c>
      <c r="Y86" s="66">
        <f>COUNTIFS(Table6[Prodi],"S1 Teknik Komputer",Table6[H1],Y$59)/$W$58</f>
        <v>0</v>
      </c>
      <c r="Z86" s="66">
        <f>COUNTIFS(Table6[Prodi],"S1 Teknik Komputer",Table6[H1],Z$59)/$W$58</f>
        <v>0</v>
      </c>
      <c r="AA86" s="62">
        <f>SUM(W86:Z86)</f>
        <v>1</v>
      </c>
    </row>
    <row r="87" spans="1:27" ht="16.5" hidden="1" x14ac:dyDescent="0.3">
      <c r="A87" s="57" t="s">
        <v>44</v>
      </c>
      <c r="B87" s="188">
        <f t="shared" si="13"/>
        <v>0.83333333333333337</v>
      </c>
      <c r="C87" s="188">
        <f t="shared" si="13"/>
        <v>0.16666666666666666</v>
      </c>
      <c r="D87" s="188">
        <f t="shared" si="13"/>
        <v>0</v>
      </c>
      <c r="E87" s="188">
        <f t="shared" si="13"/>
        <v>0</v>
      </c>
      <c r="F87" s="62">
        <f t="shared" si="1"/>
        <v>1</v>
      </c>
      <c r="H87" s="57" t="s">
        <v>43</v>
      </c>
      <c r="I87" s="66">
        <f>COUNTIFS(Table6[Prodi],"S1 Sistem Informasi",Table6[H2],I$59)/$I$58</f>
        <v>0.5</v>
      </c>
      <c r="J87" s="66">
        <f>COUNTIFS(Table6[Prodi],"S1 Sistem Informasi",Table6[H2],J$59)/$I$58</f>
        <v>0.5</v>
      </c>
      <c r="K87" s="66">
        <f>COUNTIFS(Table6[Prodi],"S1 Sistem Informasi",Table6[H2],K$59)/$I$58</f>
        <v>0</v>
      </c>
      <c r="L87" s="66">
        <f>COUNTIFS(Table6[Prodi],"S1 Sistem Informasi",Table6[H2],L$59)/$I$58</f>
        <v>0</v>
      </c>
      <c r="M87" s="62">
        <f t="shared" si="7"/>
        <v>1</v>
      </c>
      <c r="O87" s="57" t="s">
        <v>43</v>
      </c>
      <c r="P87" s="66">
        <f>COUNTIFS(Table6[Prodi],"S1 Teknik Komputer",Table6[H2],P$59)/$P$58</f>
        <v>1</v>
      </c>
      <c r="Q87" s="66">
        <f>COUNTIFS(Table6[Prodi],"S1 Teknik Komputer",Table6[H2],Q$59)/$P$58</f>
        <v>0</v>
      </c>
      <c r="R87" s="66">
        <f>COUNTIFS(Table6[Prodi],"S1 Teknik Komputer",Table6[H2],R$59)/$P$58</f>
        <v>0</v>
      </c>
      <c r="S87" s="66">
        <f>COUNTIFS(Table6[Prodi],"S1 Teknik Komputer",Table6[H2],S$59)/$P$58</f>
        <v>0</v>
      </c>
      <c r="T87" s="62">
        <f t="shared" ref="T87:T100" si="14">SUM(P87:S87)</f>
        <v>1</v>
      </c>
      <c r="V87" s="57" t="s">
        <v>43</v>
      </c>
      <c r="W87" s="66">
        <f>COUNTIFS(Table6[Prodi],"S1 Teknik Komputer",Table6[H2],W$59)/$W$58</f>
        <v>1</v>
      </c>
      <c r="X87" s="66">
        <f>COUNTIFS(Table6[Prodi],"S1 Teknik Komputer",Table6[H2],X$59)/$W$58</f>
        <v>0</v>
      </c>
      <c r="Y87" s="66">
        <f>COUNTIFS(Table6[Prodi],"S1 Teknik Komputer",Table6[H2],Y$59)/$W$58</f>
        <v>0</v>
      </c>
      <c r="Z87" s="66">
        <f>COUNTIFS(Table6[Prodi],"S1 Teknik Komputer",Table6[H2],Z$59)/$W$58</f>
        <v>0</v>
      </c>
      <c r="AA87" s="62">
        <f t="shared" ref="AA87:AA100" si="15">SUM(W87:Z87)</f>
        <v>1</v>
      </c>
    </row>
    <row r="88" spans="1:27" ht="16.5" hidden="1" x14ac:dyDescent="0.3">
      <c r="A88" s="60"/>
      <c r="B88" s="188">
        <f t="shared" si="13"/>
        <v>0.83333333333333337</v>
      </c>
      <c r="C88" s="188">
        <f t="shared" si="13"/>
        <v>0.16666666666666666</v>
      </c>
      <c r="D88" s="188">
        <f t="shared" si="13"/>
        <v>0</v>
      </c>
      <c r="E88" s="188">
        <f t="shared" si="13"/>
        <v>0</v>
      </c>
      <c r="F88" s="62">
        <f t="shared" si="1"/>
        <v>1</v>
      </c>
      <c r="H88" s="57" t="s">
        <v>44</v>
      </c>
      <c r="I88" s="66">
        <f>COUNTIFS(Table6[Prodi],"S1 Sistem Informasi",Table6[H3],I$59)/$I$58</f>
        <v>0.5</v>
      </c>
      <c r="J88" s="66">
        <f>COUNTIFS(Table6[Prodi],"S1 Sistem Informasi",Table6[H3],J$59)/$I$58</f>
        <v>0.5</v>
      </c>
      <c r="K88" s="66">
        <f>COUNTIFS(Table6[Prodi],"S1 Sistem Informasi",Table6[H3],K$59)/$I$58</f>
        <v>0</v>
      </c>
      <c r="L88" s="66">
        <f>COUNTIFS(Table6[Prodi],"S1 Sistem Informasi",Table6[H3],L$59)/$I$58</f>
        <v>0</v>
      </c>
      <c r="M88" s="62">
        <f t="shared" si="7"/>
        <v>1</v>
      </c>
      <c r="O88" s="57" t="s">
        <v>44</v>
      </c>
      <c r="P88" s="66">
        <f>COUNTIFS(Table6[Prodi],"S1 Teknik Komputer",Table6[H3],P$59)/$P$58</f>
        <v>1</v>
      </c>
      <c r="Q88" s="66">
        <f>COUNTIFS(Table6[Prodi],"S1 Teknik Komputer",Table6[H3],Q$59)/$P$58</f>
        <v>0</v>
      </c>
      <c r="R88" s="66">
        <f>COUNTIFS(Table6[Prodi],"S1 Teknik Komputer",Table6[H3],R$59)/$P$58</f>
        <v>0</v>
      </c>
      <c r="S88" s="66">
        <f>COUNTIFS(Table6[Prodi],"S1 Teknik Komputer",Table6[H3],S$59)/$P$58</f>
        <v>0</v>
      </c>
      <c r="T88" s="62">
        <f t="shared" si="14"/>
        <v>1</v>
      </c>
      <c r="V88" s="57" t="s">
        <v>44</v>
      </c>
      <c r="W88" s="66">
        <f>COUNTIFS(Table6[Prodi],"S1 Teknik Komputer",Table6[H3],W$59)/$W$58</f>
        <v>1</v>
      </c>
      <c r="X88" s="66">
        <f>COUNTIFS(Table6[Prodi],"S1 Teknik Komputer",Table6[H3],X$59)/$W$58</f>
        <v>0</v>
      </c>
      <c r="Y88" s="66">
        <f>COUNTIFS(Table6[Prodi],"S1 Teknik Komputer",Table6[H3],Y$59)/$W$58</f>
        <v>0</v>
      </c>
      <c r="Z88" s="66">
        <f>COUNTIFS(Table6[Prodi],"S1 Teknik Komputer",Table6[H3],Z$59)/$W$58</f>
        <v>0</v>
      </c>
      <c r="AA88" s="62">
        <f t="shared" si="15"/>
        <v>1</v>
      </c>
    </row>
    <row r="89" spans="1:27" ht="16.5" hidden="1" x14ac:dyDescent="0.3">
      <c r="A89" s="57" t="s">
        <v>648</v>
      </c>
      <c r="B89" s="61">
        <f>AVERAGE(B86:B88)</f>
        <v>0.83333333333333337</v>
      </c>
      <c r="C89" s="61">
        <f>AVERAGE(C86:C88)</f>
        <v>0.16666666666666666</v>
      </c>
      <c r="D89" s="61">
        <f>AVERAGE(D86:D88)</f>
        <v>0</v>
      </c>
      <c r="E89" s="61">
        <f>AVERAGE(E86:E88)</f>
        <v>0</v>
      </c>
      <c r="F89" s="62">
        <f t="shared" si="1"/>
        <v>1</v>
      </c>
      <c r="H89" s="60"/>
      <c r="I89" s="61">
        <f>AVERAGE(I86:I88)</f>
        <v>0.5</v>
      </c>
      <c r="J89" s="61">
        <f>AVERAGE(J86:J88)</f>
        <v>0.5</v>
      </c>
      <c r="K89" s="61">
        <f>AVERAGE(K86:K88)</f>
        <v>0</v>
      </c>
      <c r="L89" s="61">
        <f>AVERAGE(L86:L88)</f>
        <v>0</v>
      </c>
      <c r="M89" s="62">
        <f t="shared" si="7"/>
        <v>1</v>
      </c>
      <c r="O89" s="60"/>
      <c r="P89" s="61">
        <f>AVERAGE(P86:P88)</f>
        <v>1</v>
      </c>
      <c r="Q89" s="61">
        <f>AVERAGE(Q86:Q88)</f>
        <v>0</v>
      </c>
      <c r="R89" s="61">
        <f>AVERAGE(R86:R88)</f>
        <v>0</v>
      </c>
      <c r="S89" s="61">
        <f>AVERAGE(S86:S88)</f>
        <v>0</v>
      </c>
      <c r="T89" s="62">
        <f t="shared" si="14"/>
        <v>1</v>
      </c>
      <c r="V89" s="60"/>
      <c r="W89" s="61">
        <f>AVERAGE(W86:W88)</f>
        <v>1</v>
      </c>
      <c r="X89" s="61">
        <f>AVERAGE(X86:X88)</f>
        <v>0</v>
      </c>
      <c r="Y89" s="61">
        <f>AVERAGE(Y86:Y88)</f>
        <v>0</v>
      </c>
      <c r="Z89" s="61">
        <f>AVERAGE(Z86:Z88)</f>
        <v>0</v>
      </c>
      <c r="AA89" s="62">
        <f t="shared" si="15"/>
        <v>1</v>
      </c>
    </row>
    <row r="90" spans="1:27" ht="16.5" hidden="1" x14ac:dyDescent="0.3">
      <c r="A90" s="57" t="s">
        <v>649</v>
      </c>
      <c r="B90" s="188">
        <f t="shared" ref="B90:E94" si="16">(I90+P90+W90)/3</f>
        <v>0.125</v>
      </c>
      <c r="C90" s="188">
        <f t="shared" si="16"/>
        <v>0.875</v>
      </c>
      <c r="D90" s="188">
        <f t="shared" si="16"/>
        <v>0</v>
      </c>
      <c r="E90" s="188">
        <f t="shared" si="16"/>
        <v>0</v>
      </c>
      <c r="F90" s="62">
        <f t="shared" si="1"/>
        <v>1</v>
      </c>
      <c r="H90" s="57" t="s">
        <v>648</v>
      </c>
      <c r="I90" s="66">
        <f>COUNTIFS(Table6[Prodi],"S1 Sistem Informasi",Table6[I1.1],I$59)/$I$58</f>
        <v>0.375</v>
      </c>
      <c r="J90" s="66">
        <f>COUNTIFS(Table6[Prodi],"S1 Sistem Informasi",Table6[I1.1],J$59)/$I$58</f>
        <v>0.625</v>
      </c>
      <c r="K90" s="66">
        <f>COUNTIFS(Table6[Prodi],"S1 Sistem Informasi",Table6[I1.1],K$59)/$I$58</f>
        <v>0</v>
      </c>
      <c r="L90" s="66">
        <f>COUNTIFS(Table6[Prodi],"S1 Sistem Informasi",Table6[I1.1],L$59)/$I$58</f>
        <v>0</v>
      </c>
      <c r="M90" s="62">
        <f t="shared" si="7"/>
        <v>1</v>
      </c>
      <c r="O90" s="57" t="s">
        <v>648</v>
      </c>
      <c r="P90" s="66">
        <f>COUNTIFS(Table6[Prodi],"S1 Teknik Komputer",Table6[I1.1],P$59)/$P$58</f>
        <v>0</v>
      </c>
      <c r="Q90" s="66">
        <f>COUNTIFS(Table6[Prodi],"S1 Teknik Komputer",Table6[I1.1],Q$59)/$P$58</f>
        <v>1</v>
      </c>
      <c r="R90" s="66">
        <f>COUNTIFS(Table6[Prodi],"S1 Teknik Komputer",Table6[I1.1],R$59)/$P$58</f>
        <v>0</v>
      </c>
      <c r="S90" s="66">
        <f>COUNTIFS(Table6[Prodi],"S1 Teknik Komputer",Table6[I1.1],S$59)/$P$58</f>
        <v>0</v>
      </c>
      <c r="T90" s="62">
        <f t="shared" si="14"/>
        <v>1</v>
      </c>
      <c r="V90" s="57" t="s">
        <v>648</v>
      </c>
      <c r="W90" s="66">
        <f>COUNTIFS(Table6[Prodi],"S1 Teknik Komputer",Table6[I1.1],W$59)/$W$58</f>
        <v>0</v>
      </c>
      <c r="X90" s="66">
        <f>COUNTIFS(Table6[Prodi],"S1 Teknik Komputer",Table6[I1.1],X$59)/$W$58</f>
        <v>1</v>
      </c>
      <c r="Y90" s="66">
        <f>COUNTIFS(Table6[Prodi],"S1 Teknik Komputer",Table6[I1.1],Y$59)/$W$58</f>
        <v>0</v>
      </c>
      <c r="Z90" s="66">
        <f>COUNTIFS(Table6[Prodi],"S1 Teknik Komputer",Table6[I1.1],Z$59)/$W$58</f>
        <v>0</v>
      </c>
      <c r="AA90" s="62">
        <f t="shared" si="15"/>
        <v>1</v>
      </c>
    </row>
    <row r="91" spans="1:27" ht="16.5" hidden="1" x14ac:dyDescent="0.3">
      <c r="A91" s="57" t="s">
        <v>650</v>
      </c>
      <c r="B91" s="188">
        <f t="shared" si="16"/>
        <v>0.20833333333333334</v>
      </c>
      <c r="C91" s="188">
        <f t="shared" si="16"/>
        <v>0.79166666666666663</v>
      </c>
      <c r="D91" s="188">
        <f t="shared" si="16"/>
        <v>0</v>
      </c>
      <c r="E91" s="188">
        <f t="shared" si="16"/>
        <v>0</v>
      </c>
      <c r="F91" s="62">
        <f t="shared" si="1"/>
        <v>1</v>
      </c>
      <c r="H91" s="57" t="s">
        <v>649</v>
      </c>
      <c r="I91" s="66">
        <f>COUNTIFS(Table6[Prodi],"S1 Sistem Informasi",Table6[I1.2],I$59)/$I$58</f>
        <v>0.625</v>
      </c>
      <c r="J91" s="66">
        <f>COUNTIFS(Table6[Prodi],"S1 Sistem Informasi",Table6[I1.2],J$59)/$I$58</f>
        <v>0.375</v>
      </c>
      <c r="K91" s="66">
        <f>COUNTIFS(Table6[Prodi],"S1 Sistem Informasi",Table6[I1.2],K$59)/$I$58</f>
        <v>0</v>
      </c>
      <c r="L91" s="66">
        <f>COUNTIFS(Table6[Prodi],"S1 Sistem Informasi",Table6[I1.2],L$59)/$I$58</f>
        <v>0</v>
      </c>
      <c r="M91" s="62">
        <f t="shared" si="7"/>
        <v>1</v>
      </c>
      <c r="O91" s="57" t="s">
        <v>649</v>
      </c>
      <c r="P91" s="66">
        <f>COUNTIFS(Table6[Prodi],"S1 Teknik Komputer",Table6[I1.2],P$59)/$P$58</f>
        <v>0</v>
      </c>
      <c r="Q91" s="66">
        <f>COUNTIFS(Table6[Prodi],"S1 Teknik Komputer",Table6[I1.2],Q$59)/$P$58</f>
        <v>1</v>
      </c>
      <c r="R91" s="66">
        <f>COUNTIFS(Table6[Prodi],"S1 Teknik Komputer",Table6[I1.2],R$59)/$P$58</f>
        <v>0</v>
      </c>
      <c r="S91" s="66">
        <f>COUNTIFS(Table6[Prodi],"S1 Teknik Komputer",Table6[I1.2],S$59)/$P$58</f>
        <v>0</v>
      </c>
      <c r="T91" s="62">
        <f t="shared" si="14"/>
        <v>1</v>
      </c>
      <c r="V91" s="57" t="s">
        <v>649</v>
      </c>
      <c r="W91" s="66">
        <f>COUNTIFS(Table6[Prodi],"S1 Teknik Komputer",Table6[I1.2],W$59)/$W$58</f>
        <v>0</v>
      </c>
      <c r="X91" s="66">
        <f>COUNTIFS(Table6[Prodi],"S1 Teknik Komputer",Table6[I1.2],X$59)/$W$58</f>
        <v>1</v>
      </c>
      <c r="Y91" s="66">
        <f>COUNTIFS(Table6[Prodi],"S1 Teknik Komputer",Table6[I1.2],Y$59)/$W$58</f>
        <v>0</v>
      </c>
      <c r="Z91" s="66">
        <f>COUNTIFS(Table6[Prodi],"S1 Teknik Komputer",Table6[I1.2],Z$59)/$W$58</f>
        <v>0</v>
      </c>
      <c r="AA91" s="62">
        <f t="shared" si="15"/>
        <v>1</v>
      </c>
    </row>
    <row r="92" spans="1:27" ht="16.5" hidden="1" x14ac:dyDescent="0.3">
      <c r="A92" s="57" t="s">
        <v>651</v>
      </c>
      <c r="B92" s="188">
        <f t="shared" si="16"/>
        <v>0.91666666666666663</v>
      </c>
      <c r="C92" s="188">
        <f t="shared" si="16"/>
        <v>8.3333333333333329E-2</v>
      </c>
      <c r="D92" s="188">
        <f t="shared" si="16"/>
        <v>0</v>
      </c>
      <c r="E92" s="188">
        <f t="shared" si="16"/>
        <v>0</v>
      </c>
      <c r="F92" s="62">
        <f t="shared" si="1"/>
        <v>1</v>
      </c>
      <c r="H92" s="57" t="s">
        <v>650</v>
      </c>
      <c r="I92" s="66">
        <f>COUNTIFS(Table6[Prodi],"S1 Sistem Informasi",Table6[I1.3],I$59)/$I$58</f>
        <v>0.75</v>
      </c>
      <c r="J92" s="66">
        <f>COUNTIFS(Table6[Prodi],"S1 Sistem Informasi",Table6[I1.3],J$59)/$I$58</f>
        <v>0.25</v>
      </c>
      <c r="K92" s="66">
        <f>COUNTIFS(Table6[Prodi],"S1 Sistem Informasi",Table6[I1.3],K$59)/$I$58</f>
        <v>0</v>
      </c>
      <c r="L92" s="66">
        <f>COUNTIFS(Table6[Prodi],"S1 Sistem Informasi",Table6[I1.3],L$59)/$I$58</f>
        <v>0</v>
      </c>
      <c r="M92" s="62">
        <f t="shared" si="7"/>
        <v>1</v>
      </c>
      <c r="O92" s="57" t="s">
        <v>650</v>
      </c>
      <c r="P92" s="66">
        <f>COUNTIFS(Table6[Prodi],"S1 Teknik Komputer",Table6[I1.3],P$59)/$P$58</f>
        <v>1</v>
      </c>
      <c r="Q92" s="66">
        <f>COUNTIFS(Table6[Prodi],"S1 Teknik Komputer",Table6[I1.3],Q$59)/$P$58</f>
        <v>0</v>
      </c>
      <c r="R92" s="66">
        <f>COUNTIFS(Table6[Prodi],"S1 Teknik Komputer",Table6[I1.3],R$59)/$P$58</f>
        <v>0</v>
      </c>
      <c r="S92" s="66">
        <f>COUNTIFS(Table6[Prodi],"S1 Teknik Komputer",Table6[I1.3],S$59)/$P$58</f>
        <v>0</v>
      </c>
      <c r="T92" s="62">
        <f t="shared" si="14"/>
        <v>1</v>
      </c>
      <c r="V92" s="57" t="s">
        <v>650</v>
      </c>
      <c r="W92" s="66">
        <f>COUNTIFS(Table6[Prodi],"S1 Teknik Komputer",Table6[I1.3],W$59)/$W$58</f>
        <v>1</v>
      </c>
      <c r="X92" s="66">
        <f>COUNTIFS(Table6[Prodi],"S1 Teknik Komputer",Table6[I1.3],X$59)/$W$58</f>
        <v>0</v>
      </c>
      <c r="Y92" s="66">
        <f>COUNTIFS(Table6[Prodi],"S1 Teknik Komputer",Table6[I1.3],Y$59)/$W$58</f>
        <v>0</v>
      </c>
      <c r="Z92" s="66">
        <f>COUNTIFS(Table6[Prodi],"S1 Teknik Komputer",Table6[I1.3],Z$59)/$W$58</f>
        <v>0</v>
      </c>
      <c r="AA92" s="62">
        <f t="shared" si="15"/>
        <v>1</v>
      </c>
    </row>
    <row r="93" spans="1:27" ht="16.5" hidden="1" x14ac:dyDescent="0.3">
      <c r="A93" s="57" t="s">
        <v>652</v>
      </c>
      <c r="B93" s="188">
        <f t="shared" si="16"/>
        <v>0.20833333333333334</v>
      </c>
      <c r="C93" s="188">
        <f t="shared" si="16"/>
        <v>0.79166666666666663</v>
      </c>
      <c r="D93" s="188">
        <f t="shared" si="16"/>
        <v>0</v>
      </c>
      <c r="E93" s="188">
        <f t="shared" si="16"/>
        <v>0</v>
      </c>
      <c r="F93" s="62">
        <f t="shared" si="1"/>
        <v>1</v>
      </c>
      <c r="H93" s="57" t="s">
        <v>651</v>
      </c>
      <c r="I93" s="66">
        <f>COUNTIFS(Table6[Prodi],"S1 Sistem Informasi",Table6[I1.4],I$59)/$I$58</f>
        <v>0.625</v>
      </c>
      <c r="J93" s="66">
        <f>COUNTIFS(Table6[Prodi],"S1 Sistem Informasi",Table6[I1.4],J$59)/$I$58</f>
        <v>0.375</v>
      </c>
      <c r="K93" s="66">
        <f>COUNTIFS(Table6[Prodi],"S1 Sistem Informasi",Table6[I1.4],K$59)/$I$58</f>
        <v>0</v>
      </c>
      <c r="L93" s="66">
        <f>COUNTIFS(Table6[Prodi],"S1 Sistem Informasi",Table6[I1.4],L$59)/$I$58</f>
        <v>0</v>
      </c>
      <c r="M93" s="62">
        <f t="shared" si="7"/>
        <v>1</v>
      </c>
      <c r="O93" s="57" t="s">
        <v>651</v>
      </c>
      <c r="P93" s="66">
        <f>COUNTIFS(Table6[Prodi],"S1 Teknik Komputer",Table6[I1.4],P$59)/$P$58</f>
        <v>0</v>
      </c>
      <c r="Q93" s="66">
        <f>COUNTIFS(Table6[Prodi],"S1 Teknik Komputer",Table6[I1.4],Q$59)/$P$58</f>
        <v>1</v>
      </c>
      <c r="R93" s="66">
        <f>COUNTIFS(Table6[Prodi],"S1 Teknik Komputer",Table6[I1.4],R$59)/$P$58</f>
        <v>0</v>
      </c>
      <c r="S93" s="66">
        <f>COUNTIFS(Table6[Prodi],"S1 Teknik Komputer",Table6[I1.4],S$59)/$P$58</f>
        <v>0</v>
      </c>
      <c r="T93" s="62">
        <f t="shared" si="14"/>
        <v>1</v>
      </c>
      <c r="V93" s="57" t="s">
        <v>651</v>
      </c>
      <c r="W93" s="66">
        <f>COUNTIFS(Table6[Prodi],"S1 Teknik Komputer",Table6[I1.4],W$59)/$W$58</f>
        <v>0</v>
      </c>
      <c r="X93" s="66">
        <f>COUNTIFS(Table6[Prodi],"S1 Teknik Komputer",Table6[I1.4],X$59)/$W$58</f>
        <v>1</v>
      </c>
      <c r="Y93" s="66">
        <f>COUNTIFS(Table6[Prodi],"S1 Teknik Komputer",Table6[I1.4],Y$59)/$W$58</f>
        <v>0</v>
      </c>
      <c r="Z93" s="66">
        <f>COUNTIFS(Table6[Prodi],"S1 Teknik Komputer",Table6[I1.4],Z$59)/$W$58</f>
        <v>0</v>
      </c>
      <c r="AA93" s="62">
        <f t="shared" si="15"/>
        <v>1</v>
      </c>
    </row>
    <row r="94" spans="1:27" ht="16.5" hidden="1" x14ac:dyDescent="0.3">
      <c r="A94" s="60"/>
      <c r="B94" s="188">
        <f t="shared" si="16"/>
        <v>0.83333333333333337</v>
      </c>
      <c r="C94" s="188">
        <f t="shared" si="16"/>
        <v>0.16666666666666666</v>
      </c>
      <c r="D94" s="188">
        <f t="shared" si="16"/>
        <v>0</v>
      </c>
      <c r="E94" s="188">
        <f t="shared" si="16"/>
        <v>0</v>
      </c>
      <c r="F94" s="62">
        <f t="shared" si="1"/>
        <v>1</v>
      </c>
      <c r="H94" s="57" t="s">
        <v>652</v>
      </c>
      <c r="I94" s="66">
        <f>COUNTIFS(Table6[Prodi],"S1 Sistem Informasi",Table6[I1.5],I$59)/$I$58</f>
        <v>0.5</v>
      </c>
      <c r="J94" s="66">
        <f>COUNTIFS(Table6[Prodi],"S1 Sistem Informasi",Table6[I1.5],J$59)/$I$58</f>
        <v>0.5</v>
      </c>
      <c r="K94" s="66">
        <f>COUNTIFS(Table6[Prodi],"S1 Sistem Informasi",Table6[I1.5],K$59)/$I$58</f>
        <v>0</v>
      </c>
      <c r="L94" s="66">
        <f>COUNTIFS(Table6[Prodi],"S1 Sistem Informasi",Table6[I1.5],L$59)/$I$58</f>
        <v>0</v>
      </c>
      <c r="M94" s="62">
        <f t="shared" si="7"/>
        <v>1</v>
      </c>
      <c r="O94" s="57" t="s">
        <v>652</v>
      </c>
      <c r="P94" s="66">
        <f>COUNTIFS(Table6[Prodi],"S1 Teknik Komputer",Table6[I1.5],P$59)/$P$58</f>
        <v>1</v>
      </c>
      <c r="Q94" s="66">
        <f>COUNTIFS(Table6[Prodi],"S1 Teknik Komputer",Table6[I1.5],Q$59)/$P$58</f>
        <v>0</v>
      </c>
      <c r="R94" s="66">
        <f>COUNTIFS(Table6[Prodi],"S1 Teknik Komputer",Table6[I1.5],R$59)/$P$58</f>
        <v>0</v>
      </c>
      <c r="S94" s="66">
        <f>COUNTIFS(Table6[Prodi],"S1 Teknik Komputer",Table6[I1.5],S$59)/$P$58</f>
        <v>0</v>
      </c>
      <c r="T94" s="62">
        <f t="shared" si="14"/>
        <v>1</v>
      </c>
      <c r="V94" s="57" t="s">
        <v>652</v>
      </c>
      <c r="W94" s="66">
        <f>COUNTIFS(Table6[Prodi],"S1 Teknik Komputer",Table6[I1.5],W$59)/$W$58</f>
        <v>1</v>
      </c>
      <c r="X94" s="66">
        <f>COUNTIFS(Table6[Prodi],"S1 Teknik Komputer",Table6[I1.5],X$59)/$W$58</f>
        <v>0</v>
      </c>
      <c r="Y94" s="66">
        <f>COUNTIFS(Table6[Prodi],"S1 Teknik Komputer",Table6[I1.5],Y$59)/$W$58</f>
        <v>0</v>
      </c>
      <c r="Z94" s="66">
        <f>COUNTIFS(Table6[Prodi],"S1 Teknik Komputer",Table6[I1.5],Z$59)/$W$58</f>
        <v>0</v>
      </c>
      <c r="AA94" s="62">
        <f t="shared" si="15"/>
        <v>1</v>
      </c>
    </row>
    <row r="95" spans="1:27" ht="16.5" hidden="1" x14ac:dyDescent="0.3">
      <c r="A95" s="57" t="s">
        <v>653</v>
      </c>
      <c r="B95" s="61">
        <f>AVERAGE(B90:B94)</f>
        <v>0.45833333333333331</v>
      </c>
      <c r="C95" s="61">
        <f>AVERAGE(C90:C94)</f>
        <v>0.54166666666666663</v>
      </c>
      <c r="D95" s="61">
        <f>AVERAGE(D90:D94)</f>
        <v>0</v>
      </c>
      <c r="E95" s="61">
        <f>AVERAGE(E90:E94)</f>
        <v>0</v>
      </c>
      <c r="F95" s="62">
        <f t="shared" si="1"/>
        <v>1</v>
      </c>
      <c r="H95" s="60"/>
      <c r="I95" s="61">
        <f>AVERAGE(I90:I94)</f>
        <v>0.57499999999999996</v>
      </c>
      <c r="J95" s="61">
        <f>AVERAGE(J90:J94)</f>
        <v>0.42499999999999999</v>
      </c>
      <c r="K95" s="61">
        <f>AVERAGE(K90:K94)</f>
        <v>0</v>
      </c>
      <c r="L95" s="61">
        <f>AVERAGE(L90:L94)</f>
        <v>0</v>
      </c>
      <c r="M95" s="62">
        <f t="shared" si="7"/>
        <v>1</v>
      </c>
      <c r="O95" s="60"/>
      <c r="P95" s="61">
        <f>AVERAGE(P90:P94)</f>
        <v>0.4</v>
      </c>
      <c r="Q95" s="61">
        <f>AVERAGE(Q90:Q94)</f>
        <v>0.6</v>
      </c>
      <c r="R95" s="61">
        <f>AVERAGE(R90:R94)</f>
        <v>0</v>
      </c>
      <c r="S95" s="61">
        <f>AVERAGE(S90:S94)</f>
        <v>0</v>
      </c>
      <c r="T95" s="62">
        <f t="shared" si="14"/>
        <v>1</v>
      </c>
      <c r="V95" s="60"/>
      <c r="W95" s="61">
        <f>AVERAGE(W90:W94)</f>
        <v>0.4</v>
      </c>
      <c r="X95" s="61">
        <f>AVERAGE(X90:X94)</f>
        <v>0.6</v>
      </c>
      <c r="Y95" s="61">
        <f>AVERAGE(Y90:Y94)</f>
        <v>0</v>
      </c>
      <c r="Z95" s="61">
        <f>AVERAGE(Z90:Z94)</f>
        <v>0</v>
      </c>
      <c r="AA95" s="62">
        <f t="shared" si="15"/>
        <v>1</v>
      </c>
    </row>
    <row r="96" spans="1:27" ht="16.5" hidden="1" x14ac:dyDescent="0.3">
      <c r="A96" s="57" t="s">
        <v>654</v>
      </c>
      <c r="B96" s="188">
        <f t="shared" ref="B96:E99" si="17">(I96+P96+W96)/3</f>
        <v>0.125</v>
      </c>
      <c r="C96" s="188">
        <f t="shared" si="17"/>
        <v>0.875</v>
      </c>
      <c r="D96" s="188">
        <f t="shared" si="17"/>
        <v>0</v>
      </c>
      <c r="E96" s="188">
        <f t="shared" si="17"/>
        <v>0</v>
      </c>
      <c r="F96" s="62">
        <f t="shared" si="1"/>
        <v>1</v>
      </c>
      <c r="H96" s="57" t="s">
        <v>653</v>
      </c>
      <c r="I96" s="66">
        <f>COUNTIFS(Table6[Prodi],"S1 Sistem Informasi",Table6[I2.1],I$59)/$I$58</f>
        <v>0.375</v>
      </c>
      <c r="J96" s="66">
        <f>COUNTIFS(Table6[Prodi],"S1 Sistem Informasi",Table6[I2.1],J$59)/$I$58</f>
        <v>0.625</v>
      </c>
      <c r="K96" s="66">
        <f>COUNTIFS(Table6[Prodi],"S1 Sistem Informasi",Table6[I2.1],K$59)/$I$58</f>
        <v>0</v>
      </c>
      <c r="L96" s="66">
        <f>COUNTIFS(Table6[Prodi],"S1 Sistem Informasi",Table6[I2.1],L$59)/$I$58</f>
        <v>0</v>
      </c>
      <c r="M96" s="62">
        <f t="shared" si="7"/>
        <v>1</v>
      </c>
      <c r="O96" s="57" t="s">
        <v>653</v>
      </c>
      <c r="P96" s="66">
        <f>COUNTIFS(Table6[Prodi],"S1 Teknik Komputer",Table6[I2.1],P$59)/$P$58</f>
        <v>0</v>
      </c>
      <c r="Q96" s="66">
        <f>COUNTIFS(Table6[Prodi],"S1 Teknik Komputer",Table6[I2.1],Q$59)/$P$58</f>
        <v>1</v>
      </c>
      <c r="R96" s="66">
        <f>COUNTIFS(Table6[Prodi],"S1 Teknik Komputer",Table6[I2.1],R$59)/$P$58</f>
        <v>0</v>
      </c>
      <c r="S96" s="66">
        <f>COUNTIFS(Table6[Prodi],"S1 Teknik Komputer",Table6[I2.1],S$59)/$P$58</f>
        <v>0</v>
      </c>
      <c r="T96" s="62">
        <f t="shared" si="14"/>
        <v>1</v>
      </c>
      <c r="V96" s="57" t="s">
        <v>653</v>
      </c>
      <c r="W96" s="66">
        <f>COUNTIFS(Table6[Prodi],"S1 Teknik Komputer",Table6[I2.1],W$59)/$W$58</f>
        <v>0</v>
      </c>
      <c r="X96" s="66">
        <f>COUNTIFS(Table6[Prodi],"S1 Teknik Komputer",Table6[I2.1],X$59)/$W$58</f>
        <v>1</v>
      </c>
      <c r="Y96" s="66">
        <f>COUNTIFS(Table6[Prodi],"S1 Teknik Komputer",Table6[I2.1],Y$59)/$W$58</f>
        <v>0</v>
      </c>
      <c r="Z96" s="66">
        <f>COUNTIFS(Table6[Prodi],"S1 Teknik Komputer",Table6[I2.1],Z$59)/$W$58</f>
        <v>0</v>
      </c>
      <c r="AA96" s="62">
        <f t="shared" si="15"/>
        <v>1</v>
      </c>
    </row>
    <row r="97" spans="1:27" ht="16.5" hidden="1" x14ac:dyDescent="0.3">
      <c r="A97" s="57" t="s">
        <v>655</v>
      </c>
      <c r="B97" s="188">
        <f t="shared" si="17"/>
        <v>0.20833333333333334</v>
      </c>
      <c r="C97" s="188">
        <f t="shared" si="17"/>
        <v>0.79166666666666663</v>
      </c>
      <c r="D97" s="188">
        <f t="shared" si="17"/>
        <v>0</v>
      </c>
      <c r="E97" s="188">
        <f t="shared" si="17"/>
        <v>0</v>
      </c>
      <c r="F97" s="62">
        <f t="shared" si="1"/>
        <v>1</v>
      </c>
      <c r="H97" s="57" t="s">
        <v>654</v>
      </c>
      <c r="I97" s="66">
        <f>COUNTIFS(Table6[Prodi],"S1 Sistem Informasi",Table6[I2.2],I$59)/$I$58</f>
        <v>0.625</v>
      </c>
      <c r="J97" s="66">
        <f>COUNTIFS(Table6[Prodi],"S1 Sistem Informasi",Table6[I2.2],J$59)/$I$58</f>
        <v>0.375</v>
      </c>
      <c r="K97" s="66">
        <f>COUNTIFS(Table6[Prodi],"S1 Sistem Informasi",Table6[I2.2],K$59)/$I$58</f>
        <v>0</v>
      </c>
      <c r="L97" s="66">
        <f>COUNTIFS(Table6[Prodi],"S1 Sistem Informasi",Table6[I2.2],L$59)/$I$58</f>
        <v>0</v>
      </c>
      <c r="M97" s="62">
        <f t="shared" si="7"/>
        <v>1</v>
      </c>
      <c r="O97" s="57" t="s">
        <v>654</v>
      </c>
      <c r="P97" s="66">
        <f>COUNTIFS(Table6[Prodi],"S1 Teknik Komputer",Table6[I2.2],P$59)/$P$58</f>
        <v>0</v>
      </c>
      <c r="Q97" s="66">
        <f>COUNTIFS(Table6[Prodi],"S1 Teknik Komputer",Table6[I2.2],Q$59)/$P$58</f>
        <v>1</v>
      </c>
      <c r="R97" s="66">
        <f>COUNTIFS(Table6[Prodi],"S1 Teknik Komputer",Table6[I2.2],R$59)/$P$58</f>
        <v>0</v>
      </c>
      <c r="S97" s="66">
        <f>COUNTIFS(Table6[Prodi],"S1 Teknik Komputer",Table6[I2.2],S$59)/$P$58</f>
        <v>0</v>
      </c>
      <c r="T97" s="62">
        <f t="shared" si="14"/>
        <v>1</v>
      </c>
      <c r="V97" s="57" t="s">
        <v>654</v>
      </c>
      <c r="W97" s="66">
        <f>COUNTIFS(Table6[Prodi],"S1 Teknik Komputer",Table6[I2.2],W$59)/$W$58</f>
        <v>0</v>
      </c>
      <c r="X97" s="66">
        <f>COUNTIFS(Table6[Prodi],"S1 Teknik Komputer",Table6[I2.2],X$59)/$W$58</f>
        <v>1</v>
      </c>
      <c r="Y97" s="66">
        <f>COUNTIFS(Table6[Prodi],"S1 Teknik Komputer",Table6[I2.2],Y$59)/$W$58</f>
        <v>0</v>
      </c>
      <c r="Z97" s="66">
        <f>COUNTIFS(Table6[Prodi],"S1 Teknik Komputer",Table6[I2.2],Z$59)/$W$58</f>
        <v>0</v>
      </c>
      <c r="AA97" s="62">
        <f t="shared" si="15"/>
        <v>1</v>
      </c>
    </row>
    <row r="98" spans="1:27" ht="16.5" hidden="1" x14ac:dyDescent="0.3">
      <c r="A98" s="57" t="s">
        <v>656</v>
      </c>
      <c r="B98" s="188">
        <f t="shared" si="17"/>
        <v>0.125</v>
      </c>
      <c r="C98" s="188">
        <f t="shared" si="17"/>
        <v>0.875</v>
      </c>
      <c r="D98" s="188">
        <f t="shared" si="17"/>
        <v>0</v>
      </c>
      <c r="E98" s="188">
        <f t="shared" si="17"/>
        <v>0</v>
      </c>
      <c r="F98" s="62">
        <f t="shared" si="1"/>
        <v>1</v>
      </c>
      <c r="H98" s="57" t="s">
        <v>655</v>
      </c>
      <c r="I98" s="66">
        <f>COUNTIFS(Table6[Prodi],"S1 Sistem Informasi",Table6[I2.3],I$59)/$I$58</f>
        <v>0.375</v>
      </c>
      <c r="J98" s="66">
        <f>COUNTIFS(Table6[Prodi],"S1 Sistem Informasi",Table6[I2.3],J$59)/$I$58</f>
        <v>0.625</v>
      </c>
      <c r="K98" s="66">
        <f>COUNTIFS(Table6[Prodi],"S1 Sistem Informasi",Table6[I2.3],K$59)/$I$58</f>
        <v>0</v>
      </c>
      <c r="L98" s="66">
        <f>COUNTIFS(Table6[Prodi],"S1 Sistem Informasi",Table6[I2.3],L$59)/$I$58</f>
        <v>0</v>
      </c>
      <c r="M98" s="62">
        <f t="shared" si="7"/>
        <v>1</v>
      </c>
      <c r="O98" s="57" t="s">
        <v>655</v>
      </c>
      <c r="P98" s="66">
        <f>COUNTIFS(Table6[Prodi],"S1 Teknik Komputer",Table6[I2.3],P$59)/$P$58</f>
        <v>0</v>
      </c>
      <c r="Q98" s="66">
        <f>COUNTIFS(Table6[Prodi],"S1 Teknik Komputer",Table6[I2.3],Q$59)/$P$58</f>
        <v>1</v>
      </c>
      <c r="R98" s="66">
        <f>COUNTIFS(Table6[Prodi],"S1 Teknik Komputer",Table6[I2.3],R$59)/$P$58</f>
        <v>0</v>
      </c>
      <c r="S98" s="66">
        <f>COUNTIFS(Table6[Prodi],"S1 Teknik Komputer",Table6[I2.3],S$59)/$P$58</f>
        <v>0</v>
      </c>
      <c r="T98" s="62">
        <f t="shared" si="14"/>
        <v>1</v>
      </c>
      <c r="V98" s="57" t="s">
        <v>655</v>
      </c>
      <c r="W98" s="66">
        <f>COUNTIFS(Table6[Prodi],"S1 Teknik Komputer",Table6[I2.3],W$59)/$W$58</f>
        <v>0</v>
      </c>
      <c r="X98" s="66">
        <f>COUNTIFS(Table6[Prodi],"S1 Teknik Komputer",Table6[I2.3],X$59)/$W$58</f>
        <v>1</v>
      </c>
      <c r="Y98" s="66">
        <f>COUNTIFS(Table6[Prodi],"S1 Teknik Komputer",Table6[I2.3],Y$59)/$W$58</f>
        <v>0</v>
      </c>
      <c r="Z98" s="66">
        <f>COUNTIFS(Table6[Prodi],"S1 Teknik Komputer",Table6[I2.3],Z$59)/$W$58</f>
        <v>0</v>
      </c>
      <c r="AA98" s="62">
        <f t="shared" si="15"/>
        <v>1</v>
      </c>
    </row>
    <row r="99" spans="1:27" ht="17.25" hidden="1" thickBot="1" x14ac:dyDescent="0.35">
      <c r="A99" s="67"/>
      <c r="B99" s="188">
        <f t="shared" si="17"/>
        <v>0.125</v>
      </c>
      <c r="C99" s="188">
        <f t="shared" si="17"/>
        <v>0.875</v>
      </c>
      <c r="D99" s="188">
        <f t="shared" si="17"/>
        <v>0</v>
      </c>
      <c r="E99" s="188">
        <f t="shared" si="17"/>
        <v>0</v>
      </c>
      <c r="F99" s="62">
        <f t="shared" si="1"/>
        <v>1</v>
      </c>
      <c r="H99" s="57" t="s">
        <v>656</v>
      </c>
      <c r="I99" s="66">
        <f>COUNTIFS(Table6[Prodi],"S1 Sistem Informasi",Table6[I2.4],I$59)/$I$58</f>
        <v>0.375</v>
      </c>
      <c r="J99" s="66">
        <f>COUNTIFS(Table6[Prodi],"S1 Sistem Informasi",Table6[I2.4],J$59)/$I$58</f>
        <v>0.625</v>
      </c>
      <c r="K99" s="66">
        <f>COUNTIFS(Table6[Prodi],"S1 Sistem Informasi",Table6[I2.4],K$59)/$I$58</f>
        <v>0</v>
      </c>
      <c r="L99" s="66">
        <f>COUNTIFS(Table6[Prodi],"S1 Sistem Informasi",Table6[I2.4],L$59)/$I$58</f>
        <v>0</v>
      </c>
      <c r="M99" s="62">
        <f t="shared" si="7"/>
        <v>1</v>
      </c>
      <c r="O99" s="57" t="s">
        <v>656</v>
      </c>
      <c r="P99" s="66">
        <f>COUNTIFS(Table6[Prodi],"S1 Teknik Komputer",Table6[I2.4],P$59)/$P$58</f>
        <v>0</v>
      </c>
      <c r="Q99" s="66">
        <f>COUNTIFS(Table6[Prodi],"S1 Teknik Komputer",Table6[I2.4],Q$59)/$P$58</f>
        <v>1</v>
      </c>
      <c r="R99" s="66">
        <f>COUNTIFS(Table6[Prodi],"S1 Teknik Komputer",Table6[I2.4],R$59)/$P$58</f>
        <v>0</v>
      </c>
      <c r="S99" s="66">
        <f>COUNTIFS(Table6[Prodi],"S1 Teknik Komputer",Table6[I2.4],S$59)/$P$58</f>
        <v>0</v>
      </c>
      <c r="T99" s="62">
        <f t="shared" si="14"/>
        <v>1</v>
      </c>
      <c r="V99" s="57" t="s">
        <v>656</v>
      </c>
      <c r="W99" s="66">
        <f>COUNTIFS(Table6[Prodi],"S1 Teknik Komputer",Table6[I2.4],W$59)/$W$58</f>
        <v>0</v>
      </c>
      <c r="X99" s="66">
        <f>COUNTIFS(Table6[Prodi],"S1 Teknik Komputer",Table6[I2.4],X$59)/$W$58</f>
        <v>1</v>
      </c>
      <c r="Y99" s="66">
        <f>COUNTIFS(Table6[Prodi],"S1 Teknik Komputer",Table6[I2.4],Y$59)/$W$58</f>
        <v>0</v>
      </c>
      <c r="Z99" s="66">
        <f>COUNTIFS(Table6[Prodi],"S1 Teknik Komputer",Table6[I2.4],Z$59)/$W$58</f>
        <v>0</v>
      </c>
      <c r="AA99" s="62">
        <f t="shared" si="15"/>
        <v>1</v>
      </c>
    </row>
    <row r="100" spans="1:27" ht="17.25" hidden="1" thickBot="1" x14ac:dyDescent="0.35">
      <c r="B100" s="61">
        <f>AVERAGE(B96:B99)</f>
        <v>0.14583333333333334</v>
      </c>
      <c r="C100" s="61">
        <f>AVERAGE(C96:C99)</f>
        <v>0.85416666666666663</v>
      </c>
      <c r="D100" s="61">
        <f>AVERAGE(D96:D99)</f>
        <v>0</v>
      </c>
      <c r="E100" s="61">
        <f>AVERAGE(E96:E99)</f>
        <v>0</v>
      </c>
      <c r="F100" s="62">
        <f t="shared" si="1"/>
        <v>1</v>
      </c>
      <c r="H100" s="67"/>
      <c r="I100" s="61">
        <f>AVERAGE(I96:I99)</f>
        <v>0.4375</v>
      </c>
      <c r="J100" s="61">
        <f>AVERAGE(J96:J99)</f>
        <v>0.5625</v>
      </c>
      <c r="K100" s="61">
        <f>AVERAGE(K96:K99)</f>
        <v>0</v>
      </c>
      <c r="L100" s="61">
        <f>AVERAGE(L96:L99)</f>
        <v>0</v>
      </c>
      <c r="M100" s="62">
        <f t="shared" si="7"/>
        <v>1</v>
      </c>
      <c r="O100" s="67"/>
      <c r="P100" s="61">
        <f>AVERAGE(P96:P99)</f>
        <v>0</v>
      </c>
      <c r="Q100" s="61">
        <f>AVERAGE(Q96:Q99)</f>
        <v>1</v>
      </c>
      <c r="R100" s="61">
        <f>AVERAGE(R96:R99)</f>
        <v>0</v>
      </c>
      <c r="S100" s="61">
        <f>AVERAGE(S96:S99)</f>
        <v>0</v>
      </c>
      <c r="T100" s="62">
        <f t="shared" si="14"/>
        <v>1</v>
      </c>
      <c r="V100" s="67"/>
      <c r="W100" s="61">
        <f>AVERAGE(W96:W99)</f>
        <v>0</v>
      </c>
      <c r="X100" s="61">
        <f>AVERAGE(X96:X99)</f>
        <v>1</v>
      </c>
      <c r="Y100" s="61">
        <f>AVERAGE(Y96:Y99)</f>
        <v>0</v>
      </c>
      <c r="Z100" s="61">
        <f>AVERAGE(Z96:Z99)</f>
        <v>0</v>
      </c>
      <c r="AA100" s="62">
        <f t="shared" si="15"/>
        <v>1</v>
      </c>
    </row>
    <row r="101" spans="1:27" ht="17.25" hidden="1" thickBot="1" x14ac:dyDescent="0.3">
      <c r="A101" s="64" t="s">
        <v>14</v>
      </c>
    </row>
    <row r="102" spans="1:27" ht="17.25" hidden="1" thickBot="1" x14ac:dyDescent="0.3">
      <c r="A102" s="64" t="s">
        <v>647</v>
      </c>
      <c r="B102" s="65" t="s">
        <v>1161</v>
      </c>
      <c r="H102" s="64" t="s">
        <v>14</v>
      </c>
      <c r="I102" s="65" t="s">
        <v>142</v>
      </c>
      <c r="K102" s="118"/>
      <c r="L102" s="118"/>
      <c r="M102" s="118"/>
      <c r="O102" s="64" t="s">
        <v>14</v>
      </c>
      <c r="P102" s="65" t="s">
        <v>1195</v>
      </c>
      <c r="R102" s="118"/>
      <c r="S102" s="118"/>
      <c r="T102" s="118"/>
      <c r="V102" s="64" t="s">
        <v>14</v>
      </c>
      <c r="W102" s="65" t="s">
        <v>127</v>
      </c>
      <c r="Y102" s="118"/>
      <c r="Z102" s="118"/>
      <c r="AA102" s="118"/>
    </row>
    <row r="103" spans="1:27" ht="17.25" hidden="1" thickBot="1" x14ac:dyDescent="0.3">
      <c r="A103" s="64" t="s">
        <v>646</v>
      </c>
      <c r="B103" s="65">
        <v>2021</v>
      </c>
      <c r="H103" s="64" t="s">
        <v>647</v>
      </c>
      <c r="I103" s="65">
        <v>2021</v>
      </c>
      <c r="K103" s="118"/>
      <c r="L103" s="118"/>
      <c r="M103" s="118"/>
      <c r="O103" s="64" t="s">
        <v>647</v>
      </c>
      <c r="P103" s="65">
        <v>2021</v>
      </c>
      <c r="R103" s="118"/>
      <c r="S103" s="118"/>
      <c r="T103" s="118"/>
      <c r="V103" s="64" t="s">
        <v>647</v>
      </c>
      <c r="W103" s="65">
        <v>2021</v>
      </c>
      <c r="Y103" s="118"/>
      <c r="Z103" s="118"/>
      <c r="AA103" s="118"/>
    </row>
    <row r="104" spans="1:27" ht="17.25" hidden="1" thickBot="1" x14ac:dyDescent="0.3">
      <c r="A104" s="166"/>
      <c r="B104" s="65">
        <f>I104+P104+W104</f>
        <v>28</v>
      </c>
      <c r="H104" s="64" t="s">
        <v>646</v>
      </c>
      <c r="I104" s="65">
        <f>COUNTIF(Table9[Prodi],I102)</f>
        <v>25</v>
      </c>
      <c r="K104" s="118"/>
      <c r="L104" s="118"/>
      <c r="M104" s="118"/>
      <c r="O104" s="64" t="s">
        <v>646</v>
      </c>
      <c r="P104" s="65">
        <f>COUNTIF(Table9[Prodi],P102)</f>
        <v>2</v>
      </c>
      <c r="R104" s="118"/>
      <c r="S104" s="118"/>
      <c r="T104" s="118"/>
      <c r="V104" s="64" t="s">
        <v>646</v>
      </c>
      <c r="W104" s="65">
        <f>COUNTIF(Table9[Prodi],W102)</f>
        <v>1</v>
      </c>
      <c r="Y104" s="118"/>
      <c r="Z104" s="118"/>
      <c r="AA104" s="118"/>
    </row>
    <row r="105" spans="1:27" ht="16.5" hidden="1" x14ac:dyDescent="0.3">
      <c r="A105" s="168" t="s">
        <v>26</v>
      </c>
      <c r="B105" s="56" t="s">
        <v>1205</v>
      </c>
      <c r="C105" s="56" t="s">
        <v>1206</v>
      </c>
      <c r="D105" s="56" t="s">
        <v>1229</v>
      </c>
      <c r="E105" s="56" t="s">
        <v>1436</v>
      </c>
      <c r="F105" s="167"/>
      <c r="H105" s="166"/>
      <c r="I105" s="56" t="s">
        <v>1205</v>
      </c>
      <c r="J105" s="56" t="s">
        <v>1206</v>
      </c>
      <c r="K105" s="56" t="s">
        <v>1229</v>
      </c>
      <c r="L105" s="56" t="s">
        <v>1436</v>
      </c>
      <c r="M105" s="167"/>
      <c r="O105" s="166"/>
      <c r="P105" s="56" t="s">
        <v>1205</v>
      </c>
      <c r="Q105" s="56" t="s">
        <v>1206</v>
      </c>
      <c r="R105" s="56" t="s">
        <v>1229</v>
      </c>
      <c r="S105" s="56" t="s">
        <v>1436</v>
      </c>
      <c r="T105" s="167"/>
      <c r="V105" s="166"/>
      <c r="W105" s="56" t="s">
        <v>1205</v>
      </c>
      <c r="X105" s="56" t="s">
        <v>1206</v>
      </c>
      <c r="Y105" s="56" t="s">
        <v>1229</v>
      </c>
      <c r="Z105" s="56" t="s">
        <v>1436</v>
      </c>
      <c r="AA105" s="167"/>
    </row>
    <row r="106" spans="1:27" ht="16.5" hidden="1" x14ac:dyDescent="0.3">
      <c r="A106" s="168" t="s">
        <v>27</v>
      </c>
      <c r="B106" s="188">
        <f t="shared" ref="B106:E110" si="18">(I106+P106+W106)/3</f>
        <v>0.17333333333333334</v>
      </c>
      <c r="C106" s="188">
        <f t="shared" si="18"/>
        <v>0.82666666666666666</v>
      </c>
      <c r="D106" s="188">
        <f t="shared" si="18"/>
        <v>0</v>
      </c>
      <c r="E106" s="188">
        <f t="shared" si="18"/>
        <v>0</v>
      </c>
      <c r="F106" s="62">
        <f>SUM(B106:E106)</f>
        <v>1</v>
      </c>
      <c r="H106" s="168" t="s">
        <v>26</v>
      </c>
      <c r="I106" s="169">
        <f>COUNTIFS(Table9[B1],I$105,Table9[Prodi],$I$102)/$I$104</f>
        <v>0.52</v>
      </c>
      <c r="J106" s="169">
        <f>COUNTIFS(Table9[B1],J$105,Table9[Prodi],$I$102)/$I$104</f>
        <v>0.48</v>
      </c>
      <c r="K106" s="169">
        <f>COUNTIFS(Table9[B1],K$105,Table9[Prodi],$I$102)/$I$104</f>
        <v>0</v>
      </c>
      <c r="L106" s="169">
        <f>COUNTIFS(Table9[B1],L$105,Table9[Prodi],$I$102)/$I$104</f>
        <v>0</v>
      </c>
      <c r="M106" s="62">
        <f>SUM(I106:L106)</f>
        <v>1</v>
      </c>
      <c r="O106" s="168" t="s">
        <v>26</v>
      </c>
      <c r="P106" s="169">
        <f>COUNTIFS(Table9[B1],P$105,Table9[Prodi],$P$102)/$P$104</f>
        <v>0</v>
      </c>
      <c r="Q106" s="169">
        <f>COUNTIFS(Table9[B1],Q$105,Table9[Prodi],$P$102)/$P$104</f>
        <v>1</v>
      </c>
      <c r="R106" s="169">
        <f>COUNTIFS(Table9[B1],R$105,Table9[Prodi],$P$102)/$P$104</f>
        <v>0</v>
      </c>
      <c r="S106" s="169">
        <f>COUNTIFS(Table9[B1],S$105,Table9[Prodi],$P$102)/$P$104</f>
        <v>0</v>
      </c>
      <c r="T106" s="62">
        <f>SUM(P106:S106)</f>
        <v>1</v>
      </c>
      <c r="V106" s="168" t="s">
        <v>26</v>
      </c>
      <c r="W106" s="169">
        <f>COUNTIFS(Table9[B1],W$105,Table9[Prodi],$W$102)/$W$104</f>
        <v>0</v>
      </c>
      <c r="X106" s="169">
        <f>COUNTIFS(Table9[B1],X$105,Table9[Prodi],$W$102)/$W$104</f>
        <v>1</v>
      </c>
      <c r="Y106" s="169">
        <f>COUNTIFS(Table9[B1],Y$105,Table9[Prodi],$W$102)/$W$104</f>
        <v>0</v>
      </c>
      <c r="Z106" s="169">
        <f>COUNTIFS(Table9[B1],Z$105,Table9[Prodi],$W$102)/$W$104</f>
        <v>0</v>
      </c>
      <c r="AA106" s="62">
        <f>SUM(W106:Z106)</f>
        <v>1</v>
      </c>
    </row>
    <row r="107" spans="1:27" ht="16.5" hidden="1" x14ac:dyDescent="0.3">
      <c r="A107" s="168" t="s">
        <v>28</v>
      </c>
      <c r="B107" s="188">
        <f t="shared" si="18"/>
        <v>0.84</v>
      </c>
      <c r="C107" s="188">
        <f t="shared" si="18"/>
        <v>0.16</v>
      </c>
      <c r="D107" s="188">
        <f t="shared" si="18"/>
        <v>0</v>
      </c>
      <c r="E107" s="188">
        <f t="shared" si="18"/>
        <v>0</v>
      </c>
      <c r="F107" s="62">
        <f t="shared" ref="F107:F145" si="19">SUM(B107:E107)</f>
        <v>1</v>
      </c>
      <c r="H107" s="168" t="s">
        <v>27</v>
      </c>
      <c r="I107" s="169">
        <f>COUNTIFS(Table9[B2],I$105,Table9[Prodi],$I$102)/$I$104</f>
        <v>0.52</v>
      </c>
      <c r="J107" s="169">
        <f>COUNTIFS(Table9[B2],J$105,Table9[Prodi],$I$102)/$I$104</f>
        <v>0.48</v>
      </c>
      <c r="K107" s="169">
        <f>COUNTIFS(Table9[B2],K$105,Table9[Prodi],$I$102)/$I$104</f>
        <v>0</v>
      </c>
      <c r="L107" s="169">
        <f>COUNTIFS(Table9[B2],L$105,Table9[Prodi],$I$102)/$I$104</f>
        <v>0</v>
      </c>
      <c r="M107" s="62">
        <f t="shared" ref="M107:M124" si="20">SUM(I107:L107)</f>
        <v>1</v>
      </c>
      <c r="O107" s="168" t="s">
        <v>27</v>
      </c>
      <c r="P107" s="169">
        <f>COUNTIFS(Table9[B2],P$105,Table9[Prodi],$P$102)/$P$104</f>
        <v>1</v>
      </c>
      <c r="Q107" s="169">
        <f>COUNTIFS(Table9[B2],Q$105,Table9[Prodi],$P$102)/$P$104</f>
        <v>0</v>
      </c>
      <c r="R107" s="169">
        <f>COUNTIFS(Table9[B2],R$105,Table9[Prodi],$P$102)/$P$104</f>
        <v>0</v>
      </c>
      <c r="S107" s="169">
        <f>COUNTIFS(Table9[B2],S$105,Table9[Prodi],$P$102)/$P$104</f>
        <v>0</v>
      </c>
      <c r="T107" s="62">
        <f t="shared" ref="T107:T124" si="21">SUM(P107:S107)</f>
        <v>1</v>
      </c>
      <c r="V107" s="168" t="s">
        <v>27</v>
      </c>
      <c r="W107" s="169">
        <f>COUNTIFS(Table9[B2],W$105,Table9[Prodi],$W$102)/$W$104</f>
        <v>1</v>
      </c>
      <c r="X107" s="169">
        <f>COUNTIFS(Table9[B2],X$105,Table9[Prodi],$W$102)/$W$104</f>
        <v>0</v>
      </c>
      <c r="Y107" s="169">
        <f>COUNTIFS(Table9[B2],Y$105,Table9[Prodi],$W$102)/$W$104</f>
        <v>0</v>
      </c>
      <c r="Z107" s="169">
        <f>COUNTIFS(Table9[B2],Z$105,Table9[Prodi],$W$102)/$W$104</f>
        <v>0</v>
      </c>
      <c r="AA107" s="62">
        <f t="shared" ref="AA107:AA124" si="22">SUM(W107:Z107)</f>
        <v>1</v>
      </c>
    </row>
    <row r="108" spans="1:27" ht="16.5" hidden="1" x14ac:dyDescent="0.3">
      <c r="A108" s="168" t="s">
        <v>29</v>
      </c>
      <c r="B108" s="188">
        <f t="shared" si="18"/>
        <v>0.32666666666666666</v>
      </c>
      <c r="C108" s="188">
        <f t="shared" si="18"/>
        <v>0.64666666666666661</v>
      </c>
      <c r="D108" s="188">
        <f t="shared" si="18"/>
        <v>2.6666666666666668E-2</v>
      </c>
      <c r="E108" s="188">
        <f t="shared" si="18"/>
        <v>0</v>
      </c>
      <c r="F108" s="62">
        <f t="shared" si="19"/>
        <v>0.99999999999999989</v>
      </c>
      <c r="H108" s="168" t="s">
        <v>28</v>
      </c>
      <c r="I108" s="169">
        <f>COUNTIFS(Table9[B3],I$105,Table9[Prodi],$I$102)/$I$104</f>
        <v>0.48</v>
      </c>
      <c r="J108" s="169">
        <f>COUNTIFS(Table9[B3],J$105,Table9[Prodi],$I$102)/$I$104</f>
        <v>0.44</v>
      </c>
      <c r="K108" s="169">
        <f>COUNTIFS(Table9[B3],K$105,Table9[Prodi],$I$102)/$I$104</f>
        <v>0.08</v>
      </c>
      <c r="L108" s="169">
        <f>COUNTIFS(Table9[B3],L$105,Table9[Prodi],$I$102)/$I$104</f>
        <v>0</v>
      </c>
      <c r="M108" s="62">
        <f t="shared" si="20"/>
        <v>0.99999999999999989</v>
      </c>
      <c r="O108" s="168" t="s">
        <v>28</v>
      </c>
      <c r="P108" s="169">
        <f>COUNTIFS(Table9[B3],P$105,Table9[Prodi],$P$102)/$P$104</f>
        <v>0.5</v>
      </c>
      <c r="Q108" s="169">
        <f>COUNTIFS(Table9[B3],Q$105,Table9[Prodi],$P$102)/$P$104</f>
        <v>0.5</v>
      </c>
      <c r="R108" s="169">
        <f>COUNTIFS(Table9[B3],R$105,Table9[Prodi],$P$102)/$P$104</f>
        <v>0</v>
      </c>
      <c r="S108" s="169">
        <f>COUNTIFS(Table9[B3],S$105,Table9[Prodi],$P$102)/$P$104</f>
        <v>0</v>
      </c>
      <c r="T108" s="62">
        <f t="shared" si="21"/>
        <v>1</v>
      </c>
      <c r="V108" s="168" t="s">
        <v>28</v>
      </c>
      <c r="W108" s="169">
        <f>COUNTIFS(Table9[B3],W$105,Table9[Prodi],$W$102)/$W$104</f>
        <v>0</v>
      </c>
      <c r="X108" s="169">
        <f>COUNTIFS(Table9[B3],X$105,Table9[Prodi],$W$102)/$W$104</f>
        <v>1</v>
      </c>
      <c r="Y108" s="169">
        <f>COUNTIFS(Table9[B3],Y$105,Table9[Prodi],$W$102)/$W$104</f>
        <v>0</v>
      </c>
      <c r="Z108" s="169">
        <f>COUNTIFS(Table9[B3],Z$105,Table9[Prodi],$W$102)/$W$104</f>
        <v>0</v>
      </c>
      <c r="AA108" s="62">
        <f t="shared" si="22"/>
        <v>1</v>
      </c>
    </row>
    <row r="109" spans="1:27" ht="16.5" hidden="1" x14ac:dyDescent="0.3">
      <c r="A109" s="168" t="s">
        <v>30</v>
      </c>
      <c r="B109" s="188">
        <f t="shared" si="18"/>
        <v>0.26</v>
      </c>
      <c r="C109" s="188">
        <f t="shared" si="18"/>
        <v>0.38000000000000006</v>
      </c>
      <c r="D109" s="188">
        <f t="shared" si="18"/>
        <v>0.36000000000000004</v>
      </c>
      <c r="E109" s="188">
        <f t="shared" si="18"/>
        <v>0</v>
      </c>
      <c r="F109" s="62">
        <f t="shared" si="19"/>
        <v>1.0000000000000002</v>
      </c>
      <c r="H109" s="168" t="s">
        <v>29</v>
      </c>
      <c r="I109" s="169">
        <f>COUNTIFS(Table9[B4],I$105,Table9[Prodi],$I$102)/$I$104</f>
        <v>0.28000000000000003</v>
      </c>
      <c r="J109" s="169">
        <f>COUNTIFS(Table9[B4],J$105,Table9[Prodi],$I$102)/$I$104</f>
        <v>0.64</v>
      </c>
      <c r="K109" s="169">
        <f>COUNTIFS(Table9[B4],K$105,Table9[Prodi],$I$102)/$I$104</f>
        <v>0.08</v>
      </c>
      <c r="L109" s="169">
        <f>COUNTIFS(Table9[B4],L$105,Table9[Prodi],$I$102)/$I$104</f>
        <v>0</v>
      </c>
      <c r="M109" s="62">
        <f t="shared" si="20"/>
        <v>1</v>
      </c>
      <c r="O109" s="168" t="s">
        <v>29</v>
      </c>
      <c r="P109" s="169">
        <f>COUNTIFS(Table9[B4],P$105,Table9[Prodi],$P$102)/$P$104</f>
        <v>0.5</v>
      </c>
      <c r="Q109" s="169">
        <f>COUNTIFS(Table9[B4],Q$105,Table9[Prodi],$P$102)/$P$104</f>
        <v>0.5</v>
      </c>
      <c r="R109" s="169">
        <f>COUNTIFS(Table9[B4],R$105,Table9[Prodi],$P$102)/$P$104</f>
        <v>0</v>
      </c>
      <c r="S109" s="169">
        <f>COUNTIFS(Table9[B4],S$105,Table9[Prodi],$P$102)/$P$104</f>
        <v>0</v>
      </c>
      <c r="T109" s="62">
        <f t="shared" si="21"/>
        <v>1</v>
      </c>
      <c r="V109" s="168" t="s">
        <v>29</v>
      </c>
      <c r="W109" s="169">
        <f>COUNTIFS(Table9[B4],W$105,Table9[Prodi],$W$102)/$W$104</f>
        <v>0</v>
      </c>
      <c r="X109" s="169">
        <f>COUNTIFS(Table9[B4],X$105,Table9[Prodi],$W$102)/$W$104</f>
        <v>0</v>
      </c>
      <c r="Y109" s="169">
        <f>COUNTIFS(Table9[B4],Y$105,Table9[Prodi],$W$102)/$W$104</f>
        <v>1</v>
      </c>
      <c r="Z109" s="169">
        <f>COUNTIFS(Table9[B4],Z$105,Table9[Prodi],$W$102)/$W$104</f>
        <v>0</v>
      </c>
      <c r="AA109" s="62">
        <f t="shared" si="22"/>
        <v>1</v>
      </c>
    </row>
    <row r="110" spans="1:27" ht="16.5" hidden="1" x14ac:dyDescent="0.3">
      <c r="A110" s="170"/>
      <c r="B110" s="188">
        <f t="shared" si="18"/>
        <v>9.3333333333333338E-2</v>
      </c>
      <c r="C110" s="188">
        <f t="shared" si="18"/>
        <v>0.90666666666666662</v>
      </c>
      <c r="D110" s="188">
        <f t="shared" si="18"/>
        <v>0</v>
      </c>
      <c r="E110" s="188">
        <f t="shared" si="18"/>
        <v>0</v>
      </c>
      <c r="F110" s="62">
        <f t="shared" si="19"/>
        <v>1</v>
      </c>
      <c r="H110" s="168" t="s">
        <v>30</v>
      </c>
      <c r="I110" s="169">
        <f>COUNTIFS(Table9[B5],I$105,Table9[Prodi],$I$102)/$I$104</f>
        <v>0.28000000000000003</v>
      </c>
      <c r="J110" s="169">
        <f>COUNTIFS(Table9[B5],J$105,Table9[Prodi],$I$102)/$I$104</f>
        <v>0.72</v>
      </c>
      <c r="K110" s="169">
        <f>COUNTIFS(Table9[B5],K$105,Table9[Prodi],$I$102)/$I$104</f>
        <v>0</v>
      </c>
      <c r="L110" s="169">
        <f>COUNTIFS(Table9[B5],L$105,Table9[Prodi],$I$102)/$I$104</f>
        <v>0</v>
      </c>
      <c r="M110" s="62">
        <f t="shared" si="20"/>
        <v>1</v>
      </c>
      <c r="O110" s="168" t="s">
        <v>30</v>
      </c>
      <c r="P110" s="169">
        <f>COUNTIFS(Table9[B5],P$105,Table9[Prodi],$P$102)/$P$104</f>
        <v>0</v>
      </c>
      <c r="Q110" s="169">
        <f>COUNTIFS(Table9[B5],Q$105,Table9[Prodi],$P$102)/$P$104</f>
        <v>1</v>
      </c>
      <c r="R110" s="169">
        <f>COUNTIFS(Table9[B5],R$105,Table9[Prodi],$P$102)/$P$104</f>
        <v>0</v>
      </c>
      <c r="S110" s="169">
        <f>COUNTIFS(Table9[B5],S$105,Table9[Prodi],$P$102)/$P$104</f>
        <v>0</v>
      </c>
      <c r="T110" s="62">
        <f t="shared" si="21"/>
        <v>1</v>
      </c>
      <c r="V110" s="168" t="s">
        <v>30</v>
      </c>
      <c r="W110" s="169">
        <f>COUNTIFS(Table9[B5],W$105,Table9[Prodi],$W$102)/$W$104</f>
        <v>0</v>
      </c>
      <c r="X110" s="169">
        <f>COUNTIFS(Table9[B5],X$105,Table9[Prodi],$W$102)/$W$104</f>
        <v>1</v>
      </c>
      <c r="Y110" s="169">
        <f>COUNTIFS(Table9[B5],Y$105,Table9[Prodi],$W$102)/$W$104</f>
        <v>0</v>
      </c>
      <c r="Z110" s="169">
        <f>COUNTIFS(Table9[B5],Z$105,Table9[Prodi],$W$102)/$W$104</f>
        <v>0</v>
      </c>
      <c r="AA110" s="62">
        <f t="shared" si="22"/>
        <v>1</v>
      </c>
    </row>
    <row r="111" spans="1:27" ht="16.5" hidden="1" x14ac:dyDescent="0.3">
      <c r="A111" s="168" t="s">
        <v>31</v>
      </c>
      <c r="B111" s="61">
        <f>AVERAGE(B106:B110)</f>
        <v>0.33866666666666662</v>
      </c>
      <c r="C111" s="61">
        <f>AVERAGE(C106:C110)</f>
        <v>0.58399999999999996</v>
      </c>
      <c r="D111" s="61">
        <f>AVERAGE(D106:D110)</f>
        <v>7.7333333333333337E-2</v>
      </c>
      <c r="E111" s="61">
        <f>AVERAGE(E106:E110)</f>
        <v>0</v>
      </c>
      <c r="F111" s="62">
        <f t="shared" si="19"/>
        <v>0.99999999999999989</v>
      </c>
      <c r="H111" s="170"/>
      <c r="I111" s="183">
        <f>AVERAGE(I106:I110)</f>
        <v>0.41600000000000004</v>
      </c>
      <c r="J111" s="183">
        <f>AVERAGE(J106:J110)</f>
        <v>0.55199999999999994</v>
      </c>
      <c r="K111" s="183">
        <f>AVERAGE(K106:K110)</f>
        <v>3.2000000000000001E-2</v>
      </c>
      <c r="L111" s="183">
        <f>AVERAGE(L106:L110)</f>
        <v>0</v>
      </c>
      <c r="M111" s="62">
        <f t="shared" si="20"/>
        <v>1</v>
      </c>
      <c r="O111" s="170"/>
      <c r="P111" s="183">
        <f>AVERAGE(P106:P110)</f>
        <v>0.4</v>
      </c>
      <c r="Q111" s="183">
        <f>AVERAGE(Q106:Q110)</f>
        <v>0.6</v>
      </c>
      <c r="R111" s="183">
        <f>AVERAGE(R106:R110)</f>
        <v>0</v>
      </c>
      <c r="S111" s="183">
        <f>AVERAGE(S106:S110)</f>
        <v>0</v>
      </c>
      <c r="T111" s="62">
        <f t="shared" si="21"/>
        <v>1</v>
      </c>
      <c r="V111" s="170"/>
      <c r="W111" s="183">
        <f>AVERAGE(W106:W110)</f>
        <v>0.2</v>
      </c>
      <c r="X111" s="183">
        <f>AVERAGE(X106:X110)</f>
        <v>0.6</v>
      </c>
      <c r="Y111" s="183">
        <f>AVERAGE(Y106:Y110)</f>
        <v>0.2</v>
      </c>
      <c r="Z111" s="183">
        <f>AVERAGE(Z106:Z110)</f>
        <v>0</v>
      </c>
      <c r="AA111" s="62">
        <f t="shared" si="22"/>
        <v>1</v>
      </c>
    </row>
    <row r="112" spans="1:27" ht="16.5" hidden="1" x14ac:dyDescent="0.3">
      <c r="A112" s="168" t="s">
        <v>32</v>
      </c>
      <c r="B112" s="188">
        <f t="shared" ref="B112:E113" si="23">(I112+P112+W112)/3</f>
        <v>0.32666666666666666</v>
      </c>
      <c r="C112" s="188">
        <f t="shared" si="23"/>
        <v>0.67333333333333334</v>
      </c>
      <c r="D112" s="188">
        <f t="shared" si="23"/>
        <v>0</v>
      </c>
      <c r="E112" s="188">
        <f t="shared" si="23"/>
        <v>0</v>
      </c>
      <c r="F112" s="62">
        <f t="shared" si="19"/>
        <v>1</v>
      </c>
      <c r="H112" s="168" t="s">
        <v>31</v>
      </c>
      <c r="I112" s="169">
        <f>COUNTIFS(Table9[C1],I$105,Table9[Prodi],$I$102)/$I$104</f>
        <v>0.48</v>
      </c>
      <c r="J112" s="169">
        <f>COUNTIFS(Table9[C1],J$105,Table9[Prodi],$I$102)/$I$104</f>
        <v>0.52</v>
      </c>
      <c r="K112" s="169">
        <f>COUNTIFS(Table9[C1],K$105,Table9[Prodi],$I$102)/$I$104</f>
        <v>0</v>
      </c>
      <c r="L112" s="169">
        <f>COUNTIFS(Table9[C1],L$105,Table9[Prodi],$I$102)/$I$104</f>
        <v>0</v>
      </c>
      <c r="M112" s="62">
        <f t="shared" si="20"/>
        <v>1</v>
      </c>
      <c r="O112" s="168" t="s">
        <v>31</v>
      </c>
      <c r="P112" s="169">
        <f>COUNTIFS(Table9[C1],P$105,Table9[Prodi],$P$102)/$P$104</f>
        <v>0.5</v>
      </c>
      <c r="Q112" s="169">
        <f>COUNTIFS(Table9[C1],Q$105,Table9[Prodi],$P$102)/$P$104</f>
        <v>0.5</v>
      </c>
      <c r="R112" s="169">
        <f>COUNTIFS(Table9[C1],R$105,Table9[Prodi],$P$102)/$P$104</f>
        <v>0</v>
      </c>
      <c r="S112" s="169">
        <f>COUNTIFS(Table9[C1],S$105,Table9[Prodi],$P$102)/$P$104</f>
        <v>0</v>
      </c>
      <c r="T112" s="62">
        <f t="shared" si="21"/>
        <v>1</v>
      </c>
      <c r="V112" s="168" t="s">
        <v>31</v>
      </c>
      <c r="W112" s="169">
        <f>COUNTIFS(Table9[C1],W$105,Table9[Prodi],$W$102)/$W$104</f>
        <v>0</v>
      </c>
      <c r="X112" s="169">
        <f>COUNTIFS(Table9[C1],X$105,Table9[Prodi],$W$102)/$W$104</f>
        <v>1</v>
      </c>
      <c r="Y112" s="169">
        <f>COUNTIFS(Table9[C1],Y$105,Table9[Prodi],$W$102)/$W$104</f>
        <v>0</v>
      </c>
      <c r="Z112" s="169">
        <f>COUNTIFS(Table9[C1],Z$105,Table9[Prodi],$W$102)/$W$104</f>
        <v>0</v>
      </c>
      <c r="AA112" s="62">
        <f t="shared" si="22"/>
        <v>1</v>
      </c>
    </row>
    <row r="113" spans="1:27" ht="16.5" hidden="1" x14ac:dyDescent="0.3">
      <c r="A113" s="171"/>
      <c r="B113" s="188">
        <f t="shared" si="23"/>
        <v>0.34</v>
      </c>
      <c r="C113" s="188">
        <f t="shared" si="23"/>
        <v>0.66</v>
      </c>
      <c r="D113" s="188">
        <f t="shared" si="23"/>
        <v>0</v>
      </c>
      <c r="E113" s="188">
        <f t="shared" si="23"/>
        <v>0</v>
      </c>
      <c r="F113" s="62">
        <f t="shared" si="19"/>
        <v>1</v>
      </c>
      <c r="H113" s="168" t="s">
        <v>32</v>
      </c>
      <c r="I113" s="169">
        <f>COUNTIFS(Table9[C2],I$105,Table9[Prodi],$I$102)/$I$104</f>
        <v>0.52</v>
      </c>
      <c r="J113" s="169">
        <f>COUNTIFS(Table9[C2],J$105,Table9[Prodi],$I$102)/$I$104</f>
        <v>0.48</v>
      </c>
      <c r="K113" s="169">
        <f>COUNTIFS(Table9[C2],K$105,Table9[Prodi],$I$102)/$I$104</f>
        <v>0</v>
      </c>
      <c r="L113" s="169">
        <f>COUNTIFS(Table9[C2],L$105,Table9[Prodi],$I$102)/$I$104</f>
        <v>0</v>
      </c>
      <c r="M113" s="62">
        <f t="shared" si="20"/>
        <v>1</v>
      </c>
      <c r="O113" s="168" t="s">
        <v>32</v>
      </c>
      <c r="P113" s="169">
        <f>COUNTIFS(Table9[C2],P$105,Table9[Prodi],$P$102)/$P$104</f>
        <v>0.5</v>
      </c>
      <c r="Q113" s="169">
        <f>COUNTIFS(Table9[C2],Q$105,Table9[Prodi],$P$102)/$P$104</f>
        <v>0.5</v>
      </c>
      <c r="R113" s="169">
        <f>COUNTIFS(Table9[C2],R$105,Table9[Prodi],$P$102)/$P$104</f>
        <v>0</v>
      </c>
      <c r="S113" s="169">
        <f>COUNTIFS(Table9[C2],S$105,Table9[Prodi],$P$102)/$P$104</f>
        <v>0</v>
      </c>
      <c r="T113" s="62">
        <f t="shared" si="21"/>
        <v>1</v>
      </c>
      <c r="V113" s="168" t="s">
        <v>32</v>
      </c>
      <c r="W113" s="169">
        <f>COUNTIFS(Table9[C2],W$105,Table9[Prodi],$W$102)/$W$104</f>
        <v>0</v>
      </c>
      <c r="X113" s="169">
        <f>COUNTIFS(Table9[C2],X$105,Table9[Prodi],$W$102)/$W$104</f>
        <v>1</v>
      </c>
      <c r="Y113" s="169">
        <f>COUNTIFS(Table9[C2],Y$105,Table9[Prodi],$W$102)/$W$104</f>
        <v>0</v>
      </c>
      <c r="Z113" s="169">
        <f>COUNTIFS(Table9[C2],Z$105,Table9[Prodi],$W$102)/$W$104</f>
        <v>0</v>
      </c>
      <c r="AA113" s="62">
        <f t="shared" si="22"/>
        <v>1</v>
      </c>
    </row>
    <row r="114" spans="1:27" ht="16.5" hidden="1" x14ac:dyDescent="0.3">
      <c r="A114" s="172" t="s">
        <v>33</v>
      </c>
      <c r="B114" s="61">
        <f>AVERAGE(B112:B113)</f>
        <v>0.33333333333333337</v>
      </c>
      <c r="C114" s="61">
        <f>AVERAGE(C112:C113)</f>
        <v>0.66666666666666674</v>
      </c>
      <c r="D114" s="61">
        <f>AVERAGE(D112:D113)</f>
        <v>0</v>
      </c>
      <c r="E114" s="61">
        <f>AVERAGE(E112:E113)</f>
        <v>0</v>
      </c>
      <c r="F114" s="62">
        <f t="shared" si="19"/>
        <v>1</v>
      </c>
      <c r="H114" s="171"/>
      <c r="I114" s="61">
        <f>AVERAGE(I112:I113)</f>
        <v>0.5</v>
      </c>
      <c r="J114" s="61">
        <f>AVERAGE(J112:J113)</f>
        <v>0.5</v>
      </c>
      <c r="K114" s="61">
        <f>AVERAGE(K112:K113)</f>
        <v>0</v>
      </c>
      <c r="L114" s="61">
        <f>AVERAGE(L112:L113)</f>
        <v>0</v>
      </c>
      <c r="M114" s="62">
        <f t="shared" si="20"/>
        <v>1</v>
      </c>
      <c r="O114" s="171"/>
      <c r="P114" s="61">
        <f>AVERAGE(P112:P113)</f>
        <v>0.5</v>
      </c>
      <c r="Q114" s="61">
        <f>AVERAGE(Q112:Q113)</f>
        <v>0.5</v>
      </c>
      <c r="R114" s="61">
        <f>AVERAGE(R112:R113)</f>
        <v>0</v>
      </c>
      <c r="S114" s="61">
        <f>AVERAGE(S112:S113)</f>
        <v>0</v>
      </c>
      <c r="T114" s="62">
        <f t="shared" si="21"/>
        <v>1</v>
      </c>
      <c r="V114" s="171"/>
      <c r="W114" s="61">
        <f>AVERAGE(W112:W113)</f>
        <v>0</v>
      </c>
      <c r="X114" s="61">
        <f>AVERAGE(X112:X113)</f>
        <v>1</v>
      </c>
      <c r="Y114" s="61">
        <f>AVERAGE(Y112:Y113)</f>
        <v>0</v>
      </c>
      <c r="Z114" s="61">
        <f>AVERAGE(Z112:Z113)</f>
        <v>0</v>
      </c>
      <c r="AA114" s="62">
        <f t="shared" si="22"/>
        <v>1</v>
      </c>
    </row>
    <row r="115" spans="1:27" ht="16.5" hidden="1" x14ac:dyDescent="0.3">
      <c r="A115" s="168" t="s">
        <v>34</v>
      </c>
      <c r="B115" s="188">
        <f t="shared" ref="B115:E116" si="24">(I115+P115+W115)/3</f>
        <v>0.81333333333333335</v>
      </c>
      <c r="C115" s="188">
        <f t="shared" si="24"/>
        <v>0.17333333333333334</v>
      </c>
      <c r="D115" s="188">
        <f t="shared" si="24"/>
        <v>1.3333333333333334E-2</v>
      </c>
      <c r="E115" s="188">
        <f t="shared" si="24"/>
        <v>0</v>
      </c>
      <c r="F115" s="62">
        <f t="shared" si="19"/>
        <v>1</v>
      </c>
      <c r="H115" s="172" t="s">
        <v>33</v>
      </c>
      <c r="I115" s="169">
        <f>COUNTIFS(Table9[D1],I$105,Table9[Prodi],$I$102)/$I$104</f>
        <v>0.44</v>
      </c>
      <c r="J115" s="169">
        <f>COUNTIFS(Table9[D1],J$105,Table9[Prodi],$I$102)/$I$104</f>
        <v>0.52</v>
      </c>
      <c r="K115" s="169">
        <f>COUNTIFS(Table9[D1],K$105,Table9[Prodi],$I$102)/$I$104</f>
        <v>0.04</v>
      </c>
      <c r="L115" s="169">
        <f>COUNTIFS(Table9[D1],L$105,Table9[Prodi],$I$102)/$I$104</f>
        <v>0</v>
      </c>
      <c r="M115" s="62">
        <f t="shared" si="20"/>
        <v>1</v>
      </c>
      <c r="O115" s="172" t="s">
        <v>33</v>
      </c>
      <c r="P115" s="169">
        <f>COUNTIFS(Table9[D1],P$105,Table9[Prodi],$P$102)/$P$104</f>
        <v>1</v>
      </c>
      <c r="Q115" s="169">
        <f>COUNTIFS(Table9[D1],Q$105,Table9[Prodi],$P$102)/$P$104</f>
        <v>0</v>
      </c>
      <c r="R115" s="169">
        <f>COUNTIFS(Table9[D1],R$105,Table9[Prodi],$P$102)/$P$104</f>
        <v>0</v>
      </c>
      <c r="S115" s="169">
        <f>COUNTIFS(Table9[D1],S$105,Table9[Prodi],$P$102)/$P$104</f>
        <v>0</v>
      </c>
      <c r="T115" s="62">
        <f t="shared" si="21"/>
        <v>1</v>
      </c>
      <c r="V115" s="172" t="s">
        <v>33</v>
      </c>
      <c r="W115" s="169">
        <f>COUNTIFS(Table9[D1],W$105,Table9[Prodi],$W$102)/$W$104</f>
        <v>1</v>
      </c>
      <c r="X115" s="169">
        <f>COUNTIFS(Table9[D1],X$105,Table9[Prodi],$W$102)/$W$104</f>
        <v>0</v>
      </c>
      <c r="Y115" s="169">
        <f>COUNTIFS(Table9[D1],Y$105,Table9[Prodi],$W$102)/$W$104</f>
        <v>0</v>
      </c>
      <c r="Z115" s="169">
        <f>COUNTIFS(Table9[D1],Z$105,Table9[Prodi],$W$102)/$W$104</f>
        <v>0</v>
      </c>
      <c r="AA115" s="62">
        <f t="shared" si="22"/>
        <v>1</v>
      </c>
    </row>
    <row r="116" spans="1:27" ht="16.5" hidden="1" x14ac:dyDescent="0.3">
      <c r="A116" s="171"/>
      <c r="B116" s="188">
        <f t="shared" si="24"/>
        <v>0.62</v>
      </c>
      <c r="C116" s="188">
        <f t="shared" si="24"/>
        <v>0.17333333333333334</v>
      </c>
      <c r="D116" s="188">
        <f t="shared" si="24"/>
        <v>0.20666666666666667</v>
      </c>
      <c r="E116" s="188">
        <f t="shared" si="24"/>
        <v>0</v>
      </c>
      <c r="F116" s="62">
        <f t="shared" si="19"/>
        <v>1</v>
      </c>
      <c r="H116" s="168" t="s">
        <v>34</v>
      </c>
      <c r="I116" s="169">
        <f>COUNTIFS(Table9[D2],I$105,Table9[Prodi],$I$102)/$I$104</f>
        <v>0.36</v>
      </c>
      <c r="J116" s="169">
        <f>COUNTIFS(Table9[D2],J$105,Table9[Prodi],$I$102)/$I$104</f>
        <v>0.52</v>
      </c>
      <c r="K116" s="169">
        <f>COUNTIFS(Table9[D2],K$105,Table9[Prodi],$I$102)/$I$104</f>
        <v>0.12</v>
      </c>
      <c r="L116" s="169">
        <f>COUNTIFS(Table9[D2],L$105,Table9[Prodi],$I$102)/$I$104</f>
        <v>0</v>
      </c>
      <c r="M116" s="62">
        <f t="shared" si="20"/>
        <v>1</v>
      </c>
      <c r="O116" s="168" t="s">
        <v>34</v>
      </c>
      <c r="P116" s="169">
        <f>COUNTIFS(Table9[D2],P$105,Table9[Prodi],$P$102)/$P$104</f>
        <v>0.5</v>
      </c>
      <c r="Q116" s="169">
        <f>COUNTIFS(Table9[D2],Q$105,Table9[Prodi],$P$102)/$P$104</f>
        <v>0</v>
      </c>
      <c r="R116" s="169">
        <f>COUNTIFS(Table9[D2],R$105,Table9[Prodi],$P$102)/$P$104</f>
        <v>0.5</v>
      </c>
      <c r="S116" s="169">
        <f>COUNTIFS(Table9[D2],S$105,Table9[Prodi],$P$102)/$P$104</f>
        <v>0</v>
      </c>
      <c r="T116" s="62">
        <f t="shared" si="21"/>
        <v>1</v>
      </c>
      <c r="V116" s="168" t="s">
        <v>34</v>
      </c>
      <c r="W116" s="169">
        <f>COUNTIFS(Table9[D2],W$105,Table9[Prodi],$W$102)/$W$104</f>
        <v>1</v>
      </c>
      <c r="X116" s="169">
        <f>COUNTIFS(Table9[D2],X$105,Table9[Prodi],$W$102)/$W$104</f>
        <v>0</v>
      </c>
      <c r="Y116" s="169">
        <f>COUNTIFS(Table9[D2],Y$105,Table9[Prodi],$W$102)/$W$104</f>
        <v>0</v>
      </c>
      <c r="Z116" s="169">
        <f>COUNTIFS(Table9[D2],Z$105,Table9[Prodi],$W$102)/$W$104</f>
        <v>0</v>
      </c>
      <c r="AA116" s="62">
        <f t="shared" si="22"/>
        <v>1</v>
      </c>
    </row>
    <row r="117" spans="1:27" ht="16.5" hidden="1" x14ac:dyDescent="0.3">
      <c r="A117" s="172" t="s">
        <v>35</v>
      </c>
      <c r="B117" s="61">
        <f>AVERAGE(B115:B116)</f>
        <v>0.71666666666666667</v>
      </c>
      <c r="C117" s="61">
        <f>AVERAGE(C115:C116)</f>
        <v>0.17333333333333334</v>
      </c>
      <c r="D117" s="61">
        <f>AVERAGE(D115:D116)</f>
        <v>0.11</v>
      </c>
      <c r="E117" s="61">
        <f>AVERAGE(E115:E116)</f>
        <v>0</v>
      </c>
      <c r="F117" s="62">
        <f t="shared" si="19"/>
        <v>1</v>
      </c>
      <c r="H117" s="171"/>
      <c r="I117" s="61">
        <f>AVERAGE(I115:I116)</f>
        <v>0.4</v>
      </c>
      <c r="J117" s="61">
        <f>AVERAGE(J115:J116)</f>
        <v>0.52</v>
      </c>
      <c r="K117" s="61">
        <f>AVERAGE(K115:K116)</f>
        <v>0.08</v>
      </c>
      <c r="L117" s="61">
        <f>AVERAGE(L115:L116)</f>
        <v>0</v>
      </c>
      <c r="M117" s="62">
        <f t="shared" si="20"/>
        <v>1</v>
      </c>
      <c r="O117" s="171"/>
      <c r="P117" s="61">
        <f>AVERAGE(P115:P116)</f>
        <v>0.75</v>
      </c>
      <c r="Q117" s="61">
        <f>AVERAGE(Q115:Q116)</f>
        <v>0</v>
      </c>
      <c r="R117" s="61">
        <f>AVERAGE(R115:R116)</f>
        <v>0.25</v>
      </c>
      <c r="S117" s="61">
        <f>AVERAGE(S115:S116)</f>
        <v>0</v>
      </c>
      <c r="T117" s="62">
        <f t="shared" si="21"/>
        <v>1</v>
      </c>
      <c r="V117" s="171"/>
      <c r="W117" s="61">
        <f>AVERAGE(W115:W116)</f>
        <v>1</v>
      </c>
      <c r="X117" s="61">
        <f>AVERAGE(X115:X116)</f>
        <v>0</v>
      </c>
      <c r="Y117" s="61">
        <f>AVERAGE(Y115:Y116)</f>
        <v>0</v>
      </c>
      <c r="Z117" s="61">
        <f>AVERAGE(Z115:Z116)</f>
        <v>0</v>
      </c>
      <c r="AA117" s="62">
        <f t="shared" si="22"/>
        <v>1</v>
      </c>
    </row>
    <row r="118" spans="1:27" ht="16.5" hidden="1" x14ac:dyDescent="0.3">
      <c r="A118" s="168" t="s">
        <v>36</v>
      </c>
      <c r="B118" s="169">
        <f>COUNTIF(Table9[E1],B$105)/$B$104</f>
        <v>0.7857142857142857</v>
      </c>
      <c r="C118" s="169">
        <f>COUNTIF(Table9[E1],C$105)/$B$104</f>
        <v>0.21428571428571427</v>
      </c>
      <c r="D118" s="169">
        <f>COUNTIF(Table9[E1],D$105)/$B$104</f>
        <v>0</v>
      </c>
      <c r="E118" s="169">
        <f>COUNTIF(Table9[E1],E$105)/$B$104</f>
        <v>0</v>
      </c>
      <c r="F118" s="62">
        <f t="shared" si="19"/>
        <v>1</v>
      </c>
      <c r="H118" s="172" t="s">
        <v>35</v>
      </c>
      <c r="I118" s="169">
        <f>COUNTIFS(Table9[E1],I$105,Table9[Prodi],$I$102)/$I$104</f>
        <v>0.8</v>
      </c>
      <c r="J118" s="169">
        <f>COUNTIFS(Table9[E1],J$105,Table9[Prodi],$I$102)/$I$104</f>
        <v>0.2</v>
      </c>
      <c r="K118" s="169">
        <f>COUNTIFS(Table9[E1],K$105,Table9[Prodi],$I$102)/$I$104</f>
        <v>0</v>
      </c>
      <c r="L118" s="169">
        <f>COUNTIFS(Table9[E1],L$105,Table9[Prodi],$I$102)/$I$104</f>
        <v>0</v>
      </c>
      <c r="M118" s="62">
        <f t="shared" si="20"/>
        <v>1</v>
      </c>
      <c r="O118" s="172" t="s">
        <v>35</v>
      </c>
      <c r="P118" s="169">
        <f>COUNTIFS(Table9[E1],P$105,Table9[Prodi],$P$102)/$P$104</f>
        <v>1</v>
      </c>
      <c r="Q118" s="169">
        <f>COUNTIFS(Table9[E1],Q$105,Table9[Prodi],$P$102)/$P$104</f>
        <v>0</v>
      </c>
      <c r="R118" s="169">
        <f>COUNTIFS(Table9[E1],R$105,Table9[Prodi],$P$102)/$P$104</f>
        <v>0</v>
      </c>
      <c r="S118" s="169">
        <f>COUNTIFS(Table9[E1],S$105,Table9[Prodi],$P$102)/$P$104</f>
        <v>0</v>
      </c>
      <c r="T118" s="62">
        <f t="shared" si="21"/>
        <v>1</v>
      </c>
      <c r="V118" s="172" t="s">
        <v>35</v>
      </c>
      <c r="W118" s="169">
        <f>COUNTIFS(Table9[E1],W$105,Table9[Prodi],$W$102)/$W$104</f>
        <v>0</v>
      </c>
      <c r="X118" s="169">
        <f>COUNTIFS(Table9[E1],X$105,Table9[Prodi],$W$102)/$W$104</f>
        <v>1</v>
      </c>
      <c r="Y118" s="169">
        <f>COUNTIFS(Table9[E1],Y$105,Table9[Prodi],$W$102)/$W$104</f>
        <v>0</v>
      </c>
      <c r="Z118" s="169">
        <f>COUNTIFS(Table9[E1],Z$105,Table9[Prodi],$W$102)/$W$104</f>
        <v>0</v>
      </c>
      <c r="AA118" s="62">
        <f t="shared" si="22"/>
        <v>1</v>
      </c>
    </row>
    <row r="119" spans="1:27" ht="16.5" hidden="1" x14ac:dyDescent="0.3">
      <c r="A119" s="168" t="s">
        <v>1168</v>
      </c>
      <c r="B119" s="169">
        <f>COUNTIF(Table9[E2],B$105)/$B$104</f>
        <v>0.75</v>
      </c>
      <c r="C119" s="169">
        <f>COUNTIF(Table9[E2],C$105)/$B$104</f>
        <v>0.25</v>
      </c>
      <c r="D119" s="169">
        <f>COUNTIF(Table9[E2],D$105)/$B$104</f>
        <v>0</v>
      </c>
      <c r="E119" s="169">
        <f>COUNTIF(Table9[E2],E$105)/$B$104</f>
        <v>0</v>
      </c>
      <c r="F119" s="62">
        <f t="shared" si="19"/>
        <v>1</v>
      </c>
      <c r="H119" s="168" t="s">
        <v>36</v>
      </c>
      <c r="I119" s="169">
        <f>COUNTIFS(Table9[E2],I$105,Table9[Prodi],$I$102)/$I$104</f>
        <v>0.76</v>
      </c>
      <c r="J119" s="169">
        <f>COUNTIFS(Table9[E2],J$105,Table9[Prodi],$I$102)/$I$104</f>
        <v>0.24</v>
      </c>
      <c r="K119" s="169">
        <f>COUNTIFS(Table9[E2],K$105,Table9[Prodi],$I$102)/$I$104</f>
        <v>0</v>
      </c>
      <c r="L119" s="169">
        <f>COUNTIFS(Table9[E2],L$105,Table9[Prodi],$I$102)/$I$104</f>
        <v>0</v>
      </c>
      <c r="M119" s="62">
        <f t="shared" si="20"/>
        <v>1</v>
      </c>
      <c r="O119" s="168" t="s">
        <v>36</v>
      </c>
      <c r="P119" s="169">
        <f>COUNTIFS(Table9[E2],P$105,Table9[Prodi],$P$102)/$P$104</f>
        <v>1</v>
      </c>
      <c r="Q119" s="169">
        <f>COUNTIFS(Table9[E2],Q$105,Table9[Prodi],$P$102)/$P$104</f>
        <v>0</v>
      </c>
      <c r="R119" s="169">
        <f>COUNTIFS(Table9[E2],R$105,Table9[Prodi],$P$102)/$P$104</f>
        <v>0</v>
      </c>
      <c r="S119" s="169">
        <f>COUNTIFS(Table9[E2],S$105,Table9[Prodi],$P$102)/$P$104</f>
        <v>0</v>
      </c>
      <c r="T119" s="62">
        <f t="shared" si="21"/>
        <v>1</v>
      </c>
      <c r="V119" s="168" t="s">
        <v>36</v>
      </c>
      <c r="W119" s="169">
        <f>COUNTIFS(Table9[E2],W$105,Table9[Prodi],$W$102)/$W$104</f>
        <v>0</v>
      </c>
      <c r="X119" s="169">
        <f>COUNTIFS(Table9[E2],X$105,Table9[Prodi],$W$102)/$W$104</f>
        <v>1</v>
      </c>
      <c r="Y119" s="169">
        <f>COUNTIFS(Table9[E2],Y$105,Table9[Prodi],$W$102)/$W$104</f>
        <v>0</v>
      </c>
      <c r="Z119" s="169">
        <f>COUNTIFS(Table9[E2],Z$105,Table9[Prodi],$W$102)/$W$104</f>
        <v>0</v>
      </c>
      <c r="AA119" s="62">
        <f t="shared" si="22"/>
        <v>1</v>
      </c>
    </row>
    <row r="120" spans="1:27" ht="16.5" hidden="1" x14ac:dyDescent="0.3">
      <c r="A120" s="171"/>
      <c r="B120" s="169">
        <f>COUNTIF(Table9[E3],B$105)/$B$104</f>
        <v>0.75</v>
      </c>
      <c r="C120" s="169">
        <f>COUNTIF(Table9[E3],C$105)/$B$104</f>
        <v>0.25</v>
      </c>
      <c r="D120" s="169">
        <f>COUNTIF(Table9[E3],D$105)/$B$104</f>
        <v>0</v>
      </c>
      <c r="E120" s="188">
        <f>(L120+S120+Z120)/3</f>
        <v>0</v>
      </c>
      <c r="F120" s="62">
        <f t="shared" si="19"/>
        <v>1</v>
      </c>
      <c r="H120" s="168" t="s">
        <v>1168</v>
      </c>
      <c r="I120" s="169">
        <f>COUNTIFS(Table9[E3],I$105,Table9[Prodi],$I$102)/$I$104</f>
        <v>0.8</v>
      </c>
      <c r="J120" s="169">
        <f>COUNTIFS(Table9[E3],J$105,Table9[Prodi],$I$102)/$I$104</f>
        <v>0.2</v>
      </c>
      <c r="K120" s="169">
        <f>COUNTIFS(Table9[E3],K$105,Table9[Prodi],$I$102)/$I$104</f>
        <v>0</v>
      </c>
      <c r="L120" s="169">
        <f>COUNTIFS(Table9[E3],L$105,Table9[Prodi],$I$102)/$I$104</f>
        <v>0</v>
      </c>
      <c r="M120" s="62">
        <f t="shared" si="20"/>
        <v>1</v>
      </c>
      <c r="O120" s="168" t="s">
        <v>1168</v>
      </c>
      <c r="P120" s="169">
        <f>COUNTIFS(Table9[E3],P$105,Table9[Prodi],$P$102)/$P$104</f>
        <v>0</v>
      </c>
      <c r="Q120" s="169">
        <f>COUNTIFS(Table9[E3],Q$105,Table9[Prodi],$P$102)/$P$104</f>
        <v>1</v>
      </c>
      <c r="R120" s="169">
        <f>COUNTIFS(Table9[E3],R$105,Table9[Prodi],$P$102)/$P$104</f>
        <v>0</v>
      </c>
      <c r="S120" s="169">
        <f>COUNTIFS(Table9[E3],S$105,Table9[Prodi],$P$102)/$P$104</f>
        <v>0</v>
      </c>
      <c r="T120" s="62">
        <f t="shared" si="21"/>
        <v>1</v>
      </c>
      <c r="V120" s="168" t="s">
        <v>1168</v>
      </c>
      <c r="W120" s="169">
        <f>COUNTIFS(Table9[E3],W$105,Table9[Prodi],$W$102)/$W$104</f>
        <v>1</v>
      </c>
      <c r="X120" s="169">
        <f>COUNTIFS(Table9[E3],X$105,Table9[Prodi],$W$102)/$W$104</f>
        <v>0</v>
      </c>
      <c r="Y120" s="169">
        <f>COUNTIFS(Table9[E3],Y$105,Table9[Prodi],$W$102)/$W$104</f>
        <v>0</v>
      </c>
      <c r="Z120" s="169">
        <f>COUNTIFS(Table9[E3],Z$105,Table9[Prodi],$W$102)/$W$104</f>
        <v>0</v>
      </c>
      <c r="AA120" s="62">
        <f t="shared" si="22"/>
        <v>1</v>
      </c>
    </row>
    <row r="121" spans="1:27" ht="16.5" hidden="1" x14ac:dyDescent="0.3">
      <c r="A121" s="172" t="s">
        <v>37</v>
      </c>
      <c r="B121" s="61">
        <f>AVERAGE(B118:B120)</f>
        <v>0.76190476190476186</v>
      </c>
      <c r="C121" s="61">
        <f>AVERAGE(C118:C120)</f>
        <v>0.23809523809523811</v>
      </c>
      <c r="D121" s="61">
        <f>AVERAGE(D118:D120)</f>
        <v>0</v>
      </c>
      <c r="E121" s="61">
        <f>AVERAGE(E118:E120)</f>
        <v>0</v>
      </c>
      <c r="F121" s="62">
        <f t="shared" si="19"/>
        <v>1</v>
      </c>
      <c r="H121" s="171"/>
      <c r="I121" s="61">
        <f>AVERAGE(I118:I120)</f>
        <v>0.78666666666666674</v>
      </c>
      <c r="J121" s="61">
        <f>AVERAGE(J118:J120)</f>
        <v>0.21333333333333335</v>
      </c>
      <c r="K121" s="61">
        <f>AVERAGE(K118:K120)</f>
        <v>0</v>
      </c>
      <c r="L121" s="61">
        <f>AVERAGE(L118:L120)</f>
        <v>0</v>
      </c>
      <c r="M121" s="62">
        <f t="shared" si="20"/>
        <v>1</v>
      </c>
      <c r="O121" s="171"/>
      <c r="P121" s="61">
        <f>AVERAGE(P118:P120)</f>
        <v>0.66666666666666663</v>
      </c>
      <c r="Q121" s="61">
        <f>AVERAGE(Q118:Q120)</f>
        <v>0.33333333333333331</v>
      </c>
      <c r="R121" s="61">
        <f>AVERAGE(R118:R120)</f>
        <v>0</v>
      </c>
      <c r="S121" s="61">
        <f>AVERAGE(S118:S120)</f>
        <v>0</v>
      </c>
      <c r="T121" s="62">
        <f t="shared" si="21"/>
        <v>1</v>
      </c>
      <c r="V121" s="171"/>
      <c r="W121" s="61">
        <f>AVERAGE(W118:W120)</f>
        <v>0.33333333333333331</v>
      </c>
      <c r="X121" s="61">
        <f>AVERAGE(X118:X120)</f>
        <v>0.66666666666666663</v>
      </c>
      <c r="Y121" s="61">
        <f>AVERAGE(Y118:Y120)</f>
        <v>0</v>
      </c>
      <c r="Z121" s="61">
        <f>AVERAGE(Z118:Z120)</f>
        <v>0</v>
      </c>
      <c r="AA121" s="62">
        <f t="shared" si="22"/>
        <v>1</v>
      </c>
    </row>
    <row r="122" spans="1:27" ht="16.5" hidden="1" x14ac:dyDescent="0.3">
      <c r="A122" s="168" t="s">
        <v>38</v>
      </c>
      <c r="B122" s="188">
        <f t="shared" ref="B122:E124" si="25">(I122+P122+W122)/3</f>
        <v>0.3133333333333333</v>
      </c>
      <c r="C122" s="188">
        <f t="shared" si="25"/>
        <v>0.50666666666666671</v>
      </c>
      <c r="D122" s="188">
        <f t="shared" si="25"/>
        <v>0.18000000000000002</v>
      </c>
      <c r="E122" s="188">
        <f t="shared" si="25"/>
        <v>0</v>
      </c>
      <c r="F122" s="62">
        <f t="shared" si="19"/>
        <v>1</v>
      </c>
      <c r="H122" s="172" t="s">
        <v>37</v>
      </c>
      <c r="I122" s="169">
        <f>COUNTIFS(Table9[F1],I$105,Table9[Prodi],$I$102)/$I$104</f>
        <v>0.44</v>
      </c>
      <c r="J122" s="169">
        <f>COUNTIFS(Table9[F1],J$105,Table9[Prodi],$I$102)/$I$104</f>
        <v>0.52</v>
      </c>
      <c r="K122" s="169">
        <f>COUNTIFS(Table9[F1],K$105,Table9[Prodi],$I$102)/$I$104</f>
        <v>0.04</v>
      </c>
      <c r="L122" s="169">
        <f>COUNTIFS(Table9[F1],L$105,Table9[Prodi],$I$102)/$I$104</f>
        <v>0</v>
      </c>
      <c r="M122" s="62">
        <f t="shared" si="20"/>
        <v>1</v>
      </c>
      <c r="O122" s="172" t="s">
        <v>37</v>
      </c>
      <c r="P122" s="169">
        <f>COUNTIFS(Table9[F1],P$105,Table9[Prodi],$P$102)/$P$104</f>
        <v>0.5</v>
      </c>
      <c r="Q122" s="169">
        <f>COUNTIFS(Table9[F1],Q$105,Table9[Prodi],$P$102)/$P$104</f>
        <v>0</v>
      </c>
      <c r="R122" s="169">
        <f>COUNTIFS(Table9[F1],R$105,Table9[Prodi],$P$102)/$P$104</f>
        <v>0.5</v>
      </c>
      <c r="S122" s="169">
        <f>COUNTIFS(Table9[F1],S$105,Table9[Prodi],$P$102)/$P$104</f>
        <v>0</v>
      </c>
      <c r="T122" s="62">
        <f t="shared" si="21"/>
        <v>1</v>
      </c>
      <c r="V122" s="172" t="s">
        <v>37</v>
      </c>
      <c r="W122" s="169">
        <f>COUNTIFS(Table9[F1],W$105,Table9[Prodi],$W$102)/$W$104</f>
        <v>0</v>
      </c>
      <c r="X122" s="169">
        <f>COUNTIFS(Table9[F1],X$105,Table9[Prodi],$W$102)/$W$104</f>
        <v>1</v>
      </c>
      <c r="Y122" s="169">
        <f>COUNTIFS(Table9[F1],Y$105,Table9[Prodi],$W$102)/$W$104</f>
        <v>0</v>
      </c>
      <c r="Z122" s="169">
        <f>COUNTIFS(Table9[F1],Z$105,Table9[Prodi],$W$102)/$W$104</f>
        <v>0</v>
      </c>
      <c r="AA122" s="62">
        <f t="shared" si="22"/>
        <v>1</v>
      </c>
    </row>
    <row r="123" spans="1:27" ht="16.5" hidden="1" x14ac:dyDescent="0.3">
      <c r="A123" s="168" t="s">
        <v>39</v>
      </c>
      <c r="B123" s="188">
        <f t="shared" si="25"/>
        <v>0.3</v>
      </c>
      <c r="C123" s="188">
        <f t="shared" si="25"/>
        <v>0.70000000000000007</v>
      </c>
      <c r="D123" s="188">
        <f t="shared" si="25"/>
        <v>0</v>
      </c>
      <c r="E123" s="188">
        <f t="shared" si="25"/>
        <v>0</v>
      </c>
      <c r="F123" s="62">
        <f t="shared" si="19"/>
        <v>1</v>
      </c>
      <c r="H123" s="168" t="s">
        <v>38</v>
      </c>
      <c r="I123" s="169">
        <f>COUNTIFS(Table9[F2],I$105,Table9[Prodi],$I$102)/$I$104</f>
        <v>0.4</v>
      </c>
      <c r="J123" s="169">
        <f>COUNTIFS(Table9[F2],J$105,Table9[Prodi],$I$102)/$I$104</f>
        <v>0.6</v>
      </c>
      <c r="K123" s="169">
        <f>COUNTIFS(Table9[F2],K$105,Table9[Prodi],$I$102)/$I$104</f>
        <v>0</v>
      </c>
      <c r="L123" s="169">
        <f>COUNTIFS(Table9[F2],L$105,Table9[Prodi],$I$102)/$I$104</f>
        <v>0</v>
      </c>
      <c r="M123" s="62">
        <f t="shared" si="20"/>
        <v>1</v>
      </c>
      <c r="O123" s="168" t="s">
        <v>38</v>
      </c>
      <c r="P123" s="169">
        <f>COUNTIFS(Table9[F2],P$105,Table9[Prodi],$P$102)/$P$104</f>
        <v>0.5</v>
      </c>
      <c r="Q123" s="169">
        <f>COUNTIFS(Table9[F2],Q$105,Table9[Prodi],$P$102)/$P$104</f>
        <v>0.5</v>
      </c>
      <c r="R123" s="169">
        <f>COUNTIFS(Table9[F2],R$105,Table9[Prodi],$P$102)/$P$104</f>
        <v>0</v>
      </c>
      <c r="S123" s="169">
        <f>COUNTIFS(Table9[F2],S$105,Table9[Prodi],$P$102)/$P$104</f>
        <v>0</v>
      </c>
      <c r="T123" s="62">
        <f t="shared" si="21"/>
        <v>1</v>
      </c>
      <c r="V123" s="168" t="s">
        <v>38</v>
      </c>
      <c r="W123" s="169">
        <f>COUNTIFS(Table9[F2],W$105,Table9[Prodi],$W$102)/$W$104</f>
        <v>0</v>
      </c>
      <c r="X123" s="169">
        <f>COUNTIFS(Table9[F2],X$105,Table9[Prodi],$W$102)/$W$104</f>
        <v>1</v>
      </c>
      <c r="Y123" s="169">
        <f>COUNTIFS(Table9[F2],Y$105,Table9[Prodi],$W$102)/$W$104</f>
        <v>0</v>
      </c>
      <c r="Z123" s="169">
        <f>COUNTIFS(Table9[F2],Z$105,Table9[Prodi],$W$102)/$W$104</f>
        <v>0</v>
      </c>
      <c r="AA123" s="62">
        <f t="shared" si="22"/>
        <v>1</v>
      </c>
    </row>
    <row r="124" spans="1:27" ht="16.5" hidden="1" x14ac:dyDescent="0.3">
      <c r="A124" s="171"/>
      <c r="B124" s="188">
        <f t="shared" si="25"/>
        <v>0.13333333333333333</v>
      </c>
      <c r="C124" s="188">
        <f t="shared" si="25"/>
        <v>0.84</v>
      </c>
      <c r="D124" s="188">
        <f t="shared" si="25"/>
        <v>2.6666666666666668E-2</v>
      </c>
      <c r="E124" s="188">
        <f t="shared" si="25"/>
        <v>0</v>
      </c>
      <c r="F124" s="62">
        <f t="shared" si="19"/>
        <v>0.99999999999999989</v>
      </c>
      <c r="H124" s="168" t="s">
        <v>39</v>
      </c>
      <c r="I124" s="169">
        <f>COUNTIFS(Table9[F3],I$105,Table9[Prodi],$I$102)/$I$104</f>
        <v>0.4</v>
      </c>
      <c r="J124" s="169">
        <f>COUNTIFS(Table9[F3],J$105,Table9[Prodi],$I$102)/$I$104</f>
        <v>0.52</v>
      </c>
      <c r="K124" s="169">
        <f>COUNTIFS(Table9[F3],K$105,Table9[Prodi],$I$102)/$I$104</f>
        <v>0.08</v>
      </c>
      <c r="L124" s="169">
        <f>COUNTIFS(Table9[F3],L$105,Table9[Prodi],$I$102)/$I$104</f>
        <v>0</v>
      </c>
      <c r="M124" s="62">
        <f t="shared" si="20"/>
        <v>1</v>
      </c>
      <c r="O124" s="168" t="s">
        <v>39</v>
      </c>
      <c r="P124" s="169">
        <f>COUNTIFS(Table9[F3],P$105,Table9[Prodi],$P$102)/$P$104</f>
        <v>0</v>
      </c>
      <c r="Q124" s="169">
        <f>COUNTIFS(Table9[F3],Q$105,Table9[Prodi],$P$102)/$P$104</f>
        <v>1</v>
      </c>
      <c r="R124" s="169">
        <f>COUNTIFS(Table9[F3],R$105,Table9[Prodi],$P$102)/$P$104</f>
        <v>0</v>
      </c>
      <c r="S124" s="169">
        <f>COUNTIFS(Table9[F3],S$105,Table9[Prodi],$P$102)/$P$104</f>
        <v>0</v>
      </c>
      <c r="T124" s="62">
        <f t="shared" si="21"/>
        <v>1</v>
      </c>
      <c r="V124" s="168" t="s">
        <v>39</v>
      </c>
      <c r="W124" s="169">
        <f>COUNTIFS(Table9[F3],W$105,Table9[Prodi],$W$102)/$W$104</f>
        <v>0</v>
      </c>
      <c r="X124" s="169">
        <f>COUNTIFS(Table9[F3],X$105,Table9[Prodi],$W$102)/$W$104</f>
        <v>1</v>
      </c>
      <c r="Y124" s="169">
        <f>COUNTIFS(Table9[F3],Y$105,Table9[Prodi],$W$102)/$W$104</f>
        <v>0</v>
      </c>
      <c r="Z124" s="169">
        <f>COUNTIFS(Table9[F3],Z$105,Table9[Prodi],$W$102)/$W$104</f>
        <v>0</v>
      </c>
      <c r="AA124" s="62">
        <f t="shared" si="22"/>
        <v>1</v>
      </c>
    </row>
    <row r="125" spans="1:27" ht="16.5" hidden="1" x14ac:dyDescent="0.3">
      <c r="A125" s="168" t="s">
        <v>40</v>
      </c>
      <c r="B125" s="61">
        <f>AVERAGE(B122:B124)</f>
        <v>0.24888888888888885</v>
      </c>
      <c r="C125" s="61">
        <f>AVERAGE(C122:C124)</f>
        <v>0.68222222222222229</v>
      </c>
      <c r="D125" s="61">
        <f>AVERAGE(D122:D124)</f>
        <v>6.8888888888888902E-2</v>
      </c>
      <c r="E125" s="61">
        <f>AVERAGE(E122:E124)</f>
        <v>0</v>
      </c>
      <c r="F125" s="62">
        <f>SUM(B125:E125)</f>
        <v>1</v>
      </c>
      <c r="H125" s="171"/>
      <c r="I125" s="61">
        <f>AVERAGE(I122:I124)</f>
        <v>0.41333333333333339</v>
      </c>
      <c r="J125" s="61">
        <f>AVERAGE(J122:J124)</f>
        <v>0.54666666666666675</v>
      </c>
      <c r="K125" s="61">
        <f>AVERAGE(K122:K124)</f>
        <v>0.04</v>
      </c>
      <c r="L125" s="61">
        <f>AVERAGE(L122:L124)</f>
        <v>0</v>
      </c>
      <c r="M125" s="62">
        <f>SUM(I125:L125)</f>
        <v>1.0000000000000002</v>
      </c>
      <c r="O125" s="171"/>
      <c r="P125" s="61">
        <f>AVERAGE(P122:P124)</f>
        <v>0.33333333333333331</v>
      </c>
      <c r="Q125" s="61">
        <f>AVERAGE(Q122:Q124)</f>
        <v>0.5</v>
      </c>
      <c r="R125" s="61">
        <f>AVERAGE(R122:R124)</f>
        <v>0.16666666666666666</v>
      </c>
      <c r="S125" s="61">
        <f>AVERAGE(S122:S124)</f>
        <v>0</v>
      </c>
      <c r="T125" s="62">
        <f>SUM(P125:S125)</f>
        <v>0.99999999999999989</v>
      </c>
      <c r="V125" s="171"/>
      <c r="W125" s="61">
        <f>AVERAGE(W122:W124)</f>
        <v>0</v>
      </c>
      <c r="X125" s="61">
        <f>AVERAGE(X122:X124)</f>
        <v>1</v>
      </c>
      <c r="Y125" s="61">
        <f>AVERAGE(Y122:Y124)</f>
        <v>0</v>
      </c>
      <c r="Z125" s="61">
        <f>AVERAGE(Z122:Z124)</f>
        <v>0</v>
      </c>
      <c r="AA125" s="62">
        <f>SUM(W125:Z125)</f>
        <v>1</v>
      </c>
    </row>
    <row r="126" spans="1:27" ht="16.5" hidden="1" x14ac:dyDescent="0.3">
      <c r="A126" s="172" t="s">
        <v>41</v>
      </c>
      <c r="B126" s="188">
        <f t="shared" ref="B126:E128" si="26">(I126+P126+W126)/3</f>
        <v>0.14666666666666667</v>
      </c>
      <c r="C126" s="188">
        <f t="shared" si="26"/>
        <v>0.85333333333333339</v>
      </c>
      <c r="D126" s="188">
        <f t="shared" si="26"/>
        <v>0</v>
      </c>
      <c r="E126" s="188">
        <f t="shared" si="26"/>
        <v>0</v>
      </c>
      <c r="F126" s="62">
        <f t="shared" si="19"/>
        <v>1</v>
      </c>
      <c r="H126" s="168" t="s">
        <v>40</v>
      </c>
      <c r="I126" s="169">
        <f>COUNTIFS(Table9[G1],I$105,Table9[Prodi],$I$102)/$I$104</f>
        <v>0.44</v>
      </c>
      <c r="J126" s="169">
        <f>COUNTIFS(Table9[G1],J$105,Table9[Prodi],$I$102)/$I$104</f>
        <v>0.56000000000000005</v>
      </c>
      <c r="K126" s="169">
        <f>COUNTIFS(Table9[G1],K$105,Table9[Prodi],$I$102)/$I$104</f>
        <v>0</v>
      </c>
      <c r="L126" s="169">
        <f>COUNTIFS(Table9[G1],L$105,Table9[Prodi],$I$102)/$I$104</f>
        <v>0</v>
      </c>
      <c r="M126" s="62">
        <f t="shared" ref="M126:M145" si="27">SUM(I126:L126)</f>
        <v>1</v>
      </c>
      <c r="O126" s="168" t="s">
        <v>40</v>
      </c>
      <c r="P126" s="169">
        <f>COUNTIFS(Table9[G1],P$105,Table9[Prodi],$P$102)/$P$104</f>
        <v>0</v>
      </c>
      <c r="Q126" s="169">
        <f>COUNTIFS(Table9[G1],Q$105,Table9[Prodi],$P$102)/$P$104</f>
        <v>1</v>
      </c>
      <c r="R126" s="169">
        <f>COUNTIFS(Table9[G1],R$105,Table9[Prodi],$P$102)/$P$104</f>
        <v>0</v>
      </c>
      <c r="S126" s="169">
        <f>COUNTIFS(Table9[G1],S$105,Table9[Prodi],$P$102)/$P$104</f>
        <v>0</v>
      </c>
      <c r="T126" s="62">
        <f t="shared" ref="T126:T145" si="28">SUM(P126:S126)</f>
        <v>1</v>
      </c>
      <c r="V126" s="168" t="s">
        <v>40</v>
      </c>
      <c r="W126" s="169">
        <f>COUNTIFS(Table9[G1],W$105,Table9[Prodi],$W$102)/$W$104</f>
        <v>0</v>
      </c>
      <c r="X126" s="169">
        <f>COUNTIFS(Table9[G1],X$105,Table9[Prodi],$W$102)/$W$104</f>
        <v>1</v>
      </c>
      <c r="Y126" s="169">
        <f>COUNTIFS(Table9[G1],Y$105,Table9[Prodi],$W$102)/$W$104</f>
        <v>0</v>
      </c>
      <c r="Z126" s="169">
        <f>COUNTIFS(Table9[G1],Z$105,Table9[Prodi],$W$102)/$W$104</f>
        <v>0</v>
      </c>
      <c r="AA126" s="62">
        <f t="shared" ref="AA126:AA145" si="29">SUM(W126:Z126)</f>
        <v>1</v>
      </c>
    </row>
    <row r="127" spans="1:27" ht="16.5" hidden="1" x14ac:dyDescent="0.3">
      <c r="A127" s="168" t="s">
        <v>1172</v>
      </c>
      <c r="B127" s="188">
        <f t="shared" si="26"/>
        <v>0.64666666666666661</v>
      </c>
      <c r="C127" s="188">
        <f t="shared" si="26"/>
        <v>0.35333333333333333</v>
      </c>
      <c r="D127" s="188">
        <f t="shared" si="26"/>
        <v>0</v>
      </c>
      <c r="E127" s="188">
        <f t="shared" si="26"/>
        <v>0</v>
      </c>
      <c r="F127" s="62">
        <f t="shared" si="19"/>
        <v>1</v>
      </c>
      <c r="H127" s="172" t="s">
        <v>41</v>
      </c>
      <c r="I127" s="169">
        <f>COUNTIFS(Table9[G2],I$105,Table9[Prodi],$I$102)/$I$104</f>
        <v>0.44</v>
      </c>
      <c r="J127" s="169">
        <f>COUNTIFS(Table9[G2],J$105,Table9[Prodi],$I$102)/$I$104</f>
        <v>0.56000000000000005</v>
      </c>
      <c r="K127" s="169">
        <f>COUNTIFS(Table9[G2],K$105,Table9[Prodi],$I$102)/$I$104</f>
        <v>0</v>
      </c>
      <c r="L127" s="169">
        <f>COUNTIFS(Table9[G2],L$105,Table9[Prodi],$I$102)/$I$104</f>
        <v>0</v>
      </c>
      <c r="M127" s="62">
        <f t="shared" si="27"/>
        <v>1</v>
      </c>
      <c r="O127" s="172" t="s">
        <v>41</v>
      </c>
      <c r="P127" s="169">
        <f>COUNTIFS(Table9[G2],P$105,Table9[Prodi],$P$102)/$P$104</f>
        <v>0.5</v>
      </c>
      <c r="Q127" s="169">
        <f>COUNTIFS(Table9[G2],Q$105,Table9[Prodi],$P$102)/$P$104</f>
        <v>0.5</v>
      </c>
      <c r="R127" s="169">
        <f>COUNTIFS(Table9[G2],R$105,Table9[Prodi],$P$102)/$P$104</f>
        <v>0</v>
      </c>
      <c r="S127" s="169">
        <f>COUNTIFS(Table9[G2],S$105,Table9[Prodi],$P$102)/$P$104</f>
        <v>0</v>
      </c>
      <c r="T127" s="62">
        <f t="shared" si="28"/>
        <v>1</v>
      </c>
      <c r="V127" s="172" t="s">
        <v>41</v>
      </c>
      <c r="W127" s="169">
        <f>COUNTIFS(Table9[G2],W$105,Table9[Prodi],$W$102)/$W$104</f>
        <v>1</v>
      </c>
      <c r="X127" s="169">
        <f>COUNTIFS(Table9[G2],X$105,Table9[Prodi],$W$102)/$W$104</f>
        <v>0</v>
      </c>
      <c r="Y127" s="169">
        <f>COUNTIFS(Table9[G2],Y$105,Table9[Prodi],$W$102)/$W$104</f>
        <v>0</v>
      </c>
      <c r="Z127" s="169">
        <f>COUNTIFS(Table9[G2],Z$105,Table9[Prodi],$W$102)/$W$104</f>
        <v>0</v>
      </c>
      <c r="AA127" s="62">
        <f t="shared" si="29"/>
        <v>1</v>
      </c>
    </row>
    <row r="128" spans="1:27" ht="16.5" hidden="1" x14ac:dyDescent="0.3">
      <c r="A128" s="171"/>
      <c r="B128" s="188">
        <f t="shared" si="26"/>
        <v>0.84</v>
      </c>
      <c r="C128" s="188">
        <f t="shared" si="26"/>
        <v>0.16</v>
      </c>
      <c r="D128" s="188">
        <f t="shared" si="26"/>
        <v>0</v>
      </c>
      <c r="E128" s="188">
        <f t="shared" si="26"/>
        <v>0</v>
      </c>
      <c r="F128" s="62">
        <f t="shared" si="19"/>
        <v>1</v>
      </c>
      <c r="H128" s="168" t="s">
        <v>1172</v>
      </c>
      <c r="I128" s="169">
        <f>COUNTIFS(Table9[G3],I$105,Table9[Prodi],$I$102)/$I$104</f>
        <v>0.52</v>
      </c>
      <c r="J128" s="169">
        <f>COUNTIFS(Table9[G3],J$105,Table9[Prodi],$I$102)/$I$104</f>
        <v>0.48</v>
      </c>
      <c r="K128" s="169">
        <f>COUNTIFS(Table9[G3],K$105,Table9[Prodi],$I$102)/$I$104</f>
        <v>0</v>
      </c>
      <c r="L128" s="169">
        <f>COUNTIFS(Table9[G3],L$105,Table9[Prodi],$I$102)/$I$104</f>
        <v>0</v>
      </c>
      <c r="M128" s="62">
        <f t="shared" si="27"/>
        <v>1</v>
      </c>
      <c r="O128" s="168" t="s">
        <v>1172</v>
      </c>
      <c r="P128" s="169">
        <f>COUNTIFS(Table9[G3],P$105,Table9[Prodi],$P$102)/$P$104</f>
        <v>1</v>
      </c>
      <c r="Q128" s="169">
        <f>COUNTIFS(Table9[G3],Q$105,Table9[Prodi],$P$102)/$P$104</f>
        <v>0</v>
      </c>
      <c r="R128" s="169">
        <f>COUNTIFS(Table9[G3],R$105,Table9[Prodi],$P$102)/$P$104</f>
        <v>0</v>
      </c>
      <c r="S128" s="169">
        <f>COUNTIFS(Table9[G3],S$105,Table9[Prodi],$P$102)/$P$104</f>
        <v>0</v>
      </c>
      <c r="T128" s="62">
        <f t="shared" si="28"/>
        <v>1</v>
      </c>
      <c r="V128" s="168" t="s">
        <v>1172</v>
      </c>
      <c r="W128" s="169">
        <f>COUNTIFS(Table9[G3],W$105,Table9[Prodi],$W$102)/$W$104</f>
        <v>1</v>
      </c>
      <c r="X128" s="169">
        <f>COUNTIFS(Table9[G3],X$105,Table9[Prodi],$W$102)/$W$104</f>
        <v>0</v>
      </c>
      <c r="Y128" s="169">
        <f>COUNTIFS(Table9[G3],Y$105,Table9[Prodi],$W$102)/$W$104</f>
        <v>0</v>
      </c>
      <c r="Z128" s="169">
        <f>COUNTIFS(Table9[G3],Z$105,Table9[Prodi],$W$102)/$W$104</f>
        <v>0</v>
      </c>
      <c r="AA128" s="62">
        <f t="shared" si="29"/>
        <v>1</v>
      </c>
    </row>
    <row r="129" spans="1:27" ht="16.5" hidden="1" x14ac:dyDescent="0.3">
      <c r="A129" s="168" t="s">
        <v>42</v>
      </c>
      <c r="B129" s="61">
        <f>AVERAGE(B126:B128)</f>
        <v>0.5444444444444444</v>
      </c>
      <c r="C129" s="61">
        <f>AVERAGE(C126:C128)</f>
        <v>0.45555555555555555</v>
      </c>
      <c r="D129" s="61">
        <f>AVERAGE(D126:D128)</f>
        <v>0</v>
      </c>
      <c r="E129" s="61">
        <f>AVERAGE(E126:E128)</f>
        <v>0</v>
      </c>
      <c r="F129" s="62">
        <f t="shared" si="19"/>
        <v>1</v>
      </c>
      <c r="H129" s="171"/>
      <c r="I129" s="61">
        <f>AVERAGE(I126:I128)</f>
        <v>0.46666666666666662</v>
      </c>
      <c r="J129" s="61">
        <f>AVERAGE(J126:J128)</f>
        <v>0.53333333333333333</v>
      </c>
      <c r="K129" s="61">
        <f>AVERAGE(K126:K128)</f>
        <v>0</v>
      </c>
      <c r="L129" s="61">
        <f>AVERAGE(L126:L128)</f>
        <v>0</v>
      </c>
      <c r="M129" s="62">
        <f t="shared" si="27"/>
        <v>1</v>
      </c>
      <c r="O129" s="171"/>
      <c r="P129" s="61">
        <f>AVERAGE(P126:P128)</f>
        <v>0.5</v>
      </c>
      <c r="Q129" s="61">
        <f>AVERAGE(Q126:Q128)</f>
        <v>0.5</v>
      </c>
      <c r="R129" s="61">
        <f>AVERAGE(R126:R128)</f>
        <v>0</v>
      </c>
      <c r="S129" s="61">
        <f>AVERAGE(S126:S128)</f>
        <v>0</v>
      </c>
      <c r="T129" s="62">
        <f t="shared" si="28"/>
        <v>1</v>
      </c>
      <c r="V129" s="171"/>
      <c r="W129" s="61">
        <f>AVERAGE(W126:W128)</f>
        <v>0.66666666666666663</v>
      </c>
      <c r="X129" s="61">
        <f>AVERAGE(X126:X128)</f>
        <v>0.33333333333333331</v>
      </c>
      <c r="Y129" s="61">
        <f>AVERAGE(Y126:Y128)</f>
        <v>0</v>
      </c>
      <c r="Z129" s="61">
        <f>AVERAGE(Z126:Z128)</f>
        <v>0</v>
      </c>
      <c r="AA129" s="62">
        <f t="shared" si="29"/>
        <v>1</v>
      </c>
    </row>
    <row r="130" spans="1:27" ht="16.5" hidden="1" x14ac:dyDescent="0.3">
      <c r="A130" s="172" t="s">
        <v>43</v>
      </c>
      <c r="B130" s="188">
        <f t="shared" ref="B130:E133" si="30">(I130+P130+W130)/3</f>
        <v>0.12</v>
      </c>
      <c r="C130" s="188">
        <f t="shared" si="30"/>
        <v>0.68666666666666665</v>
      </c>
      <c r="D130" s="188">
        <f t="shared" si="30"/>
        <v>0.19333333333333333</v>
      </c>
      <c r="E130" s="188">
        <f t="shared" si="30"/>
        <v>0</v>
      </c>
      <c r="F130" s="62">
        <f t="shared" si="19"/>
        <v>1</v>
      </c>
      <c r="H130" s="168" t="s">
        <v>42</v>
      </c>
      <c r="I130" s="169">
        <f>COUNTIFS(Table9[H1],I$105,Table9[Prodi],$I$102)/$I$104</f>
        <v>0.36</v>
      </c>
      <c r="J130" s="169">
        <f>COUNTIFS(Table9[H1],J$105,Table9[Prodi],$I$102)/$I$104</f>
        <v>0.56000000000000005</v>
      </c>
      <c r="K130" s="169">
        <f>COUNTIFS(Table9[H1],K$105,Table9[Prodi],$I$102)/$I$104</f>
        <v>0.08</v>
      </c>
      <c r="L130" s="169">
        <f>COUNTIFS(Table9[H1],L$105,Table9[Prodi],$I$102)/$I$104</f>
        <v>0</v>
      </c>
      <c r="M130" s="62">
        <f t="shared" si="27"/>
        <v>1</v>
      </c>
      <c r="O130" s="168" t="s">
        <v>42</v>
      </c>
      <c r="P130" s="169">
        <f>COUNTIFS(Table9[H1],P$105,Table9[Prodi],$P$102)/$P$104</f>
        <v>0</v>
      </c>
      <c r="Q130" s="169">
        <f>COUNTIFS(Table9[H1],Q$105,Table9[Prodi],$P$102)/$P$104</f>
        <v>0.5</v>
      </c>
      <c r="R130" s="169">
        <f>COUNTIFS(Table9[H1],R$105,Table9[Prodi],$P$102)/$P$104</f>
        <v>0.5</v>
      </c>
      <c r="S130" s="169">
        <f>COUNTIFS(Table9[H1],S$105,Table9[Prodi],$P$102)/$P$104</f>
        <v>0</v>
      </c>
      <c r="T130" s="62">
        <f t="shared" si="28"/>
        <v>1</v>
      </c>
      <c r="V130" s="168" t="s">
        <v>42</v>
      </c>
      <c r="W130" s="169">
        <f>COUNTIFS(Table9[H1],W$105,Table9[Prodi],$W$102)/$W$104</f>
        <v>0</v>
      </c>
      <c r="X130" s="169">
        <f>COUNTIFS(Table9[H1],X$105,Table9[Prodi],$W$102)/$W$104</f>
        <v>1</v>
      </c>
      <c r="Y130" s="169">
        <f>COUNTIFS(Table9[H1],Y$105,Table9[Prodi],$W$102)/$W$104</f>
        <v>0</v>
      </c>
      <c r="Z130" s="169">
        <f>COUNTIFS(Table9[H1],Z$105,Table9[Prodi],$W$102)/$W$104</f>
        <v>0</v>
      </c>
      <c r="AA130" s="62">
        <f t="shared" si="29"/>
        <v>1</v>
      </c>
    </row>
    <row r="131" spans="1:27" ht="16.5" hidden="1" x14ac:dyDescent="0.3">
      <c r="A131" s="168" t="s">
        <v>44</v>
      </c>
      <c r="B131" s="188">
        <f t="shared" si="30"/>
        <v>0.78666666666666663</v>
      </c>
      <c r="C131" s="188">
        <f t="shared" si="30"/>
        <v>0.21333333333333335</v>
      </c>
      <c r="D131" s="188">
        <f t="shared" si="30"/>
        <v>0</v>
      </c>
      <c r="E131" s="188">
        <f t="shared" si="30"/>
        <v>0</v>
      </c>
      <c r="F131" s="62">
        <f t="shared" si="19"/>
        <v>1</v>
      </c>
      <c r="H131" s="172" t="s">
        <v>43</v>
      </c>
      <c r="I131" s="169">
        <f>COUNTIFS(Table9[H2],I$105,Table9[Prodi],$I$102)/$I$104</f>
        <v>0.36</v>
      </c>
      <c r="J131" s="169">
        <f>COUNTIFS(Table9[H2],J$105,Table9[Prodi],$I$102)/$I$104</f>
        <v>0.64</v>
      </c>
      <c r="K131" s="169">
        <f>COUNTIFS(Table9[H2],K$105,Table9[Prodi],$I$102)/$I$104</f>
        <v>0</v>
      </c>
      <c r="L131" s="169">
        <f>COUNTIFS(Table9[H2],L$105,Table9[Prodi],$I$102)/$I$104</f>
        <v>0</v>
      </c>
      <c r="M131" s="62">
        <f t="shared" si="27"/>
        <v>1</v>
      </c>
      <c r="O131" s="172" t="s">
        <v>43</v>
      </c>
      <c r="P131" s="169">
        <f>COUNTIFS(Table9[H2],P$105,Table9[Prodi],$P$102)/$P$104</f>
        <v>1</v>
      </c>
      <c r="Q131" s="169">
        <f>COUNTIFS(Table9[H2],Q$105,Table9[Prodi],$P$102)/$P$104</f>
        <v>0</v>
      </c>
      <c r="R131" s="169">
        <f>COUNTIFS(Table9[H2],R$105,Table9[Prodi],$P$102)/$P$104</f>
        <v>0</v>
      </c>
      <c r="S131" s="169">
        <f>COUNTIFS(Table9[H2],S$105,Table9[Prodi],$P$102)/$P$104</f>
        <v>0</v>
      </c>
      <c r="T131" s="62">
        <f t="shared" si="28"/>
        <v>1</v>
      </c>
      <c r="V131" s="172" t="s">
        <v>43</v>
      </c>
      <c r="W131" s="169">
        <f>COUNTIFS(Table9[H2],W$105,Table9[Prodi],$W$102)/$W$104</f>
        <v>1</v>
      </c>
      <c r="X131" s="169">
        <f>COUNTIFS(Table9[H2],X$105,Table9[Prodi],$W$102)/$W$104</f>
        <v>0</v>
      </c>
      <c r="Y131" s="169">
        <f>COUNTIFS(Table9[H2],Y$105,Table9[Prodi],$W$102)/$W$104</f>
        <v>0</v>
      </c>
      <c r="Z131" s="169">
        <f>COUNTIFS(Table9[H2],Z$105,Table9[Prodi],$W$102)/$W$104</f>
        <v>0</v>
      </c>
      <c r="AA131" s="62">
        <f t="shared" si="29"/>
        <v>1</v>
      </c>
    </row>
    <row r="132" spans="1:27" ht="16.5" hidden="1" x14ac:dyDescent="0.3">
      <c r="A132" s="168" t="s">
        <v>45</v>
      </c>
      <c r="B132" s="188">
        <f t="shared" si="30"/>
        <v>0.45333333333333331</v>
      </c>
      <c r="C132" s="188">
        <f t="shared" si="30"/>
        <v>0.54666666666666675</v>
      </c>
      <c r="D132" s="188">
        <f t="shared" si="30"/>
        <v>0</v>
      </c>
      <c r="E132" s="188">
        <f t="shared" si="30"/>
        <v>0</v>
      </c>
      <c r="F132" s="62">
        <f t="shared" si="19"/>
        <v>1</v>
      </c>
      <c r="H132" s="168" t="s">
        <v>44</v>
      </c>
      <c r="I132" s="169">
        <f>COUNTIFS(Table9[H3],I$105,Table9[Prodi],$I$102)/$I$104</f>
        <v>0.36</v>
      </c>
      <c r="J132" s="169">
        <f>COUNTIFS(Table9[H3],J$105,Table9[Prodi],$I$102)/$I$104</f>
        <v>0.64</v>
      </c>
      <c r="K132" s="169">
        <f>COUNTIFS(Table9[H3],K$105,Table9[Prodi],$I$102)/$I$104</f>
        <v>0</v>
      </c>
      <c r="L132" s="169">
        <f>COUNTIFS(Table9[H3],L$105,Table9[Prodi],$I$102)/$I$104</f>
        <v>0</v>
      </c>
      <c r="M132" s="62">
        <f t="shared" si="27"/>
        <v>1</v>
      </c>
      <c r="O132" s="168" t="s">
        <v>44</v>
      </c>
      <c r="P132" s="169">
        <f>COUNTIFS(Table9[H3],P$105,Table9[Prodi],$P$102)/$P$104</f>
        <v>0</v>
      </c>
      <c r="Q132" s="169">
        <f>COUNTIFS(Table9[H3],Q$105,Table9[Prodi],$P$102)/$P$104</f>
        <v>1</v>
      </c>
      <c r="R132" s="169">
        <f>COUNTIFS(Table9[H3],R$105,Table9[Prodi],$P$102)/$P$104</f>
        <v>0</v>
      </c>
      <c r="S132" s="169">
        <f>COUNTIFS(Table9[H3],S$105,Table9[Prodi],$P$102)/$P$104</f>
        <v>0</v>
      </c>
      <c r="T132" s="62">
        <f t="shared" si="28"/>
        <v>1</v>
      </c>
      <c r="V132" s="168" t="s">
        <v>44</v>
      </c>
      <c r="W132" s="169">
        <f>COUNTIFS(Table9[H3],W$105,Table9[Prodi],$W$102)/$W$104</f>
        <v>1</v>
      </c>
      <c r="X132" s="169">
        <f>COUNTIFS(Table9[H3],X$105,Table9[Prodi],$W$102)/$W$104</f>
        <v>0</v>
      </c>
      <c r="Y132" s="169">
        <f>COUNTIFS(Table9[H3],Y$105,Table9[Prodi],$W$102)/$W$104</f>
        <v>0</v>
      </c>
      <c r="Z132" s="169">
        <f>COUNTIFS(Table9[H3],Z$105,Table9[Prodi],$W$102)/$W$104</f>
        <v>0</v>
      </c>
      <c r="AA132" s="62">
        <f t="shared" si="29"/>
        <v>1</v>
      </c>
    </row>
    <row r="133" spans="1:27" ht="16.5" hidden="1" x14ac:dyDescent="0.3">
      <c r="A133" s="171"/>
      <c r="B133" s="188">
        <f t="shared" si="30"/>
        <v>0.50666666666666671</v>
      </c>
      <c r="C133" s="188">
        <f t="shared" si="30"/>
        <v>0.49333333333333335</v>
      </c>
      <c r="D133" s="188">
        <f t="shared" si="30"/>
        <v>0</v>
      </c>
      <c r="E133" s="188">
        <f t="shared" si="30"/>
        <v>0</v>
      </c>
      <c r="F133" s="62">
        <f t="shared" si="19"/>
        <v>1</v>
      </c>
      <c r="H133" s="168" t="s">
        <v>45</v>
      </c>
      <c r="I133" s="169">
        <f>COUNTIFS(Table9[H4],I$105,Table9[Prodi],$I$102)/$I$104</f>
        <v>0.52</v>
      </c>
      <c r="J133" s="169">
        <f>COUNTIFS(Table9[H4],J$105,Table9[Prodi],$I$102)/$I$104</f>
        <v>0.48</v>
      </c>
      <c r="K133" s="169">
        <f>COUNTIFS(Table9[H4],K$105,Table9[Prodi],$I$102)/$I$104</f>
        <v>0</v>
      </c>
      <c r="L133" s="169">
        <f>COUNTIFS(Table9[H4],L$105,Table9[Prodi],$I$102)/$I$104</f>
        <v>0</v>
      </c>
      <c r="M133" s="62">
        <f t="shared" si="27"/>
        <v>1</v>
      </c>
      <c r="O133" s="168" t="s">
        <v>45</v>
      </c>
      <c r="P133" s="169">
        <f>COUNTIFS(Table9[H4],P$105,Table9[Prodi],$P$102)/$P$104</f>
        <v>0</v>
      </c>
      <c r="Q133" s="169">
        <f>COUNTIFS(Table9[H4],Q$105,Table9[Prodi],$P$102)/$P$104</f>
        <v>1</v>
      </c>
      <c r="R133" s="169">
        <f>COUNTIFS(Table9[H4],R$105,Table9[Prodi],$P$102)/$P$104</f>
        <v>0</v>
      </c>
      <c r="S133" s="169">
        <f>COUNTIFS(Table9[H4],S$105,Table9[Prodi],$P$102)/$P$104</f>
        <v>0</v>
      </c>
      <c r="T133" s="62">
        <f t="shared" si="28"/>
        <v>1</v>
      </c>
      <c r="V133" s="168" t="s">
        <v>45</v>
      </c>
      <c r="W133" s="169">
        <f>COUNTIFS(Table9[H4],W$105,Table9[Prodi],$W$102)/$W$104</f>
        <v>1</v>
      </c>
      <c r="X133" s="169">
        <f>COUNTIFS(Table9[H4],X$105,Table9[Prodi],$W$102)/$W$104</f>
        <v>0</v>
      </c>
      <c r="Y133" s="169">
        <f>COUNTIFS(Table9[H4],Y$105,Table9[Prodi],$W$102)/$W$104</f>
        <v>0</v>
      </c>
      <c r="Z133" s="169">
        <f>COUNTIFS(Table9[H4],Z$105,Table9[Prodi],$W$102)/$W$104</f>
        <v>0</v>
      </c>
      <c r="AA133" s="62">
        <f t="shared" si="29"/>
        <v>1</v>
      </c>
    </row>
    <row r="134" spans="1:27" ht="16.5" hidden="1" x14ac:dyDescent="0.3">
      <c r="A134" s="168" t="s">
        <v>1175</v>
      </c>
      <c r="B134" s="61">
        <f>AVERAGE(B130:B133)</f>
        <v>0.46666666666666667</v>
      </c>
      <c r="C134" s="61">
        <f>AVERAGE(C130:C133)</f>
        <v>0.48500000000000004</v>
      </c>
      <c r="D134" s="61">
        <f>AVERAGE(D130:D133)</f>
        <v>4.8333333333333332E-2</v>
      </c>
      <c r="E134" s="61">
        <f>AVERAGE(E130:E133)</f>
        <v>0</v>
      </c>
      <c r="F134" s="62">
        <f t="shared" si="19"/>
        <v>1</v>
      </c>
      <c r="H134" s="171"/>
      <c r="I134" s="61">
        <f>AVERAGE(I130:I133)</f>
        <v>0.4</v>
      </c>
      <c r="J134" s="61">
        <f>AVERAGE(J130:J133)</f>
        <v>0.58000000000000007</v>
      </c>
      <c r="K134" s="61">
        <f>AVERAGE(K130:K133)</f>
        <v>0.02</v>
      </c>
      <c r="L134" s="61">
        <f>AVERAGE(L130:L133)</f>
        <v>0</v>
      </c>
      <c r="M134" s="62">
        <f t="shared" si="27"/>
        <v>1</v>
      </c>
      <c r="O134" s="171"/>
      <c r="P134" s="61">
        <f>AVERAGE(P130:P133)</f>
        <v>0.25</v>
      </c>
      <c r="Q134" s="61">
        <f>AVERAGE(Q130:Q133)</f>
        <v>0.625</v>
      </c>
      <c r="R134" s="61">
        <f>AVERAGE(R130:R133)</f>
        <v>0.125</v>
      </c>
      <c r="S134" s="61">
        <f>AVERAGE(S130:S133)</f>
        <v>0</v>
      </c>
      <c r="T134" s="62">
        <f t="shared" si="28"/>
        <v>1</v>
      </c>
      <c r="V134" s="171"/>
      <c r="W134" s="61">
        <f>AVERAGE(W130:W133)</f>
        <v>0.75</v>
      </c>
      <c r="X134" s="61">
        <f>AVERAGE(X130:X133)</f>
        <v>0.25</v>
      </c>
      <c r="Y134" s="61">
        <f>AVERAGE(Y130:Y133)</f>
        <v>0</v>
      </c>
      <c r="Z134" s="61">
        <f>AVERAGE(Z130:Z133)</f>
        <v>0</v>
      </c>
      <c r="AA134" s="62">
        <f t="shared" si="29"/>
        <v>1</v>
      </c>
    </row>
    <row r="135" spans="1:27" ht="16.5" hidden="1" x14ac:dyDescent="0.3">
      <c r="A135" s="172" t="s">
        <v>1176</v>
      </c>
      <c r="B135" s="188">
        <f t="shared" ref="B135:E139" si="31">(I135+P135+W135)/3</f>
        <v>0.32666666666666666</v>
      </c>
      <c r="C135" s="188">
        <f t="shared" si="31"/>
        <v>0</v>
      </c>
      <c r="D135" s="188">
        <f t="shared" si="31"/>
        <v>0</v>
      </c>
      <c r="E135" s="188">
        <f t="shared" si="31"/>
        <v>0.67333333333333334</v>
      </c>
      <c r="F135" s="62">
        <f t="shared" si="19"/>
        <v>1</v>
      </c>
      <c r="H135" s="168" t="s">
        <v>1175</v>
      </c>
      <c r="I135" s="169">
        <f>COUNTIFS(Table9[I1.1],I$105,Table9[Prodi],$I$102)/$I$104</f>
        <v>0.48</v>
      </c>
      <c r="J135" s="169">
        <f>COUNTIFS(Table9[I1.1],J$105,Table9[Prodi],$I$102)/$I$104</f>
        <v>0</v>
      </c>
      <c r="K135" s="169">
        <f>COUNTIFS(Table9[I1.1],K$105,Table9[Prodi],$I$102)/$I$104</f>
        <v>0</v>
      </c>
      <c r="L135" s="169">
        <f>COUNTIFS(Table9[I1.1],L$105,Table9[Prodi],$I$102)/$I$104</f>
        <v>0.52</v>
      </c>
      <c r="M135" s="62">
        <f t="shared" si="27"/>
        <v>1</v>
      </c>
      <c r="O135" s="168" t="s">
        <v>1175</v>
      </c>
      <c r="P135" s="169">
        <f>COUNTIFS(Table9[I1.1],P$105,Table9[Prodi],$P$102)/$P$104</f>
        <v>0.5</v>
      </c>
      <c r="Q135" s="169">
        <f>COUNTIFS(Table9[I1.1],Q$105,Table9[Prodi],$P$102)/$P$104</f>
        <v>0</v>
      </c>
      <c r="R135" s="169">
        <f>COUNTIFS(Table9[I1.1],R$105,Table9[Prodi],$P$102)/$P$104</f>
        <v>0</v>
      </c>
      <c r="S135" s="169">
        <f>COUNTIFS(Table9[I1.1],S$105,Table9[Prodi],$P$102)/$P$104</f>
        <v>0.5</v>
      </c>
      <c r="T135" s="62">
        <f t="shared" si="28"/>
        <v>1</v>
      </c>
      <c r="V135" s="168" t="s">
        <v>1175</v>
      </c>
      <c r="W135" s="169">
        <f>COUNTIFS(Table9[I1.1],W$105,Table9[Prodi],$W$102)/$W$104</f>
        <v>0</v>
      </c>
      <c r="X135" s="169">
        <f>COUNTIFS(Table9[I1.1],X$105,Table9[Prodi],$W$102)/$W$104</f>
        <v>0</v>
      </c>
      <c r="Y135" s="169">
        <f>COUNTIFS(Table9[I1.1],Y$105,Table9[Prodi],$W$102)/$W$104</f>
        <v>0</v>
      </c>
      <c r="Z135" s="169">
        <f>COUNTIFS(Table9[I1.1],Z$105,Table9[Prodi],$W$102)/$W$104</f>
        <v>1</v>
      </c>
      <c r="AA135" s="62">
        <f t="shared" si="29"/>
        <v>1</v>
      </c>
    </row>
    <row r="136" spans="1:27" ht="16.5" hidden="1" x14ac:dyDescent="0.3">
      <c r="A136" s="168" t="s">
        <v>1177</v>
      </c>
      <c r="B136" s="188">
        <f t="shared" si="31"/>
        <v>0.32666666666666666</v>
      </c>
      <c r="C136" s="188">
        <f t="shared" si="31"/>
        <v>0</v>
      </c>
      <c r="D136" s="188">
        <f t="shared" si="31"/>
        <v>0.67333333333333334</v>
      </c>
      <c r="E136" s="188">
        <f t="shared" si="31"/>
        <v>0</v>
      </c>
      <c r="F136" s="62">
        <f t="shared" si="19"/>
        <v>1</v>
      </c>
      <c r="H136" s="172" t="s">
        <v>1176</v>
      </c>
      <c r="I136" s="169">
        <f>COUNTIFS(Table9[I1.2],I$105,Table9[Prodi],$I$102)/$I$104</f>
        <v>0.48</v>
      </c>
      <c r="J136" s="169">
        <f>COUNTIFS(Table9[I1.2],J$105,Table9[Prodi],$I$102)/$I$104</f>
        <v>0</v>
      </c>
      <c r="K136" s="169">
        <f>COUNTIFS(Table9[I1.2],K$105,Table9[Prodi],$I$102)/$I$104</f>
        <v>0.52</v>
      </c>
      <c r="L136" s="169">
        <f>COUNTIFS(Table9[I1.2],L$105,Table9[Prodi],$I$102)/$I$104</f>
        <v>0</v>
      </c>
      <c r="M136" s="62">
        <f t="shared" si="27"/>
        <v>1</v>
      </c>
      <c r="O136" s="172" t="s">
        <v>1176</v>
      </c>
      <c r="P136" s="169">
        <f>COUNTIFS(Table9[I1.2],P$105,Table9[Prodi],$P$102)/$P$104</f>
        <v>0.5</v>
      </c>
      <c r="Q136" s="169">
        <f>COUNTIFS(Table9[I1.2],Q$105,Table9[Prodi],$P$102)/$P$104</f>
        <v>0</v>
      </c>
      <c r="R136" s="169">
        <f>COUNTIFS(Table9[I1.2],R$105,Table9[Prodi],$P$102)/$P$104</f>
        <v>0.5</v>
      </c>
      <c r="S136" s="169">
        <f>COUNTIFS(Table9[I1.2],S$105,Table9[Prodi],$P$102)/$P$104</f>
        <v>0</v>
      </c>
      <c r="T136" s="62">
        <f t="shared" si="28"/>
        <v>1</v>
      </c>
      <c r="V136" s="172" t="s">
        <v>1176</v>
      </c>
      <c r="W136" s="169">
        <f>COUNTIFS(Table9[I1.2],W$105,Table9[Prodi],$W$102)/$W$104</f>
        <v>0</v>
      </c>
      <c r="X136" s="169">
        <f>COUNTIFS(Table9[I1.2],X$105,Table9[Prodi],$W$102)/$W$104</f>
        <v>0</v>
      </c>
      <c r="Y136" s="169">
        <f>COUNTIFS(Table9[I1.2],Y$105,Table9[Prodi],$W$102)/$W$104</f>
        <v>1</v>
      </c>
      <c r="Z136" s="169">
        <f>COUNTIFS(Table9[I1.2],Z$105,Table9[Prodi],$W$102)/$W$104</f>
        <v>0</v>
      </c>
      <c r="AA136" s="62">
        <f t="shared" si="29"/>
        <v>1</v>
      </c>
    </row>
    <row r="137" spans="1:27" ht="16.5" hidden="1" x14ac:dyDescent="0.3">
      <c r="A137" s="168" t="s">
        <v>1178</v>
      </c>
      <c r="B137" s="188">
        <f t="shared" si="31"/>
        <v>0.32666666666666666</v>
      </c>
      <c r="C137" s="188">
        <f t="shared" si="31"/>
        <v>0</v>
      </c>
      <c r="D137" s="188">
        <f t="shared" si="31"/>
        <v>0.67333333333333334</v>
      </c>
      <c r="E137" s="188">
        <f t="shared" si="31"/>
        <v>0</v>
      </c>
      <c r="F137" s="62">
        <f t="shared" si="19"/>
        <v>1</v>
      </c>
      <c r="H137" s="168" t="s">
        <v>1177</v>
      </c>
      <c r="I137" s="169">
        <f>COUNTIFS(Table9[I1.3],I$105,Table9[Prodi],$I$102)/$I$104</f>
        <v>0.48</v>
      </c>
      <c r="J137" s="169">
        <f>COUNTIFS(Table9[I1.3],J$105,Table9[Prodi],$I$102)/$I$104</f>
        <v>0</v>
      </c>
      <c r="K137" s="169">
        <f>COUNTIFS(Table9[I1.3],K$105,Table9[Prodi],$I$102)/$I$104</f>
        <v>0.52</v>
      </c>
      <c r="L137" s="169">
        <f>COUNTIFS(Table9[I1.3],L$105,Table9[Prodi],$I$102)/$I$104</f>
        <v>0</v>
      </c>
      <c r="M137" s="62">
        <f t="shared" si="27"/>
        <v>1</v>
      </c>
      <c r="O137" s="168" t="s">
        <v>1177</v>
      </c>
      <c r="P137" s="169">
        <f>COUNTIFS(Table9[I1.3],P$105,Table9[Prodi],$P$102)/$P$104</f>
        <v>0.5</v>
      </c>
      <c r="Q137" s="169">
        <f>COUNTIFS(Table9[I1.3],Q$105,Table9[Prodi],$P$102)/$P$104</f>
        <v>0</v>
      </c>
      <c r="R137" s="169">
        <f>COUNTIFS(Table9[I1.3],R$105,Table9[Prodi],$P$102)/$P$104</f>
        <v>0.5</v>
      </c>
      <c r="S137" s="169">
        <f>COUNTIFS(Table9[I1.3],S$105,Table9[Prodi],$P$102)/$P$104</f>
        <v>0</v>
      </c>
      <c r="T137" s="62">
        <f t="shared" si="28"/>
        <v>1</v>
      </c>
      <c r="V137" s="168" t="s">
        <v>1177</v>
      </c>
      <c r="W137" s="169">
        <f>COUNTIFS(Table9[I1.3],W$105,Table9[Prodi],$W$102)/$W$104</f>
        <v>0</v>
      </c>
      <c r="X137" s="169">
        <f>COUNTIFS(Table9[I1.3],X$105,Table9[Prodi],$W$102)/$W$104</f>
        <v>0</v>
      </c>
      <c r="Y137" s="169">
        <f>COUNTIFS(Table9[I1.3],Y$105,Table9[Prodi],$W$102)/$W$104</f>
        <v>1</v>
      </c>
      <c r="Z137" s="169">
        <f>COUNTIFS(Table9[I1.3],Z$105,Table9[Prodi],$W$102)/$W$104</f>
        <v>0</v>
      </c>
      <c r="AA137" s="62">
        <f t="shared" si="29"/>
        <v>1</v>
      </c>
    </row>
    <row r="138" spans="1:27" ht="16.5" hidden="1" x14ac:dyDescent="0.3">
      <c r="A138" s="168" t="s">
        <v>1179</v>
      </c>
      <c r="B138" s="188">
        <f t="shared" si="31"/>
        <v>0</v>
      </c>
      <c r="C138" s="188">
        <f t="shared" si="31"/>
        <v>0.32666666666666666</v>
      </c>
      <c r="D138" s="188">
        <f t="shared" si="31"/>
        <v>0.67333333333333334</v>
      </c>
      <c r="E138" s="188">
        <f t="shared" si="31"/>
        <v>0</v>
      </c>
      <c r="F138" s="62">
        <f t="shared" si="19"/>
        <v>1</v>
      </c>
      <c r="H138" s="168" t="s">
        <v>1178</v>
      </c>
      <c r="I138" s="169">
        <f>COUNTIFS(Table9[I1.4],I$105,Table9[Prodi],$I$102)/$I$104</f>
        <v>0</v>
      </c>
      <c r="J138" s="169">
        <f>COUNTIFS(Table9[I1.4],J$105,Table9[Prodi],$I$102)/$I$104</f>
        <v>0.48</v>
      </c>
      <c r="K138" s="169">
        <f>COUNTIFS(Table9[I1.4],K$105,Table9[Prodi],$I$102)/$I$104</f>
        <v>0.52</v>
      </c>
      <c r="L138" s="169">
        <f>COUNTIFS(Table9[I1.4],L$105,Table9[Prodi],$I$102)/$I$104</f>
        <v>0</v>
      </c>
      <c r="M138" s="62">
        <f t="shared" si="27"/>
        <v>1</v>
      </c>
      <c r="O138" s="168" t="s">
        <v>1178</v>
      </c>
      <c r="P138" s="169">
        <f>COUNTIFS(Table9[I1.4],P$105,Table9[Prodi],$P$102)/$P$104</f>
        <v>0</v>
      </c>
      <c r="Q138" s="169">
        <f>COUNTIFS(Table9[I1.4],Q$105,Table9[Prodi],$P$102)/$P$104</f>
        <v>0.5</v>
      </c>
      <c r="R138" s="169">
        <f>COUNTIFS(Table9[I1.4],R$105,Table9[Prodi],$P$102)/$P$104</f>
        <v>0.5</v>
      </c>
      <c r="S138" s="169">
        <f>COUNTIFS(Table9[I1.4],S$105,Table9[Prodi],$P$102)/$P$104</f>
        <v>0</v>
      </c>
      <c r="T138" s="62">
        <f t="shared" si="28"/>
        <v>1</v>
      </c>
      <c r="V138" s="168" t="s">
        <v>1178</v>
      </c>
      <c r="W138" s="169">
        <f>COUNTIFS(Table9[I1.4],W$105,Table9[Prodi],$W$102)/$W$104</f>
        <v>0</v>
      </c>
      <c r="X138" s="169">
        <f>COUNTIFS(Table9[I1.4],X$105,Table9[Prodi],$W$102)/$W$104</f>
        <v>0</v>
      </c>
      <c r="Y138" s="169">
        <f>COUNTIFS(Table9[I1.4],Y$105,Table9[Prodi],$W$102)/$W$104</f>
        <v>1</v>
      </c>
      <c r="Z138" s="169">
        <f>COUNTIFS(Table9[I1.4],Z$105,Table9[Prodi],$W$102)/$W$104</f>
        <v>0</v>
      </c>
      <c r="AA138" s="62">
        <f t="shared" si="29"/>
        <v>1</v>
      </c>
    </row>
    <row r="139" spans="1:27" ht="16.5" hidden="1" x14ac:dyDescent="0.3">
      <c r="A139" s="171"/>
      <c r="B139" s="188">
        <f t="shared" si="31"/>
        <v>0.32666666666666666</v>
      </c>
      <c r="C139" s="188">
        <f t="shared" si="31"/>
        <v>0</v>
      </c>
      <c r="D139" s="188">
        <f t="shared" si="31"/>
        <v>0</v>
      </c>
      <c r="E139" s="188">
        <f t="shared" si="31"/>
        <v>0.67333333333333334</v>
      </c>
      <c r="F139" s="62">
        <f t="shared" si="19"/>
        <v>1</v>
      </c>
      <c r="H139" s="168" t="s">
        <v>1179</v>
      </c>
      <c r="I139" s="169">
        <f>COUNTIFS(Table9[I1.5],I$105,Table9[Prodi],$I$102)/$I$104</f>
        <v>0.48</v>
      </c>
      <c r="J139" s="169">
        <f>COUNTIFS(Table9[I1.5],J$105,Table9[Prodi],$I$102)/$I$104</f>
        <v>0</v>
      </c>
      <c r="K139" s="169">
        <f>COUNTIFS(Table9[I1.5],K$105,Table9[Prodi],$I$102)/$I$104</f>
        <v>0</v>
      </c>
      <c r="L139" s="169">
        <f>COUNTIFS(Table9[I1.5],L$105,Table9[Prodi],$I$102)/$I$104</f>
        <v>0.52</v>
      </c>
      <c r="M139" s="62">
        <f t="shared" si="27"/>
        <v>1</v>
      </c>
      <c r="O139" s="168" t="s">
        <v>1179</v>
      </c>
      <c r="P139" s="169">
        <f>COUNTIFS(Table9[I1.5],P$105,Table9[Prodi],$P$102)/$P$104</f>
        <v>0.5</v>
      </c>
      <c r="Q139" s="169">
        <f>COUNTIFS(Table9[I1.5],Q$105,Table9[Prodi],$P$102)/$P$104</f>
        <v>0</v>
      </c>
      <c r="R139" s="169">
        <f>COUNTIFS(Table9[I1.5],R$105,Table9[Prodi],$P$102)/$P$104</f>
        <v>0</v>
      </c>
      <c r="S139" s="169">
        <f>COUNTIFS(Table9[I1.5],S$105,Table9[Prodi],$P$102)/$P$104</f>
        <v>0.5</v>
      </c>
      <c r="T139" s="62">
        <f t="shared" si="28"/>
        <v>1</v>
      </c>
      <c r="V139" s="168" t="s">
        <v>1179</v>
      </c>
      <c r="W139" s="169">
        <f>COUNTIFS(Table9[I1.5],W$105,Table9[Prodi],$W$102)/$W$104</f>
        <v>0</v>
      </c>
      <c r="X139" s="169">
        <f>COUNTIFS(Table9[I1.5],X$105,Table9[Prodi],$W$102)/$W$104</f>
        <v>0</v>
      </c>
      <c r="Y139" s="169">
        <f>COUNTIFS(Table9[I1.5],Y$105,Table9[Prodi],$W$102)/$W$104</f>
        <v>0</v>
      </c>
      <c r="Z139" s="169">
        <f>COUNTIFS(Table9[I1.5],Z$105,Table9[Prodi],$W$102)/$W$104</f>
        <v>1</v>
      </c>
      <c r="AA139" s="62">
        <f t="shared" si="29"/>
        <v>1</v>
      </c>
    </row>
    <row r="140" spans="1:27" ht="16.5" hidden="1" x14ac:dyDescent="0.3">
      <c r="A140" s="168" t="s">
        <v>1181</v>
      </c>
      <c r="B140" s="61">
        <f>AVERAGE(B135:B139)</f>
        <v>0.26133333333333331</v>
      </c>
      <c r="C140" s="61">
        <f>AVERAGE(C135:C139)</f>
        <v>6.5333333333333327E-2</v>
      </c>
      <c r="D140" s="61">
        <f>AVERAGE(D135:D139)</f>
        <v>0.40400000000000003</v>
      </c>
      <c r="E140" s="61">
        <f>AVERAGE(E135:E139)</f>
        <v>0.26933333333333331</v>
      </c>
      <c r="F140" s="62">
        <f t="shared" si="19"/>
        <v>1</v>
      </c>
      <c r="H140" s="171"/>
      <c r="I140" s="61">
        <f>AVERAGE(I135:I139)</f>
        <v>0.38400000000000001</v>
      </c>
      <c r="J140" s="61">
        <f>AVERAGE(J135:J139)</f>
        <v>9.6000000000000002E-2</v>
      </c>
      <c r="K140" s="61">
        <f>AVERAGE(K135:K139)</f>
        <v>0.312</v>
      </c>
      <c r="L140" s="61">
        <f>AVERAGE(L135:L139)</f>
        <v>0.20800000000000002</v>
      </c>
      <c r="M140" s="62">
        <f t="shared" si="27"/>
        <v>1</v>
      </c>
      <c r="O140" s="171"/>
      <c r="P140" s="61">
        <f>AVERAGE(P135:P139)</f>
        <v>0.4</v>
      </c>
      <c r="Q140" s="61">
        <f>AVERAGE(Q135:Q139)</f>
        <v>0.1</v>
      </c>
      <c r="R140" s="61">
        <f>AVERAGE(R135:R139)</f>
        <v>0.3</v>
      </c>
      <c r="S140" s="61">
        <f>AVERAGE(S135:S139)</f>
        <v>0.2</v>
      </c>
      <c r="T140" s="62">
        <f t="shared" si="28"/>
        <v>1</v>
      </c>
      <c r="V140" s="171"/>
      <c r="W140" s="61">
        <f>AVERAGE(W135:W139)</f>
        <v>0</v>
      </c>
      <c r="X140" s="61">
        <f>AVERAGE(X135:X139)</f>
        <v>0</v>
      </c>
      <c r="Y140" s="61">
        <f>AVERAGE(Y135:Y139)</f>
        <v>0.6</v>
      </c>
      <c r="Z140" s="61">
        <f>AVERAGE(Z135:Z139)</f>
        <v>0.4</v>
      </c>
      <c r="AA140" s="62">
        <f t="shared" si="29"/>
        <v>1</v>
      </c>
    </row>
    <row r="141" spans="1:27" ht="16.5" hidden="1" x14ac:dyDescent="0.3">
      <c r="A141" s="172" t="s">
        <v>1182</v>
      </c>
      <c r="B141" s="188">
        <f t="shared" ref="B141:C144" si="32">(I141+P141+W141)/3</f>
        <v>0.32666666666666666</v>
      </c>
      <c r="C141" s="188">
        <f t="shared" si="32"/>
        <v>0</v>
      </c>
      <c r="D141" s="188">
        <f t="shared" ref="D141:D144" si="33">(K141+R141+Y141)/3</f>
        <v>0</v>
      </c>
      <c r="E141" s="188">
        <f>(L141+S141+Z141)/3</f>
        <v>0.67333333333333334</v>
      </c>
      <c r="F141" s="62">
        <f t="shared" si="19"/>
        <v>1</v>
      </c>
      <c r="H141" s="168" t="s">
        <v>1181</v>
      </c>
      <c r="I141" s="169">
        <f>COUNTIFS(Table9[I2.1],I$105,Table9[Prodi],$I$102)/$I$104</f>
        <v>0.48</v>
      </c>
      <c r="J141" s="169">
        <f>COUNTIFS(Table9[I2.1],J$105,Table9[Prodi],$I$102)/$I$104</f>
        <v>0</v>
      </c>
      <c r="K141" s="169">
        <f>COUNTIFS(Table9[I2.1],K$105,Table9[Prodi],$I$102)/$I$104</f>
        <v>0</v>
      </c>
      <c r="L141" s="169">
        <f>COUNTIFS(Table9[I2.1],L$105,Table9[Prodi],$I$102)/$I$104</f>
        <v>0.52</v>
      </c>
      <c r="M141" s="62">
        <f t="shared" si="27"/>
        <v>1</v>
      </c>
      <c r="O141" s="168" t="s">
        <v>1181</v>
      </c>
      <c r="P141" s="169">
        <f>COUNTIFS(Table9[I2.1],P$105,Table9[Prodi],$P$102)/$P$104</f>
        <v>0.5</v>
      </c>
      <c r="Q141" s="169">
        <f>COUNTIFS(Table9[I2.1],Q$105,Table9[Prodi],$P$102)/$P$104</f>
        <v>0</v>
      </c>
      <c r="R141" s="169">
        <f>COUNTIFS(Table9[I2.1],R$105,Table9[Prodi],$P$102)/$P$104</f>
        <v>0</v>
      </c>
      <c r="S141" s="169">
        <f>COUNTIFS(Table9[I2.1],S$105,Table9[Prodi],$P$102)/$P$104</f>
        <v>0.5</v>
      </c>
      <c r="T141" s="62">
        <f t="shared" si="28"/>
        <v>1</v>
      </c>
      <c r="V141" s="168" t="s">
        <v>1181</v>
      </c>
      <c r="W141" s="169">
        <f>COUNTIFS(Table9[I2.1],W$105,Table9[Prodi],$W$102)/$W$104</f>
        <v>0</v>
      </c>
      <c r="X141" s="169">
        <f>COUNTIFS(Table9[I2.1],X$105,Table9[Prodi],$W$102)/$W$104</f>
        <v>0</v>
      </c>
      <c r="Y141" s="169">
        <f>COUNTIFS(Table9[I2.1],Y$105,Table9[Prodi],$W$102)/$W$104</f>
        <v>0</v>
      </c>
      <c r="Z141" s="169">
        <f>COUNTIFS(Table9[I2.1],Z$105,Table9[Prodi],$W$102)/$W$104</f>
        <v>1</v>
      </c>
      <c r="AA141" s="62">
        <f t="shared" si="29"/>
        <v>1</v>
      </c>
    </row>
    <row r="142" spans="1:27" ht="16.5" hidden="1" x14ac:dyDescent="0.3">
      <c r="A142" s="168" t="s">
        <v>1183</v>
      </c>
      <c r="B142" s="188">
        <f t="shared" si="32"/>
        <v>0.32666666666666666</v>
      </c>
      <c r="C142" s="188">
        <f t="shared" si="32"/>
        <v>0</v>
      </c>
      <c r="D142" s="188">
        <f t="shared" si="33"/>
        <v>0.67333333333333334</v>
      </c>
      <c r="E142" s="188">
        <f>(L142+S142+Z142)/3</f>
        <v>0</v>
      </c>
      <c r="F142" s="62">
        <f t="shared" si="19"/>
        <v>1</v>
      </c>
      <c r="H142" s="172" t="s">
        <v>1182</v>
      </c>
      <c r="I142" s="169">
        <f>COUNTIFS(Table9[I2.2],I$105,Table9[Prodi],$I$102)/$I$104</f>
        <v>0.48</v>
      </c>
      <c r="J142" s="169">
        <f>COUNTIFS(Table9[I2.2],J$105,Table9[Prodi],$I$102)/$I$104</f>
        <v>0</v>
      </c>
      <c r="K142" s="169">
        <f>COUNTIFS(Table9[I2.2],K$105,Table9[Prodi],$I$102)/$I$104</f>
        <v>0.52</v>
      </c>
      <c r="L142" s="169">
        <f>COUNTIFS(Table9[I2.2],L$105,Table9[Prodi],$I$102)/$I$104</f>
        <v>0</v>
      </c>
      <c r="M142" s="62">
        <f t="shared" si="27"/>
        <v>1</v>
      </c>
      <c r="O142" s="172" t="s">
        <v>1182</v>
      </c>
      <c r="P142" s="169">
        <f>COUNTIFS(Table9[I2.2],P$105,Table9[Prodi],$P$102)/$P$104</f>
        <v>0.5</v>
      </c>
      <c r="Q142" s="169">
        <f>COUNTIFS(Table9[I2.2],Q$105,Table9[Prodi],$P$102)/$P$104</f>
        <v>0</v>
      </c>
      <c r="R142" s="169">
        <f>COUNTIFS(Table9[I2.2],R$105,Table9[Prodi],$P$102)/$P$104</f>
        <v>0.5</v>
      </c>
      <c r="S142" s="169">
        <f>COUNTIFS(Table9[I2.2],S$105,Table9[Prodi],$P$102)/$P$104</f>
        <v>0</v>
      </c>
      <c r="T142" s="62">
        <f t="shared" si="28"/>
        <v>1</v>
      </c>
      <c r="V142" s="172" t="s">
        <v>1182</v>
      </c>
      <c r="W142" s="169">
        <f>COUNTIFS(Table9[I2.2],W$105,Table9[Prodi],$W$102)/$W$104</f>
        <v>0</v>
      </c>
      <c r="X142" s="169">
        <f>COUNTIFS(Table9[I2.2],X$105,Table9[Prodi],$W$102)/$W$104</f>
        <v>0</v>
      </c>
      <c r="Y142" s="169">
        <f>COUNTIFS(Table9[I2.2],Y$105,Table9[Prodi],$W$102)/$W$104</f>
        <v>1</v>
      </c>
      <c r="Z142" s="169">
        <f>COUNTIFS(Table9[I2.2],Z$105,Table9[Prodi],$W$102)/$W$104</f>
        <v>0</v>
      </c>
      <c r="AA142" s="62">
        <f t="shared" si="29"/>
        <v>1</v>
      </c>
    </row>
    <row r="143" spans="1:27" ht="16.5" hidden="1" x14ac:dyDescent="0.3">
      <c r="A143" s="168" t="s">
        <v>1184</v>
      </c>
      <c r="B143" s="188">
        <f t="shared" si="32"/>
        <v>0.32666666666666666</v>
      </c>
      <c r="C143" s="188">
        <f t="shared" si="32"/>
        <v>0</v>
      </c>
      <c r="D143" s="188">
        <f t="shared" si="33"/>
        <v>0.67333333333333334</v>
      </c>
      <c r="E143" s="188">
        <f>(L143+S143+Z143)/3</f>
        <v>0</v>
      </c>
      <c r="F143" s="62">
        <f t="shared" si="19"/>
        <v>1</v>
      </c>
      <c r="H143" s="168" t="s">
        <v>1183</v>
      </c>
      <c r="I143" s="169">
        <f>COUNTIFS(Table9[I2.3],I$105,Table9[Prodi],$I$102)/$I$104</f>
        <v>0.48</v>
      </c>
      <c r="J143" s="169">
        <f>COUNTIFS(Table9[I2.3],J$105,Table9[Prodi],$I$102)/$I$104</f>
        <v>0</v>
      </c>
      <c r="K143" s="169">
        <f>COUNTIFS(Table9[I2.3],K$105,Table9[Prodi],$I$102)/$I$104</f>
        <v>0.52</v>
      </c>
      <c r="L143" s="169">
        <f>COUNTIFS(Table9[I2.3],L$105,Table9[Prodi],$I$102)/$I$104</f>
        <v>0</v>
      </c>
      <c r="M143" s="62">
        <f t="shared" si="27"/>
        <v>1</v>
      </c>
      <c r="O143" s="168" t="s">
        <v>1183</v>
      </c>
      <c r="P143" s="169">
        <f>COUNTIFS(Table9[I2.3],P$105,Table9[Prodi],$P$102)/$P$104</f>
        <v>0.5</v>
      </c>
      <c r="Q143" s="169">
        <f>COUNTIFS(Table9[I2.3],Q$105,Table9[Prodi],$P$102)/$P$104</f>
        <v>0</v>
      </c>
      <c r="R143" s="169">
        <f>COUNTIFS(Table9[I2.3],R$105,Table9[Prodi],$P$102)/$P$104</f>
        <v>0.5</v>
      </c>
      <c r="S143" s="169">
        <f>COUNTIFS(Table9[I2.3],S$105,Table9[Prodi],$P$102)/$P$104</f>
        <v>0</v>
      </c>
      <c r="T143" s="62">
        <f t="shared" si="28"/>
        <v>1</v>
      </c>
      <c r="V143" s="168" t="s">
        <v>1183</v>
      </c>
      <c r="W143" s="169">
        <f>COUNTIFS(Table9[I2.3],W$105,Table9[Prodi],$W$102)/$W$104</f>
        <v>0</v>
      </c>
      <c r="X143" s="169">
        <f>COUNTIFS(Table9[I2.3],X$105,Table9[Prodi],$W$102)/$W$104</f>
        <v>0</v>
      </c>
      <c r="Y143" s="169">
        <f>COUNTIFS(Table9[I2.3],Y$105,Table9[Prodi],$W$102)/$W$104</f>
        <v>1</v>
      </c>
      <c r="Z143" s="169">
        <f>COUNTIFS(Table9[I2.3],Z$105,Table9[Prodi],$W$102)/$W$104</f>
        <v>0</v>
      </c>
      <c r="AA143" s="62">
        <f t="shared" si="29"/>
        <v>1</v>
      </c>
    </row>
    <row r="144" spans="1:27" ht="17.25" hidden="1" thickBot="1" x14ac:dyDescent="0.35">
      <c r="A144" s="173"/>
      <c r="B144" s="188">
        <f t="shared" si="32"/>
        <v>0.32666666666666666</v>
      </c>
      <c r="C144" s="188">
        <f t="shared" si="32"/>
        <v>0</v>
      </c>
      <c r="D144" s="188">
        <f t="shared" si="33"/>
        <v>0</v>
      </c>
      <c r="E144" s="188">
        <f>(L144+S144+Z144)/3</f>
        <v>0.67333333333333334</v>
      </c>
      <c r="F144" s="62">
        <f t="shared" si="19"/>
        <v>1</v>
      </c>
      <c r="H144" s="168" t="s">
        <v>1184</v>
      </c>
      <c r="I144" s="169">
        <f>COUNTIFS(Table9[I2.4],I$105,Table9[Prodi],$I$102)/$I$104</f>
        <v>0.48</v>
      </c>
      <c r="J144" s="169">
        <f>COUNTIFS(Table9[I2.4],J$105,Table9[Prodi],$I$102)/$I$104</f>
        <v>0</v>
      </c>
      <c r="K144" s="169">
        <f>COUNTIFS(Table9[I2.4],K$105,Table9[Prodi],$I$102)/$I$104</f>
        <v>0</v>
      </c>
      <c r="L144" s="169">
        <f>COUNTIFS(Table9[I2.4],L$105,Table9[Prodi],$I$102)/$I$104</f>
        <v>0.52</v>
      </c>
      <c r="M144" s="62">
        <f t="shared" si="27"/>
        <v>1</v>
      </c>
      <c r="O144" s="168" t="s">
        <v>1184</v>
      </c>
      <c r="P144" s="169">
        <f>COUNTIFS(Table9[I2.4],P$105,Table9[Prodi],$P$102)/$P$104</f>
        <v>0.5</v>
      </c>
      <c r="Q144" s="169">
        <f>COUNTIFS(Table9[I2.4],Q$105,Table9[Prodi],$P$102)/$P$104</f>
        <v>0</v>
      </c>
      <c r="R144" s="169">
        <f>COUNTIFS(Table9[I2.4],R$105,Table9[Prodi],$P$102)/$P$104</f>
        <v>0</v>
      </c>
      <c r="S144" s="169">
        <f>COUNTIFS(Table9[I2.4],S$105,Table9[Prodi],$P$102)/$P$104</f>
        <v>0.5</v>
      </c>
      <c r="T144" s="62">
        <f t="shared" si="28"/>
        <v>1</v>
      </c>
      <c r="V144" s="168" t="s">
        <v>1184</v>
      </c>
      <c r="W144" s="169">
        <f>COUNTIFS(Table9[I2.4],W$105,Table9[Prodi],$W$102)/$W$104</f>
        <v>0</v>
      </c>
      <c r="X144" s="169">
        <f>COUNTIFS(Table9[I2.4],X$105,Table9[Prodi],$W$102)/$W$104</f>
        <v>0</v>
      </c>
      <c r="Y144" s="169">
        <f>COUNTIFS(Table9[I2.4],Y$105,Table9[Prodi],$W$102)/$W$104</f>
        <v>0</v>
      </c>
      <c r="Z144" s="169">
        <f>COUNTIFS(Table9[I2.4],Z$105,Table9[Prodi],$W$102)/$W$104</f>
        <v>1</v>
      </c>
      <c r="AA144" s="62">
        <f t="shared" si="29"/>
        <v>1</v>
      </c>
    </row>
    <row r="145" spans="1:27" ht="17.25" hidden="1" thickBot="1" x14ac:dyDescent="0.35">
      <c r="B145" s="68">
        <f>AVERAGE(B141:B144)</f>
        <v>0.32666666666666666</v>
      </c>
      <c r="C145" s="68">
        <f>AVERAGE(C141:C144)</f>
        <v>0</v>
      </c>
      <c r="D145" s="68">
        <f>AVERAGE(D141:D144)</f>
        <v>0.33666666666666667</v>
      </c>
      <c r="E145" s="68">
        <f>AVERAGE(E141:E144)</f>
        <v>0.33666666666666667</v>
      </c>
      <c r="F145" s="174">
        <f t="shared" si="19"/>
        <v>1</v>
      </c>
      <c r="H145" s="173"/>
      <c r="I145" s="68">
        <f>AVERAGE(I141:I144)</f>
        <v>0.48</v>
      </c>
      <c r="J145" s="68">
        <f>AVERAGE(J141:J144)</f>
        <v>0</v>
      </c>
      <c r="K145" s="68">
        <f>AVERAGE(K141:K144)</f>
        <v>0.26</v>
      </c>
      <c r="L145" s="68">
        <f>AVERAGE(L141:L144)</f>
        <v>0.26</v>
      </c>
      <c r="M145" s="174">
        <f t="shared" si="27"/>
        <v>1</v>
      </c>
      <c r="O145" s="173"/>
      <c r="P145" s="68">
        <f>AVERAGE(P141:P144)</f>
        <v>0.5</v>
      </c>
      <c r="Q145" s="68">
        <f>AVERAGE(Q141:Q144)</f>
        <v>0</v>
      </c>
      <c r="R145" s="68">
        <f>AVERAGE(R141:R144)</f>
        <v>0.25</v>
      </c>
      <c r="S145" s="68">
        <f>AVERAGE(S141:S144)</f>
        <v>0.25</v>
      </c>
      <c r="T145" s="174">
        <f t="shared" si="28"/>
        <v>1</v>
      </c>
      <c r="V145" s="173"/>
      <c r="W145" s="68">
        <f>AVERAGE(W141:W144)</f>
        <v>0</v>
      </c>
      <c r="X145" s="68">
        <f>AVERAGE(X141:X144)</f>
        <v>0</v>
      </c>
      <c r="Y145" s="68">
        <f>AVERAGE(Y141:Y144)</f>
        <v>0.5</v>
      </c>
      <c r="Z145" s="68">
        <f>AVERAGE(Z141:Z144)</f>
        <v>0.5</v>
      </c>
      <c r="AA145" s="174">
        <f t="shared" si="29"/>
        <v>1</v>
      </c>
    </row>
    <row r="146" spans="1:27" ht="17.25" hidden="1" thickBot="1" x14ac:dyDescent="0.3">
      <c r="A146" s="64" t="s">
        <v>14</v>
      </c>
    </row>
    <row r="147" spans="1:27" ht="17.25" hidden="1" thickBot="1" x14ac:dyDescent="0.3">
      <c r="A147" s="64" t="s">
        <v>647</v>
      </c>
      <c r="B147" s="65" t="s">
        <v>1185</v>
      </c>
      <c r="D147"/>
      <c r="E147"/>
      <c r="F147"/>
      <c r="H147" s="64" t="s">
        <v>14</v>
      </c>
      <c r="I147" s="65" t="s">
        <v>1357</v>
      </c>
      <c r="O147" s="64" t="s">
        <v>14</v>
      </c>
      <c r="P147" s="65" t="s">
        <v>1577</v>
      </c>
    </row>
    <row r="148" spans="1:27" ht="17.25" hidden="1" thickBot="1" x14ac:dyDescent="0.3">
      <c r="A148" s="64" t="s">
        <v>646</v>
      </c>
      <c r="B148" s="65">
        <v>2021</v>
      </c>
      <c r="D148"/>
      <c r="E148"/>
      <c r="F148"/>
      <c r="H148" s="64" t="s">
        <v>647</v>
      </c>
      <c r="I148" s="65">
        <v>2021</v>
      </c>
      <c r="O148" s="64" t="s">
        <v>647</v>
      </c>
      <c r="P148" s="65">
        <v>2021</v>
      </c>
    </row>
    <row r="149" spans="1:27" ht="17.25" hidden="1" thickBot="1" x14ac:dyDescent="0.3">
      <c r="A149" s="55"/>
      <c r="B149" s="65">
        <f>I149+P149</f>
        <v>2</v>
      </c>
      <c r="D149"/>
      <c r="E149"/>
      <c r="F149"/>
      <c r="H149" s="64" t="s">
        <v>646</v>
      </c>
      <c r="I149" s="65">
        <f>COUNTIF(Table10[Prodi],I147)</f>
        <v>1</v>
      </c>
      <c r="O149" s="64" t="s">
        <v>646</v>
      </c>
      <c r="P149" s="65">
        <f>COUNTIF(Table10[Prodi],P147)</f>
        <v>1</v>
      </c>
    </row>
    <row r="150" spans="1:27" ht="16.5" hidden="1" x14ac:dyDescent="0.3">
      <c r="A150" s="57" t="s">
        <v>26</v>
      </c>
      <c r="B150" s="56" t="s">
        <v>1205</v>
      </c>
      <c r="C150" s="56" t="s">
        <v>1206</v>
      </c>
      <c r="D150" s="56" t="s">
        <v>1229</v>
      </c>
      <c r="E150" s="56" t="s">
        <v>1436</v>
      </c>
      <c r="F150" s="56"/>
      <c r="H150" s="55"/>
      <c r="I150" s="56" t="s">
        <v>1205</v>
      </c>
      <c r="J150" s="56" t="s">
        <v>1206</v>
      </c>
      <c r="K150" s="56" t="s">
        <v>1229</v>
      </c>
      <c r="L150" s="56" t="s">
        <v>1436</v>
      </c>
      <c r="M150" s="56"/>
      <c r="O150" s="55"/>
      <c r="P150" s="56" t="s">
        <v>1205</v>
      </c>
      <c r="Q150" s="56" t="s">
        <v>1206</v>
      </c>
      <c r="R150" s="56" t="s">
        <v>1229</v>
      </c>
      <c r="S150" s="56" t="s">
        <v>1436</v>
      </c>
      <c r="T150" s="56"/>
    </row>
    <row r="151" spans="1:27" ht="16.5" hidden="1" x14ac:dyDescent="0.3">
      <c r="A151" s="57" t="s">
        <v>27</v>
      </c>
      <c r="B151" s="66">
        <f>COUNTIF(Table10[B1],B$150)/2</f>
        <v>1</v>
      </c>
      <c r="C151" s="66">
        <f>COUNTIF(Table10[B1],C$150)/2</f>
        <v>0</v>
      </c>
      <c r="D151" s="66">
        <f>COUNTIF(Table10[B1],D$150)/2</f>
        <v>0</v>
      </c>
      <c r="E151" s="66">
        <f>COUNTIF(Table10[B1],E$150)/2</f>
        <v>0</v>
      </c>
      <c r="F151" s="62">
        <f t="shared" ref="F151:F157" si="34">SUM(B151:E151)</f>
        <v>1</v>
      </c>
      <c r="H151" s="57" t="s">
        <v>26</v>
      </c>
      <c r="I151" s="66">
        <f>COUNTIFS(Table10[Prodi],I147,Table10[B1],I$150)/$I$149</f>
        <v>1</v>
      </c>
      <c r="J151" s="66">
        <f>COUNTIFS(Table10[Prodi],J147,Table10[B1],J$150)/$I$149</f>
        <v>0</v>
      </c>
      <c r="K151" s="66">
        <f>COUNTIFS(Table10[Prodi],K147,Table10[B1],K$150)/$I$149</f>
        <v>0</v>
      </c>
      <c r="L151" s="66">
        <f>COUNTIFS(Table10[Prodi],L147,Table10[B1],L$150)/$I$149</f>
        <v>0</v>
      </c>
      <c r="M151" s="62">
        <f t="shared" ref="M151:M157" si="35">SUM(I151:L151)</f>
        <v>1</v>
      </c>
      <c r="O151" s="57" t="s">
        <v>26</v>
      </c>
      <c r="P151" s="66">
        <f>COUNTIFS(Table10[Prodi],P147,Table10[B1],P$150)/$P$149</f>
        <v>1</v>
      </c>
      <c r="Q151" s="66">
        <f>COUNTIFS(Table10[Prodi],Q147,Table10[B1],Q$150)/$P$149</f>
        <v>0</v>
      </c>
      <c r="R151" s="66">
        <f>COUNTIFS(Table10[Prodi],R147,Table10[B1],R$150)/$P$149</f>
        <v>0</v>
      </c>
      <c r="S151" s="66">
        <f>COUNTIFS(Table10[Prodi],S147,Table10[B1],S$150)/$P$149</f>
        <v>0</v>
      </c>
      <c r="T151" s="62">
        <f t="shared" ref="T151:T157" si="36">SUM(P151:S151)</f>
        <v>1</v>
      </c>
    </row>
    <row r="152" spans="1:27" ht="16.5" hidden="1" x14ac:dyDescent="0.3">
      <c r="A152" s="57" t="s">
        <v>28</v>
      </c>
      <c r="B152" s="66">
        <f>COUNTIF(Table10[B2],B$150)/2</f>
        <v>1</v>
      </c>
      <c r="C152" s="66">
        <f>COUNTIF(Table10[B2],C$150)/2</f>
        <v>0</v>
      </c>
      <c r="D152" s="66">
        <f>COUNTIF(Table10[B2],D$150)/2</f>
        <v>0</v>
      </c>
      <c r="E152" s="66">
        <f>COUNTIF(Table10[B2],E$150)/2</f>
        <v>0</v>
      </c>
      <c r="F152" s="62">
        <f t="shared" si="34"/>
        <v>1</v>
      </c>
      <c r="H152" s="57" t="s">
        <v>27</v>
      </c>
      <c r="I152" s="66">
        <f>COUNTIFS(Table10[Prodi],I147,Table10[B2],I$150)/$I$149</f>
        <v>1</v>
      </c>
      <c r="J152" s="66">
        <f>COUNTIFS(Table10[Prodi],I147,Table10[B2],J$150)/$I$149</f>
        <v>0</v>
      </c>
      <c r="K152" s="66">
        <f>COUNTIFS(Table10[Prodi],I147,Table10[B2],K$150)/$I$149</f>
        <v>0</v>
      </c>
      <c r="L152" s="66">
        <f>COUNTIFS(Table10[Prodi],I147,Table10[B2],L$150)/$I$149</f>
        <v>0</v>
      </c>
      <c r="M152" s="62">
        <f t="shared" si="35"/>
        <v>1</v>
      </c>
      <c r="O152" s="57" t="s">
        <v>27</v>
      </c>
      <c r="P152" s="66">
        <f>COUNTIFS(Table10[Prodi],P147,Table10[B2],P$150)/$P$149</f>
        <v>1</v>
      </c>
      <c r="Q152" s="66">
        <f>COUNTIFS(Table10[Prodi],P147,Table10[B2],Q$150)/$P$149</f>
        <v>0</v>
      </c>
      <c r="R152" s="66">
        <f>COUNTIFS(Table10[Prodi],P147,Table10[B2],R$150)/$P$149</f>
        <v>0</v>
      </c>
      <c r="S152" s="66">
        <f>COUNTIFS(Table10[Prodi],P147,Table10[B2],S$150)/$P$149</f>
        <v>0</v>
      </c>
      <c r="T152" s="62">
        <f t="shared" si="36"/>
        <v>1</v>
      </c>
    </row>
    <row r="153" spans="1:27" ht="16.5" hidden="1" x14ac:dyDescent="0.3">
      <c r="A153" s="57" t="s">
        <v>29</v>
      </c>
      <c r="B153" s="66">
        <f>COUNTIF(Table10[B3],B$150)/2</f>
        <v>0.5</v>
      </c>
      <c r="C153" s="66">
        <f>COUNTIF(Table10[B3],C$150)/2</f>
        <v>0.5</v>
      </c>
      <c r="D153" s="66">
        <f>COUNTIF(Table10[B3],D$150)/2</f>
        <v>0</v>
      </c>
      <c r="E153" s="66">
        <f>COUNTIF(Table10[B3],E$150)/2</f>
        <v>0</v>
      </c>
      <c r="F153" s="62">
        <f t="shared" si="34"/>
        <v>1</v>
      </c>
      <c r="H153" s="57" t="s">
        <v>28</v>
      </c>
      <c r="I153" s="66">
        <f>COUNTIFS(Table10[Prodi],I147,Table10[B3],I$150)/$I$149</f>
        <v>1</v>
      </c>
      <c r="J153" s="66">
        <f>COUNTIFS(Table10[Prodi],I147,Table10[B3],J$150)/$I$149</f>
        <v>0</v>
      </c>
      <c r="K153" s="66">
        <f>COUNTIFS(Table10[Prodi],I147,Table10[B3],K$150)/$I$149</f>
        <v>0</v>
      </c>
      <c r="L153" s="66">
        <f>COUNTIFS(Table10[Prodi],I147,Table10[B3],L$150)/$I$149</f>
        <v>0</v>
      </c>
      <c r="M153" s="62">
        <f t="shared" si="35"/>
        <v>1</v>
      </c>
      <c r="O153" s="57" t="s">
        <v>28</v>
      </c>
      <c r="P153" s="66">
        <f>COUNTIFS(Table10[Prodi],P147,Table10[B3],P$150)/$P$149</f>
        <v>0</v>
      </c>
      <c r="Q153" s="66">
        <f>COUNTIFS(Table10[Prodi],P147,Table10[B3],Q$150)/$P$149</f>
        <v>1</v>
      </c>
      <c r="R153" s="66">
        <f>COUNTIFS(Table10[Prodi],P147,Table10[B3],R$150)/$P$149</f>
        <v>0</v>
      </c>
      <c r="S153" s="66">
        <f>COUNTIFS(Table10[Prodi],P147,Table10[B3],S$150)/$P$149</f>
        <v>0</v>
      </c>
      <c r="T153" s="62">
        <f t="shared" si="36"/>
        <v>1</v>
      </c>
    </row>
    <row r="154" spans="1:27" ht="16.5" hidden="1" x14ac:dyDescent="0.3">
      <c r="A154" s="60"/>
      <c r="B154" s="66">
        <f>COUNTIF(Table10[B4],B$150)/2</f>
        <v>0.5</v>
      </c>
      <c r="C154" s="66">
        <f>COUNTIF(Table10[B4],C$150)/2</f>
        <v>0.5</v>
      </c>
      <c r="D154" s="66">
        <f>COUNTIF(Table10[B4],D$150)/2</f>
        <v>0</v>
      </c>
      <c r="E154" s="66">
        <f>COUNTIF(Table10[B4],E$150)/2</f>
        <v>0</v>
      </c>
      <c r="F154" s="62">
        <f t="shared" si="34"/>
        <v>1</v>
      </c>
      <c r="H154" s="57" t="s">
        <v>29</v>
      </c>
      <c r="I154" s="66">
        <f>COUNTIFS(Table10[Prodi],I147,Table10[B4],I$150)/$I$149</f>
        <v>1</v>
      </c>
      <c r="J154" s="66">
        <f>COUNTIFS(Table10[Prodi],I147,Table10[B4],J$150)/$I$149</f>
        <v>0</v>
      </c>
      <c r="K154" s="66">
        <f>COUNTIFS(Table10[Prodi],I147,Table10[B4],K$150)/$I$149</f>
        <v>0</v>
      </c>
      <c r="L154" s="66">
        <f>COUNTIFS(Table10[Prodi],I147,Table10[B4],L$150)/$I$149</f>
        <v>0</v>
      </c>
      <c r="M154" s="62">
        <f t="shared" si="35"/>
        <v>1</v>
      </c>
      <c r="O154" s="57" t="s">
        <v>29</v>
      </c>
      <c r="P154" s="66">
        <f>COUNTIFS(Table10[Prodi],P147,Table10[B4],P$150)/$P$149</f>
        <v>0</v>
      </c>
      <c r="Q154" s="66">
        <f>COUNTIFS(Table10[Prodi],P147,Table10[B4],Q$150)/$P$149</f>
        <v>1</v>
      </c>
      <c r="R154" s="66">
        <f>COUNTIFS(Table10[Prodi],P147,Table10[B4],R$150)/$P$149</f>
        <v>0</v>
      </c>
      <c r="S154" s="66">
        <f>COUNTIFS(Table10[Prodi],P147,Table10[B4],S$150)/$P$149</f>
        <v>0</v>
      </c>
      <c r="T154" s="62">
        <f t="shared" si="36"/>
        <v>1</v>
      </c>
    </row>
    <row r="155" spans="1:27" ht="16.5" hidden="1" x14ac:dyDescent="0.3">
      <c r="A155" s="57" t="s">
        <v>31</v>
      </c>
      <c r="B155" s="61">
        <f>AVERAGE(B151:B154)</f>
        <v>0.75</v>
      </c>
      <c r="C155" s="61">
        <f>AVERAGE(C151:C154)</f>
        <v>0.25</v>
      </c>
      <c r="D155" s="61">
        <f>AVERAGE(D151:D154)</f>
        <v>0</v>
      </c>
      <c r="E155" s="61">
        <f>AVERAGE(E151:E154)</f>
        <v>0</v>
      </c>
      <c r="F155" s="62">
        <f t="shared" si="34"/>
        <v>1</v>
      </c>
      <c r="H155" s="60"/>
      <c r="I155" s="61">
        <f>AVERAGE(I151:I154)</f>
        <v>1</v>
      </c>
      <c r="J155" s="61">
        <f>AVERAGE(J151:J154)</f>
        <v>0</v>
      </c>
      <c r="K155" s="61">
        <f>AVERAGE(K151:K154)</f>
        <v>0</v>
      </c>
      <c r="L155" s="61">
        <f>AVERAGE(L151:L154)</f>
        <v>0</v>
      </c>
      <c r="M155" s="62">
        <f t="shared" si="35"/>
        <v>1</v>
      </c>
      <c r="O155" s="60"/>
      <c r="P155" s="61">
        <f>AVERAGE(P151:P154)</f>
        <v>0.5</v>
      </c>
      <c r="Q155" s="61">
        <f>AVERAGE(Q151:Q154)</f>
        <v>0.5</v>
      </c>
      <c r="R155" s="61">
        <f>AVERAGE(R151:R154)</f>
        <v>0</v>
      </c>
      <c r="S155" s="61">
        <f>AVERAGE(S151:S154)</f>
        <v>0</v>
      </c>
      <c r="T155" s="62">
        <f t="shared" si="36"/>
        <v>1</v>
      </c>
    </row>
    <row r="156" spans="1:27" ht="16.5" hidden="1" x14ac:dyDescent="0.3">
      <c r="A156" s="57" t="s">
        <v>32</v>
      </c>
      <c r="B156" s="66">
        <f>COUNTIF(Table10[C1],B$150)/2</f>
        <v>0</v>
      </c>
      <c r="C156" s="66">
        <f>COUNTIF(Table10[C1],C$150)/2</f>
        <v>1</v>
      </c>
      <c r="D156" s="66">
        <f>COUNTIF(Table10[C1],D$150)/2</f>
        <v>0</v>
      </c>
      <c r="E156" s="66">
        <f>COUNTIF(Table10[C1],E$150)/2</f>
        <v>0</v>
      </c>
      <c r="F156" s="62">
        <f t="shared" si="34"/>
        <v>1</v>
      </c>
      <c r="H156" s="57" t="s">
        <v>31</v>
      </c>
      <c r="I156" s="66">
        <f>COUNTIFS(Table10[Prodi],I147,Table10[C1],I$150)/$I$149</f>
        <v>0</v>
      </c>
      <c r="J156" s="66">
        <f>COUNTIFS(Table10[Prodi],I147,Table10[C1],J$150)/$I$149</f>
        <v>1</v>
      </c>
      <c r="K156" s="66">
        <f>COUNTIFS(Table10[Prodi],I147,Table10[C1],K$150)/$I$149</f>
        <v>0</v>
      </c>
      <c r="L156" s="66">
        <f>COUNTIFS(Table10[Prodi],I147,Table10[C1],L$150)/$I$149</f>
        <v>0</v>
      </c>
      <c r="M156" s="62">
        <f t="shared" si="35"/>
        <v>1</v>
      </c>
      <c r="O156" s="57" t="s">
        <v>31</v>
      </c>
      <c r="P156" s="66">
        <f>COUNTIFS(Table10[Prodi],P147,Table10[C1],P$150)/$P$149</f>
        <v>0</v>
      </c>
      <c r="Q156" s="66">
        <f>COUNTIFS(Table10[Prodi],P147,Table10[C1],Q$150)/$P$149</f>
        <v>1</v>
      </c>
      <c r="R156" s="66">
        <f>COUNTIFS(Table10[Prodi],P147,Table10[C1],R$150)/$P$149</f>
        <v>0</v>
      </c>
      <c r="S156" s="66">
        <f>COUNTIFS(Table10[Prodi],P147,Table10[C1],S$150)/$P$149</f>
        <v>0</v>
      </c>
      <c r="T156" s="62">
        <f t="shared" si="36"/>
        <v>1</v>
      </c>
    </row>
    <row r="157" spans="1:27" ht="16.5" hidden="1" x14ac:dyDescent="0.3">
      <c r="A157" s="60"/>
      <c r="B157" s="66">
        <f>COUNTIF(Table10[C2],B$150)/2</f>
        <v>1</v>
      </c>
      <c r="C157" s="66">
        <f>COUNTIF(Table10[C2],C$150)/2</f>
        <v>0</v>
      </c>
      <c r="D157" s="66">
        <f>COUNTIF(Table10[C2],D$150)/2</f>
        <v>0</v>
      </c>
      <c r="E157" s="66">
        <f>COUNTIF(Table10[C2],E$150)/2</f>
        <v>0</v>
      </c>
      <c r="F157" s="62">
        <f t="shared" si="34"/>
        <v>1</v>
      </c>
      <c r="H157" s="57" t="s">
        <v>32</v>
      </c>
      <c r="I157" s="66">
        <f>COUNTIFS(Table10[Prodi],I147,Table10[C2],I$150)/$I$149</f>
        <v>1</v>
      </c>
      <c r="J157" s="66">
        <f>COUNTIFS(Table10[Prodi],I147,Table10[C2],J$150)/$I$149</f>
        <v>0</v>
      </c>
      <c r="K157" s="66">
        <f>COUNTIFS(Table10[Prodi],I147,Table10[C2],K$150)/$I$149</f>
        <v>0</v>
      </c>
      <c r="L157" s="66">
        <f>COUNTIFS(Table10[Prodi],I147,Table10[C2],L$150)/$I$149</f>
        <v>0</v>
      </c>
      <c r="M157" s="62">
        <f t="shared" si="35"/>
        <v>1</v>
      </c>
      <c r="O157" s="57" t="s">
        <v>32</v>
      </c>
      <c r="P157" s="66">
        <f>COUNTIFS(Table10[Prodi],P147,Table10[C2],P$150)/$P$149</f>
        <v>1</v>
      </c>
      <c r="Q157" s="66">
        <f>COUNTIFS(Table10[Prodi],P147,Table10[C2],Q$150)/$P$149</f>
        <v>0</v>
      </c>
      <c r="R157" s="66">
        <f>COUNTIFS(Table10[Prodi],P147,Table10[C2],R$150)/$P$149</f>
        <v>0</v>
      </c>
      <c r="S157" s="66">
        <f>COUNTIFS(Table10[Prodi],P147,Table10[C2],S$150)/$P$149</f>
        <v>0</v>
      </c>
      <c r="T157" s="62">
        <f t="shared" si="36"/>
        <v>1</v>
      </c>
    </row>
    <row r="158" spans="1:27" ht="16.5" hidden="1" x14ac:dyDescent="0.3">
      <c r="A158" s="57" t="s">
        <v>33</v>
      </c>
      <c r="B158" s="61">
        <f>AVERAGE(B156:B157)</f>
        <v>0.5</v>
      </c>
      <c r="C158" s="61">
        <f>AVERAGE(C156:C157)</f>
        <v>0.5</v>
      </c>
      <c r="D158" s="61">
        <f>AVERAGE(D156:D157)</f>
        <v>0</v>
      </c>
      <c r="E158" s="61">
        <f>AVERAGE(E156:E157)</f>
        <v>0</v>
      </c>
      <c r="F158" s="62">
        <f>SUM(B158:E158)</f>
        <v>1</v>
      </c>
      <c r="H158" s="60"/>
      <c r="I158" s="61">
        <f>AVERAGE(I156:I157)</f>
        <v>0.5</v>
      </c>
      <c r="J158" s="61">
        <f>AVERAGE(J156:J157)</f>
        <v>0.5</v>
      </c>
      <c r="K158" s="61">
        <f>AVERAGE(K156:K157)</f>
        <v>0</v>
      </c>
      <c r="L158" s="61">
        <f>AVERAGE(L156:L157)</f>
        <v>0</v>
      </c>
      <c r="M158" s="62">
        <f>SUM(I158:L158)</f>
        <v>1</v>
      </c>
      <c r="O158" s="60"/>
      <c r="P158" s="61">
        <f>AVERAGE(P156:P157)</f>
        <v>0.5</v>
      </c>
      <c r="Q158" s="61">
        <f>AVERAGE(Q156:Q157)</f>
        <v>0.5</v>
      </c>
      <c r="R158" s="61">
        <f>AVERAGE(R156:R157)</f>
        <v>0</v>
      </c>
      <c r="S158" s="61">
        <f>AVERAGE(S156:S157)</f>
        <v>0</v>
      </c>
      <c r="T158" s="62">
        <f>SUM(P158:S158)</f>
        <v>1</v>
      </c>
    </row>
    <row r="159" spans="1:27" ht="16.5" hidden="1" x14ac:dyDescent="0.3">
      <c r="A159" s="57" t="s">
        <v>34</v>
      </c>
      <c r="B159" s="66">
        <f>COUNTIF(Table10[D1],B$150)/2</f>
        <v>0</v>
      </c>
      <c r="C159" s="66">
        <f>COUNTIF(Table10[D1],C$150)/2</f>
        <v>1</v>
      </c>
      <c r="D159" s="66">
        <f>COUNTIF(Table10[D1],D$150)/2</f>
        <v>0</v>
      </c>
      <c r="E159" s="66">
        <f>COUNTIF(Table10[D1],E$150)/2</f>
        <v>0</v>
      </c>
      <c r="F159" s="62">
        <f t="shared" ref="F159:F189" si="37">SUM(B159:E159)</f>
        <v>1</v>
      </c>
      <c r="H159" s="57" t="s">
        <v>33</v>
      </c>
      <c r="I159" s="66">
        <f>COUNTIFS(Table10[Prodi],I147,Table10[D1],I$150)/$I$149</f>
        <v>0</v>
      </c>
      <c r="J159" s="66">
        <f>COUNTIFS(Table10[Prodi],I147,Table10[D1],J$150)/$I$149</f>
        <v>1</v>
      </c>
      <c r="K159" s="66">
        <f>COUNTIFS(Table10[Prodi],I147,Table10[D1],K$150)/$I$149</f>
        <v>0</v>
      </c>
      <c r="L159" s="66">
        <f>COUNTIFS(Table10[Prodi],I147,Table10[D1],L$150)/$I$149</f>
        <v>0</v>
      </c>
      <c r="M159" s="62">
        <f t="shared" ref="M159:M189" si="38">SUM(I159:L159)</f>
        <v>1</v>
      </c>
      <c r="O159" s="57" t="s">
        <v>33</v>
      </c>
      <c r="P159" s="66">
        <f>COUNTIFS(Table10[Prodi],P147,Table10[D1],P$150)/$P$149</f>
        <v>0</v>
      </c>
      <c r="Q159" s="66">
        <f>COUNTIFS(Table10[Prodi],P147,Table10[D1],Q$150)/$P$149</f>
        <v>1</v>
      </c>
      <c r="R159" s="66">
        <f>COUNTIFS(Table10[Prodi],P147,Table10[D1],R$150)/$P$149</f>
        <v>0</v>
      </c>
      <c r="S159" s="66">
        <f>COUNTIFS(Table10[Prodi],P147,Table10[D1],S$150)/$P$149</f>
        <v>0</v>
      </c>
      <c r="T159" s="62">
        <f t="shared" ref="T159:T189" si="39">SUM(P159:S159)</f>
        <v>1</v>
      </c>
    </row>
    <row r="160" spans="1:27" ht="16.5" hidden="1" x14ac:dyDescent="0.3">
      <c r="A160" s="60"/>
      <c r="B160" s="66">
        <f>COUNTIF(Table10[D2],B$150)/2</f>
        <v>0.5</v>
      </c>
      <c r="C160" s="66">
        <f>COUNTIF(Table10[D2],C$150)/2</f>
        <v>0.5</v>
      </c>
      <c r="D160" s="66">
        <f>COUNTIF(Table10[D2],D$150)/2</f>
        <v>0</v>
      </c>
      <c r="E160" s="66">
        <f>COUNTIF(Table10[D2],E$150)/2</f>
        <v>0</v>
      </c>
      <c r="F160" s="62">
        <f t="shared" si="37"/>
        <v>1</v>
      </c>
      <c r="H160" s="57" t="s">
        <v>34</v>
      </c>
      <c r="I160" s="66">
        <f>COUNTIFS(Table10[Prodi],I147,Table10[D2],I$150)/$I$149</f>
        <v>1</v>
      </c>
      <c r="J160" s="66">
        <f>COUNTIFS(Table10[Prodi],I147,Table10[D2],J$150)/$I$149</f>
        <v>0</v>
      </c>
      <c r="K160" s="66">
        <f>COUNTIFS(Table10[Prodi],I147,Table10[D2],K$150)/$I$149</f>
        <v>0</v>
      </c>
      <c r="L160" s="66">
        <f>COUNTIFS(Table10[Prodi],I147,Table10[D2],L$150)/$I$149</f>
        <v>0</v>
      </c>
      <c r="M160" s="62">
        <f t="shared" si="38"/>
        <v>1</v>
      </c>
      <c r="O160" s="57" t="s">
        <v>34</v>
      </c>
      <c r="P160" s="66">
        <f>COUNTIFS(Table10[Prodi],P147,Table10[D2],P$150)/$P$149</f>
        <v>0</v>
      </c>
      <c r="Q160" s="66">
        <f>COUNTIFS(Table10[Prodi],P147,Table10[D2],Q$150)/$P$149</f>
        <v>1</v>
      </c>
      <c r="R160" s="66">
        <f>COUNTIFS(Table10[Prodi],P147,Table10[D2],R$150)/$P$149</f>
        <v>0</v>
      </c>
      <c r="S160" s="66">
        <f>COUNTIFS(Table10[Prodi],P147,Table10[D2],S$150)/$P$149</f>
        <v>0</v>
      </c>
      <c r="T160" s="62">
        <f t="shared" si="39"/>
        <v>1</v>
      </c>
    </row>
    <row r="161" spans="1:20" ht="16.5" hidden="1" x14ac:dyDescent="0.3">
      <c r="A161" s="57" t="s">
        <v>35</v>
      </c>
      <c r="B161" s="61">
        <f>AVERAGE(B159:B160)</f>
        <v>0.25</v>
      </c>
      <c r="C161" s="61">
        <f>AVERAGE(C159:C160)</f>
        <v>0.75</v>
      </c>
      <c r="D161" s="61">
        <f>AVERAGE(D159:D160)</f>
        <v>0</v>
      </c>
      <c r="E161" s="61">
        <f>AVERAGE(E159:E160)</f>
        <v>0</v>
      </c>
      <c r="F161" s="62">
        <f t="shared" si="37"/>
        <v>1</v>
      </c>
      <c r="H161" s="60"/>
      <c r="I161" s="61">
        <f>AVERAGE(I159:I160)</f>
        <v>0.5</v>
      </c>
      <c r="J161" s="61">
        <f>AVERAGE(J159:J160)</f>
        <v>0.5</v>
      </c>
      <c r="K161" s="61">
        <f>AVERAGE(K159:K160)</f>
        <v>0</v>
      </c>
      <c r="L161" s="61">
        <f>AVERAGE(L159:L160)</f>
        <v>0</v>
      </c>
      <c r="M161" s="62">
        <f t="shared" si="38"/>
        <v>1</v>
      </c>
      <c r="O161" s="60"/>
      <c r="P161" s="61">
        <f>AVERAGE(P159:P160)</f>
        <v>0</v>
      </c>
      <c r="Q161" s="61">
        <f>AVERAGE(Q159:Q160)</f>
        <v>1</v>
      </c>
      <c r="R161" s="61">
        <f>AVERAGE(R159:R160)</f>
        <v>0</v>
      </c>
      <c r="S161" s="61">
        <f>AVERAGE(S159:S160)</f>
        <v>0</v>
      </c>
      <c r="T161" s="62">
        <f t="shared" si="39"/>
        <v>1</v>
      </c>
    </row>
    <row r="162" spans="1:20" ht="16.5" hidden="1" x14ac:dyDescent="0.3">
      <c r="A162" s="57" t="s">
        <v>36</v>
      </c>
      <c r="B162" s="66">
        <f>COUNTIF(Table10[E1],B$150)/2</f>
        <v>1</v>
      </c>
      <c r="C162" s="66">
        <f>COUNTIF(Table10[E1],C$150)/2</f>
        <v>0</v>
      </c>
      <c r="D162" s="66">
        <f>COUNTIF(Table10[E1],D$150)/2</f>
        <v>0</v>
      </c>
      <c r="E162" s="66">
        <f>COUNTIF(Table10[E1],E$150)/2</f>
        <v>0</v>
      </c>
      <c r="F162" s="62">
        <f t="shared" si="37"/>
        <v>1</v>
      </c>
      <c r="H162" s="57" t="s">
        <v>35</v>
      </c>
      <c r="I162" s="66">
        <f>COUNTIFS(Table10[Prodi],I147,Table10[E1],I$150)/$I$149</f>
        <v>1</v>
      </c>
      <c r="J162" s="66">
        <f>COUNTIFS(Table10[Prodi],I147,Table10[E1],J$150)/$I$149</f>
        <v>0</v>
      </c>
      <c r="K162" s="66">
        <f>COUNTIFS(Table10[Prodi],I147,Table10[E1],K$150)/$I$149</f>
        <v>0</v>
      </c>
      <c r="L162" s="66">
        <f>COUNTIFS(Table10[Prodi],I147,Table10[E1],L$150)/$I$149</f>
        <v>0</v>
      </c>
      <c r="M162" s="62">
        <f t="shared" si="38"/>
        <v>1</v>
      </c>
      <c r="O162" s="57" t="s">
        <v>35</v>
      </c>
      <c r="P162" s="66">
        <f>COUNTIFS(Table10[Prodi],P147,Table10[E1],P$150)/$P$149</f>
        <v>1</v>
      </c>
      <c r="Q162" s="66">
        <f>COUNTIFS(Table10[Prodi],P147,Table10[E1],Q$150)/$P$149</f>
        <v>0</v>
      </c>
      <c r="R162" s="66">
        <f>COUNTIFS(Table10[Prodi],P147,Table10[E1],R$150)/$P$149</f>
        <v>0</v>
      </c>
      <c r="S162" s="66">
        <f>COUNTIFS(Table10[Prodi],P147,Table10[E1],S$150)/$P$149</f>
        <v>0</v>
      </c>
      <c r="T162" s="62">
        <f t="shared" si="39"/>
        <v>1</v>
      </c>
    </row>
    <row r="163" spans="1:20" ht="16.5" hidden="1" x14ac:dyDescent="0.3">
      <c r="A163" s="60"/>
      <c r="B163" s="66">
        <f>COUNTIF(Table10[E2],B$150)/2</f>
        <v>1</v>
      </c>
      <c r="C163" s="66">
        <f>COUNTIF(Table10[E2],C$150)/2</f>
        <v>0</v>
      </c>
      <c r="D163" s="66">
        <f>COUNTIF(Table10[E2],D$150)/2</f>
        <v>0</v>
      </c>
      <c r="E163" s="66">
        <f>COUNTIF(Table10[E2],E$150)/2</f>
        <v>0</v>
      </c>
      <c r="F163" s="62">
        <f t="shared" si="37"/>
        <v>1</v>
      </c>
      <c r="H163" s="57" t="s">
        <v>36</v>
      </c>
      <c r="I163" s="66">
        <f>COUNTIFS(Table10[Prodi],I147,Table10[E2],I$150)/$I$149</f>
        <v>1</v>
      </c>
      <c r="J163" s="66">
        <f>COUNTIFS(Table10[Prodi],I147,Table10[E2],J$150)/$I$149</f>
        <v>0</v>
      </c>
      <c r="K163" s="66">
        <f>COUNTIFS(Table10[Prodi],I147,Table10[E2],K$150)/$I$149</f>
        <v>0</v>
      </c>
      <c r="L163" s="66">
        <f>COUNTIFS(Table10[Prodi],I147,Table10[E2],L$150)/$I$149</f>
        <v>0</v>
      </c>
      <c r="M163" s="62">
        <f t="shared" si="38"/>
        <v>1</v>
      </c>
      <c r="O163" s="57" t="s">
        <v>36</v>
      </c>
      <c r="P163" s="66">
        <f>COUNTIFS(Table10[Prodi],P147,Table10[E2],P$150)/$P$149</f>
        <v>1</v>
      </c>
      <c r="Q163" s="66">
        <f>COUNTIFS(Table10[Prodi],P147,Table10[E2],Q$150)/$P$149</f>
        <v>0</v>
      </c>
      <c r="R163" s="66">
        <f>COUNTIFS(Table10[Prodi],P147,Table10[E2],R$150)/$P$149</f>
        <v>0</v>
      </c>
      <c r="S163" s="66">
        <f>COUNTIFS(Table10[Prodi],P147,Table10[E2],S$150)/$P$149</f>
        <v>0</v>
      </c>
      <c r="T163" s="62">
        <f t="shared" si="39"/>
        <v>1</v>
      </c>
    </row>
    <row r="164" spans="1:20" ht="16.5" hidden="1" x14ac:dyDescent="0.3">
      <c r="A164" s="57" t="s">
        <v>37</v>
      </c>
      <c r="B164" s="61">
        <f>AVERAGE(B162:B163)</f>
        <v>1</v>
      </c>
      <c r="C164" s="61">
        <f>AVERAGE(C162:C163)</f>
        <v>0</v>
      </c>
      <c r="D164" s="61">
        <f>AVERAGE(D162:D163)</f>
        <v>0</v>
      </c>
      <c r="E164" s="61">
        <f>AVERAGE(E162:E163)</f>
        <v>0</v>
      </c>
      <c r="F164" s="62">
        <f t="shared" si="37"/>
        <v>1</v>
      </c>
      <c r="H164" s="60"/>
      <c r="I164" s="61">
        <f>AVERAGE(I162:I163)</f>
        <v>1</v>
      </c>
      <c r="J164" s="61">
        <f>AVERAGE(J162:J163)</f>
        <v>0</v>
      </c>
      <c r="K164" s="61">
        <f>AVERAGE(K162:K163)</f>
        <v>0</v>
      </c>
      <c r="L164" s="61">
        <f>AVERAGE(L162:L163)</f>
        <v>0</v>
      </c>
      <c r="M164" s="62">
        <f t="shared" si="38"/>
        <v>1</v>
      </c>
      <c r="O164" s="60"/>
      <c r="P164" s="61">
        <f>AVERAGE(P162:P163)</f>
        <v>1</v>
      </c>
      <c r="Q164" s="61">
        <f>AVERAGE(Q162:Q163)</f>
        <v>0</v>
      </c>
      <c r="R164" s="61">
        <f>AVERAGE(R162:R163)</f>
        <v>0</v>
      </c>
      <c r="S164" s="61">
        <f>AVERAGE(S162:S163)</f>
        <v>0</v>
      </c>
      <c r="T164" s="62">
        <f t="shared" si="39"/>
        <v>1</v>
      </c>
    </row>
    <row r="165" spans="1:20" ht="16.5" hidden="1" x14ac:dyDescent="0.3">
      <c r="A165" s="57" t="s">
        <v>38</v>
      </c>
      <c r="B165" s="66">
        <f>COUNTIF(Table10[F1],B$150)/2</f>
        <v>1</v>
      </c>
      <c r="C165" s="66">
        <f>COUNTIF(Table10[F1],C$150)/2</f>
        <v>0</v>
      </c>
      <c r="D165" s="66">
        <f>COUNTIF(Table10[F1],D$150)/2</f>
        <v>0</v>
      </c>
      <c r="E165" s="66">
        <f>COUNTIF(Table10[F1],E$150)/2</f>
        <v>0</v>
      </c>
      <c r="F165" s="62">
        <f t="shared" si="37"/>
        <v>1</v>
      </c>
      <c r="H165" s="57" t="s">
        <v>37</v>
      </c>
      <c r="I165" s="66">
        <f>COUNTIFS(Table10[Prodi],I147,Table10[F1],I$150)/$I$149</f>
        <v>1</v>
      </c>
      <c r="J165" s="66">
        <f>COUNTIFS(Table10[Prodi],I147,Table10[F1],J$150)/$I$149</f>
        <v>0</v>
      </c>
      <c r="K165" s="66">
        <f>COUNTIFS(Table10[Prodi],I147,Table10[F1],K$150)/$I$149</f>
        <v>0</v>
      </c>
      <c r="L165" s="66">
        <f>COUNTIFS(Table10[Prodi],I147,Table10[F1],L$150)/$I$149</f>
        <v>0</v>
      </c>
      <c r="M165" s="62">
        <f t="shared" si="38"/>
        <v>1</v>
      </c>
      <c r="O165" s="57" t="s">
        <v>37</v>
      </c>
      <c r="P165" s="66">
        <f>COUNTIFS(Table10[Prodi],P147,Table10[F1],P$150)/$P$149</f>
        <v>1</v>
      </c>
      <c r="Q165" s="66">
        <f>COUNTIFS(Table10[Prodi],P147,Table10[F1],Q$150)/$P$149</f>
        <v>0</v>
      </c>
      <c r="R165" s="66">
        <f>COUNTIFS(Table10[Prodi],P147,Table10[F1],R$150)/$P$149</f>
        <v>0</v>
      </c>
      <c r="S165" s="66">
        <f>COUNTIFS(Table10[Prodi],P147,Table10[F1],S$150)/$P$149</f>
        <v>0</v>
      </c>
      <c r="T165" s="62">
        <f t="shared" si="39"/>
        <v>1</v>
      </c>
    </row>
    <row r="166" spans="1:20" ht="16.5" hidden="1" x14ac:dyDescent="0.3">
      <c r="A166" s="57" t="s">
        <v>39</v>
      </c>
      <c r="B166" s="66">
        <f>COUNTIF(Table10[F2],B$150)/2</f>
        <v>1</v>
      </c>
      <c r="C166" s="66">
        <f>COUNTIF(Table10[F2],C$150)/2</f>
        <v>0</v>
      </c>
      <c r="D166" s="66">
        <f>COUNTIF(Table10[F2],D$150)/2</f>
        <v>0</v>
      </c>
      <c r="E166" s="66">
        <f>COUNTIF(Table10[F2],E$150)/2</f>
        <v>0</v>
      </c>
      <c r="F166" s="62">
        <f t="shared" si="37"/>
        <v>1</v>
      </c>
      <c r="H166" s="57" t="s">
        <v>38</v>
      </c>
      <c r="I166" s="66">
        <f>COUNTIFS(Table10[Prodi],I147,Table10[F2],I$150)/$I$149</f>
        <v>1</v>
      </c>
      <c r="J166" s="66">
        <f>COUNTIFS(Table10[Prodi],I147,Table10[F2],J$150)/$I$149</f>
        <v>0</v>
      </c>
      <c r="K166" s="66">
        <f>COUNTIFS(Table10[Prodi],I147,Table10[F2],K$150)/$I$149</f>
        <v>0</v>
      </c>
      <c r="L166" s="66">
        <f>COUNTIFS(Table10[Prodi],I147,Table10[F2],L$150)/$I$149</f>
        <v>0</v>
      </c>
      <c r="M166" s="62">
        <f t="shared" si="38"/>
        <v>1</v>
      </c>
      <c r="O166" s="57" t="s">
        <v>38</v>
      </c>
      <c r="P166" s="66">
        <f>COUNTIFS(Table10[Prodi],P147,Table10[F2],P$150)/$P$149</f>
        <v>1</v>
      </c>
      <c r="Q166" s="66">
        <f>COUNTIFS(Table10[Prodi],P147,Table10[F2],Q$150)/$P$149</f>
        <v>0</v>
      </c>
      <c r="R166" s="66">
        <f>COUNTIFS(Table10[Prodi],P147,Table10[F2],R$150)/$P$149</f>
        <v>0</v>
      </c>
      <c r="S166" s="66">
        <f>COUNTIFS(Table10[Prodi],P147,Table10[F2],S$150)/$P$149</f>
        <v>0</v>
      </c>
      <c r="T166" s="62">
        <f t="shared" si="39"/>
        <v>1</v>
      </c>
    </row>
    <row r="167" spans="1:20" ht="16.5" hidden="1" x14ac:dyDescent="0.3">
      <c r="A167" s="57" t="s">
        <v>1170</v>
      </c>
      <c r="B167" s="66">
        <f>COUNTIF(Table10[F3],B$150)/2</f>
        <v>1</v>
      </c>
      <c r="C167" s="66">
        <f>COUNTIF(Table10[F3],C$150)/2</f>
        <v>0</v>
      </c>
      <c r="D167" s="66">
        <f>COUNTIF(Table10[F3],D$150)/2</f>
        <v>0</v>
      </c>
      <c r="E167" s="66">
        <f>COUNTIF(Table10[F3],E$150)/2</f>
        <v>0</v>
      </c>
      <c r="F167" s="62">
        <f t="shared" si="37"/>
        <v>1</v>
      </c>
      <c r="H167" s="57" t="s">
        <v>39</v>
      </c>
      <c r="I167" s="66">
        <f>COUNTIFS(Table10[Prodi],I147,Table10[F3],I$150)/$I$149</f>
        <v>1</v>
      </c>
      <c r="J167" s="66">
        <f>COUNTIFS(Table10[Prodi],I147,Table10[F3],J$150)/$I$149</f>
        <v>0</v>
      </c>
      <c r="K167" s="66">
        <f>COUNTIFS(Table10[Prodi],I147,Table10[F3],K$150)/$I$149</f>
        <v>0</v>
      </c>
      <c r="L167" s="66">
        <f>COUNTIFS(Table10[Prodi],I147,Table10[F3],L$150)/$I$149</f>
        <v>0</v>
      </c>
      <c r="M167" s="62">
        <f t="shared" si="38"/>
        <v>1</v>
      </c>
      <c r="O167" s="57" t="s">
        <v>39</v>
      </c>
      <c r="P167" s="66">
        <f>COUNTIFS(Table10[Prodi],P147,Table10[F3],P$150)/$P$149</f>
        <v>1</v>
      </c>
      <c r="Q167" s="66">
        <f>COUNTIFS(Table10[Prodi],P147,Table10[F3],Q$150)/$P$149</f>
        <v>0</v>
      </c>
      <c r="R167" s="66">
        <f>COUNTIFS(Table10[Prodi],P147,Table10[F3],R$150)/$P$149</f>
        <v>0</v>
      </c>
      <c r="S167" s="66">
        <f>COUNTIFS(Table10[Prodi],P147,Table10[F3],S$150)/$P$149</f>
        <v>0</v>
      </c>
      <c r="T167" s="62">
        <f t="shared" si="39"/>
        <v>1</v>
      </c>
    </row>
    <row r="168" spans="1:20" ht="16.5" hidden="1" x14ac:dyDescent="0.3">
      <c r="A168" s="60"/>
      <c r="B168" s="66">
        <f>COUNTIF(Table10[F4],B$150)/2</f>
        <v>0.5</v>
      </c>
      <c r="C168" s="66">
        <f>COUNTIF(Table10[F4],C$150)/2</f>
        <v>0.5</v>
      </c>
      <c r="D168" s="66">
        <f>COUNTIF(Table10[F4],D$150)/2</f>
        <v>0</v>
      </c>
      <c r="E168" s="66">
        <f>COUNTIF(Table10[F4],E$150)/2</f>
        <v>0</v>
      </c>
      <c r="F168" s="62">
        <f t="shared" si="37"/>
        <v>1</v>
      </c>
      <c r="H168" s="57" t="s">
        <v>1170</v>
      </c>
      <c r="I168" s="66">
        <f>COUNTIFS(Table10[Prodi],I147,Table10[F4],I$150)/$I$149</f>
        <v>1</v>
      </c>
      <c r="J168" s="66">
        <f>COUNTIFS(Table10[Prodi],I147,Table10[F4],J$150)/$I$149</f>
        <v>0</v>
      </c>
      <c r="K168" s="66">
        <f>COUNTIFS(Table10[Prodi],I147,Table10[F4],K$150)/$I$149</f>
        <v>0</v>
      </c>
      <c r="L168" s="66">
        <f>COUNTIFS(Table10[Prodi],I147,Table10[F4],L$150)/$I$149</f>
        <v>0</v>
      </c>
      <c r="M168" s="62">
        <f t="shared" si="38"/>
        <v>1</v>
      </c>
      <c r="O168" s="57" t="s">
        <v>1170</v>
      </c>
      <c r="P168" s="66">
        <f>COUNTIFS(Table10[Prodi],P147,Table10[F4],P$150)/$P$149</f>
        <v>0</v>
      </c>
      <c r="Q168" s="66">
        <f>COUNTIFS(Table10[Prodi],P147,Table10[F4],Q$150)/$P$149</f>
        <v>1</v>
      </c>
      <c r="R168" s="66">
        <f>COUNTIFS(Table10[Prodi],P147,Table10[F4],R$150)/$P$149</f>
        <v>0</v>
      </c>
      <c r="S168" s="66">
        <f>COUNTIFS(Table10[Prodi],P147,Table10[F4],S$150)/$P$149</f>
        <v>0</v>
      </c>
      <c r="T168" s="62">
        <f t="shared" si="39"/>
        <v>1</v>
      </c>
    </row>
    <row r="169" spans="1:20" ht="16.5" hidden="1" x14ac:dyDescent="0.3">
      <c r="A169" s="57" t="s">
        <v>40</v>
      </c>
      <c r="B169" s="61">
        <f>AVERAGE(B165:B168)</f>
        <v>0.875</v>
      </c>
      <c r="C169" s="61">
        <f>AVERAGE(C165:C168)</f>
        <v>0.125</v>
      </c>
      <c r="D169" s="61">
        <f>AVERAGE(D165:D168)</f>
        <v>0</v>
      </c>
      <c r="E169" s="61">
        <f>AVERAGE(E165:E168)</f>
        <v>0</v>
      </c>
      <c r="F169" s="62">
        <f t="shared" si="37"/>
        <v>1</v>
      </c>
      <c r="H169" s="60"/>
      <c r="I169" s="61">
        <f>AVERAGE(I165:I168)</f>
        <v>1</v>
      </c>
      <c r="J169" s="61">
        <f>AVERAGE(J165:J168)</f>
        <v>0</v>
      </c>
      <c r="K169" s="61">
        <f>AVERAGE(K165:K168)</f>
        <v>0</v>
      </c>
      <c r="L169" s="61">
        <f>AVERAGE(L165:L168)</f>
        <v>0</v>
      </c>
      <c r="M169" s="62">
        <f t="shared" si="38"/>
        <v>1</v>
      </c>
      <c r="O169" s="60"/>
      <c r="P169" s="61">
        <f>AVERAGE(P165:P168)</f>
        <v>0.75</v>
      </c>
      <c r="Q169" s="61">
        <f>AVERAGE(Q165:Q168)</f>
        <v>0.25</v>
      </c>
      <c r="R169" s="61">
        <f>AVERAGE(R165:R168)</f>
        <v>0</v>
      </c>
      <c r="S169" s="61">
        <f>AVERAGE(S165:S168)</f>
        <v>0</v>
      </c>
      <c r="T169" s="62">
        <f t="shared" si="39"/>
        <v>1</v>
      </c>
    </row>
    <row r="170" spans="1:20" ht="16.5" hidden="1" x14ac:dyDescent="0.3">
      <c r="A170" s="57" t="s">
        <v>41</v>
      </c>
      <c r="B170" s="66">
        <f>COUNTIF(Table10[G1],B$150)/2</f>
        <v>1</v>
      </c>
      <c r="C170" s="66">
        <f>COUNTIF(Table10[G1],C$150)/2</f>
        <v>0</v>
      </c>
      <c r="D170" s="66">
        <f>COUNTIF(Table10[G1],D$150)/2</f>
        <v>0</v>
      </c>
      <c r="E170" s="66">
        <f>COUNTIF(Table10[G1],E$150)/2</f>
        <v>0</v>
      </c>
      <c r="F170" s="62">
        <f t="shared" si="37"/>
        <v>1</v>
      </c>
      <c r="H170" s="57" t="s">
        <v>40</v>
      </c>
      <c r="I170" s="66">
        <f>COUNTIFS(Table10[Prodi],I147,Table10[G1],I$150)/$I$149</f>
        <v>1</v>
      </c>
      <c r="J170" s="66">
        <f>COUNTIFS(Table10[Prodi],I147,Table10[G1],J$150)/$I$149</f>
        <v>0</v>
      </c>
      <c r="K170" s="66">
        <f>COUNTIFS(Table10[Prodi],I147,Table10[G1],K$150)/$I$149</f>
        <v>0</v>
      </c>
      <c r="L170" s="66">
        <f>COUNTIFS(Table10[Prodi],I147,Table10[G1],L$150)/$I$149</f>
        <v>0</v>
      </c>
      <c r="M170" s="62">
        <f t="shared" si="38"/>
        <v>1</v>
      </c>
      <c r="O170" s="57" t="s">
        <v>40</v>
      </c>
      <c r="P170" s="66">
        <f>COUNTIFS(Table10[Prodi],P147,Table10[G1],P$150)/$P$149</f>
        <v>1</v>
      </c>
      <c r="Q170" s="66">
        <f>COUNTIFS(Table10[Prodi],P147,Table10[G1],Q$150)/$P$149</f>
        <v>0</v>
      </c>
      <c r="R170" s="66">
        <f>COUNTIFS(Table10[Prodi],P147,Table10[G1],R$150)/$P$149</f>
        <v>0</v>
      </c>
      <c r="S170" s="66">
        <f>COUNTIFS(Table10[Prodi],P147,Table10[G1],S$150)/$P$149</f>
        <v>0</v>
      </c>
      <c r="T170" s="62">
        <f t="shared" si="39"/>
        <v>1</v>
      </c>
    </row>
    <row r="171" spans="1:20" ht="16.5" hidden="1" x14ac:dyDescent="0.3">
      <c r="A171" s="57" t="s">
        <v>1172</v>
      </c>
      <c r="B171" s="66">
        <f>COUNTIF(Table10[G2],B$150)/2</f>
        <v>1</v>
      </c>
      <c r="C171" s="66">
        <f>COUNTIF(Table10[G2],C$150)/2</f>
        <v>0</v>
      </c>
      <c r="D171" s="66">
        <f>COUNTIF(Table10[G2],D$150)/2</f>
        <v>0</v>
      </c>
      <c r="E171" s="66">
        <f>COUNTIF(Table10[G2],E$150)/2</f>
        <v>0</v>
      </c>
      <c r="F171" s="62">
        <f t="shared" si="37"/>
        <v>1</v>
      </c>
      <c r="H171" s="57" t="s">
        <v>41</v>
      </c>
      <c r="I171" s="66">
        <f>COUNTIFS(Table10[Prodi],I147,Table10[G2],I$150)/$I$149</f>
        <v>1</v>
      </c>
      <c r="J171" s="66">
        <f>COUNTIFS(Table10[Prodi],I147,Table10[G2],J$150)/$I$149</f>
        <v>0</v>
      </c>
      <c r="K171" s="66">
        <f>COUNTIFS(Table10[Prodi],I147,Table10[G2],K$150)/$I$149</f>
        <v>0</v>
      </c>
      <c r="L171" s="66">
        <f>COUNTIFS(Table10[Prodi],I147,Table10[G2],L$150)/$I$149</f>
        <v>0</v>
      </c>
      <c r="M171" s="62">
        <f t="shared" si="38"/>
        <v>1</v>
      </c>
      <c r="O171" s="57" t="s">
        <v>41</v>
      </c>
      <c r="P171" s="66">
        <f>COUNTIFS(Table10[Prodi],P147,Table10[G2],P$150)/$P$149</f>
        <v>1</v>
      </c>
      <c r="Q171" s="66">
        <f>COUNTIFS(Table10[Prodi],P147,Table10[G2],Q$150)/$P$149</f>
        <v>0</v>
      </c>
      <c r="R171" s="66">
        <f>COUNTIFS(Table10[Prodi],P147,Table10[G2],R$150)/$P$149</f>
        <v>0</v>
      </c>
      <c r="S171" s="66">
        <f>COUNTIFS(Table10[Prodi],P147,Table10[G2],S$150)/$P$149</f>
        <v>0</v>
      </c>
      <c r="T171" s="62">
        <f t="shared" si="39"/>
        <v>1</v>
      </c>
    </row>
    <row r="172" spans="1:20" ht="16.5" hidden="1" x14ac:dyDescent="0.3">
      <c r="A172" s="60"/>
      <c r="B172" s="66">
        <f>COUNTIF(Table10[G3],B$150)/2</f>
        <v>1</v>
      </c>
      <c r="C172" s="66">
        <f>COUNTIF(Table10[G3],C$150)/2</f>
        <v>0</v>
      </c>
      <c r="D172" s="66">
        <f>COUNTIF(Table10[G3],D$150)/2</f>
        <v>0</v>
      </c>
      <c r="E172" s="66">
        <f>COUNTIF(Table10[G3],E$150)/2</f>
        <v>0</v>
      </c>
      <c r="F172" s="62">
        <f t="shared" si="37"/>
        <v>1</v>
      </c>
      <c r="H172" s="57" t="s">
        <v>1172</v>
      </c>
      <c r="I172" s="66">
        <f>COUNTIFS(Table10[Prodi],I147,Table10[G3],I$150)/$I$149</f>
        <v>1</v>
      </c>
      <c r="J172" s="66">
        <f>COUNTIFS(Table10[Prodi],I147,Table10[G3],J$150)/$I$149</f>
        <v>0</v>
      </c>
      <c r="K172" s="66">
        <f>COUNTIFS(Table10[Prodi],I147,Table10[G3],K$150)/$I$149</f>
        <v>0</v>
      </c>
      <c r="L172" s="66">
        <f>COUNTIFS(Table10[Prodi],I147,Table10[G3],L$150)/$I$149</f>
        <v>0</v>
      </c>
      <c r="M172" s="62">
        <f t="shared" si="38"/>
        <v>1</v>
      </c>
      <c r="O172" s="57" t="s">
        <v>1172</v>
      </c>
      <c r="P172" s="66">
        <f>COUNTIFS(Table10[Prodi],P147,Table10[G3],P$150)/$P$149</f>
        <v>1</v>
      </c>
      <c r="Q172" s="66">
        <f>COUNTIFS(Table10[Prodi],P147,Table10[G3],Q$150)/$P$149</f>
        <v>0</v>
      </c>
      <c r="R172" s="66">
        <f>COUNTIFS(Table10[Prodi],P147,Table10[G3],R$150)/$P$149</f>
        <v>0</v>
      </c>
      <c r="S172" s="66">
        <f>COUNTIFS(Table10[Prodi],P147,Table10[G3],S$150)/$P$149</f>
        <v>0</v>
      </c>
      <c r="T172" s="62">
        <f t="shared" si="39"/>
        <v>1</v>
      </c>
    </row>
    <row r="173" spans="1:20" ht="16.5" hidden="1" x14ac:dyDescent="0.3">
      <c r="A173" s="57" t="s">
        <v>42</v>
      </c>
      <c r="B173" s="61">
        <f>AVERAGE(B170:B172)</f>
        <v>1</v>
      </c>
      <c r="C173" s="61">
        <f>AVERAGE(C170:C172)</f>
        <v>0</v>
      </c>
      <c r="D173" s="61">
        <f>AVERAGE(D170:D172)</f>
        <v>0</v>
      </c>
      <c r="E173" s="61">
        <f>AVERAGE(E170:E172)</f>
        <v>0</v>
      </c>
      <c r="F173" s="62">
        <f t="shared" si="37"/>
        <v>1</v>
      </c>
      <c r="H173" s="60"/>
      <c r="I173" s="61">
        <f>AVERAGE(I170:I172)</f>
        <v>1</v>
      </c>
      <c r="J173" s="61">
        <f>AVERAGE(J170:J172)</f>
        <v>0</v>
      </c>
      <c r="K173" s="61">
        <f>AVERAGE(K170:K172)</f>
        <v>0</v>
      </c>
      <c r="L173" s="61">
        <f>AVERAGE(L170:L172)</f>
        <v>0</v>
      </c>
      <c r="M173" s="62">
        <f t="shared" si="38"/>
        <v>1</v>
      </c>
      <c r="O173" s="60"/>
      <c r="P173" s="61">
        <f>AVERAGE(P170:P172)</f>
        <v>1</v>
      </c>
      <c r="Q173" s="61">
        <f>AVERAGE(Q170:Q172)</f>
        <v>0</v>
      </c>
      <c r="R173" s="61">
        <f>AVERAGE(R170:R172)</f>
        <v>0</v>
      </c>
      <c r="S173" s="61">
        <f>AVERAGE(S170:S172)</f>
        <v>0</v>
      </c>
      <c r="T173" s="62">
        <f t="shared" si="39"/>
        <v>1</v>
      </c>
    </row>
    <row r="174" spans="1:20" ht="16.5" hidden="1" x14ac:dyDescent="0.3">
      <c r="A174" s="57" t="s">
        <v>43</v>
      </c>
      <c r="B174" s="66">
        <f>COUNTIF(Table10[H1],B$150)/2</f>
        <v>1</v>
      </c>
      <c r="C174" s="66">
        <f>COUNTIF(Table10[H1],C$150)/2</f>
        <v>0</v>
      </c>
      <c r="D174" s="66">
        <f>COUNTIF(Table10[H1],D$150)/2</f>
        <v>0</v>
      </c>
      <c r="E174" s="66">
        <f>COUNTIF(Table10[H1],E$150)/2</f>
        <v>0</v>
      </c>
      <c r="F174" s="62">
        <f t="shared" si="37"/>
        <v>1</v>
      </c>
      <c r="H174" s="57" t="s">
        <v>42</v>
      </c>
      <c r="I174" s="66">
        <f>COUNTIFS(Table10[Prodi],I147,Table10[H1],I$150)/$I$149</f>
        <v>1</v>
      </c>
      <c r="J174" s="66">
        <f>COUNTIFS(Table10[Prodi],I147,Table10[H1],J$150)/$I$149</f>
        <v>0</v>
      </c>
      <c r="K174" s="66">
        <f>COUNTIFS(Table10[Prodi],I147,Table10[H1],K$150)/$I$149</f>
        <v>0</v>
      </c>
      <c r="L174" s="66">
        <f>COUNTIFS(Table10[Prodi],I147,Table10[H1],L$150)/$I$149</f>
        <v>0</v>
      </c>
      <c r="M174" s="62">
        <f t="shared" si="38"/>
        <v>1</v>
      </c>
      <c r="O174" s="57" t="s">
        <v>42</v>
      </c>
      <c r="P174" s="66">
        <f>COUNTIFS(Table10[Prodi],P147,Table10[H1],P$150)/$P$149</f>
        <v>1</v>
      </c>
      <c r="Q174" s="66">
        <f>COUNTIFS(Table10[Prodi],P147,Table10[H1],Q$150)/$P$149</f>
        <v>0</v>
      </c>
      <c r="R174" s="66">
        <f>COUNTIFS(Table10[Prodi],P147,Table10[H1],R$150)/$P$149</f>
        <v>0</v>
      </c>
      <c r="S174" s="66">
        <f>COUNTIFS(Table10[Prodi],P147,Table10[H1],S$150)/$P$149</f>
        <v>0</v>
      </c>
      <c r="T174" s="62">
        <f t="shared" si="39"/>
        <v>1</v>
      </c>
    </row>
    <row r="175" spans="1:20" ht="16.5" hidden="1" x14ac:dyDescent="0.3">
      <c r="A175" s="57" t="s">
        <v>44</v>
      </c>
      <c r="B175" s="66">
        <f>COUNTIF(Table10[H2],B$150)/2</f>
        <v>1</v>
      </c>
      <c r="C175" s="66">
        <f>COUNTIF(Table10[H2],C$150)/2</f>
        <v>0</v>
      </c>
      <c r="D175" s="66">
        <f>COUNTIF(Table10[H2],D$150)/2</f>
        <v>0</v>
      </c>
      <c r="E175" s="66">
        <f>COUNTIF(Table10[H2],E$150)/2</f>
        <v>0</v>
      </c>
      <c r="F175" s="62">
        <f t="shared" si="37"/>
        <v>1</v>
      </c>
      <c r="H175" s="57" t="s">
        <v>43</v>
      </c>
      <c r="I175" s="66">
        <f>COUNTIFS(Table10[Prodi],I147,Table10[H2],I$150)/$I$149</f>
        <v>1</v>
      </c>
      <c r="J175" s="66">
        <f>COUNTIFS(Table10[Prodi],I147,Table10[H2],J$150)/$I$149</f>
        <v>0</v>
      </c>
      <c r="K175" s="66">
        <f>COUNTIFS(Table10[Prodi],I147,Table10[H2],K$150)/$I$149</f>
        <v>0</v>
      </c>
      <c r="L175" s="66">
        <f>COUNTIFS(Table10[Prodi],I147,Table10[H2],L$150)/$I$149</f>
        <v>0</v>
      </c>
      <c r="M175" s="62">
        <f t="shared" si="38"/>
        <v>1</v>
      </c>
      <c r="O175" s="57" t="s">
        <v>43</v>
      </c>
      <c r="P175" s="66">
        <f>COUNTIFS(Table10[Prodi],P147,Table10[H2],P$150)/$P$149</f>
        <v>1</v>
      </c>
      <c r="Q175" s="66">
        <f>COUNTIFS(Table10[Prodi],P147,Table10[H2],Q$150)/$P$149</f>
        <v>0</v>
      </c>
      <c r="R175" s="66">
        <f>COUNTIFS(Table10[Prodi],P147,Table10[H2],R$150)/$P$149</f>
        <v>0</v>
      </c>
      <c r="S175" s="66">
        <f>COUNTIFS(Table10[Prodi],P147,Table10[H2],S$150)/$P$149</f>
        <v>0</v>
      </c>
      <c r="T175" s="62">
        <f t="shared" si="39"/>
        <v>1</v>
      </c>
    </row>
    <row r="176" spans="1:20" ht="16.5" hidden="1" x14ac:dyDescent="0.3">
      <c r="A176" s="57" t="s">
        <v>45</v>
      </c>
      <c r="B176" s="66">
        <f>COUNTIF(Table10[H3],B$150)/2</f>
        <v>1</v>
      </c>
      <c r="C176" s="66">
        <f>COUNTIF(Table10[H3],C$150)/2</f>
        <v>0</v>
      </c>
      <c r="D176" s="66">
        <f>COUNTIF(Table10[H3],D$150)/2</f>
        <v>0</v>
      </c>
      <c r="E176" s="66">
        <f>COUNTIF(Table10[H3],E$150)/2</f>
        <v>0</v>
      </c>
      <c r="F176" s="62">
        <f t="shared" si="37"/>
        <v>1</v>
      </c>
      <c r="H176" s="57" t="s">
        <v>44</v>
      </c>
      <c r="I176" s="66">
        <f>COUNTIFS(Table10[Prodi],I147,Table10[H3],I$150)/$I$149</f>
        <v>1</v>
      </c>
      <c r="J176" s="66">
        <f>COUNTIFS(Table10[Prodi],I147,Table10[H3],J$150)/$I$149</f>
        <v>0</v>
      </c>
      <c r="K176" s="66">
        <f>COUNTIFS(Table10[Prodi],I147,Table10[H3],K$150)/$I$149</f>
        <v>0</v>
      </c>
      <c r="L176" s="66">
        <f>COUNTIFS(Table10[Prodi],I147,Table10[H3],L$150)/$I$149</f>
        <v>0</v>
      </c>
      <c r="M176" s="62">
        <f t="shared" si="38"/>
        <v>1</v>
      </c>
      <c r="O176" s="57" t="s">
        <v>44</v>
      </c>
      <c r="P176" s="66">
        <f>COUNTIFS(Table10[Prodi],P147,Table10[H3],P$150)/$P$149</f>
        <v>1</v>
      </c>
      <c r="Q176" s="66">
        <f>COUNTIFS(Table10[Prodi],P147,Table10[H3],Q$150)/$P$149</f>
        <v>0</v>
      </c>
      <c r="R176" s="66">
        <f>COUNTIFS(Table10[Prodi],P147,Table10[H3],R$150)/$P$149</f>
        <v>0</v>
      </c>
      <c r="S176" s="66">
        <f>COUNTIFS(Table10[Prodi],P147,Table10[H3],S$150)/$P$149</f>
        <v>0</v>
      </c>
      <c r="T176" s="62">
        <f t="shared" si="39"/>
        <v>1</v>
      </c>
    </row>
    <row r="177" spans="1:20" ht="16.5" hidden="1" x14ac:dyDescent="0.3">
      <c r="A177" s="60"/>
      <c r="B177" s="66">
        <f>COUNTIF(Table10[H4],B$150)/2</f>
        <v>1</v>
      </c>
      <c r="C177" s="66">
        <f>COUNTIF(Table10[H4],C$150)/2</f>
        <v>0</v>
      </c>
      <c r="D177" s="66">
        <f>COUNTIF(Table10[H4],D$150)/2</f>
        <v>0</v>
      </c>
      <c r="E177" s="66">
        <f>COUNTIF(Table10[H4],E$150)/2</f>
        <v>0</v>
      </c>
      <c r="F177" s="62">
        <f t="shared" si="37"/>
        <v>1</v>
      </c>
      <c r="H177" s="57" t="s">
        <v>45</v>
      </c>
      <c r="I177" s="66">
        <f>COUNTIFS(Table10[Prodi],I147,Table10[H4],I$150)/$I$149</f>
        <v>1</v>
      </c>
      <c r="J177" s="66">
        <f>COUNTIFS(Table10[Prodi],I147,Table10[H4],J$150)/$I$149</f>
        <v>0</v>
      </c>
      <c r="K177" s="66">
        <f>COUNTIFS(Table10[Prodi],I147,Table10[H4],K$150)/$I$149</f>
        <v>0</v>
      </c>
      <c r="L177" s="66">
        <f>COUNTIFS(Table10[Prodi],I147,Table10[H4],L$150)/$I$149</f>
        <v>0</v>
      </c>
      <c r="M177" s="62">
        <f t="shared" si="38"/>
        <v>1</v>
      </c>
      <c r="O177" s="57" t="s">
        <v>45</v>
      </c>
      <c r="P177" s="66">
        <f>COUNTIFS(Table10[Prodi],P147,Table10[H4],P$150)/$P$149</f>
        <v>1</v>
      </c>
      <c r="Q177" s="66">
        <f>COUNTIFS(Table10[Prodi],P147,Table10[H4],Q$150)/$P$149</f>
        <v>0</v>
      </c>
      <c r="R177" s="66">
        <f>COUNTIFS(Table10[Prodi],P147,Table10[H4],R$150)/$P$149</f>
        <v>0</v>
      </c>
      <c r="S177" s="66">
        <f>COUNTIFS(Table10[Prodi],P147,Table10[H4],S$150)/$P$149</f>
        <v>0</v>
      </c>
      <c r="T177" s="62">
        <f t="shared" si="39"/>
        <v>1</v>
      </c>
    </row>
    <row r="178" spans="1:20" ht="16.5" hidden="1" x14ac:dyDescent="0.3">
      <c r="A178" s="57" t="s">
        <v>648</v>
      </c>
      <c r="B178" s="61">
        <f>AVERAGE(B174:B177)</f>
        <v>1</v>
      </c>
      <c r="C178" s="61">
        <f>AVERAGE(C174:C177)</f>
        <v>0</v>
      </c>
      <c r="D178" s="61">
        <f>AVERAGE(D174:D177)</f>
        <v>0</v>
      </c>
      <c r="E178" s="61">
        <f>AVERAGE(E174:E177)</f>
        <v>0</v>
      </c>
      <c r="F178" s="62">
        <f t="shared" si="37"/>
        <v>1</v>
      </c>
      <c r="H178" s="60"/>
      <c r="I178" s="61">
        <f>AVERAGE(I174:I177)</f>
        <v>1</v>
      </c>
      <c r="J178" s="61">
        <f>AVERAGE(J174:J177)</f>
        <v>0</v>
      </c>
      <c r="K178" s="61">
        <f>AVERAGE(K174:K177)</f>
        <v>0</v>
      </c>
      <c r="L178" s="61">
        <f>AVERAGE(L174:L177)</f>
        <v>0</v>
      </c>
      <c r="M178" s="62">
        <f t="shared" si="38"/>
        <v>1</v>
      </c>
      <c r="O178" s="60"/>
      <c r="P178" s="61">
        <f>AVERAGE(P174:P177)</f>
        <v>1</v>
      </c>
      <c r="Q178" s="61">
        <f>AVERAGE(Q174:Q177)</f>
        <v>0</v>
      </c>
      <c r="R178" s="61">
        <f>AVERAGE(R174:R177)</f>
        <v>0</v>
      </c>
      <c r="S178" s="61">
        <f>AVERAGE(S174:S177)</f>
        <v>0</v>
      </c>
      <c r="T178" s="62">
        <f t="shared" si="39"/>
        <v>1</v>
      </c>
    </row>
    <row r="179" spans="1:20" ht="16.5" hidden="1" x14ac:dyDescent="0.3">
      <c r="A179" s="57" t="s">
        <v>649</v>
      </c>
      <c r="B179" s="66">
        <f>COUNTIF(Table10[I1.1],B$150)/2</f>
        <v>1</v>
      </c>
      <c r="C179" s="66">
        <f>COUNTIF(Table10[I1.1],C$150)/2</f>
        <v>0</v>
      </c>
      <c r="D179" s="66">
        <f>COUNTIF(Table10[I1.1],D$150)/2</f>
        <v>0</v>
      </c>
      <c r="E179" s="66">
        <f>COUNTIF(Table10[I1.1],E$150)/2</f>
        <v>0</v>
      </c>
      <c r="F179" s="62">
        <f t="shared" si="37"/>
        <v>1</v>
      </c>
      <c r="H179" s="57" t="s">
        <v>648</v>
      </c>
      <c r="I179" s="66">
        <f>COUNTIFS(Table10[Prodi],I147,Table10[I1.1],I$150)/$I$149</f>
        <v>1</v>
      </c>
      <c r="J179" s="66">
        <f>COUNTIFS(Table10[Prodi],I147,Table10[I1.1],J$150)/$I$149</f>
        <v>0</v>
      </c>
      <c r="K179" s="66">
        <f>COUNTIFS(Table10[Prodi],I147,Table10[I1.1],K$150)/$I$149</f>
        <v>0</v>
      </c>
      <c r="L179" s="66">
        <f>COUNTIFS(Table10[Prodi],I147,Table10[I1.1],L$150)/$I$149</f>
        <v>0</v>
      </c>
      <c r="M179" s="62">
        <f t="shared" si="38"/>
        <v>1</v>
      </c>
      <c r="O179" s="57" t="s">
        <v>648</v>
      </c>
      <c r="P179" s="66">
        <f>COUNTIFS(Table10[Prodi],P147,Table10[I1.1],P$150)/$P$149</f>
        <v>1</v>
      </c>
      <c r="Q179" s="66">
        <f>COUNTIFS(Table10[Prodi],P147,Table10[I1.1],Q$150)/$P$149</f>
        <v>0</v>
      </c>
      <c r="R179" s="66">
        <f>COUNTIFS(Table10[Prodi],P147,Table10[I1.1],R$150)/$P$149</f>
        <v>0</v>
      </c>
      <c r="S179" s="66">
        <f>COUNTIFS(Table10[Prodi],P147,Table10[I1.1],S$150)/$P$149</f>
        <v>0</v>
      </c>
      <c r="T179" s="62">
        <f t="shared" si="39"/>
        <v>1</v>
      </c>
    </row>
    <row r="180" spans="1:20" ht="16.5" hidden="1" x14ac:dyDescent="0.3">
      <c r="A180" s="57" t="s">
        <v>650</v>
      </c>
      <c r="B180" s="66">
        <f>COUNTIF(Table10[I1.2],B$150)/2</f>
        <v>0</v>
      </c>
      <c r="C180" s="66">
        <f>COUNTIF(Table10[I1.2],C$150)/2</f>
        <v>1</v>
      </c>
      <c r="D180" s="66">
        <f>COUNTIF(Table10[I1.2],D$150)/2</f>
        <v>0</v>
      </c>
      <c r="E180" s="66">
        <f>COUNTIF(Table10[I1.2],E$150)/2</f>
        <v>0</v>
      </c>
      <c r="F180" s="62">
        <f t="shared" si="37"/>
        <v>1</v>
      </c>
      <c r="H180" s="57" t="s">
        <v>649</v>
      </c>
      <c r="I180" s="66">
        <f>COUNTIFS(Table10[Prodi],I147,Table10[I1.2],I$150)/$I$149</f>
        <v>0</v>
      </c>
      <c r="J180" s="66">
        <f>COUNTIFS(Table10[Prodi],I147,Table10[I1.2],J$150)/$I$149</f>
        <v>1</v>
      </c>
      <c r="K180" s="66">
        <f>COUNTIFS(Table10[Prodi],I147,Table10[I1.2],K$150)/$I$149</f>
        <v>0</v>
      </c>
      <c r="L180" s="66">
        <f>COUNTIFS(Table10[Prodi],I147,Table10[I1.2],L$150)/$I$149</f>
        <v>0</v>
      </c>
      <c r="M180" s="62">
        <f t="shared" si="38"/>
        <v>1</v>
      </c>
      <c r="O180" s="57" t="s">
        <v>649</v>
      </c>
      <c r="P180" s="66">
        <f>COUNTIFS(Table10[Prodi],P147,Table10[I1.2],P$150)/$P$149</f>
        <v>0</v>
      </c>
      <c r="Q180" s="66">
        <f>COUNTIFS(Table10[Prodi],P147,Table10[I1.2],Q$150)/$P$149</f>
        <v>1</v>
      </c>
      <c r="R180" s="66">
        <f>COUNTIFS(Table10[Prodi],P147,Table10[I1.2],R$150)/$P$149</f>
        <v>0</v>
      </c>
      <c r="S180" s="66">
        <f>COUNTIFS(Table10[Prodi],P147,Table10[I1.2],S$150)/$P$149</f>
        <v>0</v>
      </c>
      <c r="T180" s="62">
        <f t="shared" si="39"/>
        <v>1</v>
      </c>
    </row>
    <row r="181" spans="1:20" ht="16.5" hidden="1" x14ac:dyDescent="0.3">
      <c r="A181" s="57" t="s">
        <v>651</v>
      </c>
      <c r="B181" s="66">
        <f>COUNTIF(Table10[I1.3],B$150)/2</f>
        <v>1</v>
      </c>
      <c r="C181" s="66">
        <f>COUNTIF(Table10[I1.3],C$150)/2</f>
        <v>0</v>
      </c>
      <c r="D181" s="66">
        <f>COUNTIF(Table10[I1.3],D$150)/2</f>
        <v>0</v>
      </c>
      <c r="E181" s="66">
        <f>COUNTIF(Table10[I1.3],E$150)/2</f>
        <v>0</v>
      </c>
      <c r="F181" s="62">
        <f t="shared" si="37"/>
        <v>1</v>
      </c>
      <c r="H181" s="57" t="s">
        <v>650</v>
      </c>
      <c r="I181" s="66">
        <f>COUNTIFS(Table10[Prodi],I147,Table10[I1.3],I$150)/$I$149</f>
        <v>1</v>
      </c>
      <c r="J181" s="66">
        <f>COUNTIFS(Table10[Prodi],I147,Table10[I1.3],J$150)/$I$149</f>
        <v>0</v>
      </c>
      <c r="K181" s="66">
        <f>COUNTIFS(Table10[Prodi],I147,Table10[I1.3],K$150)/$I$149</f>
        <v>0</v>
      </c>
      <c r="L181" s="66">
        <f>COUNTIFS(Table10[Prodi],I147,Table10[I1.3],L$150)/$I$149</f>
        <v>0</v>
      </c>
      <c r="M181" s="62">
        <f t="shared" si="38"/>
        <v>1</v>
      </c>
      <c r="O181" s="57" t="s">
        <v>650</v>
      </c>
      <c r="P181" s="66">
        <f>COUNTIFS(Table10[Prodi],P147,Table10[I1.3],P$150)/$P$149</f>
        <v>1</v>
      </c>
      <c r="Q181" s="66">
        <f>COUNTIFS(Table10[Prodi],P147,Table10[I1.3],Q$150)/$P$149</f>
        <v>0</v>
      </c>
      <c r="R181" s="66">
        <f>COUNTIFS(Table10[Prodi],P147,Table10[I1.3],R$150)/$P$149</f>
        <v>0</v>
      </c>
      <c r="S181" s="66">
        <f>COUNTIFS(Table10[Prodi],P147,Table10[I1.3],S$150)/$P$149</f>
        <v>0</v>
      </c>
      <c r="T181" s="62">
        <f t="shared" si="39"/>
        <v>1</v>
      </c>
    </row>
    <row r="182" spans="1:20" ht="16.5" hidden="1" x14ac:dyDescent="0.3">
      <c r="A182" s="57" t="s">
        <v>652</v>
      </c>
      <c r="B182" s="66">
        <f>COUNTIF(Table10[I1.4],B$150)/2</f>
        <v>0</v>
      </c>
      <c r="C182" s="66">
        <f>COUNTIF(Table10[I1.4],C$150)/2</f>
        <v>1</v>
      </c>
      <c r="D182" s="66">
        <f>COUNTIF(Table10[I1.4],D$150)/2</f>
        <v>0</v>
      </c>
      <c r="E182" s="66">
        <f>COUNTIF(Table10[I1.4],E$150)/2</f>
        <v>0</v>
      </c>
      <c r="F182" s="62">
        <f t="shared" si="37"/>
        <v>1</v>
      </c>
      <c r="H182" s="57" t="s">
        <v>651</v>
      </c>
      <c r="I182" s="66">
        <f>COUNTIFS(Table10[Prodi],I147,Table10[I1.4],I$150)/$I$149</f>
        <v>0</v>
      </c>
      <c r="J182" s="66">
        <f>COUNTIFS(Table10[Prodi],I147,Table10[I1.4],J$150)/$I$149</f>
        <v>1</v>
      </c>
      <c r="K182" s="66">
        <f>COUNTIFS(Table10[Prodi],I147,Table10[I1.4],K$150)/$I$149</f>
        <v>0</v>
      </c>
      <c r="L182" s="66">
        <f>COUNTIFS(Table10[Prodi],I147,Table10[I1.4],L$150)/$I$149</f>
        <v>0</v>
      </c>
      <c r="M182" s="62">
        <f t="shared" si="38"/>
        <v>1</v>
      </c>
      <c r="O182" s="57" t="s">
        <v>651</v>
      </c>
      <c r="P182" s="66">
        <f>COUNTIFS(Table10[Prodi],P147,Table10[I1.4],P$150)/$P$149</f>
        <v>0</v>
      </c>
      <c r="Q182" s="66">
        <f>COUNTIFS(Table10[Prodi],P147,Table10[I1.4],Q$150)/$P$149</f>
        <v>1</v>
      </c>
      <c r="R182" s="66">
        <f>COUNTIFS(Table10[Prodi],P147,Table10[I1.4],R$150)/$P$149</f>
        <v>0</v>
      </c>
      <c r="S182" s="66">
        <f>COUNTIFS(Table10[Prodi],P147,Table10[I1.4],S$150)/$P$149</f>
        <v>0</v>
      </c>
      <c r="T182" s="62">
        <f t="shared" si="39"/>
        <v>1</v>
      </c>
    </row>
    <row r="183" spans="1:20" ht="16.5" hidden="1" x14ac:dyDescent="0.3">
      <c r="A183" s="60"/>
      <c r="B183" s="66">
        <f>COUNTIF(Table10[I1.5],B$150)/2</f>
        <v>1</v>
      </c>
      <c r="C183" s="66">
        <f>COUNTIF(Table10[I1.5],C$150)/2</f>
        <v>0</v>
      </c>
      <c r="D183" s="66">
        <f>COUNTIF(Table10[I1.5],D$150)/2</f>
        <v>0</v>
      </c>
      <c r="E183" s="66">
        <f>COUNTIF(Table10[I1.5],E$150)/2</f>
        <v>0</v>
      </c>
      <c r="F183" s="62">
        <f t="shared" si="37"/>
        <v>1</v>
      </c>
      <c r="H183" s="57" t="s">
        <v>652</v>
      </c>
      <c r="I183" s="66">
        <f>COUNTIFS(Table10[Prodi],I147,Table10[I1.5],I$150)/$I$149</f>
        <v>1</v>
      </c>
      <c r="J183" s="66">
        <f>COUNTIFS(Table10[Prodi],I147,Table10[I1.5],J$150)/$I$149</f>
        <v>0</v>
      </c>
      <c r="K183" s="66">
        <f>COUNTIFS(Table10[Prodi],I147,Table10[I1.5],K$150)/$I$149</f>
        <v>0</v>
      </c>
      <c r="L183" s="66">
        <f>COUNTIFS(Table10[Prodi],I147,Table10[I1.5],L$150)/$I$149</f>
        <v>0</v>
      </c>
      <c r="M183" s="62">
        <f t="shared" si="38"/>
        <v>1</v>
      </c>
      <c r="O183" s="57" t="s">
        <v>652</v>
      </c>
      <c r="P183" s="66">
        <f>COUNTIFS(Table10[Prodi],P147,Table10[I1.5],P$150)/$P$149</f>
        <v>1</v>
      </c>
      <c r="Q183" s="66">
        <f>COUNTIFS(Table10[Prodi],P147,Table10[I1.5],Q$150)/$P$149</f>
        <v>0</v>
      </c>
      <c r="R183" s="66">
        <f>COUNTIFS(Table10[Prodi],P147,Table10[I1.5],R$150)/$P$149</f>
        <v>0</v>
      </c>
      <c r="S183" s="66">
        <f>COUNTIFS(Table10[Prodi],P147,Table10[I1.5],S$150)/$P$149</f>
        <v>0</v>
      </c>
      <c r="T183" s="62">
        <f t="shared" si="39"/>
        <v>1</v>
      </c>
    </row>
    <row r="184" spans="1:20" ht="16.5" hidden="1" x14ac:dyDescent="0.3">
      <c r="A184" s="57" t="s">
        <v>653</v>
      </c>
      <c r="B184" s="61">
        <f>AVERAGE(B180:B183)</f>
        <v>0.5</v>
      </c>
      <c r="C184" s="61">
        <f>AVERAGE(C180:C183)</f>
        <v>0.5</v>
      </c>
      <c r="D184" s="61">
        <f>AVERAGE(D180:D183)</f>
        <v>0</v>
      </c>
      <c r="E184" s="61">
        <f>AVERAGE(E180:E183)</f>
        <v>0</v>
      </c>
      <c r="F184" s="62">
        <f t="shared" si="37"/>
        <v>1</v>
      </c>
      <c r="H184" s="60"/>
      <c r="I184" s="61">
        <f>AVERAGE(I180:I183)</f>
        <v>0.5</v>
      </c>
      <c r="J184" s="61">
        <f>AVERAGE(J180:J183)</f>
        <v>0.5</v>
      </c>
      <c r="K184" s="61">
        <f>AVERAGE(K180:K183)</f>
        <v>0</v>
      </c>
      <c r="L184" s="61">
        <f>AVERAGE(L180:L183)</f>
        <v>0</v>
      </c>
      <c r="M184" s="62">
        <f t="shared" si="38"/>
        <v>1</v>
      </c>
      <c r="O184" s="60"/>
      <c r="P184" s="61">
        <f>AVERAGE(P180:P183)</f>
        <v>0.5</v>
      </c>
      <c r="Q184" s="61">
        <f>AVERAGE(Q180:Q183)</f>
        <v>0.5</v>
      </c>
      <c r="R184" s="61">
        <f>AVERAGE(R180:R183)</f>
        <v>0</v>
      </c>
      <c r="S184" s="61">
        <f>AVERAGE(S180:S183)</f>
        <v>0</v>
      </c>
      <c r="T184" s="62">
        <f t="shared" si="39"/>
        <v>1</v>
      </c>
    </row>
    <row r="185" spans="1:20" ht="16.5" hidden="1" x14ac:dyDescent="0.3">
      <c r="A185" s="57" t="s">
        <v>654</v>
      </c>
      <c r="B185" s="66">
        <f>COUNTIF(Table10[I2.1],B$150)/2</f>
        <v>1</v>
      </c>
      <c r="C185" s="66">
        <f>COUNTIF(Table10[I2.1],C$150)/2</f>
        <v>0</v>
      </c>
      <c r="D185" s="66">
        <f>COUNTIF(Table10[I2.1],D$150)/2</f>
        <v>0</v>
      </c>
      <c r="E185" s="66">
        <f>COUNTIF(Table10[I2.1],E$150)/2</f>
        <v>0</v>
      </c>
      <c r="F185" s="62">
        <f t="shared" si="37"/>
        <v>1</v>
      </c>
      <c r="H185" s="57" t="s">
        <v>653</v>
      </c>
      <c r="I185" s="66">
        <f>COUNTIFS(Table10[Prodi],I147,Table10[I2.1],I$150)/$I$149</f>
        <v>1</v>
      </c>
      <c r="J185" s="66">
        <f>COUNTIFS(Table10[Prodi],I147,Table10[I2.1],J$150)/$I$149</f>
        <v>0</v>
      </c>
      <c r="K185" s="66">
        <f>COUNTIFS(Table10[Prodi],I147,Table10[I2.1],K$150)/$I$149</f>
        <v>0</v>
      </c>
      <c r="L185" s="66">
        <f>COUNTIFS(Table10[Prodi],I147,Table10[I2.1],L$150)/$I$149</f>
        <v>0</v>
      </c>
      <c r="M185" s="62">
        <f t="shared" si="38"/>
        <v>1</v>
      </c>
      <c r="O185" s="57" t="s">
        <v>653</v>
      </c>
      <c r="P185" s="66">
        <f>COUNTIFS(Table10[Prodi],P147,Table10[I2.1],P$150)/$P$149</f>
        <v>1</v>
      </c>
      <c r="Q185" s="66">
        <f>COUNTIFS(Table10[Prodi],P147,Table10[I2.1],Q$150)/$P$149</f>
        <v>0</v>
      </c>
      <c r="R185" s="66">
        <f>COUNTIFS(Table10[Prodi],P147,Table10[I2.1],R$150)/$P$149</f>
        <v>0</v>
      </c>
      <c r="S185" s="66">
        <f>COUNTIFS(Table10[Prodi],P147,Table10[I2.1],S$150)/$P$149</f>
        <v>0</v>
      </c>
      <c r="T185" s="62">
        <f t="shared" si="39"/>
        <v>1</v>
      </c>
    </row>
    <row r="186" spans="1:20" ht="16.5" hidden="1" x14ac:dyDescent="0.3">
      <c r="A186" s="57" t="s">
        <v>655</v>
      </c>
      <c r="B186" s="66">
        <f>COUNTIF(Table10[I2.2],B$150)/2</f>
        <v>1</v>
      </c>
      <c r="C186" s="66">
        <f>COUNTIF(Table10[I2.2],C$150)/2</f>
        <v>0</v>
      </c>
      <c r="D186" s="66">
        <f>COUNTIF(Table10[I2.2],D$150)/2</f>
        <v>0</v>
      </c>
      <c r="E186" s="66">
        <f>COUNTIF(Table10[I2.2],E$150)/2</f>
        <v>0</v>
      </c>
      <c r="F186" s="62">
        <f t="shared" si="37"/>
        <v>1</v>
      </c>
      <c r="H186" s="57" t="s">
        <v>654</v>
      </c>
      <c r="I186" s="66">
        <f>COUNTIFS(Table10[Prodi],I147,Table10[I2.2],I$150)/$I$149</f>
        <v>1</v>
      </c>
      <c r="J186" s="66">
        <f>COUNTIFS(Table10[Prodi],I147,Table10[I2.2],J$150)/$I$149</f>
        <v>0</v>
      </c>
      <c r="K186" s="66">
        <f>COUNTIFS(Table10[Prodi],I147,Table10[I2.2],K$150)/$I$149</f>
        <v>0</v>
      </c>
      <c r="L186" s="66">
        <f>COUNTIFS(Table10[Prodi],I147,Table10[I2.2],L$150)/$I$149</f>
        <v>0</v>
      </c>
      <c r="M186" s="62">
        <f t="shared" si="38"/>
        <v>1</v>
      </c>
      <c r="O186" s="57" t="s">
        <v>654</v>
      </c>
      <c r="P186" s="66">
        <f>COUNTIFS(Table10[Prodi],P147,Table10[I2.2],P$150)/$P$149</f>
        <v>1</v>
      </c>
      <c r="Q186" s="66">
        <f>COUNTIFS(Table10[Prodi],P147,Table10[I2.2],Q$150)/$P$149</f>
        <v>0</v>
      </c>
      <c r="R186" s="66">
        <f>COUNTIFS(Table10[Prodi],P147,Table10[I2.2],R$150)/$P$149</f>
        <v>0</v>
      </c>
      <c r="S186" s="66">
        <f>COUNTIFS(Table10[Prodi],P147,Table10[I2.2],S$150)/$P$149</f>
        <v>0</v>
      </c>
      <c r="T186" s="62">
        <f t="shared" si="39"/>
        <v>1</v>
      </c>
    </row>
    <row r="187" spans="1:20" ht="16.5" hidden="1" x14ac:dyDescent="0.3">
      <c r="A187" s="57" t="s">
        <v>656</v>
      </c>
      <c r="B187" s="66">
        <f>COUNTIF(Table10[I2.3],B$150)/2</f>
        <v>1</v>
      </c>
      <c r="C187" s="66">
        <f>COUNTIF(Table10[I2.3],C$150)/2</f>
        <v>0</v>
      </c>
      <c r="D187" s="66">
        <f>COUNTIF(Table10[I2.3],D$150)/2</f>
        <v>0</v>
      </c>
      <c r="E187" s="66">
        <f>COUNTIF(Table10[I2.3],E$150)/2</f>
        <v>0</v>
      </c>
      <c r="F187" s="62">
        <f t="shared" si="37"/>
        <v>1</v>
      </c>
      <c r="H187" s="57" t="s">
        <v>655</v>
      </c>
      <c r="I187" s="66">
        <f>COUNTIFS(Table10[Prodi],I147,Table10[I2.3],I$150)/$I$149</f>
        <v>1</v>
      </c>
      <c r="J187" s="66">
        <f>COUNTIFS(Table10[Prodi],I147,Table10[I2.3],J$150)/$I$149</f>
        <v>0</v>
      </c>
      <c r="K187" s="66">
        <f>COUNTIFS(Table10[Prodi],I147,Table10[I2.3],K$150)/$I$149</f>
        <v>0</v>
      </c>
      <c r="L187" s="66">
        <f>COUNTIFS(Table10[Prodi],I147,Table10[I2.3],L$150)/$I$149</f>
        <v>0</v>
      </c>
      <c r="M187" s="62">
        <f t="shared" si="38"/>
        <v>1</v>
      </c>
      <c r="O187" s="57" t="s">
        <v>655</v>
      </c>
      <c r="P187" s="66">
        <f>COUNTIFS(Table10[Prodi],P147,Table10[I2.3],P$150)/$P$149</f>
        <v>1</v>
      </c>
      <c r="Q187" s="66">
        <f>COUNTIFS(Table10[Prodi],P147,Table10[I2.3],Q$150)/$P$149</f>
        <v>0</v>
      </c>
      <c r="R187" s="66">
        <f>COUNTIFS(Table10[Prodi],P147,Table10[I2.3],R$150)/$P$149</f>
        <v>0</v>
      </c>
      <c r="S187" s="66">
        <f>COUNTIFS(Table10[Prodi],P147,Table10[I2.3],S$150)/$P$149</f>
        <v>0</v>
      </c>
      <c r="T187" s="62">
        <f t="shared" si="39"/>
        <v>1</v>
      </c>
    </row>
    <row r="188" spans="1:20" ht="17.25" hidden="1" thickBot="1" x14ac:dyDescent="0.35">
      <c r="A188" s="67"/>
      <c r="B188" s="66">
        <f>COUNTIF(Table10[I2.4],B$150)/2</f>
        <v>1</v>
      </c>
      <c r="C188" s="66">
        <f>COUNTIF(Table10[I2.4],C$150)/2</f>
        <v>0</v>
      </c>
      <c r="D188" s="66">
        <f>COUNTIF(Table10[I2.4],D$150)/2</f>
        <v>0</v>
      </c>
      <c r="E188" s="66">
        <f>COUNTIF(Table10[I2.4],E$150)/2</f>
        <v>0</v>
      </c>
      <c r="F188" s="62">
        <f t="shared" si="37"/>
        <v>1</v>
      </c>
      <c r="H188" s="57" t="s">
        <v>656</v>
      </c>
      <c r="I188" s="66">
        <f>COUNTIFS(Table10[Prodi],I147,Table10[I2.4],I$150)/$I$149</f>
        <v>1</v>
      </c>
      <c r="J188" s="66">
        <f>COUNTIFS(Table10[Prodi],I147,Table10[I2.4],J$150)/$I$149</f>
        <v>0</v>
      </c>
      <c r="K188" s="66">
        <f>COUNTIFS(Table10[Prodi],I147,Table10[I2.4],K$150)/$I$149</f>
        <v>0</v>
      </c>
      <c r="L188" s="66">
        <f>COUNTIFS(Table10[Prodi],I147,Table10[I2.4],L$150)/$I$149</f>
        <v>0</v>
      </c>
      <c r="M188" s="62">
        <f t="shared" si="38"/>
        <v>1</v>
      </c>
      <c r="O188" s="57" t="s">
        <v>656</v>
      </c>
      <c r="P188" s="66">
        <f>COUNTIFS(Table10[Prodi],P147,Table10[I2.4],P$150)/$P$149</f>
        <v>1</v>
      </c>
      <c r="Q188" s="66">
        <f>COUNTIFS(Table10[Prodi],P147,Table10[I2.4],Q$150)/$P$149</f>
        <v>0</v>
      </c>
      <c r="R188" s="66">
        <f>COUNTIFS(Table10[Prodi],P147,Table10[I2.4],R$150)/$P$149</f>
        <v>0</v>
      </c>
      <c r="S188" s="66">
        <f>COUNTIFS(Table10[Prodi],P147,Table10[I2.4],S$150)/$P$149</f>
        <v>0</v>
      </c>
      <c r="T188" s="62">
        <f t="shared" si="39"/>
        <v>1</v>
      </c>
    </row>
    <row r="189" spans="1:20" ht="17.25" hidden="1" thickBot="1" x14ac:dyDescent="0.35">
      <c r="B189" s="61">
        <f>AVERAGE(B185:B188)</f>
        <v>1</v>
      </c>
      <c r="C189" s="61">
        <f>AVERAGE(C185:C188)</f>
        <v>0</v>
      </c>
      <c r="D189" s="61">
        <f>AVERAGE(D185:D188)</f>
        <v>0</v>
      </c>
      <c r="E189" s="61">
        <f>AVERAGE(E185:E188)</f>
        <v>0</v>
      </c>
      <c r="F189" s="62">
        <f t="shared" si="37"/>
        <v>1</v>
      </c>
      <c r="H189" s="67"/>
      <c r="I189" s="61">
        <f>AVERAGE(I185:I188)</f>
        <v>1</v>
      </c>
      <c r="J189" s="61">
        <f>AVERAGE(J185:J188)</f>
        <v>0</v>
      </c>
      <c r="K189" s="61">
        <f>AVERAGE(K185:K188)</f>
        <v>0</v>
      </c>
      <c r="L189" s="61">
        <f>AVERAGE(L185:L188)</f>
        <v>0</v>
      </c>
      <c r="M189" s="62">
        <f t="shared" si="38"/>
        <v>1</v>
      </c>
      <c r="O189" s="67"/>
      <c r="P189" s="61">
        <f>AVERAGE(P185:P188)</f>
        <v>1</v>
      </c>
      <c r="Q189" s="61">
        <f>AVERAGE(Q185:Q188)</f>
        <v>0</v>
      </c>
      <c r="R189" s="61">
        <f>AVERAGE(R185:R188)</f>
        <v>0</v>
      </c>
      <c r="S189" s="61">
        <f>AVERAGE(S185:S188)</f>
        <v>0</v>
      </c>
      <c r="T189" s="62">
        <f t="shared" si="39"/>
        <v>1</v>
      </c>
    </row>
    <row r="190" spans="1:20" s="211" customFormat="1" x14ac:dyDescent="0.25">
      <c r="A190" s="210"/>
      <c r="B190" s="210"/>
      <c r="D190" s="212"/>
      <c r="E190" s="212"/>
      <c r="F190" s="212"/>
      <c r="G190" s="212"/>
      <c r="H190" s="212"/>
      <c r="I190" s="212"/>
    </row>
    <row r="191" spans="1:20" s="208" customFormat="1" x14ac:dyDescent="0.25">
      <c r="A191" s="207"/>
      <c r="B191" s="207"/>
      <c r="D191" s="209"/>
      <c r="E191" s="209"/>
      <c r="F191" s="209"/>
      <c r="G191" s="209"/>
      <c r="H191" s="209"/>
      <c r="I191" s="209"/>
    </row>
    <row r="192" spans="1:20" ht="15.75" thickBot="1" x14ac:dyDescent="0.3">
      <c r="A192" s="207"/>
    </row>
    <row r="193" spans="1:26" ht="17.25" thickBot="1" x14ac:dyDescent="0.3">
      <c r="A193" s="64" t="s">
        <v>647</v>
      </c>
      <c r="B193" s="65" t="str">
        <f>B56</f>
        <v>FTI</v>
      </c>
      <c r="C193" s="237" t="str">
        <f>B56</f>
        <v>FTI</v>
      </c>
      <c r="D193" s="238"/>
      <c r="E193" s="239"/>
      <c r="H193" s="64" t="s">
        <v>647</v>
      </c>
      <c r="I193" s="65" t="str">
        <f>I56</f>
        <v>S1 Sistem Informasi</v>
      </c>
      <c r="J193" s="237" t="str">
        <f>I56</f>
        <v>S1 Sistem Informasi</v>
      </c>
      <c r="K193" s="238"/>
      <c r="L193" s="239"/>
      <c r="O193" s="64" t="s">
        <v>647</v>
      </c>
      <c r="P193" s="65" t="str">
        <f>P56</f>
        <v>S1 Teknik Komputer</v>
      </c>
      <c r="Q193" s="237" t="str">
        <f>P56</f>
        <v>S1 Teknik Komputer</v>
      </c>
      <c r="R193" s="238"/>
      <c r="S193" s="239"/>
      <c r="V193" s="64" t="s">
        <v>647</v>
      </c>
      <c r="W193" s="65" t="str">
        <f>W56</f>
        <v>D3 Sistem Informasi</v>
      </c>
      <c r="X193" s="237" t="str">
        <f>W56</f>
        <v>D3 Sistem Informasi</v>
      </c>
      <c r="Y193" s="238"/>
      <c r="Z193" s="239"/>
    </row>
    <row r="194" spans="1:26" ht="33" customHeight="1" thickBot="1" x14ac:dyDescent="0.3">
      <c r="A194" s="69" t="s">
        <v>646</v>
      </c>
      <c r="B194" s="70">
        <f>B58</f>
        <v>10</v>
      </c>
      <c r="C194" s="240"/>
      <c r="D194" s="241"/>
      <c r="E194" s="242"/>
      <c r="H194" s="69" t="s">
        <v>646</v>
      </c>
      <c r="I194" s="70">
        <f>I58</f>
        <v>8</v>
      </c>
      <c r="J194" s="240"/>
      <c r="K194" s="241"/>
      <c r="L194" s="242"/>
      <c r="O194" s="69" t="s">
        <v>646</v>
      </c>
      <c r="P194" s="70">
        <f>P58</f>
        <v>1</v>
      </c>
      <c r="Q194" s="240"/>
      <c r="R194" s="241"/>
      <c r="S194" s="242"/>
      <c r="V194" s="69" t="s">
        <v>646</v>
      </c>
      <c r="W194" s="70">
        <f>W58</f>
        <v>1</v>
      </c>
      <c r="X194" s="240"/>
      <c r="Y194" s="241"/>
      <c r="Z194" s="242"/>
    </row>
    <row r="195" spans="1:26" ht="15.75" thickBot="1" x14ac:dyDescent="0.3">
      <c r="A195" s="222" t="s">
        <v>658</v>
      </c>
      <c r="B195" s="223" t="s">
        <v>664</v>
      </c>
      <c r="C195" s="223"/>
      <c r="D195" s="223"/>
      <c r="E195" s="223"/>
      <c r="H195" s="222" t="s">
        <v>658</v>
      </c>
      <c r="I195" s="223" t="s">
        <v>664</v>
      </c>
      <c r="J195" s="223"/>
      <c r="K195" s="223"/>
      <c r="L195" s="223"/>
      <c r="O195" s="222" t="s">
        <v>658</v>
      </c>
      <c r="P195" s="223" t="s">
        <v>664</v>
      </c>
      <c r="Q195" s="223"/>
      <c r="R195" s="223"/>
      <c r="S195" s="223"/>
      <c r="V195" s="222" t="s">
        <v>658</v>
      </c>
      <c r="W195" s="223" t="s">
        <v>664</v>
      </c>
      <c r="X195" s="223"/>
      <c r="Y195" s="223"/>
      <c r="Z195" s="223"/>
    </row>
    <row r="196" spans="1:26" ht="15.75" thickBot="1" x14ac:dyDescent="0.3">
      <c r="A196" s="222"/>
      <c r="B196" s="72" t="s">
        <v>645</v>
      </c>
      <c r="C196" s="72" t="s">
        <v>665</v>
      </c>
      <c r="D196" s="72" t="s">
        <v>666</v>
      </c>
      <c r="E196" s="72" t="s">
        <v>667</v>
      </c>
      <c r="H196" s="222"/>
      <c r="I196" s="72" t="s">
        <v>645</v>
      </c>
      <c r="J196" s="72" t="s">
        <v>665</v>
      </c>
      <c r="K196" s="72" t="s">
        <v>666</v>
      </c>
      <c r="L196" s="72" t="s">
        <v>667</v>
      </c>
      <c r="O196" s="222"/>
      <c r="P196" s="72" t="s">
        <v>645</v>
      </c>
      <c r="Q196" s="72" t="s">
        <v>665</v>
      </c>
      <c r="R196" s="72" t="s">
        <v>666</v>
      </c>
      <c r="S196" s="72" t="s">
        <v>667</v>
      </c>
      <c r="V196" s="222"/>
      <c r="W196" s="72" t="s">
        <v>645</v>
      </c>
      <c r="X196" s="72" t="s">
        <v>665</v>
      </c>
      <c r="Y196" s="72" t="s">
        <v>666</v>
      </c>
      <c r="Z196" s="72" t="s">
        <v>667</v>
      </c>
    </row>
    <row r="197" spans="1:26" x14ac:dyDescent="0.25">
      <c r="A197" s="73">
        <v>2</v>
      </c>
      <c r="B197" s="71">
        <v>3</v>
      </c>
      <c r="C197" s="71">
        <v>4</v>
      </c>
      <c r="D197" s="71">
        <v>5</v>
      </c>
      <c r="E197" s="74"/>
      <c r="H197" s="73">
        <v>2</v>
      </c>
      <c r="I197" s="71">
        <v>3</v>
      </c>
      <c r="J197" s="71">
        <v>4</v>
      </c>
      <c r="K197" s="71">
        <v>5</v>
      </c>
      <c r="L197" s="74"/>
      <c r="O197" s="73">
        <v>2</v>
      </c>
      <c r="P197" s="71">
        <v>3</v>
      </c>
      <c r="Q197" s="71">
        <v>4</v>
      </c>
      <c r="R197" s="71">
        <v>5</v>
      </c>
      <c r="S197" s="74"/>
      <c r="V197" s="73">
        <v>2</v>
      </c>
      <c r="W197" s="71">
        <v>3</v>
      </c>
      <c r="X197" s="71">
        <v>4</v>
      </c>
      <c r="Y197" s="71">
        <v>5</v>
      </c>
      <c r="Z197" s="74"/>
    </row>
    <row r="198" spans="1:26" x14ac:dyDescent="0.25">
      <c r="A198" s="75" t="s">
        <v>1441</v>
      </c>
      <c r="B198" s="66">
        <f>B63</f>
        <v>0.81944444444444453</v>
      </c>
      <c r="C198" s="66">
        <f>C63</f>
        <v>0.18055555555555555</v>
      </c>
      <c r="D198" s="66">
        <f>D63</f>
        <v>0</v>
      </c>
      <c r="E198" s="66">
        <f>E63</f>
        <v>0</v>
      </c>
      <c r="H198" s="75" t="s">
        <v>1441</v>
      </c>
      <c r="I198" s="66">
        <f>I63</f>
        <v>0.45833333333333331</v>
      </c>
      <c r="J198" s="66">
        <f>J63</f>
        <v>0.54166666666666663</v>
      </c>
      <c r="K198" s="66">
        <f>K63</f>
        <v>0</v>
      </c>
      <c r="L198" s="66">
        <f>L63</f>
        <v>0</v>
      </c>
      <c r="O198" s="75" t="s">
        <v>1441</v>
      </c>
      <c r="P198" s="58">
        <f>P63</f>
        <v>1</v>
      </c>
      <c r="Q198" s="58">
        <f>Q63</f>
        <v>0</v>
      </c>
      <c r="R198" s="58">
        <f>R63</f>
        <v>0</v>
      </c>
      <c r="S198" s="58">
        <f>S63</f>
        <v>0</v>
      </c>
      <c r="V198" s="75" t="s">
        <v>1441</v>
      </c>
      <c r="W198" s="58">
        <f>W63</f>
        <v>1</v>
      </c>
      <c r="X198" s="58">
        <f>X63</f>
        <v>0</v>
      </c>
      <c r="Y198" s="58">
        <f>Y63</f>
        <v>0</v>
      </c>
      <c r="Z198" s="58">
        <f>Z63</f>
        <v>0</v>
      </c>
    </row>
    <row r="199" spans="1:26" x14ac:dyDescent="0.25">
      <c r="A199" s="75" t="s">
        <v>1582</v>
      </c>
      <c r="B199" s="66">
        <f>B67</f>
        <v>0.95833333333333337</v>
      </c>
      <c r="C199" s="66">
        <f>C67</f>
        <v>4.1666666666666664E-2</v>
      </c>
      <c r="D199" s="66">
        <f>D67</f>
        <v>0</v>
      </c>
      <c r="E199" s="66">
        <f>E67</f>
        <v>0</v>
      </c>
      <c r="H199" s="75" t="s">
        <v>1582</v>
      </c>
      <c r="I199" s="66">
        <f>I67</f>
        <v>0.875</v>
      </c>
      <c r="J199" s="66">
        <f>J67</f>
        <v>0.125</v>
      </c>
      <c r="K199" s="66">
        <f>K67</f>
        <v>0</v>
      </c>
      <c r="L199" s="66">
        <f>L67</f>
        <v>0</v>
      </c>
      <c r="O199" s="75" t="s">
        <v>1582</v>
      </c>
      <c r="P199" s="58">
        <f>P67</f>
        <v>1</v>
      </c>
      <c r="Q199" s="58">
        <f>Q67</f>
        <v>0</v>
      </c>
      <c r="R199" s="58">
        <f>R67</f>
        <v>0</v>
      </c>
      <c r="S199" s="58">
        <f>S67</f>
        <v>0</v>
      </c>
      <c r="V199" s="75" t="s">
        <v>1582</v>
      </c>
      <c r="W199" s="58">
        <f>W67</f>
        <v>1</v>
      </c>
      <c r="X199" s="58">
        <f>X67</f>
        <v>0</v>
      </c>
      <c r="Y199" s="58">
        <f>Y67</f>
        <v>0</v>
      </c>
      <c r="Z199" s="58">
        <f>Z67</f>
        <v>0</v>
      </c>
    </row>
    <row r="200" spans="1:26" x14ac:dyDescent="0.25">
      <c r="A200" s="75" t="s">
        <v>1583</v>
      </c>
      <c r="B200" s="66">
        <f>B70</f>
        <v>0.66666666666666663</v>
      </c>
      <c r="C200" s="66">
        <f>C70</f>
        <v>0.33333333333333331</v>
      </c>
      <c r="D200" s="66">
        <f>D70</f>
        <v>0</v>
      </c>
      <c r="E200" s="66">
        <f>E70</f>
        <v>0</v>
      </c>
      <c r="H200" s="75" t="s">
        <v>1583</v>
      </c>
      <c r="I200" s="66">
        <f>I70</f>
        <v>0</v>
      </c>
      <c r="J200" s="66">
        <f>J70</f>
        <v>1</v>
      </c>
      <c r="K200" s="66">
        <f>K70</f>
        <v>0</v>
      </c>
      <c r="L200" s="66">
        <f>L70</f>
        <v>0</v>
      </c>
      <c r="O200" s="75" t="s">
        <v>1583</v>
      </c>
      <c r="P200" s="58">
        <f>P70</f>
        <v>1</v>
      </c>
      <c r="Q200" s="58">
        <f>Q70</f>
        <v>0</v>
      </c>
      <c r="R200" s="58">
        <f>R70</f>
        <v>0</v>
      </c>
      <c r="S200" s="58">
        <f>S70</f>
        <v>0</v>
      </c>
      <c r="V200" s="75" t="s">
        <v>1583</v>
      </c>
      <c r="W200" s="58">
        <f>W70</f>
        <v>1</v>
      </c>
      <c r="X200" s="58">
        <f>X70</f>
        <v>0</v>
      </c>
      <c r="Y200" s="58">
        <f>Y70</f>
        <v>0</v>
      </c>
      <c r="Z200" s="58">
        <f>Z70</f>
        <v>0</v>
      </c>
    </row>
    <row r="201" spans="1:26" x14ac:dyDescent="0.25">
      <c r="A201" s="75" t="s">
        <v>663</v>
      </c>
      <c r="B201" s="66">
        <f>B75</f>
        <v>0.875</v>
      </c>
      <c r="C201" s="66">
        <f>C75</f>
        <v>0.125</v>
      </c>
      <c r="D201" s="66">
        <f>D75</f>
        <v>0</v>
      </c>
      <c r="E201" s="66">
        <f>E75</f>
        <v>0</v>
      </c>
      <c r="H201" s="75" t="s">
        <v>663</v>
      </c>
      <c r="I201" s="66">
        <f>I75</f>
        <v>0.625</v>
      </c>
      <c r="J201" s="66">
        <f>J75</f>
        <v>0.375</v>
      </c>
      <c r="K201" s="66">
        <f>K75</f>
        <v>0</v>
      </c>
      <c r="L201" s="66">
        <f>L75</f>
        <v>0</v>
      </c>
      <c r="O201" s="75" t="s">
        <v>663</v>
      </c>
      <c r="P201" s="58">
        <f>P75</f>
        <v>1</v>
      </c>
      <c r="Q201" s="58">
        <f>Q75</f>
        <v>0</v>
      </c>
      <c r="R201" s="58">
        <f>R75</f>
        <v>0</v>
      </c>
      <c r="S201" s="58">
        <f>S75</f>
        <v>0</v>
      </c>
      <c r="V201" s="75" t="s">
        <v>663</v>
      </c>
      <c r="W201" s="58">
        <f>W75</f>
        <v>1</v>
      </c>
      <c r="X201" s="58">
        <f>X75</f>
        <v>0</v>
      </c>
      <c r="Y201" s="58">
        <f>Y75</f>
        <v>0</v>
      </c>
      <c r="Z201" s="58">
        <f>Z75</f>
        <v>0</v>
      </c>
    </row>
    <row r="202" spans="1:26" x14ac:dyDescent="0.25">
      <c r="A202" s="75" t="s">
        <v>330</v>
      </c>
      <c r="B202" s="66">
        <f>B80</f>
        <v>0.86458333333333337</v>
      </c>
      <c r="C202" s="66">
        <f>C80</f>
        <v>9.375E-2</v>
      </c>
      <c r="D202" s="66">
        <f>D80</f>
        <v>4.1666666666666664E-2</v>
      </c>
      <c r="E202" s="66">
        <f>E80</f>
        <v>0</v>
      </c>
      <c r="H202" s="75" t="s">
        <v>330</v>
      </c>
      <c r="I202" s="66">
        <f>I80</f>
        <v>0.59375</v>
      </c>
      <c r="J202" s="66">
        <f>J80</f>
        <v>0.28125</v>
      </c>
      <c r="K202" s="66">
        <f>K80</f>
        <v>0.125</v>
      </c>
      <c r="L202" s="66">
        <f>L80</f>
        <v>0</v>
      </c>
      <c r="O202" s="75" t="s">
        <v>330</v>
      </c>
      <c r="P202" s="58">
        <f>P80</f>
        <v>1</v>
      </c>
      <c r="Q202" s="58">
        <f>Q80</f>
        <v>0</v>
      </c>
      <c r="R202" s="58">
        <f>R80</f>
        <v>0</v>
      </c>
      <c r="S202" s="58">
        <f>S80</f>
        <v>0</v>
      </c>
      <c r="V202" s="75" t="s">
        <v>330</v>
      </c>
      <c r="W202" s="58">
        <f>W80</f>
        <v>1</v>
      </c>
      <c r="X202" s="58">
        <f>X80</f>
        <v>0</v>
      </c>
      <c r="Y202" s="58">
        <f>Y80</f>
        <v>0</v>
      </c>
      <c r="Z202" s="58">
        <f>Z80</f>
        <v>0</v>
      </c>
    </row>
    <row r="203" spans="1:26" x14ac:dyDescent="0.25">
      <c r="A203" s="75" t="s">
        <v>1228</v>
      </c>
      <c r="B203" s="66">
        <f>B85</f>
        <v>0.70833333333333337</v>
      </c>
      <c r="C203" s="66">
        <f>C85</f>
        <v>0.21875000000000003</v>
      </c>
      <c r="D203" s="66">
        <f>D85</f>
        <v>6.25E-2</v>
      </c>
      <c r="E203" s="66">
        <f>E85</f>
        <v>1.0416666666666666E-2</v>
      </c>
      <c r="H203" s="75" t="s">
        <v>1228</v>
      </c>
      <c r="I203" s="66">
        <f>I85</f>
        <v>0.125</v>
      </c>
      <c r="J203" s="66">
        <f>J85</f>
        <v>0.66666666666666663</v>
      </c>
      <c r="K203" s="66">
        <f>K85</f>
        <v>0.16666666666666666</v>
      </c>
      <c r="L203" s="66">
        <f>L85</f>
        <v>4.1666666666666664E-2</v>
      </c>
      <c r="O203" s="75" t="s">
        <v>1228</v>
      </c>
      <c r="P203" s="58">
        <f>P85</f>
        <v>1</v>
      </c>
      <c r="Q203" s="58">
        <f>Q85</f>
        <v>0</v>
      </c>
      <c r="R203" s="58">
        <f>R85</f>
        <v>0</v>
      </c>
      <c r="S203" s="58">
        <f>S85</f>
        <v>0</v>
      </c>
      <c r="V203" s="75" t="s">
        <v>1228</v>
      </c>
      <c r="W203" s="58">
        <f>W85</f>
        <v>1</v>
      </c>
      <c r="X203" s="58">
        <f>X85</f>
        <v>0</v>
      </c>
      <c r="Y203" s="58">
        <f>Y85</f>
        <v>0</v>
      </c>
      <c r="Z203" s="58">
        <f>Z85</f>
        <v>0</v>
      </c>
    </row>
    <row r="204" spans="1:26" x14ac:dyDescent="0.25">
      <c r="A204" s="75" t="s">
        <v>1440</v>
      </c>
      <c r="B204" s="66">
        <f>B89</f>
        <v>0.83333333333333337</v>
      </c>
      <c r="C204" s="66">
        <f>C89</f>
        <v>0.16666666666666666</v>
      </c>
      <c r="D204" s="66">
        <f>D89</f>
        <v>0</v>
      </c>
      <c r="E204" s="66">
        <f>E89</f>
        <v>0</v>
      </c>
      <c r="H204" s="75" t="s">
        <v>1440</v>
      </c>
      <c r="I204" s="66">
        <f>I89</f>
        <v>0.5</v>
      </c>
      <c r="J204" s="66">
        <f>J89</f>
        <v>0.5</v>
      </c>
      <c r="K204" s="66">
        <f>K89</f>
        <v>0</v>
      </c>
      <c r="L204" s="66">
        <f>L89</f>
        <v>0</v>
      </c>
      <c r="O204" s="75" t="s">
        <v>1440</v>
      </c>
      <c r="P204" s="58">
        <f>P89</f>
        <v>1</v>
      </c>
      <c r="Q204" s="58">
        <f>Q89</f>
        <v>0</v>
      </c>
      <c r="R204" s="58">
        <f>R89</f>
        <v>0</v>
      </c>
      <c r="S204" s="58">
        <f>S89</f>
        <v>0</v>
      </c>
      <c r="V204" s="75" t="s">
        <v>1440</v>
      </c>
      <c r="W204" s="58">
        <f>W89</f>
        <v>1</v>
      </c>
      <c r="X204" s="58">
        <f>X89</f>
        <v>0</v>
      </c>
      <c r="Y204" s="58">
        <f>Y89</f>
        <v>0</v>
      </c>
      <c r="Z204" s="58">
        <f>Z89</f>
        <v>0</v>
      </c>
    </row>
    <row r="205" spans="1:26" x14ac:dyDescent="0.25">
      <c r="A205" s="75" t="s">
        <v>1431</v>
      </c>
      <c r="B205" s="66">
        <f>B95</f>
        <v>0.45833333333333331</v>
      </c>
      <c r="C205" s="66">
        <f>C95</f>
        <v>0.54166666666666663</v>
      </c>
      <c r="D205" s="66">
        <f>D95</f>
        <v>0</v>
      </c>
      <c r="E205" s="66">
        <f>E95</f>
        <v>0</v>
      </c>
      <c r="H205" s="75" t="s">
        <v>1431</v>
      </c>
      <c r="I205" s="66">
        <f>I95</f>
        <v>0.57499999999999996</v>
      </c>
      <c r="J205" s="66">
        <f>J95</f>
        <v>0.42499999999999999</v>
      </c>
      <c r="K205" s="66">
        <f>K95</f>
        <v>0</v>
      </c>
      <c r="L205" s="66">
        <f>L95</f>
        <v>0</v>
      </c>
      <c r="O205" s="75" t="s">
        <v>1431</v>
      </c>
      <c r="P205" s="58">
        <f>P95</f>
        <v>0.4</v>
      </c>
      <c r="Q205" s="58">
        <f>Q95</f>
        <v>0.6</v>
      </c>
      <c r="R205" s="58">
        <f>R95</f>
        <v>0</v>
      </c>
      <c r="S205" s="58">
        <f>S95</f>
        <v>0</v>
      </c>
      <c r="V205" s="75" t="s">
        <v>1431</v>
      </c>
      <c r="W205" s="58">
        <f>W95</f>
        <v>0.4</v>
      </c>
      <c r="X205" s="58">
        <f>X95</f>
        <v>0.6</v>
      </c>
      <c r="Y205" s="58">
        <f>Y95</f>
        <v>0</v>
      </c>
      <c r="Z205" s="58">
        <f>Z95</f>
        <v>0</v>
      </c>
    </row>
    <row r="206" spans="1:26" ht="15.75" thickBot="1" x14ac:dyDescent="0.3">
      <c r="A206" s="76" t="s">
        <v>1432</v>
      </c>
      <c r="B206" s="185">
        <f>B100</f>
        <v>0.14583333333333334</v>
      </c>
      <c r="C206" s="185">
        <f>C100</f>
        <v>0.85416666666666663</v>
      </c>
      <c r="D206" s="185">
        <f>D100</f>
        <v>0</v>
      </c>
      <c r="E206" s="185">
        <f>E100</f>
        <v>0</v>
      </c>
      <c r="H206" s="76" t="s">
        <v>1432</v>
      </c>
      <c r="I206" s="185">
        <f>I100</f>
        <v>0.4375</v>
      </c>
      <c r="J206" s="185">
        <f>J100</f>
        <v>0.5625</v>
      </c>
      <c r="K206" s="185">
        <f>K100</f>
        <v>0</v>
      </c>
      <c r="L206" s="185">
        <f>L100</f>
        <v>0</v>
      </c>
      <c r="O206" s="76" t="s">
        <v>1432</v>
      </c>
      <c r="P206" s="77">
        <f>P100</f>
        <v>0</v>
      </c>
      <c r="Q206" s="77">
        <f>Q100</f>
        <v>1</v>
      </c>
      <c r="R206" s="77">
        <f>R100</f>
        <v>0</v>
      </c>
      <c r="S206" s="77">
        <f>S100</f>
        <v>0</v>
      </c>
      <c r="V206" s="76" t="s">
        <v>1432</v>
      </c>
      <c r="W206" s="77">
        <f>W100</f>
        <v>0</v>
      </c>
      <c r="X206" s="77">
        <f>X100</f>
        <v>1</v>
      </c>
      <c r="Y206" s="77">
        <f>Y100</f>
        <v>0</v>
      </c>
      <c r="Z206" s="77">
        <f>Z100</f>
        <v>0</v>
      </c>
    </row>
    <row r="207" spans="1:26" x14ac:dyDescent="0.25">
      <c r="A207" s="79" t="s">
        <v>669</v>
      </c>
      <c r="B207" s="81">
        <f>SUM(B198:B206)</f>
        <v>6.3298611111111098</v>
      </c>
      <c r="C207" s="81">
        <f>SUM(C198:C206)</f>
        <v>2.5555555555555554</v>
      </c>
      <c r="D207" s="81">
        <f>SUM(D198:D206)</f>
        <v>0.10416666666666666</v>
      </c>
      <c r="E207" s="84">
        <f>SUM(E198:E206)</f>
        <v>1.0416666666666666E-2</v>
      </c>
      <c r="H207" s="79" t="s">
        <v>669</v>
      </c>
      <c r="I207" s="81">
        <f>SUM(I198:I206)</f>
        <v>4.1895833333333332</v>
      </c>
      <c r="J207" s="81">
        <f>SUM(J198:J206)</f>
        <v>4.4770833333333329</v>
      </c>
      <c r="K207" s="81">
        <f>SUM(K198:K206)</f>
        <v>0.29166666666666663</v>
      </c>
      <c r="L207" s="84">
        <f>SUM(L198:L206)</f>
        <v>4.1666666666666664E-2</v>
      </c>
      <c r="O207" s="79" t="s">
        <v>669</v>
      </c>
      <c r="P207" s="81">
        <f>SUM(P198:P206)</f>
        <v>7.4</v>
      </c>
      <c r="Q207" s="81">
        <f>SUM(Q198:Q206)</f>
        <v>1.6</v>
      </c>
      <c r="R207" s="81">
        <f>SUM(R198:R206)</f>
        <v>0</v>
      </c>
      <c r="S207" s="84">
        <f>SUM(S198:S206)</f>
        <v>0</v>
      </c>
      <c r="V207" s="79" t="s">
        <v>669</v>
      </c>
      <c r="W207" s="81">
        <f>SUM(W198:W206)</f>
        <v>7.4</v>
      </c>
      <c r="X207" s="81">
        <f>SUM(X198:X206)</f>
        <v>1.6</v>
      </c>
      <c r="Y207" s="81">
        <f>SUM(Y198:Y206)</f>
        <v>0</v>
      </c>
      <c r="Z207" s="84">
        <f>SUM(Z198:Z206)</f>
        <v>0</v>
      </c>
    </row>
    <row r="208" spans="1:26" ht="15.75" thickBot="1" x14ac:dyDescent="0.3">
      <c r="A208" s="80" t="s">
        <v>670</v>
      </c>
      <c r="B208" s="82">
        <f>AVERAGE(B198:B206)</f>
        <v>0.70331790123456772</v>
      </c>
      <c r="C208" s="82">
        <f>AVERAGE(C198:C206)</f>
        <v>0.2839506172839506</v>
      </c>
      <c r="D208" s="82">
        <f>AVERAGE(D198:D206)</f>
        <v>1.1574074074074073E-2</v>
      </c>
      <c r="E208" s="85">
        <f>AVERAGE(E198:E206)</f>
        <v>1.1574074074074073E-3</v>
      </c>
      <c r="H208" s="80" t="s">
        <v>670</v>
      </c>
      <c r="I208" s="82">
        <f>AVERAGE(I198:I206)</f>
        <v>0.46550925925925923</v>
      </c>
      <c r="J208" s="82">
        <f>AVERAGE(J198:J206)</f>
        <v>0.49745370370370368</v>
      </c>
      <c r="K208" s="82">
        <f>AVERAGE(K198:K206)</f>
        <v>3.2407407407407406E-2</v>
      </c>
      <c r="L208" s="85">
        <f>AVERAGE(L198:L206)</f>
        <v>4.6296296296296294E-3</v>
      </c>
      <c r="O208" s="80" t="s">
        <v>670</v>
      </c>
      <c r="P208" s="82">
        <f>AVERAGE(P198:P206)</f>
        <v>0.8222222222222223</v>
      </c>
      <c r="Q208" s="82">
        <f>AVERAGE(Q198:Q206)</f>
        <v>0.17777777777777778</v>
      </c>
      <c r="R208" s="82">
        <f>AVERAGE(R198:R206)</f>
        <v>0</v>
      </c>
      <c r="S208" s="85">
        <f>AVERAGE(S198:S206)</f>
        <v>0</v>
      </c>
      <c r="V208" s="80" t="s">
        <v>670</v>
      </c>
      <c r="W208" s="82">
        <f>AVERAGE(W198:W206)</f>
        <v>0.8222222222222223</v>
      </c>
      <c r="X208" s="82">
        <f>AVERAGE(X198:X206)</f>
        <v>0.17777777777777778</v>
      </c>
      <c r="Y208" s="82">
        <f>AVERAGE(Y198:Y206)</f>
        <v>0</v>
      </c>
      <c r="Z208" s="85">
        <f>AVERAGE(Z198:Z206)</f>
        <v>0</v>
      </c>
    </row>
    <row r="209" spans="1:26" ht="17.25" customHeight="1" thickBot="1" x14ac:dyDescent="0.3"/>
    <row r="210" spans="1:26" ht="17.25" customHeight="1" thickBot="1" x14ac:dyDescent="0.3">
      <c r="A210" s="64" t="s">
        <v>647</v>
      </c>
      <c r="B210" s="65">
        <v>2021</v>
      </c>
      <c r="C210" s="237" t="s">
        <v>1161</v>
      </c>
      <c r="D210" s="238"/>
      <c r="E210" s="239"/>
      <c r="H210" s="64" t="s">
        <v>647</v>
      </c>
      <c r="I210" s="65">
        <f>I103</f>
        <v>2021</v>
      </c>
      <c r="J210" s="237" t="str">
        <f>I102</f>
        <v>S1 Desain Komunikasi Visual</v>
      </c>
      <c r="K210" s="238"/>
      <c r="L210" s="239"/>
      <c r="O210" s="64" t="s">
        <v>647</v>
      </c>
      <c r="P210" s="65">
        <f>P103</f>
        <v>2021</v>
      </c>
      <c r="Q210" s="237" t="str">
        <f>P102</f>
        <v>S1 Desain Produk</v>
      </c>
      <c r="R210" s="238"/>
      <c r="S210" s="239"/>
      <c r="V210" s="64" t="s">
        <v>647</v>
      </c>
      <c r="W210" s="65">
        <f>W103</f>
        <v>2021</v>
      </c>
      <c r="X210" s="237" t="str">
        <f>W102</f>
        <v>D4 Produksi Film dan Televisi</v>
      </c>
      <c r="Y210" s="238"/>
      <c r="Z210" s="239"/>
    </row>
    <row r="211" spans="1:26" ht="27.75" customHeight="1" thickBot="1" x14ac:dyDescent="0.3">
      <c r="A211" s="69" t="s">
        <v>646</v>
      </c>
      <c r="B211" s="70">
        <f>B104</f>
        <v>28</v>
      </c>
      <c r="C211" s="240"/>
      <c r="D211" s="241"/>
      <c r="E211" s="242"/>
      <c r="H211" s="69" t="s">
        <v>646</v>
      </c>
      <c r="I211" s="70">
        <f>I104</f>
        <v>25</v>
      </c>
      <c r="J211" s="240"/>
      <c r="K211" s="241"/>
      <c r="L211" s="242"/>
      <c r="O211" s="69" t="s">
        <v>646</v>
      </c>
      <c r="P211" s="70">
        <f>P104</f>
        <v>2</v>
      </c>
      <c r="Q211" s="240"/>
      <c r="R211" s="241"/>
      <c r="S211" s="242"/>
      <c r="V211" s="69" t="s">
        <v>646</v>
      </c>
      <c r="W211" s="70">
        <f>W104</f>
        <v>1</v>
      </c>
      <c r="X211" s="240"/>
      <c r="Y211" s="241"/>
      <c r="Z211" s="242"/>
    </row>
    <row r="212" spans="1:26" ht="15.75" thickBot="1" x14ac:dyDescent="0.3">
      <c r="A212" s="222" t="s">
        <v>658</v>
      </c>
      <c r="B212" s="243" t="s">
        <v>664</v>
      </c>
      <c r="C212" s="243"/>
      <c r="D212" s="243"/>
      <c r="E212" s="243"/>
      <c r="H212" s="222" t="s">
        <v>658</v>
      </c>
      <c r="I212" s="223" t="s">
        <v>664</v>
      </c>
      <c r="J212" s="223"/>
      <c r="K212" s="223"/>
      <c r="L212" s="223"/>
      <c r="O212" s="222" t="s">
        <v>658</v>
      </c>
      <c r="P212" s="223" t="s">
        <v>664</v>
      </c>
      <c r="Q212" s="223"/>
      <c r="R212" s="223"/>
      <c r="S212" s="223"/>
      <c r="V212" s="222" t="s">
        <v>658</v>
      </c>
      <c r="W212" s="223" t="s">
        <v>664</v>
      </c>
      <c r="X212" s="223"/>
      <c r="Y212" s="223"/>
      <c r="Z212" s="223"/>
    </row>
    <row r="213" spans="1:26" ht="15.75" thickBot="1" x14ac:dyDescent="0.3">
      <c r="A213" s="222"/>
      <c r="B213" s="72" t="s">
        <v>645</v>
      </c>
      <c r="C213" s="72" t="s">
        <v>665</v>
      </c>
      <c r="D213" s="72" t="s">
        <v>666</v>
      </c>
      <c r="E213" s="72" t="s">
        <v>667</v>
      </c>
      <c r="H213" s="222"/>
      <c r="I213" s="72" t="s">
        <v>645</v>
      </c>
      <c r="J213" s="72" t="s">
        <v>665</v>
      </c>
      <c r="K213" s="72" t="s">
        <v>666</v>
      </c>
      <c r="L213" s="72" t="s">
        <v>667</v>
      </c>
      <c r="O213" s="222"/>
      <c r="P213" s="72" t="s">
        <v>645</v>
      </c>
      <c r="Q213" s="72" t="s">
        <v>665</v>
      </c>
      <c r="R213" s="72" t="s">
        <v>666</v>
      </c>
      <c r="S213" s="72" t="s">
        <v>667</v>
      </c>
      <c r="V213" s="222"/>
      <c r="W213" s="72" t="s">
        <v>645</v>
      </c>
      <c r="X213" s="72" t="s">
        <v>665</v>
      </c>
      <c r="Y213" s="72" t="s">
        <v>666</v>
      </c>
      <c r="Z213" s="72" t="s">
        <v>667</v>
      </c>
    </row>
    <row r="214" spans="1:26" x14ac:dyDescent="0.25">
      <c r="A214" s="73">
        <v>2</v>
      </c>
      <c r="B214" s="71">
        <v>3</v>
      </c>
      <c r="C214" s="71">
        <v>4</v>
      </c>
      <c r="D214" s="71">
        <v>5</v>
      </c>
      <c r="E214" s="74">
        <v>6</v>
      </c>
      <c r="H214" s="73">
        <v>2</v>
      </c>
      <c r="I214" s="71">
        <v>3</v>
      </c>
      <c r="J214" s="71">
        <v>4</v>
      </c>
      <c r="K214" s="71">
        <v>5</v>
      </c>
      <c r="L214" s="74"/>
      <c r="O214" s="73">
        <v>2</v>
      </c>
      <c r="P214" s="71">
        <v>3</v>
      </c>
      <c r="Q214" s="71">
        <v>4</v>
      </c>
      <c r="R214" s="71">
        <v>5</v>
      </c>
      <c r="S214" s="74"/>
      <c r="V214" s="73">
        <v>2</v>
      </c>
      <c r="W214" s="71">
        <v>3</v>
      </c>
      <c r="X214" s="71">
        <v>4</v>
      </c>
      <c r="Y214" s="71">
        <v>5</v>
      </c>
      <c r="Z214" s="74"/>
    </row>
    <row r="215" spans="1:26" x14ac:dyDescent="0.25">
      <c r="A215" s="75" t="s">
        <v>1445</v>
      </c>
      <c r="B215" s="66">
        <f>B111</f>
        <v>0.33866666666666662</v>
      </c>
      <c r="C215" s="66">
        <f>C111</f>
        <v>0.58399999999999996</v>
      </c>
      <c r="D215" s="66">
        <f>D111</f>
        <v>7.7333333333333337E-2</v>
      </c>
      <c r="E215" s="66">
        <f>E111</f>
        <v>0</v>
      </c>
      <c r="H215" s="75" t="s">
        <v>1228</v>
      </c>
      <c r="I215" s="66">
        <f>I111</f>
        <v>0.41600000000000004</v>
      </c>
      <c r="J215" s="66">
        <f>J111</f>
        <v>0.55199999999999994</v>
      </c>
      <c r="K215" s="66">
        <f>K111</f>
        <v>3.2000000000000001E-2</v>
      </c>
      <c r="L215" s="66">
        <f>L111</f>
        <v>0</v>
      </c>
      <c r="O215" s="75" t="s">
        <v>1228</v>
      </c>
      <c r="P215" s="66">
        <f>P111</f>
        <v>0.4</v>
      </c>
      <c r="Q215" s="66">
        <f>Q111</f>
        <v>0.6</v>
      </c>
      <c r="R215" s="66">
        <f>R111</f>
        <v>0</v>
      </c>
      <c r="S215" s="66">
        <f>S111</f>
        <v>0</v>
      </c>
      <c r="V215" s="75" t="s">
        <v>1228</v>
      </c>
      <c r="W215" s="66">
        <f>W111</f>
        <v>0.2</v>
      </c>
      <c r="X215" s="66">
        <f>X111</f>
        <v>0.6</v>
      </c>
      <c r="Y215" s="66">
        <f>Y111</f>
        <v>0.2</v>
      </c>
      <c r="Z215" s="66">
        <f>Z111</f>
        <v>0</v>
      </c>
    </row>
    <row r="216" spans="1:26" x14ac:dyDescent="0.25">
      <c r="A216" s="75" t="s">
        <v>1443</v>
      </c>
      <c r="B216" s="66">
        <f>B114</f>
        <v>0.33333333333333337</v>
      </c>
      <c r="C216" s="66">
        <f>C114</f>
        <v>0.66666666666666674</v>
      </c>
      <c r="D216" s="66">
        <f>D114</f>
        <v>0</v>
      </c>
      <c r="E216" s="66">
        <f>E114</f>
        <v>0</v>
      </c>
      <c r="H216" s="75" t="s">
        <v>1440</v>
      </c>
      <c r="I216" s="66">
        <f>I114</f>
        <v>0.5</v>
      </c>
      <c r="J216" s="66">
        <f>J114</f>
        <v>0.5</v>
      </c>
      <c r="K216" s="66">
        <f>K114</f>
        <v>0</v>
      </c>
      <c r="L216" s="66">
        <f>L114</f>
        <v>0</v>
      </c>
      <c r="O216" s="75" t="s">
        <v>1440</v>
      </c>
      <c r="P216" s="66">
        <f>P114</f>
        <v>0.5</v>
      </c>
      <c r="Q216" s="66">
        <f>Q114</f>
        <v>0.5</v>
      </c>
      <c r="R216" s="66">
        <f>R114</f>
        <v>0</v>
      </c>
      <c r="S216" s="66">
        <f>S114</f>
        <v>0</v>
      </c>
      <c r="V216" s="75" t="s">
        <v>1440</v>
      </c>
      <c r="W216" s="66">
        <f>W114</f>
        <v>0</v>
      </c>
      <c r="X216" s="66">
        <f>X114</f>
        <v>1</v>
      </c>
      <c r="Y216" s="66">
        <f>Y114</f>
        <v>0</v>
      </c>
      <c r="Z216" s="66">
        <f>Z114</f>
        <v>0</v>
      </c>
    </row>
    <row r="217" spans="1:26" x14ac:dyDescent="0.25">
      <c r="A217" s="75" t="s">
        <v>661</v>
      </c>
      <c r="B217" s="66">
        <f>B117</f>
        <v>0.71666666666666667</v>
      </c>
      <c r="C217" s="66">
        <f>C117</f>
        <v>0.17333333333333334</v>
      </c>
      <c r="D217" s="66">
        <f>D117</f>
        <v>0.11</v>
      </c>
      <c r="E217" s="66">
        <f>E117</f>
        <v>0</v>
      </c>
      <c r="H217" s="75" t="s">
        <v>1230</v>
      </c>
      <c r="I217" s="66">
        <f>I117</f>
        <v>0.4</v>
      </c>
      <c r="J217" s="66">
        <f>J117</f>
        <v>0.52</v>
      </c>
      <c r="K217" s="66">
        <f>K117</f>
        <v>0.08</v>
      </c>
      <c r="L217" s="66">
        <f>L117</f>
        <v>0</v>
      </c>
      <c r="O217" s="75" t="s">
        <v>1230</v>
      </c>
      <c r="P217" s="66">
        <f>P117</f>
        <v>0.75</v>
      </c>
      <c r="Q217" s="66">
        <f>Q117</f>
        <v>0</v>
      </c>
      <c r="R217" s="66">
        <f>R117</f>
        <v>0.25</v>
      </c>
      <c r="S217" s="66">
        <f>S117</f>
        <v>0</v>
      </c>
      <c r="V217" s="75" t="s">
        <v>1230</v>
      </c>
      <c r="W217" s="66">
        <f>W117</f>
        <v>1</v>
      </c>
      <c r="X217" s="66">
        <f>X117</f>
        <v>0</v>
      </c>
      <c r="Y217" s="66">
        <f>Y117</f>
        <v>0</v>
      </c>
      <c r="Z217" s="66">
        <f>Z117</f>
        <v>0</v>
      </c>
    </row>
    <row r="218" spans="1:26" x14ac:dyDescent="0.25">
      <c r="A218" s="75" t="s">
        <v>1444</v>
      </c>
      <c r="B218" s="66">
        <f>B121</f>
        <v>0.76190476190476186</v>
      </c>
      <c r="C218" s="66">
        <f>C121</f>
        <v>0.23809523809523811</v>
      </c>
      <c r="D218" s="66">
        <f>D121</f>
        <v>0</v>
      </c>
      <c r="E218" s="66">
        <f>E121</f>
        <v>0</v>
      </c>
      <c r="H218" s="75" t="s">
        <v>1232</v>
      </c>
      <c r="I218" s="66">
        <f>I121</f>
        <v>0.78666666666666674</v>
      </c>
      <c r="J218" s="66">
        <f>J121</f>
        <v>0.21333333333333335</v>
      </c>
      <c r="K218" s="66">
        <f>K121</f>
        <v>0</v>
      </c>
      <c r="L218" s="66">
        <f>L121</f>
        <v>0</v>
      </c>
      <c r="O218" s="75" t="s">
        <v>1232</v>
      </c>
      <c r="P218" s="66">
        <f>P121</f>
        <v>0.66666666666666663</v>
      </c>
      <c r="Q218" s="66">
        <f>Q121</f>
        <v>0.33333333333333331</v>
      </c>
      <c r="R218" s="66">
        <f>R121</f>
        <v>0</v>
      </c>
      <c r="S218" s="66">
        <f>S121</f>
        <v>0</v>
      </c>
      <c r="V218" s="75" t="s">
        <v>1232</v>
      </c>
      <c r="W218" s="66">
        <f>W121</f>
        <v>0.33333333333333331</v>
      </c>
      <c r="X218" s="66">
        <f>X121</f>
        <v>0.66666666666666663</v>
      </c>
      <c r="Y218" s="66">
        <f>Y121</f>
        <v>0</v>
      </c>
      <c r="Z218" s="66">
        <f>Z121</f>
        <v>0</v>
      </c>
    </row>
    <row r="219" spans="1:26" x14ac:dyDescent="0.25">
      <c r="A219" s="75" t="s">
        <v>663</v>
      </c>
      <c r="B219" s="66">
        <f>B125</f>
        <v>0.24888888888888885</v>
      </c>
      <c r="C219" s="66">
        <f>C125</f>
        <v>0.68222222222222229</v>
      </c>
      <c r="D219" s="66">
        <f>D125</f>
        <v>6.8888888888888902E-2</v>
      </c>
      <c r="E219" s="66">
        <f>E125</f>
        <v>0</v>
      </c>
      <c r="H219" s="75" t="s">
        <v>663</v>
      </c>
      <c r="I219" s="66">
        <f>I125</f>
        <v>0.41333333333333339</v>
      </c>
      <c r="J219" s="66">
        <f>J125</f>
        <v>0.54666666666666675</v>
      </c>
      <c r="K219" s="66">
        <f>K125</f>
        <v>0.04</v>
      </c>
      <c r="L219" s="66">
        <f>L125</f>
        <v>0</v>
      </c>
      <c r="O219" s="75" t="s">
        <v>663</v>
      </c>
      <c r="P219" s="66">
        <f>P125</f>
        <v>0.33333333333333331</v>
      </c>
      <c r="Q219" s="66">
        <f>Q125</f>
        <v>0.5</v>
      </c>
      <c r="R219" s="66">
        <f>R125</f>
        <v>0.16666666666666666</v>
      </c>
      <c r="S219" s="66">
        <f>S125</f>
        <v>0</v>
      </c>
      <c r="V219" s="75" t="s">
        <v>663</v>
      </c>
      <c r="W219" s="66">
        <f>W125</f>
        <v>0</v>
      </c>
      <c r="X219" s="66">
        <f>X125</f>
        <v>1</v>
      </c>
      <c r="Y219" s="66">
        <f>Y125</f>
        <v>0</v>
      </c>
      <c r="Z219" s="66">
        <f>Z125</f>
        <v>0</v>
      </c>
    </row>
    <row r="220" spans="1:26" x14ac:dyDescent="0.25">
      <c r="A220" s="75" t="s">
        <v>1441</v>
      </c>
      <c r="B220" s="66">
        <f>B129</f>
        <v>0.5444444444444444</v>
      </c>
      <c r="C220" s="66">
        <f>C129</f>
        <v>0.45555555555555555</v>
      </c>
      <c r="D220" s="66">
        <f>D129</f>
        <v>0</v>
      </c>
      <c r="E220" s="66">
        <f>E129</f>
        <v>0</v>
      </c>
      <c r="H220" s="75" t="s">
        <v>1441</v>
      </c>
      <c r="I220" s="66">
        <f>I129</f>
        <v>0.46666666666666662</v>
      </c>
      <c r="J220" s="66">
        <f>J129</f>
        <v>0.53333333333333333</v>
      </c>
      <c r="K220" s="66">
        <f>K129</f>
        <v>0</v>
      </c>
      <c r="L220" s="66">
        <f>L129</f>
        <v>0</v>
      </c>
      <c r="O220" s="75" t="s">
        <v>1441</v>
      </c>
      <c r="P220" s="66">
        <f>P129</f>
        <v>0.5</v>
      </c>
      <c r="Q220" s="66">
        <f>Q129</f>
        <v>0.5</v>
      </c>
      <c r="R220" s="66">
        <f>R129</f>
        <v>0</v>
      </c>
      <c r="S220" s="66">
        <f>S129</f>
        <v>0</v>
      </c>
      <c r="V220" s="75" t="s">
        <v>1441</v>
      </c>
      <c r="W220" s="66">
        <f>W129</f>
        <v>0.66666666666666663</v>
      </c>
      <c r="X220" s="66">
        <f>X129</f>
        <v>0.33333333333333331</v>
      </c>
      <c r="Y220" s="66">
        <f>Y129</f>
        <v>0</v>
      </c>
      <c r="Z220" s="66">
        <f>Z129</f>
        <v>0</v>
      </c>
    </row>
    <row r="221" spans="1:26" x14ac:dyDescent="0.25">
      <c r="A221" s="75" t="s">
        <v>91</v>
      </c>
      <c r="B221" s="66">
        <f>B134</f>
        <v>0.46666666666666667</v>
      </c>
      <c r="C221" s="66">
        <f>C134</f>
        <v>0.48500000000000004</v>
      </c>
      <c r="D221" s="66">
        <f>D134</f>
        <v>4.8333333333333332E-2</v>
      </c>
      <c r="E221" s="66">
        <f>E134</f>
        <v>0</v>
      </c>
      <c r="H221" s="75" t="s">
        <v>91</v>
      </c>
      <c r="I221" s="66">
        <f>I134</f>
        <v>0.4</v>
      </c>
      <c r="J221" s="66">
        <f>J134</f>
        <v>0.58000000000000007</v>
      </c>
      <c r="K221" s="66">
        <f>K134</f>
        <v>0.02</v>
      </c>
      <c r="L221" s="66">
        <f>L134</f>
        <v>0</v>
      </c>
      <c r="O221" s="75" t="s">
        <v>91</v>
      </c>
      <c r="P221" s="66">
        <f>P134</f>
        <v>0.25</v>
      </c>
      <c r="Q221" s="66">
        <f>Q134</f>
        <v>0.625</v>
      </c>
      <c r="R221" s="66">
        <f>R134</f>
        <v>0.125</v>
      </c>
      <c r="S221" s="66">
        <f>S134</f>
        <v>0</v>
      </c>
      <c r="V221" s="75" t="s">
        <v>91</v>
      </c>
      <c r="W221" s="66">
        <f>W134</f>
        <v>0.75</v>
      </c>
      <c r="X221" s="66">
        <f>X134</f>
        <v>0.25</v>
      </c>
      <c r="Y221" s="66">
        <f>Y134</f>
        <v>0</v>
      </c>
      <c r="Z221" s="66">
        <f>Z134</f>
        <v>0</v>
      </c>
    </row>
    <row r="222" spans="1:26" x14ac:dyDescent="0.25">
      <c r="A222" s="75" t="s">
        <v>1431</v>
      </c>
      <c r="B222" s="66">
        <f>B140</f>
        <v>0.26133333333333331</v>
      </c>
      <c r="C222" s="66">
        <f>C140</f>
        <v>6.5333333333333327E-2</v>
      </c>
      <c r="D222" s="66">
        <f>D140</f>
        <v>0.40400000000000003</v>
      </c>
      <c r="E222" s="66">
        <f>E140</f>
        <v>0.26933333333333331</v>
      </c>
      <c r="H222" s="75" t="s">
        <v>1431</v>
      </c>
      <c r="I222" s="66">
        <f>I140</f>
        <v>0.38400000000000001</v>
      </c>
      <c r="J222" s="66">
        <f>J140</f>
        <v>9.6000000000000002E-2</v>
      </c>
      <c r="K222" s="66">
        <f>K140</f>
        <v>0.312</v>
      </c>
      <c r="L222" s="66">
        <f>L140</f>
        <v>0.20800000000000002</v>
      </c>
      <c r="O222" s="75" t="s">
        <v>1431</v>
      </c>
      <c r="P222" s="66">
        <f>P140</f>
        <v>0.4</v>
      </c>
      <c r="Q222" s="66">
        <f>Q140</f>
        <v>0.1</v>
      </c>
      <c r="R222" s="66">
        <f>R140</f>
        <v>0.3</v>
      </c>
      <c r="S222" s="66">
        <f>S140</f>
        <v>0.2</v>
      </c>
      <c r="V222" s="75" t="s">
        <v>1431</v>
      </c>
      <c r="W222" s="66">
        <f>W140</f>
        <v>0</v>
      </c>
      <c r="X222" s="66">
        <f>X140</f>
        <v>0</v>
      </c>
      <c r="Y222" s="66">
        <f>Y140</f>
        <v>0.6</v>
      </c>
      <c r="Z222" s="66">
        <f>Z140</f>
        <v>0.4</v>
      </c>
    </row>
    <row r="223" spans="1:26" ht="15.75" thickBot="1" x14ac:dyDescent="0.3">
      <c r="A223" s="76" t="s">
        <v>1432</v>
      </c>
      <c r="B223" s="185">
        <f>B145</f>
        <v>0.32666666666666666</v>
      </c>
      <c r="C223" s="185">
        <f>C145</f>
        <v>0</v>
      </c>
      <c r="D223" s="185">
        <f>D145</f>
        <v>0.33666666666666667</v>
      </c>
      <c r="E223" s="185">
        <f>E145</f>
        <v>0.33666666666666667</v>
      </c>
      <c r="H223" s="76" t="s">
        <v>1432</v>
      </c>
      <c r="I223" s="66">
        <f>I145</f>
        <v>0.48</v>
      </c>
      <c r="J223" s="66">
        <f>J145</f>
        <v>0</v>
      </c>
      <c r="K223" s="66">
        <f>K145</f>
        <v>0.26</v>
      </c>
      <c r="L223" s="66">
        <f>L145</f>
        <v>0.26</v>
      </c>
      <c r="O223" s="76" t="s">
        <v>1432</v>
      </c>
      <c r="P223" s="66">
        <f>P145</f>
        <v>0.5</v>
      </c>
      <c r="Q223" s="66">
        <f>Q145</f>
        <v>0</v>
      </c>
      <c r="R223" s="66">
        <f>R145</f>
        <v>0.25</v>
      </c>
      <c r="S223" s="66">
        <f>S145</f>
        <v>0.25</v>
      </c>
      <c r="V223" s="76" t="s">
        <v>1432</v>
      </c>
      <c r="W223" s="66">
        <f>W145</f>
        <v>0</v>
      </c>
      <c r="X223" s="66">
        <f>X145</f>
        <v>0</v>
      </c>
      <c r="Y223" s="66">
        <f>Y145</f>
        <v>0.5</v>
      </c>
      <c r="Z223" s="66">
        <f>Z145</f>
        <v>0.5</v>
      </c>
    </row>
    <row r="224" spans="1:26" x14ac:dyDescent="0.25">
      <c r="A224" s="79" t="s">
        <v>669</v>
      </c>
      <c r="B224" s="190">
        <f>SUM(B215:B223)</f>
        <v>3.9985714285714282</v>
      </c>
      <c r="C224" s="190">
        <f>SUM(C215:C223)</f>
        <v>3.3502063492063492</v>
      </c>
      <c r="D224" s="190">
        <f>SUM(D215:D223)</f>
        <v>1.0452222222222223</v>
      </c>
      <c r="E224" s="191">
        <f>SUM(E215:E223)</f>
        <v>0.60599999999999998</v>
      </c>
      <c r="H224" s="79" t="s">
        <v>669</v>
      </c>
      <c r="I224" s="81">
        <f>SUM(I198:I206)</f>
        <v>4.1895833333333332</v>
      </c>
      <c r="J224" s="81">
        <f>SUM(J215:J223)</f>
        <v>3.5413333333333337</v>
      </c>
      <c r="K224" s="81">
        <f>SUM(K215:K223)</f>
        <v>0.74399999999999999</v>
      </c>
      <c r="L224" s="84">
        <f>SUM(L215:L223)</f>
        <v>0.46800000000000003</v>
      </c>
      <c r="O224" s="79" t="s">
        <v>669</v>
      </c>
      <c r="P224" s="81">
        <f>SUM(P198:P206)</f>
        <v>7.4</v>
      </c>
      <c r="Q224" s="81">
        <f>SUM(Q215:Q223)</f>
        <v>3.1583333333333337</v>
      </c>
      <c r="R224" s="81">
        <f>SUM(R215:R223)</f>
        <v>1.0916666666666666</v>
      </c>
      <c r="S224" s="84">
        <f>SUM(S215:S223)</f>
        <v>0.45</v>
      </c>
      <c r="V224" s="79" t="s">
        <v>669</v>
      </c>
      <c r="W224" s="81">
        <f>SUM(W198:W206)</f>
        <v>7.4</v>
      </c>
      <c r="X224" s="81">
        <f>SUM(X215:X223)</f>
        <v>3.85</v>
      </c>
      <c r="Y224" s="81">
        <f>SUM(Y215:Y223)</f>
        <v>1.3</v>
      </c>
      <c r="Z224" s="84">
        <f>SUM(Z215:Z223)</f>
        <v>0.9</v>
      </c>
    </row>
    <row r="225" spans="1:26" ht="15.75" thickBot="1" x14ac:dyDescent="0.3">
      <c r="A225" s="80" t="s">
        <v>670</v>
      </c>
      <c r="B225" s="192">
        <f>AVERAGE(B215:B223)</f>
        <v>0.44428571428571423</v>
      </c>
      <c r="C225" s="192">
        <f>AVERAGE(C215:C223)</f>
        <v>0.37224514991181656</v>
      </c>
      <c r="D225" s="192">
        <f>AVERAGE(D215:D223)</f>
        <v>0.11613580246913581</v>
      </c>
      <c r="E225" s="193">
        <f>AVERAGE(E215:E223)</f>
        <v>6.7333333333333328E-2</v>
      </c>
      <c r="H225" s="80" t="s">
        <v>670</v>
      </c>
      <c r="I225" s="82">
        <f>AVERAGE(I198:I206)</f>
        <v>0.46550925925925923</v>
      </c>
      <c r="J225" s="82">
        <f>AVERAGE(J215:J223)</f>
        <v>0.39348148148148154</v>
      </c>
      <c r="K225" s="82">
        <f>AVERAGE(K215:K223)</f>
        <v>8.2666666666666666E-2</v>
      </c>
      <c r="L225" s="85">
        <f>AVERAGE(L215:L223)</f>
        <v>5.2000000000000005E-2</v>
      </c>
      <c r="O225" s="80" t="s">
        <v>670</v>
      </c>
      <c r="P225" s="82">
        <f>AVERAGE(P198:P206)</f>
        <v>0.8222222222222223</v>
      </c>
      <c r="Q225" s="82">
        <f>AVERAGE(Q215:Q223)</f>
        <v>0.35092592592592597</v>
      </c>
      <c r="R225" s="82">
        <f>AVERAGE(R215:R223)</f>
        <v>0.12129629629629629</v>
      </c>
      <c r="S225" s="85">
        <f>AVERAGE(S215:S223)</f>
        <v>0.05</v>
      </c>
      <c r="V225" s="80" t="s">
        <v>670</v>
      </c>
      <c r="W225" s="82">
        <f>AVERAGE(W198:W206)</f>
        <v>0.8222222222222223</v>
      </c>
      <c r="X225" s="82">
        <f>AVERAGE(X215:X223)</f>
        <v>0.42777777777777781</v>
      </c>
      <c r="Y225" s="82">
        <f>AVERAGE(Y215:Y223)</f>
        <v>0.14444444444444446</v>
      </c>
      <c r="Z225" s="85">
        <f>AVERAGE(Z215:Z223)</f>
        <v>0.1</v>
      </c>
    </row>
    <row r="226" spans="1:26" ht="17.25" customHeight="1" thickBot="1" x14ac:dyDescent="0.3"/>
    <row r="227" spans="1:26" ht="17.25" customHeight="1" thickBot="1" x14ac:dyDescent="0.3">
      <c r="A227" s="64" t="s">
        <v>647</v>
      </c>
      <c r="B227" s="65">
        <v>2021</v>
      </c>
      <c r="C227" s="237" t="str">
        <f>B147</f>
        <v>FEB</v>
      </c>
      <c r="D227" s="238"/>
      <c r="E227" s="239"/>
      <c r="H227" s="64" t="s">
        <v>647</v>
      </c>
      <c r="I227" s="65">
        <v>2021</v>
      </c>
      <c r="J227" s="237" t="str">
        <f>I147</f>
        <v>S1 Akuntansi</v>
      </c>
      <c r="K227" s="238"/>
      <c r="L227" s="239"/>
      <c r="O227" s="64" t="s">
        <v>647</v>
      </c>
      <c r="P227" s="65">
        <v>2021</v>
      </c>
      <c r="Q227" s="237" t="str">
        <f>P147</f>
        <v>S1 Manajemen</v>
      </c>
      <c r="R227" s="238"/>
      <c r="S227" s="239"/>
    </row>
    <row r="228" spans="1:26" ht="43.5" customHeight="1" thickBot="1" x14ac:dyDescent="0.3">
      <c r="A228" s="69" t="s">
        <v>646</v>
      </c>
      <c r="B228" s="70">
        <f>B149</f>
        <v>2</v>
      </c>
      <c r="C228" s="240"/>
      <c r="D228" s="241"/>
      <c r="E228" s="242"/>
      <c r="H228" s="69" t="s">
        <v>646</v>
      </c>
      <c r="I228" s="70">
        <f>I149</f>
        <v>1</v>
      </c>
      <c r="J228" s="240"/>
      <c r="K228" s="241"/>
      <c r="L228" s="242"/>
      <c r="O228" s="69" t="s">
        <v>646</v>
      </c>
      <c r="P228" s="70">
        <f>P149</f>
        <v>1</v>
      </c>
      <c r="Q228" s="240"/>
      <c r="R228" s="241"/>
      <c r="S228" s="242"/>
    </row>
    <row r="229" spans="1:26" ht="15.75" thickBot="1" x14ac:dyDescent="0.3">
      <c r="A229" s="222" t="s">
        <v>658</v>
      </c>
      <c r="B229" s="243" t="s">
        <v>664</v>
      </c>
      <c r="C229" s="243"/>
      <c r="D229" s="243"/>
      <c r="E229" s="243"/>
      <c r="H229" s="222" t="s">
        <v>658</v>
      </c>
      <c r="I229" s="243" t="s">
        <v>664</v>
      </c>
      <c r="J229" s="243"/>
      <c r="K229" s="243"/>
      <c r="L229" s="243"/>
      <c r="O229" s="222" t="s">
        <v>658</v>
      </c>
      <c r="P229" s="243" t="s">
        <v>664</v>
      </c>
      <c r="Q229" s="243"/>
      <c r="R229" s="243"/>
      <c r="S229" s="243"/>
    </row>
    <row r="230" spans="1:26" ht="15.75" thickBot="1" x14ac:dyDescent="0.3">
      <c r="A230" s="222"/>
      <c r="B230" s="72" t="s">
        <v>645</v>
      </c>
      <c r="C230" s="72" t="s">
        <v>665</v>
      </c>
      <c r="D230" s="72" t="s">
        <v>666</v>
      </c>
      <c r="E230" s="72" t="s">
        <v>667</v>
      </c>
      <c r="H230" s="222"/>
      <c r="I230" s="72" t="s">
        <v>645</v>
      </c>
      <c r="J230" s="72" t="s">
        <v>665</v>
      </c>
      <c r="K230" s="72" t="s">
        <v>666</v>
      </c>
      <c r="L230" s="72" t="s">
        <v>667</v>
      </c>
      <c r="O230" s="222"/>
      <c r="P230" s="72" t="s">
        <v>645</v>
      </c>
      <c r="Q230" s="72" t="s">
        <v>665</v>
      </c>
      <c r="R230" s="72" t="s">
        <v>666</v>
      </c>
      <c r="S230" s="72" t="s">
        <v>667</v>
      </c>
    </row>
    <row r="231" spans="1:26" x14ac:dyDescent="0.25">
      <c r="A231" s="73">
        <v>2</v>
      </c>
      <c r="B231" s="71">
        <v>3</v>
      </c>
      <c r="C231" s="71">
        <v>4</v>
      </c>
      <c r="D231" s="71">
        <v>5</v>
      </c>
      <c r="E231" s="74">
        <v>6</v>
      </c>
      <c r="H231" s="73">
        <v>2</v>
      </c>
      <c r="I231" s="71">
        <v>3</v>
      </c>
      <c r="J231" s="71">
        <v>4</v>
      </c>
      <c r="K231" s="71">
        <v>5</v>
      </c>
      <c r="L231" s="74">
        <v>6</v>
      </c>
      <c r="O231" s="73">
        <v>2</v>
      </c>
      <c r="P231" s="71">
        <v>3</v>
      </c>
      <c r="Q231" s="71">
        <v>4</v>
      </c>
      <c r="R231" s="71">
        <v>5</v>
      </c>
      <c r="S231" s="74">
        <v>6</v>
      </c>
    </row>
    <row r="232" spans="1:26" x14ac:dyDescent="0.25">
      <c r="A232" s="75" t="s">
        <v>1445</v>
      </c>
      <c r="B232" s="66">
        <f>B155</f>
        <v>0.75</v>
      </c>
      <c r="C232" s="66">
        <f>C155</f>
        <v>0.25</v>
      </c>
      <c r="D232" s="66">
        <f>D155</f>
        <v>0</v>
      </c>
      <c r="E232" s="66">
        <f>E155</f>
        <v>0</v>
      </c>
      <c r="H232" s="75" t="s">
        <v>1445</v>
      </c>
      <c r="I232" s="66">
        <f>I155</f>
        <v>1</v>
      </c>
      <c r="J232" s="66">
        <f>J155</f>
        <v>0</v>
      </c>
      <c r="K232" s="66">
        <f>K155</f>
        <v>0</v>
      </c>
      <c r="L232" s="66">
        <f>L155</f>
        <v>0</v>
      </c>
      <c r="M232" s="194"/>
      <c r="N232" s="194"/>
      <c r="O232" s="195" t="s">
        <v>1445</v>
      </c>
      <c r="P232" s="66">
        <f>P155</f>
        <v>0.5</v>
      </c>
      <c r="Q232" s="66">
        <f>Q155</f>
        <v>0.5</v>
      </c>
      <c r="R232" s="66">
        <f>R155</f>
        <v>0</v>
      </c>
      <c r="S232" s="66">
        <f>S155</f>
        <v>0</v>
      </c>
    </row>
    <row r="233" spans="1:26" x14ac:dyDescent="0.25">
      <c r="A233" s="75" t="s">
        <v>1443</v>
      </c>
      <c r="B233" s="66">
        <f>B158</f>
        <v>0.5</v>
      </c>
      <c r="C233" s="66">
        <f>C158</f>
        <v>0.5</v>
      </c>
      <c r="D233" s="66">
        <f>D158</f>
        <v>0</v>
      </c>
      <c r="E233" s="66">
        <f>E158</f>
        <v>0</v>
      </c>
      <c r="H233" s="75" t="s">
        <v>1443</v>
      </c>
      <c r="I233" s="66">
        <f>I158</f>
        <v>0.5</v>
      </c>
      <c r="J233" s="66">
        <f>J158</f>
        <v>0.5</v>
      </c>
      <c r="K233" s="66">
        <f>K158</f>
        <v>0</v>
      </c>
      <c r="L233" s="66">
        <f>L158</f>
        <v>0</v>
      </c>
      <c r="M233" s="194"/>
      <c r="N233" s="194"/>
      <c r="O233" s="195" t="s">
        <v>1443</v>
      </c>
      <c r="P233" s="66">
        <f>P158</f>
        <v>0.5</v>
      </c>
      <c r="Q233" s="66">
        <f>Q158</f>
        <v>0.5</v>
      </c>
      <c r="R233" s="66">
        <f>R158</f>
        <v>0</v>
      </c>
      <c r="S233" s="66">
        <f>S158</f>
        <v>0</v>
      </c>
    </row>
    <row r="234" spans="1:26" x14ac:dyDescent="0.25">
      <c r="A234" s="75" t="s">
        <v>661</v>
      </c>
      <c r="B234" s="66">
        <f>B161</f>
        <v>0.25</v>
      </c>
      <c r="C234" s="66">
        <f>C161</f>
        <v>0.75</v>
      </c>
      <c r="D234" s="66">
        <f>D161</f>
        <v>0</v>
      </c>
      <c r="E234" s="66">
        <f>E161</f>
        <v>0</v>
      </c>
      <c r="H234" s="75" t="s">
        <v>661</v>
      </c>
      <c r="I234" s="66">
        <f>I161</f>
        <v>0.5</v>
      </c>
      <c r="J234" s="66">
        <f>J161</f>
        <v>0.5</v>
      </c>
      <c r="K234" s="66">
        <f>K161</f>
        <v>0</v>
      </c>
      <c r="L234" s="66">
        <f>L161</f>
        <v>0</v>
      </c>
      <c r="M234" s="194"/>
      <c r="N234" s="194"/>
      <c r="O234" s="195" t="s">
        <v>661</v>
      </c>
      <c r="P234" s="66">
        <f>P161</f>
        <v>0</v>
      </c>
      <c r="Q234" s="66">
        <f>Q161</f>
        <v>1</v>
      </c>
      <c r="R234" s="66">
        <f>R161</f>
        <v>0</v>
      </c>
      <c r="S234" s="66">
        <f>S161</f>
        <v>0</v>
      </c>
    </row>
    <row r="235" spans="1:26" x14ac:dyDescent="0.25">
      <c r="A235" s="75" t="s">
        <v>1444</v>
      </c>
      <c r="B235" s="66">
        <f>B164</f>
        <v>1</v>
      </c>
      <c r="C235" s="66">
        <f>C164</f>
        <v>0</v>
      </c>
      <c r="D235" s="66">
        <f>D164</f>
        <v>0</v>
      </c>
      <c r="E235" s="66">
        <f>E164</f>
        <v>0</v>
      </c>
      <c r="H235" s="75" t="s">
        <v>1444</v>
      </c>
      <c r="I235" s="66">
        <f>I164</f>
        <v>1</v>
      </c>
      <c r="J235" s="66">
        <f>J164</f>
        <v>0</v>
      </c>
      <c r="K235" s="66">
        <f>K164</f>
        <v>0</v>
      </c>
      <c r="L235" s="66">
        <f>L164</f>
        <v>0</v>
      </c>
      <c r="M235" s="194"/>
      <c r="N235" s="194"/>
      <c r="O235" s="195" t="s">
        <v>1444</v>
      </c>
      <c r="P235" s="66">
        <f>P164</f>
        <v>1</v>
      </c>
      <c r="Q235" s="66">
        <f>Q164</f>
        <v>0</v>
      </c>
      <c r="R235" s="66">
        <f>R164</f>
        <v>0</v>
      </c>
      <c r="S235" s="66">
        <f>S164</f>
        <v>0</v>
      </c>
    </row>
    <row r="236" spans="1:26" x14ac:dyDescent="0.25">
      <c r="A236" s="75" t="s">
        <v>663</v>
      </c>
      <c r="B236" s="66">
        <f>B169</f>
        <v>0.875</v>
      </c>
      <c r="C236" s="66">
        <f>C169</f>
        <v>0.125</v>
      </c>
      <c r="D236" s="66">
        <f>D169</f>
        <v>0</v>
      </c>
      <c r="E236" s="66">
        <f>E169</f>
        <v>0</v>
      </c>
      <c r="H236" s="75" t="s">
        <v>663</v>
      </c>
      <c r="I236" s="66">
        <f>I169</f>
        <v>1</v>
      </c>
      <c r="J236" s="66">
        <f>J169</f>
        <v>0</v>
      </c>
      <c r="K236" s="66">
        <f>K169</f>
        <v>0</v>
      </c>
      <c r="L236" s="66">
        <f>L169</f>
        <v>0</v>
      </c>
      <c r="M236" s="194"/>
      <c r="N236" s="194"/>
      <c r="O236" s="195" t="s">
        <v>663</v>
      </c>
      <c r="P236" s="66">
        <f>P169</f>
        <v>0.75</v>
      </c>
      <c r="Q236" s="66">
        <f>Q169</f>
        <v>0.25</v>
      </c>
      <c r="R236" s="66">
        <f>R169</f>
        <v>0</v>
      </c>
      <c r="S236" s="66">
        <f>S169</f>
        <v>0</v>
      </c>
    </row>
    <row r="237" spans="1:26" x14ac:dyDescent="0.25">
      <c r="A237" s="75" t="s">
        <v>1441</v>
      </c>
      <c r="B237" s="66">
        <f>B173</f>
        <v>1</v>
      </c>
      <c r="C237" s="66">
        <f>C173</f>
        <v>0</v>
      </c>
      <c r="D237" s="66">
        <f>D173</f>
        <v>0</v>
      </c>
      <c r="E237" s="66">
        <f>E173</f>
        <v>0</v>
      </c>
      <c r="H237" s="75" t="s">
        <v>1441</v>
      </c>
      <c r="I237" s="66">
        <f>I173</f>
        <v>1</v>
      </c>
      <c r="J237" s="66">
        <f>J173</f>
        <v>0</v>
      </c>
      <c r="K237" s="66">
        <f>K173</f>
        <v>0</v>
      </c>
      <c r="L237" s="66">
        <f>L173</f>
        <v>0</v>
      </c>
      <c r="M237" s="194"/>
      <c r="N237" s="194"/>
      <c r="O237" s="195" t="s">
        <v>1441</v>
      </c>
      <c r="P237" s="66">
        <f>P173</f>
        <v>1</v>
      </c>
      <c r="Q237" s="66">
        <f>Q173</f>
        <v>0</v>
      </c>
      <c r="R237" s="66">
        <f>R173</f>
        <v>0</v>
      </c>
      <c r="S237" s="66">
        <f>S173</f>
        <v>0</v>
      </c>
    </row>
    <row r="238" spans="1:26" x14ac:dyDescent="0.25">
      <c r="A238" s="75" t="s">
        <v>91</v>
      </c>
      <c r="B238" s="66">
        <f>B178</f>
        <v>1</v>
      </c>
      <c r="C238" s="66">
        <f>C178</f>
        <v>0</v>
      </c>
      <c r="D238" s="66">
        <f>D178</f>
        <v>0</v>
      </c>
      <c r="E238" s="66">
        <f>E178</f>
        <v>0</v>
      </c>
      <c r="H238" s="75" t="s">
        <v>91</v>
      </c>
      <c r="I238" s="66">
        <f>I178</f>
        <v>1</v>
      </c>
      <c r="J238" s="66">
        <f>J178</f>
        <v>0</v>
      </c>
      <c r="K238" s="66">
        <f>K178</f>
        <v>0</v>
      </c>
      <c r="L238" s="66">
        <f>L178</f>
        <v>0</v>
      </c>
      <c r="M238" s="194"/>
      <c r="N238" s="194"/>
      <c r="O238" s="195" t="s">
        <v>91</v>
      </c>
      <c r="P238" s="66">
        <f>P178</f>
        <v>1</v>
      </c>
      <c r="Q238" s="66">
        <f>Q178</f>
        <v>0</v>
      </c>
      <c r="R238" s="66">
        <f>R178</f>
        <v>0</v>
      </c>
      <c r="S238" s="66">
        <f>S178</f>
        <v>0</v>
      </c>
    </row>
    <row r="239" spans="1:26" x14ac:dyDescent="0.25">
      <c r="A239" s="75" t="s">
        <v>1431</v>
      </c>
      <c r="B239" s="66">
        <f>B184</f>
        <v>0.5</v>
      </c>
      <c r="C239" s="66">
        <f>C184</f>
        <v>0.5</v>
      </c>
      <c r="D239" s="66">
        <f>D184</f>
        <v>0</v>
      </c>
      <c r="E239" s="66">
        <f>E184</f>
        <v>0</v>
      </c>
      <c r="H239" s="75" t="s">
        <v>1431</v>
      </c>
      <c r="I239" s="66">
        <f>I184</f>
        <v>0.5</v>
      </c>
      <c r="J239" s="66">
        <f>J184</f>
        <v>0.5</v>
      </c>
      <c r="K239" s="66">
        <f>K184</f>
        <v>0</v>
      </c>
      <c r="L239" s="66">
        <f>L184</f>
        <v>0</v>
      </c>
      <c r="M239" s="194"/>
      <c r="N239" s="194"/>
      <c r="O239" s="195" t="s">
        <v>1431</v>
      </c>
      <c r="P239" s="66">
        <f>P184</f>
        <v>0.5</v>
      </c>
      <c r="Q239" s="66">
        <f>Q184</f>
        <v>0.5</v>
      </c>
      <c r="R239" s="66">
        <f>R184</f>
        <v>0</v>
      </c>
      <c r="S239" s="66">
        <f>S184</f>
        <v>0</v>
      </c>
    </row>
    <row r="240" spans="1:26" ht="15.75" thickBot="1" x14ac:dyDescent="0.3">
      <c r="A240" s="76" t="s">
        <v>1432</v>
      </c>
      <c r="B240" s="185">
        <f>B189</f>
        <v>1</v>
      </c>
      <c r="C240" s="185">
        <f>C189</f>
        <v>0</v>
      </c>
      <c r="D240" s="185">
        <f>D189</f>
        <v>0</v>
      </c>
      <c r="E240" s="185">
        <f>E189</f>
        <v>0</v>
      </c>
      <c r="H240" s="76" t="s">
        <v>1432</v>
      </c>
      <c r="I240" s="185">
        <f>I189</f>
        <v>1</v>
      </c>
      <c r="J240" s="185">
        <f>J189</f>
        <v>0</v>
      </c>
      <c r="K240" s="185">
        <f>K189</f>
        <v>0</v>
      </c>
      <c r="L240" s="185">
        <f>L189</f>
        <v>0</v>
      </c>
      <c r="M240" s="194"/>
      <c r="N240" s="194"/>
      <c r="O240" s="196" t="s">
        <v>1432</v>
      </c>
      <c r="P240" s="185">
        <f>P189</f>
        <v>1</v>
      </c>
      <c r="Q240" s="185">
        <f>Q189</f>
        <v>0</v>
      </c>
      <c r="R240" s="185">
        <f>R189</f>
        <v>0</v>
      </c>
      <c r="S240" s="185">
        <f>S189</f>
        <v>0</v>
      </c>
    </row>
    <row r="241" spans="1:19" x14ac:dyDescent="0.25">
      <c r="A241" s="79" t="s">
        <v>669</v>
      </c>
      <c r="B241" s="81">
        <f>SUM(B232:B240)</f>
        <v>6.875</v>
      </c>
      <c r="C241" s="81">
        <f>SUM(C232:C240)</f>
        <v>2.125</v>
      </c>
      <c r="D241" s="81">
        <f>SUM(D232:D240)</f>
        <v>0</v>
      </c>
      <c r="E241" s="84">
        <f>SUM(E232:E240)</f>
        <v>0</v>
      </c>
      <c r="H241" s="79" t="s">
        <v>669</v>
      </c>
      <c r="I241" s="190">
        <f>SUM(I232:I240)</f>
        <v>7.5</v>
      </c>
      <c r="J241" s="190">
        <f>SUM(J232:J240)</f>
        <v>1.5</v>
      </c>
      <c r="K241" s="190">
        <f>SUM(K232:K240)</f>
        <v>0</v>
      </c>
      <c r="L241" s="191">
        <f>SUM(L232:L240)</f>
        <v>0</v>
      </c>
      <c r="M241" s="194"/>
      <c r="N241" s="194"/>
      <c r="O241" s="197" t="s">
        <v>669</v>
      </c>
      <c r="P241" s="190">
        <f>SUM(P232:P240)</f>
        <v>6.25</v>
      </c>
      <c r="Q241" s="190">
        <f>SUM(Q232:Q240)</f>
        <v>2.75</v>
      </c>
      <c r="R241" s="190">
        <f>SUM(R232:R240)</f>
        <v>0</v>
      </c>
      <c r="S241" s="191">
        <f>SUM(S232:S240)</f>
        <v>0</v>
      </c>
    </row>
    <row r="242" spans="1:19" ht="15.75" thickBot="1" x14ac:dyDescent="0.3">
      <c r="A242" s="80" t="s">
        <v>670</v>
      </c>
      <c r="B242" s="82">
        <f>AVERAGE(B232:B240)</f>
        <v>0.76388888888888884</v>
      </c>
      <c r="C242" s="82">
        <f>AVERAGE(C232:C240)</f>
        <v>0.2361111111111111</v>
      </c>
      <c r="D242" s="82">
        <f>AVERAGE(D232:D240)</f>
        <v>0</v>
      </c>
      <c r="E242" s="85">
        <f>AVERAGE(E232:E240)</f>
        <v>0</v>
      </c>
      <c r="H242" s="80" t="s">
        <v>670</v>
      </c>
      <c r="I242" s="192">
        <f>AVERAGE(I232:I240)</f>
        <v>0.83333333333333337</v>
      </c>
      <c r="J242" s="192">
        <f>AVERAGE(J232:J240)</f>
        <v>0.16666666666666666</v>
      </c>
      <c r="K242" s="192">
        <f>AVERAGE(K232:K240)</f>
        <v>0</v>
      </c>
      <c r="L242" s="193">
        <f>AVERAGE(L232:L240)</f>
        <v>0</v>
      </c>
      <c r="M242" s="194"/>
      <c r="N242" s="194"/>
      <c r="O242" s="198" t="s">
        <v>670</v>
      </c>
      <c r="P242" s="192">
        <f>AVERAGE(P232:P240)</f>
        <v>0.69444444444444442</v>
      </c>
      <c r="Q242" s="192">
        <f>AVERAGE(Q232:Q240)</f>
        <v>0.30555555555555558</v>
      </c>
      <c r="R242" s="192">
        <f>AVERAGE(R232:R240)</f>
        <v>0</v>
      </c>
      <c r="S242" s="193">
        <f>AVERAGE(S232:S240)</f>
        <v>0</v>
      </c>
    </row>
    <row r="243" spans="1:19" ht="15.75" thickBot="1" x14ac:dyDescent="0.3"/>
    <row r="244" spans="1:19" ht="17.25" thickBot="1" x14ac:dyDescent="0.3">
      <c r="A244" s="64" t="s">
        <v>647</v>
      </c>
      <c r="B244" s="65">
        <v>2021</v>
      </c>
      <c r="C244" s="237" t="s">
        <v>1446</v>
      </c>
      <c r="D244" s="238"/>
      <c r="E244" s="239"/>
    </row>
    <row r="245" spans="1:19" ht="17.25" thickBot="1" x14ac:dyDescent="0.3">
      <c r="A245" s="69" t="s">
        <v>646</v>
      </c>
      <c r="B245" s="70">
        <f>B228+B211+B194</f>
        <v>40</v>
      </c>
      <c r="C245" s="240"/>
      <c r="D245" s="241"/>
      <c r="E245" s="242"/>
    </row>
    <row r="246" spans="1:19" ht="15.75" thickBot="1" x14ac:dyDescent="0.3">
      <c r="A246" s="222" t="s">
        <v>658</v>
      </c>
      <c r="B246" s="243" t="s">
        <v>664</v>
      </c>
      <c r="C246" s="243"/>
      <c r="D246" s="243"/>
      <c r="E246" s="243"/>
    </row>
    <row r="247" spans="1:19" ht="15.75" thickBot="1" x14ac:dyDescent="0.3">
      <c r="A247" s="222"/>
      <c r="B247" s="72" t="s">
        <v>645</v>
      </c>
      <c r="C247" s="72" t="s">
        <v>665</v>
      </c>
      <c r="D247" s="72" t="s">
        <v>666</v>
      </c>
      <c r="E247" s="72" t="s">
        <v>667</v>
      </c>
    </row>
    <row r="248" spans="1:19" x14ac:dyDescent="0.25">
      <c r="A248" s="73">
        <v>2</v>
      </c>
      <c r="B248" s="71">
        <v>3</v>
      </c>
      <c r="C248" s="71">
        <v>4</v>
      </c>
      <c r="D248" s="71">
        <v>5</v>
      </c>
      <c r="E248" s="74">
        <v>6</v>
      </c>
    </row>
    <row r="249" spans="1:19" x14ac:dyDescent="0.25">
      <c r="A249" s="75" t="s">
        <v>1445</v>
      </c>
      <c r="B249" s="66">
        <f>(B232+B215+B198)/3</f>
        <v>0.63603703703703707</v>
      </c>
      <c r="C249" s="66">
        <f t="shared" ref="B249:E257" si="40">(C232+C215+C198)/3</f>
        <v>0.33818518518518514</v>
      </c>
      <c r="D249" s="66">
        <f t="shared" si="40"/>
        <v>2.5777777777777778E-2</v>
      </c>
      <c r="E249" s="66">
        <f t="shared" si="40"/>
        <v>0</v>
      </c>
    </row>
    <row r="250" spans="1:19" x14ac:dyDescent="0.25">
      <c r="A250" s="75" t="s">
        <v>1443</v>
      </c>
      <c r="B250" s="66">
        <f t="shared" si="40"/>
        <v>0.59722222222222221</v>
      </c>
      <c r="C250" s="66">
        <f t="shared" si="40"/>
        <v>0.40277777777777785</v>
      </c>
      <c r="D250" s="66">
        <f t="shared" si="40"/>
        <v>0</v>
      </c>
      <c r="E250" s="66">
        <f t="shared" si="40"/>
        <v>0</v>
      </c>
    </row>
    <row r="251" spans="1:19" x14ac:dyDescent="0.25">
      <c r="A251" s="75" t="s">
        <v>661</v>
      </c>
      <c r="B251" s="66">
        <f t="shared" si="40"/>
        <v>0.5444444444444444</v>
      </c>
      <c r="C251" s="66">
        <f t="shared" si="40"/>
        <v>0.41888888888888887</v>
      </c>
      <c r="D251" s="66">
        <f t="shared" si="40"/>
        <v>3.6666666666666667E-2</v>
      </c>
      <c r="E251" s="66">
        <f t="shared" si="40"/>
        <v>0</v>
      </c>
    </row>
    <row r="252" spans="1:19" x14ac:dyDescent="0.25">
      <c r="A252" s="75" t="s">
        <v>1444</v>
      </c>
      <c r="B252" s="66">
        <f t="shared" si="40"/>
        <v>0.87896825396825395</v>
      </c>
      <c r="C252" s="66">
        <f t="shared" si="40"/>
        <v>0.12103174603174605</v>
      </c>
      <c r="D252" s="66">
        <f t="shared" si="40"/>
        <v>0</v>
      </c>
      <c r="E252" s="66">
        <f t="shared" si="40"/>
        <v>0</v>
      </c>
    </row>
    <row r="253" spans="1:19" x14ac:dyDescent="0.25">
      <c r="A253" s="75" t="s">
        <v>663</v>
      </c>
      <c r="B253" s="66">
        <f t="shared" si="40"/>
        <v>0.66282407407407407</v>
      </c>
      <c r="C253" s="66">
        <f t="shared" si="40"/>
        <v>0.30032407407407408</v>
      </c>
      <c r="D253" s="66">
        <f t="shared" si="40"/>
        <v>3.6851851851851858E-2</v>
      </c>
      <c r="E253" s="66">
        <f t="shared" si="40"/>
        <v>0</v>
      </c>
    </row>
    <row r="254" spans="1:19" x14ac:dyDescent="0.25">
      <c r="A254" s="75" t="s">
        <v>1441</v>
      </c>
      <c r="B254" s="66">
        <f t="shared" si="40"/>
        <v>0.75092592592592589</v>
      </c>
      <c r="C254" s="66">
        <f t="shared" si="40"/>
        <v>0.22476851851851853</v>
      </c>
      <c r="D254" s="66">
        <f t="shared" si="40"/>
        <v>2.0833333333333332E-2</v>
      </c>
      <c r="E254" s="66">
        <f t="shared" si="40"/>
        <v>3.472222222222222E-3</v>
      </c>
    </row>
    <row r="255" spans="1:19" x14ac:dyDescent="0.25">
      <c r="A255" s="75" t="s">
        <v>91</v>
      </c>
      <c r="B255" s="66">
        <f t="shared" si="40"/>
        <v>0.76666666666666672</v>
      </c>
      <c r="C255" s="66">
        <f t="shared" si="40"/>
        <v>0.21722222222222223</v>
      </c>
      <c r="D255" s="66">
        <f t="shared" si="40"/>
        <v>1.6111111111111111E-2</v>
      </c>
      <c r="E255" s="66">
        <f t="shared" si="40"/>
        <v>0</v>
      </c>
    </row>
    <row r="256" spans="1:19" x14ac:dyDescent="0.25">
      <c r="A256" s="75" t="s">
        <v>1431</v>
      </c>
      <c r="B256" s="66">
        <f t="shared" si="40"/>
        <v>0.40655555555555556</v>
      </c>
      <c r="C256" s="66">
        <f t="shared" si="40"/>
        <v>0.36899999999999999</v>
      </c>
      <c r="D256" s="66">
        <f t="shared" si="40"/>
        <v>0.13466666666666668</v>
      </c>
      <c r="E256" s="66">
        <f t="shared" si="40"/>
        <v>8.9777777777777776E-2</v>
      </c>
    </row>
    <row r="257" spans="1:5" ht="15.75" thickBot="1" x14ac:dyDescent="0.3">
      <c r="A257" s="76" t="s">
        <v>1432</v>
      </c>
      <c r="B257" s="66">
        <f t="shared" si="40"/>
        <v>0.49083333333333329</v>
      </c>
      <c r="C257" s="66">
        <f t="shared" si="40"/>
        <v>0.28472222222222221</v>
      </c>
      <c r="D257" s="66">
        <f t="shared" si="40"/>
        <v>0.11222222222222222</v>
      </c>
      <c r="E257" s="66">
        <f t="shared" si="40"/>
        <v>0.11222222222222222</v>
      </c>
    </row>
    <row r="258" spans="1:5" x14ac:dyDescent="0.25">
      <c r="A258" s="79" t="s">
        <v>669</v>
      </c>
      <c r="B258" s="81">
        <f>SUM(B249:B257)</f>
        <v>5.734477513227513</v>
      </c>
      <c r="C258" s="81">
        <f>SUM(C249:C257)</f>
        <v>2.6769206349206351</v>
      </c>
      <c r="D258" s="81">
        <f>SUM(D249:D257)</f>
        <v>0.38312962962962965</v>
      </c>
      <c r="E258" s="84">
        <f>SUM(E249:E257)</f>
        <v>0.20547222222222222</v>
      </c>
    </row>
    <row r="259" spans="1:5" ht="15.75" thickBot="1" x14ac:dyDescent="0.3">
      <c r="A259" s="80" t="s">
        <v>670</v>
      </c>
      <c r="B259" s="82">
        <f>AVERAGE(B249:B257)</f>
        <v>0.63716416813639032</v>
      </c>
      <c r="C259" s="82">
        <f>AVERAGE(C249:C257)</f>
        <v>0.29743562610229279</v>
      </c>
      <c r="D259" s="82">
        <f>AVERAGE(D249:D257)</f>
        <v>4.2569958847736629E-2</v>
      </c>
      <c r="E259" s="85">
        <f>AVERAGE(E249:E257)</f>
        <v>2.2830246913580248E-2</v>
      </c>
    </row>
  </sheetData>
  <mergeCells count="36">
    <mergeCell ref="C244:E245"/>
    <mergeCell ref="A246:A247"/>
    <mergeCell ref="B246:E246"/>
    <mergeCell ref="X193:Z194"/>
    <mergeCell ref="V195:V196"/>
    <mergeCell ref="W195:Z195"/>
    <mergeCell ref="J193:L194"/>
    <mergeCell ref="H195:H196"/>
    <mergeCell ref="I195:L195"/>
    <mergeCell ref="Q193:S194"/>
    <mergeCell ref="O195:O196"/>
    <mergeCell ref="P195:S195"/>
    <mergeCell ref="C193:E194"/>
    <mergeCell ref="C210:E211"/>
    <mergeCell ref="C227:E228"/>
    <mergeCell ref="A229:A230"/>
    <mergeCell ref="A195:A196"/>
    <mergeCell ref="B195:E195"/>
    <mergeCell ref="A212:A213"/>
    <mergeCell ref="B212:E212"/>
    <mergeCell ref="J227:L228"/>
    <mergeCell ref="X210:Z211"/>
    <mergeCell ref="V212:V213"/>
    <mergeCell ref="W212:Z212"/>
    <mergeCell ref="B229:E229"/>
    <mergeCell ref="J210:L211"/>
    <mergeCell ref="H212:H213"/>
    <mergeCell ref="I212:L212"/>
    <mergeCell ref="H229:H230"/>
    <mergeCell ref="I229:L229"/>
    <mergeCell ref="Q227:S228"/>
    <mergeCell ref="O229:O230"/>
    <mergeCell ref="P229:S229"/>
    <mergeCell ref="Q210:S211"/>
    <mergeCell ref="O212:O213"/>
    <mergeCell ref="P212:S212"/>
  </mergeCells>
  <phoneticPr fontId="8" type="noConversion"/>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87"/>
  <sheetViews>
    <sheetView topLeftCell="A267" zoomScale="85" zoomScaleNormal="85" workbookViewId="0">
      <selection activeCell="R263" sqref="R263"/>
    </sheetView>
  </sheetViews>
  <sheetFormatPr defaultRowHeight="15" x14ac:dyDescent="0.25"/>
  <cols>
    <col min="1" max="1" width="38.28515625" style="119" bestFit="1" customWidth="1"/>
    <col min="2" max="2" width="28.7109375" style="119" bestFit="1" customWidth="1"/>
    <col min="3" max="3" width="45.5703125" customWidth="1"/>
    <col min="4" max="4" width="21.5703125" style="118" customWidth="1"/>
    <col min="5" max="5" width="54.42578125" style="118" bestFit="1" customWidth="1"/>
    <col min="6" max="6" width="31" style="118" customWidth="1"/>
    <col min="7" max="7" width="27.85546875" style="118" customWidth="1"/>
    <col min="8" max="8" width="37.85546875" style="118" customWidth="1"/>
    <col min="9" max="9" width="40.140625" style="118" customWidth="1"/>
    <col min="10" max="41" width="14.7109375" customWidth="1"/>
    <col min="42" max="42" width="37.28515625" customWidth="1"/>
    <col min="43" max="43" width="47.7109375" customWidth="1"/>
    <col min="44" max="44" width="88.5703125" customWidth="1"/>
  </cols>
  <sheetData>
    <row r="1" spans="1:43" ht="15.75" thickBot="1" x14ac:dyDescent="0.3"/>
    <row r="2" spans="1:43" s="122" customFormat="1" ht="102.75" thickBot="1" x14ac:dyDescent="0.3">
      <c r="A2" s="119" t="s">
        <v>1166</v>
      </c>
      <c r="B2" s="119" t="s">
        <v>14</v>
      </c>
      <c r="C2" s="125" t="s">
        <v>1208</v>
      </c>
      <c r="D2" s="125" t="s">
        <v>1207</v>
      </c>
      <c r="E2" s="125" t="s">
        <v>1209</v>
      </c>
      <c r="F2" s="125" t="s">
        <v>1212</v>
      </c>
      <c r="G2" s="125" t="s">
        <v>1211</v>
      </c>
      <c r="H2" s="125" t="s">
        <v>1210</v>
      </c>
      <c r="I2" s="123" t="s">
        <v>26</v>
      </c>
      <c r="J2" s="121" t="s">
        <v>27</v>
      </c>
      <c r="K2" s="121" t="s">
        <v>28</v>
      </c>
      <c r="L2" s="121" t="s">
        <v>29</v>
      </c>
      <c r="M2" s="121" t="s">
        <v>31</v>
      </c>
      <c r="N2" s="121" t="s">
        <v>32</v>
      </c>
      <c r="O2" s="121" t="s">
        <v>1164</v>
      </c>
      <c r="P2" s="121" t="s">
        <v>33</v>
      </c>
      <c r="Q2" s="121" t="s">
        <v>34</v>
      </c>
      <c r="R2" s="121" t="s">
        <v>35</v>
      </c>
      <c r="S2" s="121" t="s">
        <v>36</v>
      </c>
      <c r="T2" s="121" t="s">
        <v>1168</v>
      </c>
      <c r="U2" s="121" t="s">
        <v>37</v>
      </c>
      <c r="V2" s="121" t="s">
        <v>38</v>
      </c>
      <c r="W2" s="121" t="s">
        <v>39</v>
      </c>
      <c r="X2" s="121" t="s">
        <v>1170</v>
      </c>
      <c r="Y2" s="121" t="s">
        <v>40</v>
      </c>
      <c r="Z2" s="121" t="s">
        <v>41</v>
      </c>
      <c r="AA2" s="121" t="s">
        <v>1172</v>
      </c>
      <c r="AB2" s="121" t="s">
        <v>42</v>
      </c>
      <c r="AC2" s="121" t="s">
        <v>43</v>
      </c>
      <c r="AD2" s="121" t="s">
        <v>44</v>
      </c>
      <c r="AE2" s="121" t="s">
        <v>45</v>
      </c>
      <c r="AF2" s="121" t="s">
        <v>1175</v>
      </c>
      <c r="AG2" s="121" t="s">
        <v>1176</v>
      </c>
      <c r="AH2" s="121" t="s">
        <v>1177</v>
      </c>
      <c r="AI2" s="121" t="s">
        <v>1178</v>
      </c>
      <c r="AJ2" s="121" t="s">
        <v>1179</v>
      </c>
      <c r="AK2" s="121" t="s">
        <v>1181</v>
      </c>
      <c r="AL2" s="121" t="s">
        <v>1182</v>
      </c>
      <c r="AM2" s="121" t="s">
        <v>1183</v>
      </c>
      <c r="AN2" s="121" t="s">
        <v>1184</v>
      </c>
      <c r="AO2" s="120" t="s">
        <v>1236</v>
      </c>
      <c r="AP2" s="120" t="s">
        <v>1237</v>
      </c>
      <c r="AQ2" s="126" t="s">
        <v>1238</v>
      </c>
    </row>
    <row r="3" spans="1:43" ht="15.75" hidden="1" thickBot="1" x14ac:dyDescent="0.3">
      <c r="B3" s="160" t="s">
        <v>90</v>
      </c>
      <c r="C3" s="160" t="s">
        <v>1470</v>
      </c>
      <c r="D3" s="160" t="s">
        <v>866</v>
      </c>
      <c r="E3" s="160" t="s">
        <v>701</v>
      </c>
      <c r="F3" s="160" t="s">
        <v>74</v>
      </c>
      <c r="G3" s="160" t="s">
        <v>72</v>
      </c>
      <c r="H3" s="160" t="s">
        <v>72</v>
      </c>
      <c r="I3" s="160" t="s">
        <v>1206</v>
      </c>
      <c r="J3" s="160" t="s">
        <v>1206</v>
      </c>
      <c r="K3" s="160" t="s">
        <v>1206</v>
      </c>
      <c r="L3" s="160" t="s">
        <v>1206</v>
      </c>
      <c r="M3" s="160" t="s">
        <v>1206</v>
      </c>
      <c r="N3" s="160" t="s">
        <v>1580</v>
      </c>
      <c r="O3" s="160" t="s">
        <v>1206</v>
      </c>
      <c r="P3" s="160" t="s">
        <v>1206</v>
      </c>
      <c r="Q3" s="160" t="s">
        <v>1206</v>
      </c>
      <c r="R3" s="160" t="s">
        <v>1205</v>
      </c>
      <c r="S3" s="160" t="s">
        <v>1205</v>
      </c>
      <c r="T3" s="160" t="s">
        <v>1206</v>
      </c>
      <c r="U3" s="160" t="s">
        <v>1205</v>
      </c>
      <c r="V3" s="160" t="s">
        <v>1205</v>
      </c>
      <c r="W3" s="160" t="s">
        <v>1205</v>
      </c>
      <c r="X3" s="160" t="s">
        <v>1206</v>
      </c>
      <c r="Y3" s="160" t="s">
        <v>1206</v>
      </c>
      <c r="Z3" s="160" t="s">
        <v>1206</v>
      </c>
      <c r="AA3" s="160" t="s">
        <v>1206</v>
      </c>
      <c r="AB3" s="160" t="s">
        <v>1205</v>
      </c>
      <c r="AC3" s="160" t="s">
        <v>1206</v>
      </c>
      <c r="AD3" s="160" t="s">
        <v>1206</v>
      </c>
      <c r="AE3" s="160" t="s">
        <v>1206</v>
      </c>
      <c r="AF3" s="160" t="s">
        <v>1206</v>
      </c>
      <c r="AG3" s="160" t="s">
        <v>1206</v>
      </c>
      <c r="AH3" s="160" t="s">
        <v>1206</v>
      </c>
      <c r="AI3" s="160" t="s">
        <v>1206</v>
      </c>
      <c r="AJ3" s="160" t="s">
        <v>1206</v>
      </c>
      <c r="AK3" s="160" t="s">
        <v>1206</v>
      </c>
      <c r="AL3" s="160" t="s">
        <v>1206</v>
      </c>
      <c r="AM3" s="160" t="s">
        <v>1580</v>
      </c>
      <c r="AN3" s="160" t="s">
        <v>1206</v>
      </c>
      <c r="AO3" s="160" t="s">
        <v>665</v>
      </c>
      <c r="AP3" s="160" t="s">
        <v>1230</v>
      </c>
      <c r="AQ3" s="160" t="s">
        <v>1533</v>
      </c>
    </row>
    <row r="4" spans="1:43" ht="27" hidden="1" thickBot="1" x14ac:dyDescent="0.3">
      <c r="B4" s="160" t="s">
        <v>90</v>
      </c>
      <c r="C4" s="160" t="s">
        <v>1471</v>
      </c>
      <c r="D4" s="160" t="s">
        <v>1448</v>
      </c>
      <c r="E4" s="160" t="s">
        <v>1494</v>
      </c>
      <c r="F4" s="160" t="s">
        <v>1217</v>
      </c>
      <c r="G4" s="160" t="s">
        <v>72</v>
      </c>
      <c r="H4" s="160" t="s">
        <v>72</v>
      </c>
      <c r="I4" s="160" t="s">
        <v>1206</v>
      </c>
      <c r="J4" s="160" t="s">
        <v>1206</v>
      </c>
      <c r="K4" s="160" t="s">
        <v>1206</v>
      </c>
      <c r="L4" s="160" t="s">
        <v>1206</v>
      </c>
      <c r="M4" s="160" t="s">
        <v>1205</v>
      </c>
      <c r="N4" s="160" t="s">
        <v>1205</v>
      </c>
      <c r="O4" s="160" t="s">
        <v>1205</v>
      </c>
      <c r="P4" s="160" t="s">
        <v>1206</v>
      </c>
      <c r="Q4" s="160" t="s">
        <v>1206</v>
      </c>
      <c r="R4" s="160" t="s">
        <v>1205</v>
      </c>
      <c r="S4" s="160" t="s">
        <v>1205</v>
      </c>
      <c r="T4" s="160" t="s">
        <v>1205</v>
      </c>
      <c r="U4" s="160" t="s">
        <v>1206</v>
      </c>
      <c r="V4" s="160" t="s">
        <v>1206</v>
      </c>
      <c r="W4" s="160" t="s">
        <v>1206</v>
      </c>
      <c r="X4" s="160" t="s">
        <v>1206</v>
      </c>
      <c r="Y4" s="160" t="s">
        <v>1205</v>
      </c>
      <c r="Z4" s="160" t="s">
        <v>1205</v>
      </c>
      <c r="AA4" s="160" t="s">
        <v>1205</v>
      </c>
      <c r="AB4" s="160" t="s">
        <v>1205</v>
      </c>
      <c r="AC4" s="160" t="s">
        <v>1205</v>
      </c>
      <c r="AD4" s="160" t="s">
        <v>1205</v>
      </c>
      <c r="AE4" s="160" t="s">
        <v>1205</v>
      </c>
      <c r="AF4" s="160" t="s">
        <v>1205</v>
      </c>
      <c r="AG4" s="160" t="s">
        <v>1205</v>
      </c>
      <c r="AH4" s="160" t="s">
        <v>1205</v>
      </c>
      <c r="AI4" s="160" t="s">
        <v>1205</v>
      </c>
      <c r="AJ4" s="160" t="s">
        <v>1205</v>
      </c>
      <c r="AK4" s="160" t="s">
        <v>1205</v>
      </c>
      <c r="AL4" s="160" t="s">
        <v>1205</v>
      </c>
      <c r="AM4" s="160" t="s">
        <v>1205</v>
      </c>
      <c r="AN4" s="160" t="s">
        <v>1205</v>
      </c>
      <c r="AO4" s="160" t="s">
        <v>645</v>
      </c>
      <c r="AP4" s="160" t="s">
        <v>1230</v>
      </c>
      <c r="AQ4" s="160" t="s">
        <v>1534</v>
      </c>
    </row>
    <row r="5" spans="1:43" ht="52.5" hidden="1" thickBot="1" x14ac:dyDescent="0.3">
      <c r="B5" s="160" t="s">
        <v>90</v>
      </c>
      <c r="C5" s="160" t="s">
        <v>1472</v>
      </c>
      <c r="D5" s="160" t="s">
        <v>201</v>
      </c>
      <c r="E5" s="160" t="s">
        <v>531</v>
      </c>
      <c r="F5" s="160" t="s">
        <v>534</v>
      </c>
      <c r="G5" s="160" t="s">
        <v>72</v>
      </c>
      <c r="H5" s="160" t="s">
        <v>72</v>
      </c>
      <c r="I5" s="160" t="s">
        <v>1206</v>
      </c>
      <c r="J5" s="160" t="s">
        <v>1206</v>
      </c>
      <c r="K5" s="160" t="s">
        <v>1205</v>
      </c>
      <c r="L5" s="160" t="s">
        <v>1205</v>
      </c>
      <c r="M5" s="160" t="s">
        <v>1205</v>
      </c>
      <c r="N5" s="160" t="s">
        <v>1206</v>
      </c>
      <c r="O5" s="160" t="s">
        <v>1205</v>
      </c>
      <c r="P5" s="160" t="s">
        <v>1580</v>
      </c>
      <c r="Q5" s="160" t="s">
        <v>1206</v>
      </c>
      <c r="R5" s="160" t="s">
        <v>1205</v>
      </c>
      <c r="S5" s="160" t="s">
        <v>1205</v>
      </c>
      <c r="T5" s="160" t="s">
        <v>1205</v>
      </c>
      <c r="U5" s="160" t="s">
        <v>1206</v>
      </c>
      <c r="V5" s="160" t="s">
        <v>1205</v>
      </c>
      <c r="W5" s="160" t="s">
        <v>1205</v>
      </c>
      <c r="X5" s="160" t="s">
        <v>1206</v>
      </c>
      <c r="Y5" s="160" t="s">
        <v>1205</v>
      </c>
      <c r="Z5" s="160" t="s">
        <v>1205</v>
      </c>
      <c r="AA5" s="160" t="s">
        <v>1205</v>
      </c>
      <c r="AB5" s="160" t="s">
        <v>1205</v>
      </c>
      <c r="AC5" s="160" t="s">
        <v>1206</v>
      </c>
      <c r="AD5" s="160" t="s">
        <v>1205</v>
      </c>
      <c r="AE5" s="160" t="s">
        <v>1206</v>
      </c>
      <c r="AF5" s="160" t="s">
        <v>1206</v>
      </c>
      <c r="AG5" s="160" t="s">
        <v>1206</v>
      </c>
      <c r="AH5" s="160" t="s">
        <v>1205</v>
      </c>
      <c r="AI5" s="160" t="s">
        <v>1206</v>
      </c>
      <c r="AJ5" s="160" t="s">
        <v>1205</v>
      </c>
      <c r="AK5" s="160" t="s">
        <v>1206</v>
      </c>
      <c r="AL5" s="160" t="s">
        <v>1206</v>
      </c>
      <c r="AM5" s="160" t="s">
        <v>1206</v>
      </c>
      <c r="AN5" s="160" t="s">
        <v>1205</v>
      </c>
      <c r="AO5" s="160" t="s">
        <v>645</v>
      </c>
      <c r="AP5" s="160" t="s">
        <v>1228</v>
      </c>
      <c r="AQ5" s="160" t="s">
        <v>1535</v>
      </c>
    </row>
    <row r="6" spans="1:43" ht="27" hidden="1" thickBot="1" x14ac:dyDescent="0.3">
      <c r="B6" s="160" t="s">
        <v>90</v>
      </c>
      <c r="C6" s="160" t="s">
        <v>1479</v>
      </c>
      <c r="D6" s="160" t="s">
        <v>1455</v>
      </c>
      <c r="E6" s="160" t="s">
        <v>1501</v>
      </c>
      <c r="F6" s="160" t="s">
        <v>1014</v>
      </c>
      <c r="G6" s="160" t="s">
        <v>72</v>
      </c>
      <c r="H6" s="160" t="s">
        <v>72</v>
      </c>
      <c r="I6" s="160" t="s">
        <v>1206</v>
      </c>
      <c r="J6" s="160" t="s">
        <v>1205</v>
      </c>
      <c r="K6" s="160" t="s">
        <v>1206</v>
      </c>
      <c r="L6" s="160" t="s">
        <v>1205</v>
      </c>
      <c r="M6" s="160" t="s">
        <v>1206</v>
      </c>
      <c r="N6" s="160" t="s">
        <v>1206</v>
      </c>
      <c r="O6" s="160" t="s">
        <v>1206</v>
      </c>
      <c r="P6" s="160" t="s">
        <v>1580</v>
      </c>
      <c r="Q6" s="160" t="s">
        <v>1206</v>
      </c>
      <c r="R6" s="160" t="s">
        <v>1206</v>
      </c>
      <c r="S6" s="160" t="s">
        <v>1206</v>
      </c>
      <c r="T6" s="160" t="s">
        <v>1206</v>
      </c>
      <c r="U6" s="160" t="s">
        <v>1206</v>
      </c>
      <c r="V6" s="160" t="s">
        <v>1206</v>
      </c>
      <c r="W6" s="160" t="s">
        <v>1206</v>
      </c>
      <c r="X6" s="160" t="s">
        <v>1206</v>
      </c>
      <c r="Y6" s="160" t="s">
        <v>1206</v>
      </c>
      <c r="Z6" s="160" t="s">
        <v>1206</v>
      </c>
      <c r="AA6" s="160" t="s">
        <v>1206</v>
      </c>
      <c r="AB6" s="160" t="s">
        <v>1206</v>
      </c>
      <c r="AC6" s="160" t="s">
        <v>1206</v>
      </c>
      <c r="AD6" s="160" t="s">
        <v>1206</v>
      </c>
      <c r="AE6" s="160" t="s">
        <v>1206</v>
      </c>
      <c r="AF6" s="160" t="s">
        <v>1206</v>
      </c>
      <c r="AG6" s="160" t="s">
        <v>1206</v>
      </c>
      <c r="AH6" s="160" t="s">
        <v>1206</v>
      </c>
      <c r="AI6" s="160" t="s">
        <v>1206</v>
      </c>
      <c r="AJ6" s="160" t="s">
        <v>1206</v>
      </c>
      <c r="AK6" s="160" t="s">
        <v>1206</v>
      </c>
      <c r="AL6" s="160" t="s">
        <v>1206</v>
      </c>
      <c r="AM6" s="160" t="s">
        <v>1580</v>
      </c>
      <c r="AN6" s="160" t="s">
        <v>1206</v>
      </c>
      <c r="AO6" s="160" t="s">
        <v>665</v>
      </c>
      <c r="AP6" s="160" t="s">
        <v>1230</v>
      </c>
      <c r="AQ6" s="160" t="s">
        <v>1682</v>
      </c>
    </row>
    <row r="7" spans="1:43" ht="15.75" hidden="1" thickBot="1" x14ac:dyDescent="0.3">
      <c r="B7" s="160" t="s">
        <v>90</v>
      </c>
      <c r="C7" s="160" t="s">
        <v>1483</v>
      </c>
      <c r="D7" s="160" t="s">
        <v>1459</v>
      </c>
      <c r="E7" s="160" t="s">
        <v>1505</v>
      </c>
      <c r="F7" s="160" t="s">
        <v>1521</v>
      </c>
      <c r="G7" s="160" t="s">
        <v>72</v>
      </c>
      <c r="H7" s="160" t="s">
        <v>72</v>
      </c>
      <c r="I7" s="160" t="s">
        <v>1206</v>
      </c>
      <c r="J7" s="160" t="s">
        <v>1205</v>
      </c>
      <c r="K7" s="160" t="s">
        <v>1206</v>
      </c>
      <c r="L7" s="160" t="s">
        <v>1205</v>
      </c>
      <c r="M7" s="160" t="s">
        <v>1205</v>
      </c>
      <c r="N7" s="160" t="s">
        <v>1206</v>
      </c>
      <c r="O7" s="160" t="s">
        <v>1205</v>
      </c>
      <c r="P7" s="160" t="s">
        <v>1580</v>
      </c>
      <c r="Q7" s="160" t="s">
        <v>1205</v>
      </c>
      <c r="R7" s="160" t="s">
        <v>1205</v>
      </c>
      <c r="S7" s="160" t="s">
        <v>1206</v>
      </c>
      <c r="T7" s="160" t="s">
        <v>1205</v>
      </c>
      <c r="U7" s="160" t="s">
        <v>1205</v>
      </c>
      <c r="V7" s="160" t="s">
        <v>1205</v>
      </c>
      <c r="W7" s="160" t="s">
        <v>1206</v>
      </c>
      <c r="X7" s="160" t="s">
        <v>1205</v>
      </c>
      <c r="Y7" s="160" t="s">
        <v>1205</v>
      </c>
      <c r="Z7" s="160" t="s">
        <v>1205</v>
      </c>
      <c r="AA7" s="160" t="s">
        <v>1205</v>
      </c>
      <c r="AB7" s="160" t="s">
        <v>1205</v>
      </c>
      <c r="AC7" s="160" t="s">
        <v>1205</v>
      </c>
      <c r="AD7" s="160" t="s">
        <v>1206</v>
      </c>
      <c r="AE7" s="160" t="s">
        <v>1205</v>
      </c>
      <c r="AF7" s="160" t="s">
        <v>1206</v>
      </c>
      <c r="AG7" s="160" t="s">
        <v>1206</v>
      </c>
      <c r="AH7" s="160" t="s">
        <v>1205</v>
      </c>
      <c r="AI7" s="160" t="s">
        <v>1205</v>
      </c>
      <c r="AJ7" s="160" t="s">
        <v>1206</v>
      </c>
      <c r="AK7" s="160" t="s">
        <v>1205</v>
      </c>
      <c r="AL7" s="160" t="s">
        <v>1205</v>
      </c>
      <c r="AM7" s="160" t="s">
        <v>1205</v>
      </c>
      <c r="AN7" s="160" t="s">
        <v>1205</v>
      </c>
      <c r="AO7" s="160" t="s">
        <v>645</v>
      </c>
      <c r="AP7" s="160" t="s">
        <v>1228</v>
      </c>
      <c r="AQ7" s="160" t="s">
        <v>1683</v>
      </c>
    </row>
    <row r="8" spans="1:43" ht="27" hidden="1" thickBot="1" x14ac:dyDescent="0.3">
      <c r="B8" s="160" t="s">
        <v>90</v>
      </c>
      <c r="C8" s="160" t="s">
        <v>1484</v>
      </c>
      <c r="D8" s="160" t="s">
        <v>1460</v>
      </c>
      <c r="E8" s="160" t="s">
        <v>1506</v>
      </c>
      <c r="F8" s="160" t="s">
        <v>1522</v>
      </c>
      <c r="G8" s="160" t="s">
        <v>71</v>
      </c>
      <c r="H8" s="160" t="s">
        <v>72</v>
      </c>
      <c r="I8" s="160" t="s">
        <v>1205</v>
      </c>
      <c r="J8" s="160" t="s">
        <v>1205</v>
      </c>
      <c r="K8" s="160" t="s">
        <v>1205</v>
      </c>
      <c r="L8" s="160" t="s">
        <v>1205</v>
      </c>
      <c r="M8" s="160" t="s">
        <v>1205</v>
      </c>
      <c r="N8" s="160" t="s">
        <v>1205</v>
      </c>
      <c r="O8" s="160" t="s">
        <v>1205</v>
      </c>
      <c r="P8" s="160" t="s">
        <v>1205</v>
      </c>
      <c r="Q8" s="160" t="s">
        <v>1205</v>
      </c>
      <c r="R8" s="160" t="s">
        <v>1205</v>
      </c>
      <c r="S8" s="160" t="s">
        <v>1205</v>
      </c>
      <c r="T8" s="160" t="s">
        <v>1205</v>
      </c>
      <c r="U8" s="160" t="s">
        <v>1206</v>
      </c>
      <c r="V8" s="160" t="s">
        <v>1205</v>
      </c>
      <c r="W8" s="160" t="s">
        <v>1206</v>
      </c>
      <c r="X8" s="160" t="s">
        <v>1205</v>
      </c>
      <c r="Y8" s="160" t="s">
        <v>1205</v>
      </c>
      <c r="Z8" s="160" t="s">
        <v>1205</v>
      </c>
      <c r="AA8" s="160" t="s">
        <v>1205</v>
      </c>
      <c r="AB8" s="160" t="s">
        <v>1205</v>
      </c>
      <c r="AC8" s="160" t="s">
        <v>1205</v>
      </c>
      <c r="AD8" s="160" t="s">
        <v>1205</v>
      </c>
      <c r="AE8" s="160" t="s">
        <v>1205</v>
      </c>
      <c r="AF8" s="160" t="s">
        <v>1206</v>
      </c>
      <c r="AG8" s="160" t="s">
        <v>1205</v>
      </c>
      <c r="AH8" s="160" t="s">
        <v>1205</v>
      </c>
      <c r="AI8" s="160" t="s">
        <v>1206</v>
      </c>
      <c r="AJ8" s="160" t="s">
        <v>1206</v>
      </c>
      <c r="AK8" s="160" t="s">
        <v>1205</v>
      </c>
      <c r="AL8" s="160" t="s">
        <v>1205</v>
      </c>
      <c r="AM8" s="160" t="s">
        <v>1205</v>
      </c>
      <c r="AN8" s="160" t="s">
        <v>1205</v>
      </c>
      <c r="AO8" s="160" t="s">
        <v>645</v>
      </c>
      <c r="AP8" s="160" t="s">
        <v>1542</v>
      </c>
      <c r="AQ8" s="160" t="s">
        <v>1684</v>
      </c>
    </row>
    <row r="9" spans="1:43" ht="27" hidden="1" thickBot="1" x14ac:dyDescent="0.3">
      <c r="B9" s="160" t="s">
        <v>90</v>
      </c>
      <c r="C9" s="160" t="s">
        <v>1488</v>
      </c>
      <c r="D9" s="160" t="s">
        <v>1464</v>
      </c>
      <c r="E9" s="184" t="s">
        <v>1510</v>
      </c>
      <c r="F9" s="160" t="s">
        <v>1526</v>
      </c>
      <c r="G9" s="160" t="s">
        <v>72</v>
      </c>
      <c r="H9" s="160" t="s">
        <v>72</v>
      </c>
      <c r="I9" s="160" t="s">
        <v>1206</v>
      </c>
      <c r="J9" s="160" t="s">
        <v>1205</v>
      </c>
      <c r="K9" s="160" t="s">
        <v>1205</v>
      </c>
      <c r="L9" s="160" t="s">
        <v>1205</v>
      </c>
      <c r="M9" s="160" t="s">
        <v>1205</v>
      </c>
      <c r="N9" s="160" t="s">
        <v>1205</v>
      </c>
      <c r="O9" s="160" t="s">
        <v>1205</v>
      </c>
      <c r="P9" s="160" t="s">
        <v>1206</v>
      </c>
      <c r="Q9" s="160" t="s">
        <v>1205</v>
      </c>
      <c r="R9" s="160" t="s">
        <v>1206</v>
      </c>
      <c r="S9" s="160" t="s">
        <v>1205</v>
      </c>
      <c r="T9" s="160" t="s">
        <v>1205</v>
      </c>
      <c r="U9" s="160" t="s">
        <v>1206</v>
      </c>
      <c r="V9" s="160" t="s">
        <v>1206</v>
      </c>
      <c r="W9" s="160" t="s">
        <v>1206</v>
      </c>
      <c r="X9" s="160" t="s">
        <v>1205</v>
      </c>
      <c r="Y9" s="160" t="s">
        <v>1206</v>
      </c>
      <c r="Z9" s="160" t="s">
        <v>1205</v>
      </c>
      <c r="AA9" s="160" t="s">
        <v>1206</v>
      </c>
      <c r="AB9" s="160" t="s">
        <v>1205</v>
      </c>
      <c r="AC9" s="160" t="s">
        <v>1206</v>
      </c>
      <c r="AD9" s="160" t="s">
        <v>1205</v>
      </c>
      <c r="AE9" s="160" t="s">
        <v>1205</v>
      </c>
      <c r="AF9" s="160" t="s">
        <v>1206</v>
      </c>
      <c r="AG9" s="160" t="s">
        <v>1205</v>
      </c>
      <c r="AH9" s="160" t="s">
        <v>1205</v>
      </c>
      <c r="AI9" s="160" t="s">
        <v>1206</v>
      </c>
      <c r="AJ9" s="160" t="s">
        <v>1206</v>
      </c>
      <c r="AK9" s="160" t="s">
        <v>1205</v>
      </c>
      <c r="AL9" s="160" t="s">
        <v>1205</v>
      </c>
      <c r="AM9" s="160" t="s">
        <v>1205</v>
      </c>
      <c r="AN9" s="160" t="s">
        <v>1205</v>
      </c>
      <c r="AO9" s="160" t="s">
        <v>645</v>
      </c>
      <c r="AP9" s="160" t="s">
        <v>1542</v>
      </c>
      <c r="AQ9" s="160" t="s">
        <v>1695</v>
      </c>
    </row>
    <row r="10" spans="1:43" ht="15.75" hidden="1" thickBot="1" x14ac:dyDescent="0.3">
      <c r="B10" s="160" t="s">
        <v>90</v>
      </c>
      <c r="C10" s="160" t="s">
        <v>1489</v>
      </c>
      <c r="D10" s="178" t="s">
        <v>1465</v>
      </c>
      <c r="E10" s="160" t="s">
        <v>1511</v>
      </c>
      <c r="F10" s="160" t="s">
        <v>1527</v>
      </c>
      <c r="G10" s="160" t="s">
        <v>72</v>
      </c>
      <c r="H10" s="160" t="s">
        <v>72</v>
      </c>
      <c r="I10" s="160" t="s">
        <v>1206</v>
      </c>
      <c r="J10" s="160" t="s">
        <v>1205</v>
      </c>
      <c r="K10" s="160" t="s">
        <v>1205</v>
      </c>
      <c r="L10" s="160" t="s">
        <v>1205</v>
      </c>
      <c r="M10" s="160" t="s">
        <v>1206</v>
      </c>
      <c r="N10" s="160" t="s">
        <v>1205</v>
      </c>
      <c r="O10" s="160" t="s">
        <v>1205</v>
      </c>
      <c r="P10" s="160" t="s">
        <v>1205</v>
      </c>
      <c r="Q10" s="160" t="s">
        <v>1206</v>
      </c>
      <c r="R10" s="160" t="s">
        <v>1205</v>
      </c>
      <c r="S10" s="160" t="s">
        <v>1206</v>
      </c>
      <c r="T10" s="160" t="s">
        <v>1206</v>
      </c>
      <c r="U10" s="160" t="s">
        <v>1206</v>
      </c>
      <c r="V10" s="160" t="s">
        <v>1206</v>
      </c>
      <c r="W10" s="160" t="s">
        <v>1205</v>
      </c>
      <c r="X10" s="160" t="s">
        <v>1206</v>
      </c>
      <c r="Y10" s="160" t="s">
        <v>1205</v>
      </c>
      <c r="Z10" s="160" t="s">
        <v>1205</v>
      </c>
      <c r="AA10" s="160" t="s">
        <v>1205</v>
      </c>
      <c r="AB10" s="160" t="s">
        <v>1205</v>
      </c>
      <c r="AC10" s="160" t="s">
        <v>1205</v>
      </c>
      <c r="AD10" s="160" t="s">
        <v>1205</v>
      </c>
      <c r="AE10" s="160" t="s">
        <v>1206</v>
      </c>
      <c r="AF10" s="160" t="s">
        <v>1205</v>
      </c>
      <c r="AG10" s="160" t="s">
        <v>1205</v>
      </c>
      <c r="AH10" s="160" t="s">
        <v>1206</v>
      </c>
      <c r="AI10" s="160" t="s">
        <v>1206</v>
      </c>
      <c r="AJ10" s="160" t="s">
        <v>1205</v>
      </c>
      <c r="AK10" s="160" t="s">
        <v>1205</v>
      </c>
      <c r="AL10" s="160" t="s">
        <v>1205</v>
      </c>
      <c r="AM10" s="160" t="s">
        <v>1205</v>
      </c>
      <c r="AN10" s="160" t="s">
        <v>1206</v>
      </c>
      <c r="AO10" s="160" t="s">
        <v>645</v>
      </c>
      <c r="AP10" s="160"/>
      <c r="AQ10" s="160" t="s">
        <v>1696</v>
      </c>
    </row>
    <row r="11" spans="1:43" ht="15.75" hidden="1" thickBot="1" x14ac:dyDescent="0.3">
      <c r="B11" s="160" t="s">
        <v>90</v>
      </c>
      <c r="C11" s="160" t="s">
        <v>1490</v>
      </c>
      <c r="D11" s="178" t="s">
        <v>1466</v>
      </c>
      <c r="E11" s="160" t="s">
        <v>1512</v>
      </c>
      <c r="F11" s="160" t="s">
        <v>1528</v>
      </c>
      <c r="G11" s="160" t="s">
        <v>72</v>
      </c>
      <c r="H11" s="160" t="s">
        <v>72</v>
      </c>
      <c r="I11" s="160" t="s">
        <v>1206</v>
      </c>
      <c r="J11" s="160" t="s">
        <v>1205</v>
      </c>
      <c r="K11" s="160" t="s">
        <v>1205</v>
      </c>
      <c r="L11" s="160" t="s">
        <v>1205</v>
      </c>
      <c r="M11" s="160" t="s">
        <v>1206</v>
      </c>
      <c r="N11" s="160" t="s">
        <v>1205</v>
      </c>
      <c r="O11" s="160" t="s">
        <v>1205</v>
      </c>
      <c r="P11" s="160" t="s">
        <v>1205</v>
      </c>
      <c r="Q11" s="160" t="s">
        <v>1206</v>
      </c>
      <c r="R11" s="160" t="s">
        <v>1205</v>
      </c>
      <c r="S11" s="160" t="s">
        <v>1206</v>
      </c>
      <c r="T11" s="160" t="s">
        <v>1206</v>
      </c>
      <c r="U11" s="160" t="s">
        <v>1206</v>
      </c>
      <c r="V11" s="160" t="s">
        <v>1206</v>
      </c>
      <c r="W11" s="160" t="s">
        <v>1206</v>
      </c>
      <c r="X11" s="160" t="s">
        <v>1206</v>
      </c>
      <c r="Y11" s="160" t="s">
        <v>1206</v>
      </c>
      <c r="Z11" s="160" t="s">
        <v>1206</v>
      </c>
      <c r="AA11" s="160" t="s">
        <v>1205</v>
      </c>
      <c r="AB11" s="160" t="s">
        <v>1206</v>
      </c>
      <c r="AC11" s="160" t="s">
        <v>1205</v>
      </c>
      <c r="AD11" s="160" t="s">
        <v>1205</v>
      </c>
      <c r="AE11" s="160" t="s">
        <v>1206</v>
      </c>
      <c r="AF11" s="160" t="s">
        <v>1205</v>
      </c>
      <c r="AG11" s="160" t="s">
        <v>1205</v>
      </c>
      <c r="AH11" s="160" t="s">
        <v>1206</v>
      </c>
      <c r="AI11" s="160" t="s">
        <v>1206</v>
      </c>
      <c r="AJ11" s="160" t="s">
        <v>1205</v>
      </c>
      <c r="AK11" s="160" t="s">
        <v>1205</v>
      </c>
      <c r="AL11" s="160" t="s">
        <v>1205</v>
      </c>
      <c r="AM11" s="160" t="s">
        <v>1205</v>
      </c>
      <c r="AN11" s="160" t="s">
        <v>1206</v>
      </c>
      <c r="AO11" s="160" t="s">
        <v>645</v>
      </c>
      <c r="AP11" s="180" t="s">
        <v>1543</v>
      </c>
      <c r="AQ11" s="160" t="s">
        <v>1697</v>
      </c>
    </row>
    <row r="12" spans="1:43" ht="27" thickBot="1" x14ac:dyDescent="0.3">
      <c r="B12" s="160" t="s">
        <v>197</v>
      </c>
      <c r="C12" s="178" t="s">
        <v>1469</v>
      </c>
      <c r="D12" s="160" t="s">
        <v>1447</v>
      </c>
      <c r="E12" s="178" t="s">
        <v>1493</v>
      </c>
      <c r="F12" s="160" t="s">
        <v>1515</v>
      </c>
      <c r="G12" s="160" t="s">
        <v>1530</v>
      </c>
      <c r="H12" s="160" t="s">
        <v>72</v>
      </c>
      <c r="I12" s="160" t="s">
        <v>1206</v>
      </c>
      <c r="J12" s="160" t="s">
        <v>1205</v>
      </c>
      <c r="K12" s="160" t="s">
        <v>1205</v>
      </c>
      <c r="L12" s="160" t="s">
        <v>1205</v>
      </c>
      <c r="M12" s="160" t="s">
        <v>1205</v>
      </c>
      <c r="N12" s="160" t="s">
        <v>1205</v>
      </c>
      <c r="O12" s="160" t="s">
        <v>1205</v>
      </c>
      <c r="P12" s="120" t="s">
        <v>1206</v>
      </c>
      <c r="Q12" s="120" t="s">
        <v>1206</v>
      </c>
      <c r="R12" s="160" t="s">
        <v>1206</v>
      </c>
      <c r="S12" s="160" t="s">
        <v>1205</v>
      </c>
      <c r="T12" s="160" t="s">
        <v>1205</v>
      </c>
      <c r="U12" s="160" t="s">
        <v>1205</v>
      </c>
      <c r="V12" s="160" t="s">
        <v>1205</v>
      </c>
      <c r="W12" s="160" t="s">
        <v>1205</v>
      </c>
      <c r="X12" s="160" t="s">
        <v>1205</v>
      </c>
      <c r="Y12" s="160" t="s">
        <v>1205</v>
      </c>
      <c r="Z12" s="160" t="s">
        <v>1205</v>
      </c>
      <c r="AA12" s="160" t="s">
        <v>1205</v>
      </c>
      <c r="AB12" s="160" t="s">
        <v>1206</v>
      </c>
      <c r="AC12" s="160" t="s">
        <v>1206</v>
      </c>
      <c r="AD12" s="160" t="s">
        <v>1206</v>
      </c>
      <c r="AE12" s="160" t="s">
        <v>1205</v>
      </c>
      <c r="AF12" s="160" t="s">
        <v>1206</v>
      </c>
      <c r="AG12" s="160" t="s">
        <v>1206</v>
      </c>
      <c r="AH12" s="160" t="s">
        <v>1206</v>
      </c>
      <c r="AI12" s="160" t="s">
        <v>1206</v>
      </c>
      <c r="AJ12" s="160" t="s">
        <v>1206</v>
      </c>
      <c r="AK12" s="160" t="s">
        <v>1206</v>
      </c>
      <c r="AL12" s="160" t="s">
        <v>1206</v>
      </c>
      <c r="AM12" s="160" t="s">
        <v>1206</v>
      </c>
      <c r="AN12" s="160" t="s">
        <v>1206</v>
      </c>
      <c r="AO12" s="160" t="s">
        <v>665</v>
      </c>
      <c r="AP12" s="160" t="s">
        <v>1230</v>
      </c>
      <c r="AQ12" s="160" t="s">
        <v>1698</v>
      </c>
    </row>
    <row r="13" spans="1:43" ht="15.75" thickBot="1" x14ac:dyDescent="0.3">
      <c r="B13" s="160" t="s">
        <v>197</v>
      </c>
      <c r="C13" s="178" t="s">
        <v>1474</v>
      </c>
      <c r="D13" s="160" t="s">
        <v>1450</v>
      </c>
      <c r="E13" s="178" t="s">
        <v>1496</v>
      </c>
      <c r="F13" s="160" t="s">
        <v>74</v>
      </c>
      <c r="G13" s="160" t="s">
        <v>72</v>
      </c>
      <c r="H13" s="160" t="s">
        <v>72</v>
      </c>
      <c r="I13" s="160" t="s">
        <v>1205</v>
      </c>
      <c r="J13" s="160" t="s">
        <v>1206</v>
      </c>
      <c r="K13" s="160" t="s">
        <v>1206</v>
      </c>
      <c r="L13" s="160" t="s">
        <v>1205</v>
      </c>
      <c r="M13" s="160" t="s">
        <v>1206</v>
      </c>
      <c r="N13" s="160" t="s">
        <v>1206</v>
      </c>
      <c r="O13" s="160" t="s">
        <v>1205</v>
      </c>
      <c r="P13" s="120" t="s">
        <v>1206</v>
      </c>
      <c r="Q13" s="160" t="s">
        <v>1205</v>
      </c>
      <c r="R13" s="160" t="s">
        <v>1205</v>
      </c>
      <c r="S13" s="160" t="s">
        <v>1205</v>
      </c>
      <c r="T13" s="160" t="s">
        <v>1205</v>
      </c>
      <c r="U13" s="160" t="s">
        <v>1205</v>
      </c>
      <c r="V13" s="160" t="s">
        <v>1205</v>
      </c>
      <c r="W13" s="160" t="s">
        <v>1206</v>
      </c>
      <c r="X13" s="160" t="s">
        <v>1206</v>
      </c>
      <c r="Y13" s="160" t="s">
        <v>1205</v>
      </c>
      <c r="Z13" s="160" t="s">
        <v>1581</v>
      </c>
      <c r="AA13" s="160" t="s">
        <v>1581</v>
      </c>
      <c r="AB13" s="160" t="s">
        <v>1205</v>
      </c>
      <c r="AC13" s="160" t="s">
        <v>1205</v>
      </c>
      <c r="AD13" s="160" t="s">
        <v>1205</v>
      </c>
      <c r="AE13" s="160" t="s">
        <v>1206</v>
      </c>
      <c r="AF13" s="160" t="s">
        <v>1206</v>
      </c>
      <c r="AG13" s="160" t="s">
        <v>1581</v>
      </c>
      <c r="AH13" s="160" t="s">
        <v>1581</v>
      </c>
      <c r="AI13" s="160" t="s">
        <v>1580</v>
      </c>
      <c r="AJ13" s="160" t="s">
        <v>1580</v>
      </c>
      <c r="AK13" s="160" t="s">
        <v>1581</v>
      </c>
      <c r="AL13" s="160" t="s">
        <v>1581</v>
      </c>
      <c r="AM13" s="160" t="s">
        <v>1581</v>
      </c>
      <c r="AN13" s="160" t="s">
        <v>1581</v>
      </c>
      <c r="AO13" s="160" t="s">
        <v>1536</v>
      </c>
      <c r="AP13" s="160" t="s">
        <v>1440</v>
      </c>
      <c r="AQ13" s="180" t="s">
        <v>1699</v>
      </c>
    </row>
    <row r="14" spans="1:43" ht="52.5" thickBot="1" x14ac:dyDescent="0.3">
      <c r="B14" s="160" t="s">
        <v>197</v>
      </c>
      <c r="C14" s="178" t="s">
        <v>1475</v>
      </c>
      <c r="D14" s="160" t="s">
        <v>1451</v>
      </c>
      <c r="E14" s="178" t="s">
        <v>1497</v>
      </c>
      <c r="F14" s="160" t="s">
        <v>1517</v>
      </c>
      <c r="G14" s="160" t="s">
        <v>1532</v>
      </c>
      <c r="H14" s="160" t="s">
        <v>72</v>
      </c>
      <c r="I14" s="160" t="s">
        <v>1205</v>
      </c>
      <c r="J14" s="160" t="s">
        <v>1205</v>
      </c>
      <c r="K14" s="160" t="s">
        <v>1205</v>
      </c>
      <c r="L14" s="160" t="s">
        <v>1205</v>
      </c>
      <c r="M14" s="160" t="s">
        <v>1205</v>
      </c>
      <c r="N14" s="160" t="s">
        <v>1205</v>
      </c>
      <c r="O14" s="160" t="s">
        <v>1205</v>
      </c>
      <c r="P14" s="120" t="s">
        <v>1206</v>
      </c>
      <c r="Q14" s="120" t="s">
        <v>1206</v>
      </c>
      <c r="R14" s="160" t="s">
        <v>1205</v>
      </c>
      <c r="S14" s="160" t="s">
        <v>1205</v>
      </c>
      <c r="T14" s="160" t="s">
        <v>1205</v>
      </c>
      <c r="U14" s="160" t="s">
        <v>1206</v>
      </c>
      <c r="V14" s="160" t="s">
        <v>1205</v>
      </c>
      <c r="W14" s="160" t="s">
        <v>1206</v>
      </c>
      <c r="X14" s="160" t="s">
        <v>1580</v>
      </c>
      <c r="Y14" s="160" t="s">
        <v>1205</v>
      </c>
      <c r="Z14" s="120" t="s">
        <v>1205</v>
      </c>
      <c r="AA14" s="160" t="s">
        <v>1206</v>
      </c>
      <c r="AB14" s="160" t="s">
        <v>1206</v>
      </c>
      <c r="AC14" s="160" t="s">
        <v>1206</v>
      </c>
      <c r="AD14" s="160" t="s">
        <v>1206</v>
      </c>
      <c r="AE14" s="160" t="s">
        <v>1206</v>
      </c>
      <c r="AF14" s="160" t="s">
        <v>1206</v>
      </c>
      <c r="AG14" s="160" t="s">
        <v>1206</v>
      </c>
      <c r="AH14" s="160" t="s">
        <v>1206</v>
      </c>
      <c r="AI14" s="160" t="s">
        <v>1206</v>
      </c>
      <c r="AJ14" s="160" t="s">
        <v>1206</v>
      </c>
      <c r="AK14" s="160" t="s">
        <v>1580</v>
      </c>
      <c r="AL14" s="160" t="s">
        <v>1580</v>
      </c>
      <c r="AM14" s="160" t="s">
        <v>1206</v>
      </c>
      <c r="AN14" s="160" t="s">
        <v>1580</v>
      </c>
      <c r="AO14" s="160" t="s">
        <v>1537</v>
      </c>
      <c r="AP14" s="160" t="s">
        <v>1538</v>
      </c>
      <c r="AQ14" s="160" t="s">
        <v>1700</v>
      </c>
    </row>
    <row r="15" spans="1:43" ht="27" thickBot="1" x14ac:dyDescent="0.3">
      <c r="B15" s="160" t="s">
        <v>197</v>
      </c>
      <c r="C15" s="160" t="s">
        <v>1476</v>
      </c>
      <c r="D15" s="160" t="s">
        <v>1452</v>
      </c>
      <c r="E15" s="178" t="s">
        <v>1498</v>
      </c>
      <c r="F15" s="160" t="s">
        <v>1518</v>
      </c>
      <c r="G15" s="160" t="s">
        <v>72</v>
      </c>
      <c r="H15" s="160" t="s">
        <v>72</v>
      </c>
      <c r="I15" s="160" t="s">
        <v>1206</v>
      </c>
      <c r="J15" s="160" t="s">
        <v>1206</v>
      </c>
      <c r="K15" s="160" t="s">
        <v>1206</v>
      </c>
      <c r="L15" s="160" t="s">
        <v>1205</v>
      </c>
      <c r="M15" s="160" t="s">
        <v>1205</v>
      </c>
      <c r="N15" s="160" t="s">
        <v>1205</v>
      </c>
      <c r="O15" s="160" t="s">
        <v>1205</v>
      </c>
      <c r="P15" s="120" t="s">
        <v>1206</v>
      </c>
      <c r="Q15" s="120" t="s">
        <v>1206</v>
      </c>
      <c r="R15" s="160" t="s">
        <v>1205</v>
      </c>
      <c r="S15" s="160" t="s">
        <v>1205</v>
      </c>
      <c r="T15" s="160" t="s">
        <v>1205</v>
      </c>
      <c r="U15" s="160" t="s">
        <v>1205</v>
      </c>
      <c r="V15" s="160" t="s">
        <v>1205</v>
      </c>
      <c r="W15" s="160" t="s">
        <v>1205</v>
      </c>
      <c r="X15" s="160" t="s">
        <v>1205</v>
      </c>
      <c r="Y15" s="160" t="s">
        <v>1205</v>
      </c>
      <c r="Z15" s="160" t="s">
        <v>1205</v>
      </c>
      <c r="AA15" s="160" t="s">
        <v>1205</v>
      </c>
      <c r="AB15" s="160" t="s">
        <v>1205</v>
      </c>
      <c r="AC15" s="160" t="s">
        <v>1205</v>
      </c>
      <c r="AD15" s="160" t="s">
        <v>1205</v>
      </c>
      <c r="AE15" s="160" t="s">
        <v>1205</v>
      </c>
      <c r="AF15" s="160" t="s">
        <v>1206</v>
      </c>
      <c r="AG15" s="160" t="s">
        <v>1206</v>
      </c>
      <c r="AH15" s="160" t="s">
        <v>1206</v>
      </c>
      <c r="AI15" s="160" t="s">
        <v>1206</v>
      </c>
      <c r="AJ15" s="160" t="s">
        <v>1206</v>
      </c>
      <c r="AK15" s="160" t="s">
        <v>1206</v>
      </c>
      <c r="AL15" s="160" t="s">
        <v>1206</v>
      </c>
      <c r="AM15" s="160" t="s">
        <v>1580</v>
      </c>
      <c r="AN15" s="160" t="s">
        <v>1206</v>
      </c>
      <c r="AO15" s="160" t="s">
        <v>665</v>
      </c>
      <c r="AP15" s="160" t="s">
        <v>1440</v>
      </c>
      <c r="AQ15" s="160" t="s">
        <v>1701</v>
      </c>
    </row>
    <row r="16" spans="1:43" ht="27" thickBot="1" x14ac:dyDescent="0.3">
      <c r="B16" s="160" t="s">
        <v>197</v>
      </c>
      <c r="C16" s="160" t="s">
        <v>1477</v>
      </c>
      <c r="D16" s="160" t="s">
        <v>1453</v>
      </c>
      <c r="E16" s="160" t="s">
        <v>1499</v>
      </c>
      <c r="F16" s="160" t="s">
        <v>534</v>
      </c>
      <c r="G16" s="160" t="s">
        <v>72</v>
      </c>
      <c r="H16" s="160" t="s">
        <v>72</v>
      </c>
      <c r="I16" s="160" t="s">
        <v>1205</v>
      </c>
      <c r="J16" s="160" t="s">
        <v>1205</v>
      </c>
      <c r="K16" s="160" t="s">
        <v>1205</v>
      </c>
      <c r="L16" s="160" t="s">
        <v>1205</v>
      </c>
      <c r="M16" s="160" t="s">
        <v>1206</v>
      </c>
      <c r="N16" s="160" t="s">
        <v>1206</v>
      </c>
      <c r="O16" s="160" t="s">
        <v>1206</v>
      </c>
      <c r="P16" s="160" t="s">
        <v>1205</v>
      </c>
      <c r="Q16" s="160" t="s">
        <v>1205</v>
      </c>
      <c r="R16" s="160" t="s">
        <v>1205</v>
      </c>
      <c r="S16" s="160" t="s">
        <v>1205</v>
      </c>
      <c r="T16" s="160" t="s">
        <v>1205</v>
      </c>
      <c r="U16" s="160" t="s">
        <v>1205</v>
      </c>
      <c r="V16" s="160" t="s">
        <v>1205</v>
      </c>
      <c r="W16" s="160" t="s">
        <v>1205</v>
      </c>
      <c r="X16" s="160" t="s">
        <v>1580</v>
      </c>
      <c r="Y16" s="160" t="s">
        <v>1205</v>
      </c>
      <c r="Z16" s="160" t="s">
        <v>1205</v>
      </c>
      <c r="AA16" s="160" t="s">
        <v>1205</v>
      </c>
      <c r="AB16" s="160" t="s">
        <v>1205</v>
      </c>
      <c r="AC16" s="160" t="s">
        <v>1205</v>
      </c>
      <c r="AD16" s="160" t="s">
        <v>1205</v>
      </c>
      <c r="AE16" s="160" t="s">
        <v>1205</v>
      </c>
      <c r="AF16" s="160" t="s">
        <v>1206</v>
      </c>
      <c r="AG16" s="160" t="s">
        <v>1206</v>
      </c>
      <c r="AH16" s="160" t="s">
        <v>1206</v>
      </c>
      <c r="AI16" s="160" t="s">
        <v>1206</v>
      </c>
      <c r="AJ16" s="160" t="s">
        <v>1206</v>
      </c>
      <c r="AK16" s="160" t="s">
        <v>1206</v>
      </c>
      <c r="AL16" s="160" t="s">
        <v>1206</v>
      </c>
      <c r="AM16" s="160" t="s">
        <v>1580</v>
      </c>
      <c r="AN16" s="160" t="s">
        <v>1206</v>
      </c>
      <c r="AO16" s="160" t="s">
        <v>665</v>
      </c>
      <c r="AP16" s="160" t="s">
        <v>1440</v>
      </c>
      <c r="AQ16" s="160" t="s">
        <v>1702</v>
      </c>
    </row>
    <row r="17" spans="1:43" ht="15.75" thickBot="1" x14ac:dyDescent="0.3">
      <c r="B17" s="160" t="s">
        <v>197</v>
      </c>
      <c r="C17" s="184" t="s">
        <v>1480</v>
      </c>
      <c r="D17" s="160" t="s">
        <v>1456</v>
      </c>
      <c r="E17" s="178" t="s">
        <v>1502</v>
      </c>
      <c r="F17" s="160" t="s">
        <v>93</v>
      </c>
      <c r="G17" s="160" t="s">
        <v>71</v>
      </c>
      <c r="H17" s="160" t="s">
        <v>71</v>
      </c>
      <c r="I17" s="160" t="s">
        <v>1205</v>
      </c>
      <c r="J17" s="160" t="s">
        <v>1205</v>
      </c>
      <c r="K17" s="160" t="s">
        <v>1205</v>
      </c>
      <c r="L17" s="160" t="s">
        <v>1205</v>
      </c>
      <c r="M17" s="160" t="s">
        <v>1205</v>
      </c>
      <c r="N17" s="160" t="s">
        <v>1205</v>
      </c>
      <c r="O17" s="160" t="s">
        <v>1205</v>
      </c>
      <c r="P17" s="120" t="s">
        <v>1206</v>
      </c>
      <c r="Q17" s="120" t="s">
        <v>1206</v>
      </c>
      <c r="R17" s="160" t="s">
        <v>1205</v>
      </c>
      <c r="S17" s="160" t="s">
        <v>1205</v>
      </c>
      <c r="T17" s="160" t="s">
        <v>1205</v>
      </c>
      <c r="U17" s="160" t="s">
        <v>1580</v>
      </c>
      <c r="V17" s="160" t="s">
        <v>1206</v>
      </c>
      <c r="W17" s="160" t="s">
        <v>1206</v>
      </c>
      <c r="X17" s="160" t="s">
        <v>1206</v>
      </c>
      <c r="Y17" s="160" t="s">
        <v>1205</v>
      </c>
      <c r="Z17" s="160" t="s">
        <v>1205</v>
      </c>
      <c r="AA17" s="160" t="s">
        <v>1205</v>
      </c>
      <c r="AB17" s="160" t="s">
        <v>1205</v>
      </c>
      <c r="AC17" s="160" t="s">
        <v>1205</v>
      </c>
      <c r="AD17" s="160" t="s">
        <v>1205</v>
      </c>
      <c r="AE17" s="160" t="s">
        <v>1205</v>
      </c>
      <c r="AF17" s="160" t="s">
        <v>1205</v>
      </c>
      <c r="AG17" s="160" t="s">
        <v>1205</v>
      </c>
      <c r="AH17" s="160" t="s">
        <v>1205</v>
      </c>
      <c r="AI17" s="160" t="s">
        <v>1206</v>
      </c>
      <c r="AJ17" s="160" t="s">
        <v>1206</v>
      </c>
      <c r="AK17" s="160" t="s">
        <v>1205</v>
      </c>
      <c r="AL17" s="160" t="s">
        <v>1205</v>
      </c>
      <c r="AM17" s="160" t="s">
        <v>1205</v>
      </c>
      <c r="AN17" s="160" t="s">
        <v>1206</v>
      </c>
      <c r="AO17" s="160" t="s">
        <v>645</v>
      </c>
      <c r="AP17" s="160" t="s">
        <v>1540</v>
      </c>
      <c r="AQ17" s="160" t="s">
        <v>1703</v>
      </c>
    </row>
    <row r="18" spans="1:43" ht="15.75" thickBot="1" x14ac:dyDescent="0.3">
      <c r="B18" s="160" t="s">
        <v>197</v>
      </c>
      <c r="C18" s="160" t="s">
        <v>1481</v>
      </c>
      <c r="D18" s="160" t="s">
        <v>1457</v>
      </c>
      <c r="E18" s="179" t="s">
        <v>1503</v>
      </c>
      <c r="F18" s="160" t="s">
        <v>1520</v>
      </c>
      <c r="G18" s="160" t="s">
        <v>72</v>
      </c>
      <c r="H18" s="160" t="s">
        <v>72</v>
      </c>
      <c r="I18" s="160" t="s">
        <v>1205</v>
      </c>
      <c r="J18" s="160" t="s">
        <v>1206</v>
      </c>
      <c r="K18" s="160" t="s">
        <v>1205</v>
      </c>
      <c r="L18" s="160" t="s">
        <v>1205</v>
      </c>
      <c r="M18" s="160" t="s">
        <v>1205</v>
      </c>
      <c r="N18" s="160" t="s">
        <v>1205</v>
      </c>
      <c r="O18" s="160" t="s">
        <v>1205</v>
      </c>
      <c r="P18" s="120" t="s">
        <v>1206</v>
      </c>
      <c r="Q18" s="160" t="s">
        <v>1205</v>
      </c>
      <c r="R18" s="160" t="s">
        <v>1205</v>
      </c>
      <c r="S18" s="160" t="s">
        <v>1205</v>
      </c>
      <c r="T18" s="160" t="s">
        <v>1205</v>
      </c>
      <c r="U18" s="160" t="s">
        <v>1205</v>
      </c>
      <c r="V18" s="160" t="s">
        <v>1205</v>
      </c>
      <c r="W18" s="160" t="s">
        <v>1205</v>
      </c>
      <c r="X18" s="160" t="s">
        <v>1205</v>
      </c>
      <c r="Y18" s="160" t="s">
        <v>1205</v>
      </c>
      <c r="Z18" s="160" t="s">
        <v>1205</v>
      </c>
      <c r="AA18" s="160" t="s">
        <v>1205</v>
      </c>
      <c r="AB18" s="160" t="s">
        <v>1205</v>
      </c>
      <c r="AC18" s="160" t="s">
        <v>1206</v>
      </c>
      <c r="AD18" s="160" t="s">
        <v>1206</v>
      </c>
      <c r="AE18" s="160" t="s">
        <v>1205</v>
      </c>
      <c r="AF18" s="160" t="s">
        <v>1206</v>
      </c>
      <c r="AG18" s="160" t="s">
        <v>1205</v>
      </c>
      <c r="AH18" s="160" t="s">
        <v>1205</v>
      </c>
      <c r="AI18" s="160" t="s">
        <v>1206</v>
      </c>
      <c r="AJ18" s="160" t="s">
        <v>1206</v>
      </c>
      <c r="AK18" s="160" t="s">
        <v>1205</v>
      </c>
      <c r="AL18" s="160" t="s">
        <v>1205</v>
      </c>
      <c r="AM18" s="160" t="s">
        <v>1205</v>
      </c>
      <c r="AN18" s="160" t="s">
        <v>1205</v>
      </c>
      <c r="AO18" s="160" t="s">
        <v>645</v>
      </c>
      <c r="AP18" s="160" t="s">
        <v>1541</v>
      </c>
      <c r="AQ18" s="160" t="s">
        <v>1704</v>
      </c>
    </row>
    <row r="19" spans="1:43" ht="27" thickBot="1" x14ac:dyDescent="0.3">
      <c r="B19" s="160" t="s">
        <v>197</v>
      </c>
      <c r="C19" s="160" t="s">
        <v>1485</v>
      </c>
      <c r="D19" s="178" t="s">
        <v>1461</v>
      </c>
      <c r="E19" s="178" t="s">
        <v>1507</v>
      </c>
      <c r="F19" s="160" t="s">
        <v>1524</v>
      </c>
      <c r="G19" s="160" t="s">
        <v>72</v>
      </c>
      <c r="H19" s="160" t="s">
        <v>72</v>
      </c>
      <c r="I19" s="160" t="s">
        <v>1205</v>
      </c>
      <c r="J19" s="160" t="s">
        <v>1206</v>
      </c>
      <c r="K19" s="160" t="s">
        <v>1205</v>
      </c>
      <c r="L19" s="160" t="s">
        <v>1206</v>
      </c>
      <c r="M19" s="160" t="s">
        <v>1205</v>
      </c>
      <c r="N19" s="160" t="s">
        <v>1205</v>
      </c>
      <c r="O19" s="160" t="s">
        <v>1205</v>
      </c>
      <c r="P19" s="160" t="s">
        <v>1580</v>
      </c>
      <c r="Q19" s="160" t="s">
        <v>1205</v>
      </c>
      <c r="R19" s="160" t="s">
        <v>1205</v>
      </c>
      <c r="S19" s="160" t="s">
        <v>1205</v>
      </c>
      <c r="T19" s="160" t="s">
        <v>1205</v>
      </c>
      <c r="U19" s="160" t="s">
        <v>1205</v>
      </c>
      <c r="V19" s="160" t="s">
        <v>1580</v>
      </c>
      <c r="W19" s="160" t="s">
        <v>1205</v>
      </c>
      <c r="X19" s="160" t="s">
        <v>1205</v>
      </c>
      <c r="Y19" s="160" t="s">
        <v>1205</v>
      </c>
      <c r="Z19" s="160" t="s">
        <v>1205</v>
      </c>
      <c r="AA19" s="160" t="s">
        <v>1205</v>
      </c>
      <c r="AB19" s="160" t="s">
        <v>1206</v>
      </c>
      <c r="AC19" s="160" t="s">
        <v>1206</v>
      </c>
      <c r="AD19" s="160" t="s">
        <v>1205</v>
      </c>
      <c r="AE19" s="160" t="s">
        <v>1205</v>
      </c>
      <c r="AF19" s="160" t="s">
        <v>1206</v>
      </c>
      <c r="AG19" s="160" t="s">
        <v>1205</v>
      </c>
      <c r="AH19" s="160" t="s">
        <v>1205</v>
      </c>
      <c r="AI19" s="160" t="s">
        <v>1206</v>
      </c>
      <c r="AJ19" s="160" t="s">
        <v>1206</v>
      </c>
      <c r="AK19" s="160" t="s">
        <v>1205</v>
      </c>
      <c r="AL19" s="160" t="s">
        <v>1205</v>
      </c>
      <c r="AM19" s="160" t="s">
        <v>1205</v>
      </c>
      <c r="AN19" s="160" t="s">
        <v>1205</v>
      </c>
      <c r="AO19" s="160" t="s">
        <v>645</v>
      </c>
      <c r="AP19" s="160" t="s">
        <v>1540</v>
      </c>
      <c r="AQ19" s="160" t="s">
        <v>1675</v>
      </c>
    </row>
    <row r="20" spans="1:43" ht="27" thickBot="1" x14ac:dyDescent="0.3">
      <c r="B20" s="160" t="s">
        <v>618</v>
      </c>
      <c r="C20" s="160" t="s">
        <v>1473</v>
      </c>
      <c r="D20" s="160" t="s">
        <v>1449</v>
      </c>
      <c r="E20" s="178" t="s">
        <v>1495</v>
      </c>
      <c r="F20" s="160" t="s">
        <v>1516</v>
      </c>
      <c r="G20" s="160" t="s">
        <v>1531</v>
      </c>
      <c r="H20" s="160" t="s">
        <v>72</v>
      </c>
      <c r="I20" s="160" t="s">
        <v>1206</v>
      </c>
      <c r="J20" s="160" t="s">
        <v>1206</v>
      </c>
      <c r="K20" s="160" t="s">
        <v>1206</v>
      </c>
      <c r="L20" s="160" t="s">
        <v>1206</v>
      </c>
      <c r="M20" s="160" t="s">
        <v>1206</v>
      </c>
      <c r="N20" s="160" t="s">
        <v>1206</v>
      </c>
      <c r="O20" s="160" t="s">
        <v>1206</v>
      </c>
      <c r="P20" s="160" t="s">
        <v>1206</v>
      </c>
      <c r="Q20" s="160" t="s">
        <v>1206</v>
      </c>
      <c r="R20" s="160" t="s">
        <v>1206</v>
      </c>
      <c r="S20" s="160" t="s">
        <v>1206</v>
      </c>
      <c r="T20" s="160" t="s">
        <v>1206</v>
      </c>
      <c r="U20" s="160" t="s">
        <v>1206</v>
      </c>
      <c r="V20" s="160" t="s">
        <v>1206</v>
      </c>
      <c r="W20" s="160" t="s">
        <v>1206</v>
      </c>
      <c r="X20" s="160" t="s">
        <v>1206</v>
      </c>
      <c r="Y20" s="160" t="s">
        <v>1206</v>
      </c>
      <c r="Z20" s="160" t="s">
        <v>1206</v>
      </c>
      <c r="AA20" s="160" t="s">
        <v>1206</v>
      </c>
      <c r="AB20" s="160" t="s">
        <v>1206</v>
      </c>
      <c r="AC20" s="160" t="s">
        <v>1206</v>
      </c>
      <c r="AD20" s="160" t="s">
        <v>1206</v>
      </c>
      <c r="AE20" s="160" t="s">
        <v>1206</v>
      </c>
      <c r="AF20" s="160" t="s">
        <v>1206</v>
      </c>
      <c r="AG20" s="160" t="s">
        <v>1205</v>
      </c>
      <c r="AH20" s="160" t="s">
        <v>1206</v>
      </c>
      <c r="AI20" s="160" t="s">
        <v>1206</v>
      </c>
      <c r="AJ20" s="160" t="s">
        <v>1206</v>
      </c>
      <c r="AK20" s="160" t="s">
        <v>1206</v>
      </c>
      <c r="AL20" s="160" t="s">
        <v>1205</v>
      </c>
      <c r="AM20" s="160" t="s">
        <v>1205</v>
      </c>
      <c r="AN20" s="160" t="s">
        <v>1205</v>
      </c>
      <c r="AO20" s="160" t="s">
        <v>645</v>
      </c>
      <c r="AP20" s="120" t="s">
        <v>666</v>
      </c>
      <c r="AQ20" s="160" t="s">
        <v>1676</v>
      </c>
    </row>
    <row r="21" spans="1:43" ht="27" thickBot="1" x14ac:dyDescent="0.3">
      <c r="B21" s="160" t="s">
        <v>618</v>
      </c>
      <c r="C21" s="160" t="s">
        <v>1478</v>
      </c>
      <c r="D21" s="160" t="s">
        <v>1454</v>
      </c>
      <c r="E21" s="160" t="s">
        <v>1500</v>
      </c>
      <c r="F21" s="160" t="s">
        <v>1519</v>
      </c>
      <c r="G21" s="160" t="s">
        <v>71</v>
      </c>
      <c r="H21" s="160" t="s">
        <v>72</v>
      </c>
      <c r="I21" s="160" t="s">
        <v>1205</v>
      </c>
      <c r="J21" s="160" t="s">
        <v>1205</v>
      </c>
      <c r="K21" s="160" t="s">
        <v>1205</v>
      </c>
      <c r="L21" s="160" t="s">
        <v>1205</v>
      </c>
      <c r="M21" s="160" t="s">
        <v>1205</v>
      </c>
      <c r="N21" s="160" t="s">
        <v>1205</v>
      </c>
      <c r="O21" s="160" t="s">
        <v>1205</v>
      </c>
      <c r="P21" s="160" t="s">
        <v>1580</v>
      </c>
      <c r="Q21" s="160" t="s">
        <v>1205</v>
      </c>
      <c r="R21" s="160" t="s">
        <v>1205</v>
      </c>
      <c r="S21" s="160" t="s">
        <v>1205</v>
      </c>
      <c r="T21" s="160" t="s">
        <v>1205</v>
      </c>
      <c r="U21" s="160" t="s">
        <v>1205</v>
      </c>
      <c r="V21" s="160" t="s">
        <v>1205</v>
      </c>
      <c r="W21" s="160" t="s">
        <v>1205</v>
      </c>
      <c r="X21" s="160" t="s">
        <v>1205</v>
      </c>
      <c r="Y21" s="160" t="s">
        <v>1205</v>
      </c>
      <c r="Z21" s="160" t="s">
        <v>1205</v>
      </c>
      <c r="AA21" s="160" t="s">
        <v>1205</v>
      </c>
      <c r="AB21" s="160" t="s">
        <v>1205</v>
      </c>
      <c r="AC21" s="160" t="s">
        <v>1205</v>
      </c>
      <c r="AD21" s="160" t="s">
        <v>1205</v>
      </c>
      <c r="AE21" s="160" t="s">
        <v>1205</v>
      </c>
      <c r="AF21" s="160" t="s">
        <v>1205</v>
      </c>
      <c r="AG21" s="160" t="s">
        <v>1205</v>
      </c>
      <c r="AH21" s="160" t="s">
        <v>1205</v>
      </c>
      <c r="AI21" s="160" t="s">
        <v>1206</v>
      </c>
      <c r="AJ21" s="160" t="s">
        <v>1206</v>
      </c>
      <c r="AK21" s="160" t="s">
        <v>1205</v>
      </c>
      <c r="AL21" s="160" t="s">
        <v>1205</v>
      </c>
      <c r="AM21" s="160" t="s">
        <v>1205</v>
      </c>
      <c r="AN21" s="160" t="s">
        <v>1206</v>
      </c>
      <c r="AO21" s="160" t="s">
        <v>645</v>
      </c>
      <c r="AP21" s="160" t="s">
        <v>1539</v>
      </c>
      <c r="AQ21" s="160" t="s">
        <v>1677</v>
      </c>
    </row>
    <row r="22" spans="1:43" ht="27" thickBot="1" x14ac:dyDescent="0.3">
      <c r="B22" s="160" t="s">
        <v>618</v>
      </c>
      <c r="C22" s="160" t="s">
        <v>1482</v>
      </c>
      <c r="D22" s="160" t="s">
        <v>1458</v>
      </c>
      <c r="E22" s="160" t="s">
        <v>1504</v>
      </c>
      <c r="F22" s="160" t="s">
        <v>1519</v>
      </c>
      <c r="G22" s="160" t="s">
        <v>71</v>
      </c>
      <c r="H22" s="160" t="s">
        <v>71</v>
      </c>
      <c r="I22" s="160" t="s">
        <v>1205</v>
      </c>
      <c r="J22" s="160" t="s">
        <v>1205</v>
      </c>
      <c r="K22" s="160" t="s">
        <v>1205</v>
      </c>
      <c r="L22" s="160" t="s">
        <v>1205</v>
      </c>
      <c r="M22" s="160" t="s">
        <v>1205</v>
      </c>
      <c r="N22" s="160" t="s">
        <v>1205</v>
      </c>
      <c r="O22" s="160" t="s">
        <v>1205</v>
      </c>
      <c r="P22" s="160" t="s">
        <v>1580</v>
      </c>
      <c r="Q22" s="160" t="s">
        <v>1205</v>
      </c>
      <c r="R22" s="160" t="s">
        <v>1205</v>
      </c>
      <c r="S22" s="160" t="s">
        <v>1205</v>
      </c>
      <c r="T22" s="160" t="s">
        <v>1205</v>
      </c>
      <c r="U22" s="160" t="s">
        <v>1205</v>
      </c>
      <c r="V22" s="160" t="s">
        <v>1205</v>
      </c>
      <c r="W22" s="160" t="s">
        <v>1205</v>
      </c>
      <c r="X22" s="160" t="s">
        <v>1205</v>
      </c>
      <c r="Y22" s="160" t="s">
        <v>1205</v>
      </c>
      <c r="Z22" s="160" t="s">
        <v>1205</v>
      </c>
      <c r="AA22" s="160" t="s">
        <v>1205</v>
      </c>
      <c r="AB22" s="160" t="s">
        <v>1205</v>
      </c>
      <c r="AC22" s="160" t="s">
        <v>1205</v>
      </c>
      <c r="AD22" s="160" t="s">
        <v>1205</v>
      </c>
      <c r="AE22" s="160" t="s">
        <v>1205</v>
      </c>
      <c r="AF22" s="160" t="s">
        <v>1205</v>
      </c>
      <c r="AG22" s="160" t="s">
        <v>1205</v>
      </c>
      <c r="AH22" s="160" t="s">
        <v>1205</v>
      </c>
      <c r="AI22" s="160" t="s">
        <v>1206</v>
      </c>
      <c r="AJ22" s="160" t="s">
        <v>1205</v>
      </c>
      <c r="AK22" s="160" t="s">
        <v>1205</v>
      </c>
      <c r="AL22" s="160" t="s">
        <v>1205</v>
      </c>
      <c r="AM22" s="160" t="s">
        <v>1205</v>
      </c>
      <c r="AN22" s="160" t="s">
        <v>1206</v>
      </c>
      <c r="AO22" s="160" t="s">
        <v>645</v>
      </c>
      <c r="AP22" s="160" t="s">
        <v>1539</v>
      </c>
      <c r="AQ22" s="160" t="s">
        <v>1678</v>
      </c>
    </row>
    <row r="23" spans="1:43" ht="27" thickBot="1" x14ac:dyDescent="0.3">
      <c r="B23" s="160" t="s">
        <v>618</v>
      </c>
      <c r="C23" s="160" t="s">
        <v>1473</v>
      </c>
      <c r="D23" s="160" t="s">
        <v>1449</v>
      </c>
      <c r="E23" s="160" t="s">
        <v>1495</v>
      </c>
      <c r="F23" s="160" t="s">
        <v>1523</v>
      </c>
      <c r="G23" s="160" t="s">
        <v>72</v>
      </c>
      <c r="H23" s="160" t="s">
        <v>72</v>
      </c>
      <c r="I23" s="160" t="s">
        <v>1205</v>
      </c>
      <c r="J23" s="160" t="s">
        <v>1205</v>
      </c>
      <c r="K23" s="160" t="s">
        <v>1205</v>
      </c>
      <c r="L23" s="160" t="s">
        <v>1205</v>
      </c>
      <c r="M23" s="160" t="s">
        <v>1205</v>
      </c>
      <c r="N23" s="160" t="s">
        <v>1205</v>
      </c>
      <c r="O23" s="160" t="s">
        <v>1205</v>
      </c>
      <c r="P23" s="160" t="s">
        <v>1580</v>
      </c>
      <c r="Q23" s="160" t="s">
        <v>1205</v>
      </c>
      <c r="R23" s="160" t="s">
        <v>1205</v>
      </c>
      <c r="S23" s="160" t="s">
        <v>1205</v>
      </c>
      <c r="T23" s="160" t="s">
        <v>1205</v>
      </c>
      <c r="U23" s="160" t="s">
        <v>1206</v>
      </c>
      <c r="V23" s="160" t="s">
        <v>1205</v>
      </c>
      <c r="W23" s="160" t="s">
        <v>1206</v>
      </c>
      <c r="X23" s="160" t="s">
        <v>1205</v>
      </c>
      <c r="Y23" s="160" t="s">
        <v>1205</v>
      </c>
      <c r="Z23" s="160" t="s">
        <v>1205</v>
      </c>
      <c r="AA23" s="160" t="s">
        <v>1205</v>
      </c>
      <c r="AB23" s="160" t="s">
        <v>1205</v>
      </c>
      <c r="AC23" s="160" t="s">
        <v>1205</v>
      </c>
      <c r="AD23" s="160" t="s">
        <v>1205</v>
      </c>
      <c r="AE23" s="160" t="s">
        <v>1205</v>
      </c>
      <c r="AF23" s="160" t="s">
        <v>1206</v>
      </c>
      <c r="AG23" s="160" t="s">
        <v>1205</v>
      </c>
      <c r="AH23" s="160" t="s">
        <v>1205</v>
      </c>
      <c r="AI23" s="160" t="s">
        <v>1206</v>
      </c>
      <c r="AJ23" s="160" t="s">
        <v>1206</v>
      </c>
      <c r="AK23" s="160" t="s">
        <v>1205</v>
      </c>
      <c r="AL23" s="160" t="s">
        <v>1205</v>
      </c>
      <c r="AM23" s="160" t="s">
        <v>1205</v>
      </c>
      <c r="AN23" s="160" t="s">
        <v>1205</v>
      </c>
      <c r="AO23" s="160" t="s">
        <v>645</v>
      </c>
      <c r="AP23" s="160" t="s">
        <v>1538</v>
      </c>
      <c r="AQ23" t="s">
        <v>1679</v>
      </c>
    </row>
    <row r="24" spans="1:43" ht="15.75" thickBot="1" x14ac:dyDescent="0.3">
      <c r="B24" s="160" t="s">
        <v>618</v>
      </c>
      <c r="C24" s="160" t="s">
        <v>1491</v>
      </c>
      <c r="D24" s="160" t="s">
        <v>1467</v>
      </c>
      <c r="E24" s="160" t="s">
        <v>1513</v>
      </c>
      <c r="F24" s="160" t="s">
        <v>1519</v>
      </c>
      <c r="G24" s="160" t="s">
        <v>72</v>
      </c>
      <c r="H24" s="160" t="s">
        <v>72</v>
      </c>
      <c r="I24" s="160" t="s">
        <v>1205</v>
      </c>
      <c r="J24" s="160" t="s">
        <v>1206</v>
      </c>
      <c r="K24" s="160" t="s">
        <v>1205</v>
      </c>
      <c r="L24" s="160" t="s">
        <v>1205</v>
      </c>
      <c r="M24" s="160" t="s">
        <v>1206</v>
      </c>
      <c r="N24" s="160" t="s">
        <v>1205</v>
      </c>
      <c r="O24" s="160" t="s">
        <v>1206</v>
      </c>
      <c r="P24" s="160" t="s">
        <v>1205</v>
      </c>
      <c r="Q24" s="160" t="s">
        <v>1206</v>
      </c>
      <c r="R24" s="160" t="s">
        <v>1206</v>
      </c>
      <c r="S24" s="160" t="s">
        <v>1205</v>
      </c>
      <c r="T24" s="160" t="s">
        <v>1206</v>
      </c>
      <c r="U24" s="160" t="s">
        <v>1206</v>
      </c>
      <c r="V24" s="160" t="s">
        <v>1206</v>
      </c>
      <c r="W24" s="160" t="s">
        <v>1206</v>
      </c>
      <c r="X24" s="160" t="s">
        <v>1205</v>
      </c>
      <c r="Y24" s="160" t="s">
        <v>1205</v>
      </c>
      <c r="Z24" s="160" t="s">
        <v>1205</v>
      </c>
      <c r="AA24" s="160" t="s">
        <v>1206</v>
      </c>
      <c r="AB24" s="160" t="s">
        <v>1205</v>
      </c>
      <c r="AC24" s="160" t="s">
        <v>1206</v>
      </c>
      <c r="AD24" s="160" t="s">
        <v>1205</v>
      </c>
      <c r="AE24" s="160" t="s">
        <v>1206</v>
      </c>
      <c r="AF24" s="160" t="s">
        <v>1206</v>
      </c>
      <c r="AG24" s="160" t="s">
        <v>1205</v>
      </c>
      <c r="AH24" s="160" t="s">
        <v>1206</v>
      </c>
      <c r="AI24" s="160" t="s">
        <v>1206</v>
      </c>
      <c r="AJ24" s="160" t="s">
        <v>1206</v>
      </c>
      <c r="AK24" s="160" t="s">
        <v>1206</v>
      </c>
      <c r="AL24" s="160" t="s">
        <v>1205</v>
      </c>
      <c r="AM24" s="160" t="s">
        <v>1205</v>
      </c>
      <c r="AN24" s="160" t="s">
        <v>1206</v>
      </c>
      <c r="AO24" s="160" t="s">
        <v>645</v>
      </c>
      <c r="AP24" s="160" t="s">
        <v>1538</v>
      </c>
      <c r="AQ24" t="s">
        <v>1680</v>
      </c>
    </row>
    <row r="31" spans="1:43" ht="15" customHeight="1" x14ac:dyDescent="0.25"/>
    <row r="32" spans="1:43" ht="39" customHeight="1" thickBot="1" x14ac:dyDescent="0.3">
      <c r="A32" s="119" t="s">
        <v>1161</v>
      </c>
      <c r="B32" s="119" t="s">
        <v>14</v>
      </c>
      <c r="C32" s="125" t="s">
        <v>1207</v>
      </c>
      <c r="D32" s="125" t="s">
        <v>1209</v>
      </c>
      <c r="E32" s="125" t="s">
        <v>1212</v>
      </c>
      <c r="F32" s="125" t="s">
        <v>1211</v>
      </c>
      <c r="G32" s="125" t="s">
        <v>1210</v>
      </c>
      <c r="H32" s="124" t="s">
        <v>26</v>
      </c>
      <c r="I32" s="116" t="s">
        <v>27</v>
      </c>
      <c r="J32" s="116" t="s">
        <v>28</v>
      </c>
      <c r="K32" s="116" t="s">
        <v>29</v>
      </c>
      <c r="L32" s="116" t="s">
        <v>30</v>
      </c>
      <c r="M32" s="116" t="s">
        <v>31</v>
      </c>
      <c r="N32" s="116" t="s">
        <v>32</v>
      </c>
      <c r="O32" s="116" t="s">
        <v>33</v>
      </c>
      <c r="P32" s="116" t="s">
        <v>34</v>
      </c>
      <c r="Q32" s="116" t="s">
        <v>35</v>
      </c>
      <c r="R32" s="116" t="s">
        <v>36</v>
      </c>
      <c r="S32" s="161" t="s">
        <v>1168</v>
      </c>
      <c r="T32" s="116" t="s">
        <v>37</v>
      </c>
      <c r="U32" s="116" t="s">
        <v>38</v>
      </c>
      <c r="V32" s="116" t="s">
        <v>39</v>
      </c>
      <c r="W32" s="116" t="s">
        <v>40</v>
      </c>
      <c r="X32" s="116" t="s">
        <v>41</v>
      </c>
      <c r="Y32" s="116" t="s">
        <v>1172</v>
      </c>
      <c r="Z32" s="116" t="s">
        <v>42</v>
      </c>
      <c r="AA32" s="116" t="s">
        <v>43</v>
      </c>
      <c r="AB32" s="116" t="s">
        <v>44</v>
      </c>
      <c r="AC32" s="116" t="s">
        <v>45</v>
      </c>
      <c r="AD32" s="116" t="s">
        <v>1175</v>
      </c>
      <c r="AE32" s="116" t="s">
        <v>1176</v>
      </c>
      <c r="AF32" s="116" t="s">
        <v>1177</v>
      </c>
      <c r="AG32" s="116" t="s">
        <v>1178</v>
      </c>
      <c r="AH32" s="116" t="s">
        <v>1179</v>
      </c>
      <c r="AI32" s="116" t="s">
        <v>1181</v>
      </c>
      <c r="AJ32" s="116" t="s">
        <v>1182</v>
      </c>
      <c r="AK32" s="116" t="s">
        <v>1183</v>
      </c>
      <c r="AL32" s="116" t="s">
        <v>1184</v>
      </c>
    </row>
    <row r="33" spans="2:38" ht="39.75" customHeight="1" thickBot="1" x14ac:dyDescent="0.3">
      <c r="B33" s="127" t="s">
        <v>142</v>
      </c>
      <c r="C33" s="160" t="s">
        <v>1545</v>
      </c>
      <c r="D33" t="s">
        <v>1598</v>
      </c>
      <c r="E33" t="s">
        <v>1217</v>
      </c>
      <c r="F33" s="160" t="s">
        <v>72</v>
      </c>
      <c r="G33" s="160" t="s">
        <v>72</v>
      </c>
      <c r="H33" t="s">
        <v>1205</v>
      </c>
      <c r="I33" t="s">
        <v>1206</v>
      </c>
      <c r="J33" t="s">
        <v>1206</v>
      </c>
      <c r="K33" t="s">
        <v>1206</v>
      </c>
      <c r="L33" t="s">
        <v>1206</v>
      </c>
      <c r="M33" t="s">
        <v>1205</v>
      </c>
      <c r="N33" t="s">
        <v>1206</v>
      </c>
      <c r="O33" t="s">
        <v>1229</v>
      </c>
      <c r="P33" t="s">
        <v>1205</v>
      </c>
      <c r="Q33" t="s">
        <v>1205</v>
      </c>
      <c r="R33" t="s">
        <v>1205</v>
      </c>
      <c r="S33" t="s">
        <v>1205</v>
      </c>
      <c r="T33" t="s">
        <v>1205</v>
      </c>
      <c r="U33" t="s">
        <v>1206</v>
      </c>
      <c r="V33" t="s">
        <v>1205</v>
      </c>
      <c r="W33" t="s">
        <v>1206</v>
      </c>
      <c r="X33" t="s">
        <v>1206</v>
      </c>
      <c r="Y33" t="s">
        <v>1206</v>
      </c>
      <c r="Z33" t="s">
        <v>1206</v>
      </c>
      <c r="AA33" t="s">
        <v>1206</v>
      </c>
      <c r="AB33" t="s">
        <v>1205</v>
      </c>
      <c r="AC33" t="s">
        <v>1205</v>
      </c>
      <c r="AD33" s="160" t="s">
        <v>1436</v>
      </c>
      <c r="AE33" s="160" t="s">
        <v>1436</v>
      </c>
      <c r="AF33" s="160" t="s">
        <v>1436</v>
      </c>
      <c r="AG33" s="160" t="s">
        <v>1205</v>
      </c>
      <c r="AH33" s="160" t="s">
        <v>1205</v>
      </c>
      <c r="AI33" s="160" t="s">
        <v>1436</v>
      </c>
      <c r="AJ33" s="160" t="s">
        <v>1205</v>
      </c>
      <c r="AK33" s="160" t="s">
        <v>1436</v>
      </c>
      <c r="AL33" s="160" t="s">
        <v>1436</v>
      </c>
    </row>
    <row r="34" spans="2:38" ht="15.75" customHeight="1" thickBot="1" x14ac:dyDescent="0.3">
      <c r="B34" s="127" t="s">
        <v>142</v>
      </c>
      <c r="C34" s="179" t="s">
        <v>1548</v>
      </c>
      <c r="D34" t="s">
        <v>1599</v>
      </c>
      <c r="E34" t="s">
        <v>1556</v>
      </c>
      <c r="F34" s="160" t="s">
        <v>72</v>
      </c>
      <c r="G34" s="160" t="s">
        <v>72</v>
      </c>
      <c r="H34" t="s">
        <v>1205</v>
      </c>
      <c r="I34" t="s">
        <v>1205</v>
      </c>
      <c r="J34" t="s">
        <v>1206</v>
      </c>
      <c r="K34" t="s">
        <v>1205</v>
      </c>
      <c r="L34" t="s">
        <v>1206</v>
      </c>
      <c r="M34" t="s">
        <v>1206</v>
      </c>
      <c r="N34" t="s">
        <v>1205</v>
      </c>
      <c r="O34" t="s">
        <v>1206</v>
      </c>
      <c r="P34" t="s">
        <v>1205</v>
      </c>
      <c r="Q34" t="s">
        <v>1205</v>
      </c>
      <c r="R34" t="s">
        <v>1206</v>
      </c>
      <c r="S34" t="s">
        <v>1205</v>
      </c>
      <c r="T34" t="s">
        <v>1205</v>
      </c>
      <c r="U34" t="s">
        <v>1206</v>
      </c>
      <c r="V34" t="s">
        <v>1206</v>
      </c>
      <c r="W34" t="s">
        <v>1205</v>
      </c>
      <c r="X34" t="s">
        <v>1205</v>
      </c>
      <c r="Y34" t="s">
        <v>1205</v>
      </c>
      <c r="Z34" t="s">
        <v>1206</v>
      </c>
      <c r="AA34" t="s">
        <v>1205</v>
      </c>
      <c r="AB34" t="s">
        <v>1206</v>
      </c>
      <c r="AC34" t="s">
        <v>1229</v>
      </c>
      <c r="AD34" s="160" t="s">
        <v>1206</v>
      </c>
      <c r="AE34" s="160" t="s">
        <v>1206</v>
      </c>
      <c r="AF34" s="160" t="s">
        <v>1205</v>
      </c>
      <c r="AG34" s="160" t="s">
        <v>1205</v>
      </c>
      <c r="AH34" s="160" t="s">
        <v>1205</v>
      </c>
      <c r="AI34" s="160" t="s">
        <v>1205</v>
      </c>
      <c r="AJ34" s="160" t="s">
        <v>1206</v>
      </c>
      <c r="AK34" s="160" t="s">
        <v>1206</v>
      </c>
      <c r="AL34" s="160" t="s">
        <v>1206</v>
      </c>
    </row>
    <row r="35" spans="2:38" ht="15.75" customHeight="1" thickBot="1" x14ac:dyDescent="0.3">
      <c r="B35" s="127" t="s">
        <v>142</v>
      </c>
      <c r="C35" s="178" t="s">
        <v>1549</v>
      </c>
      <c r="D35" t="s">
        <v>1600</v>
      </c>
      <c r="E35" t="s">
        <v>93</v>
      </c>
      <c r="F35" s="160" t="s">
        <v>72</v>
      </c>
      <c r="G35" s="160" t="s">
        <v>72</v>
      </c>
      <c r="H35" t="s">
        <v>1206</v>
      </c>
      <c r="I35" t="s">
        <v>1205</v>
      </c>
      <c r="J35" t="s">
        <v>1206</v>
      </c>
      <c r="K35" t="s">
        <v>1205</v>
      </c>
      <c r="L35" t="s">
        <v>1205</v>
      </c>
      <c r="M35" t="s">
        <v>1206</v>
      </c>
      <c r="N35" t="s">
        <v>1205</v>
      </c>
      <c r="O35" t="s">
        <v>1205</v>
      </c>
      <c r="P35" t="s">
        <v>1206</v>
      </c>
      <c r="Q35" t="s">
        <v>1206</v>
      </c>
      <c r="R35" t="s">
        <v>1206</v>
      </c>
      <c r="S35" t="s">
        <v>1205</v>
      </c>
      <c r="T35" t="s">
        <v>1229</v>
      </c>
      <c r="U35" t="s">
        <v>1206</v>
      </c>
      <c r="V35" t="s">
        <v>1206</v>
      </c>
      <c r="W35" t="s">
        <v>1205</v>
      </c>
      <c r="X35" t="s">
        <v>1206</v>
      </c>
      <c r="Y35" t="s">
        <v>1206</v>
      </c>
      <c r="Z35" t="s">
        <v>1205</v>
      </c>
      <c r="AA35" t="s">
        <v>1206</v>
      </c>
      <c r="AB35" t="s">
        <v>1205</v>
      </c>
      <c r="AC35" t="s">
        <v>1206</v>
      </c>
      <c r="AD35" s="160" t="s">
        <v>1206</v>
      </c>
      <c r="AE35" s="160" t="s">
        <v>1206</v>
      </c>
      <c r="AF35" s="160" t="s">
        <v>1205</v>
      </c>
      <c r="AG35" s="160" t="s">
        <v>1205</v>
      </c>
      <c r="AH35" s="160" t="s">
        <v>1206</v>
      </c>
      <c r="AI35" s="160" t="s">
        <v>1205</v>
      </c>
      <c r="AJ35" s="160" t="s">
        <v>1206</v>
      </c>
      <c r="AK35" s="160" t="s">
        <v>1206</v>
      </c>
      <c r="AL35" s="160" t="s">
        <v>1206</v>
      </c>
    </row>
    <row r="36" spans="2:38" ht="15.75" customHeight="1" thickBot="1" x14ac:dyDescent="0.3">
      <c r="B36" s="127" t="s">
        <v>142</v>
      </c>
      <c r="C36" t="s">
        <v>1587</v>
      </c>
      <c r="D36" t="s">
        <v>1601</v>
      </c>
      <c r="E36" t="s">
        <v>1613</v>
      </c>
      <c r="F36" s="160" t="s">
        <v>71</v>
      </c>
      <c r="G36" s="160" t="s">
        <v>72</v>
      </c>
      <c r="H36" t="s">
        <v>1206</v>
      </c>
      <c r="I36" t="s">
        <v>1206</v>
      </c>
      <c r="J36" t="s">
        <v>1206</v>
      </c>
      <c r="K36" t="s">
        <v>1206</v>
      </c>
      <c r="L36" t="s">
        <v>1205</v>
      </c>
      <c r="M36" t="s">
        <v>1206</v>
      </c>
      <c r="N36" t="s">
        <v>1206</v>
      </c>
      <c r="O36" t="s">
        <v>1205</v>
      </c>
      <c r="P36" t="s">
        <v>1229</v>
      </c>
      <c r="Q36" t="s">
        <v>1205</v>
      </c>
      <c r="R36" t="s">
        <v>1205</v>
      </c>
      <c r="S36" t="s">
        <v>1205</v>
      </c>
      <c r="T36" t="s">
        <v>1229</v>
      </c>
      <c r="U36" t="s">
        <v>1205</v>
      </c>
      <c r="V36" t="s">
        <v>1206</v>
      </c>
      <c r="W36" t="s">
        <v>1206</v>
      </c>
      <c r="X36" t="s">
        <v>1205</v>
      </c>
      <c r="Y36" t="s">
        <v>1205</v>
      </c>
      <c r="Z36" t="s">
        <v>1206</v>
      </c>
      <c r="AA36" t="s">
        <v>1206</v>
      </c>
      <c r="AB36" t="s">
        <v>1206</v>
      </c>
      <c r="AC36" t="s">
        <v>1205</v>
      </c>
      <c r="AD36" s="160" t="s">
        <v>1206</v>
      </c>
      <c r="AE36" s="160" t="s">
        <v>1206</v>
      </c>
      <c r="AF36" s="160" t="s">
        <v>1206</v>
      </c>
      <c r="AG36" s="160" t="s">
        <v>1205</v>
      </c>
      <c r="AH36" s="160" t="s">
        <v>1205</v>
      </c>
      <c r="AI36" s="160" t="s">
        <v>1229</v>
      </c>
      <c r="AJ36" s="160" t="s">
        <v>1205</v>
      </c>
      <c r="AK36" s="160" t="s">
        <v>1206</v>
      </c>
      <c r="AL36" s="160" t="s">
        <v>1206</v>
      </c>
    </row>
    <row r="37" spans="2:38" ht="15.75" customHeight="1" thickBot="1" x14ac:dyDescent="0.3">
      <c r="B37" s="127" t="s">
        <v>142</v>
      </c>
      <c r="C37" t="s">
        <v>1588</v>
      </c>
      <c r="D37" t="s">
        <v>1616</v>
      </c>
      <c r="E37" t="s">
        <v>1614</v>
      </c>
      <c r="F37" s="160" t="s">
        <v>71</v>
      </c>
      <c r="G37" s="160" t="s">
        <v>72</v>
      </c>
      <c r="H37" t="s">
        <v>1206</v>
      </c>
      <c r="I37" t="s">
        <v>1205</v>
      </c>
      <c r="J37" t="s">
        <v>1206</v>
      </c>
      <c r="K37" t="s">
        <v>1205</v>
      </c>
      <c r="L37" t="s">
        <v>1205</v>
      </c>
      <c r="M37" t="s">
        <v>1205</v>
      </c>
      <c r="N37" t="s">
        <v>1205</v>
      </c>
      <c r="O37" t="s">
        <v>1206</v>
      </c>
      <c r="P37" t="s">
        <v>1205</v>
      </c>
      <c r="Q37" t="s">
        <v>1205</v>
      </c>
      <c r="R37" t="s">
        <v>1206</v>
      </c>
      <c r="S37" t="s">
        <v>1205</v>
      </c>
      <c r="T37" t="s">
        <v>1206</v>
      </c>
      <c r="U37" t="s">
        <v>1206</v>
      </c>
      <c r="V37" t="s">
        <v>1206</v>
      </c>
      <c r="W37" t="s">
        <v>1206</v>
      </c>
      <c r="X37" t="s">
        <v>1205</v>
      </c>
      <c r="Y37" t="s">
        <v>1206</v>
      </c>
      <c r="Z37" t="s">
        <v>1206</v>
      </c>
      <c r="AA37" t="s">
        <v>1206</v>
      </c>
      <c r="AB37" t="s">
        <v>1206</v>
      </c>
      <c r="AC37" t="s">
        <v>1229</v>
      </c>
      <c r="AD37" s="160" t="s">
        <v>1206</v>
      </c>
      <c r="AE37" s="160" t="s">
        <v>1206</v>
      </c>
      <c r="AF37" s="160" t="s">
        <v>1205</v>
      </c>
      <c r="AG37" s="160" t="s">
        <v>1206</v>
      </c>
      <c r="AH37" s="160" t="s">
        <v>1205</v>
      </c>
      <c r="AI37" s="160" t="s">
        <v>1229</v>
      </c>
      <c r="AJ37" s="160" t="s">
        <v>1206</v>
      </c>
      <c r="AK37" s="160" t="s">
        <v>1206</v>
      </c>
      <c r="AL37" s="160" t="s">
        <v>1206</v>
      </c>
    </row>
    <row r="38" spans="2:38" ht="15.75" customHeight="1" thickBot="1" x14ac:dyDescent="0.3">
      <c r="B38" s="127" t="s">
        <v>142</v>
      </c>
      <c r="C38" t="s">
        <v>1589</v>
      </c>
      <c r="D38" t="s">
        <v>1619</v>
      </c>
      <c r="E38" t="s">
        <v>1613</v>
      </c>
      <c r="F38" s="160" t="s">
        <v>71</v>
      </c>
      <c r="G38" s="160" t="s">
        <v>72</v>
      </c>
      <c r="H38" t="s">
        <v>1205</v>
      </c>
      <c r="I38" t="s">
        <v>1206</v>
      </c>
      <c r="J38" t="s">
        <v>1205</v>
      </c>
      <c r="K38" t="s">
        <v>1206</v>
      </c>
      <c r="L38" t="s">
        <v>1206</v>
      </c>
      <c r="M38" t="s">
        <v>1205</v>
      </c>
      <c r="N38" t="s">
        <v>1205</v>
      </c>
      <c r="O38" t="s">
        <v>1205</v>
      </c>
      <c r="P38" t="s">
        <v>1206</v>
      </c>
      <c r="Q38" t="s">
        <v>1205</v>
      </c>
      <c r="R38" t="s">
        <v>1206</v>
      </c>
      <c r="S38" t="s">
        <v>1206</v>
      </c>
      <c r="T38" t="s">
        <v>1205</v>
      </c>
      <c r="U38" t="s">
        <v>1206</v>
      </c>
      <c r="V38" t="s">
        <v>1205</v>
      </c>
      <c r="W38" t="s">
        <v>1206</v>
      </c>
      <c r="X38" t="s">
        <v>1206</v>
      </c>
      <c r="Y38" t="s">
        <v>1206</v>
      </c>
      <c r="Z38" t="s">
        <v>1206</v>
      </c>
      <c r="AA38" t="s">
        <v>1206</v>
      </c>
      <c r="AB38" t="s">
        <v>1206</v>
      </c>
      <c r="AC38" t="s">
        <v>1205</v>
      </c>
      <c r="AD38" s="160" t="s">
        <v>1206</v>
      </c>
      <c r="AE38" s="160" t="s">
        <v>1206</v>
      </c>
      <c r="AF38" s="160" t="s">
        <v>1205</v>
      </c>
      <c r="AG38" s="160" t="s">
        <v>1205</v>
      </c>
      <c r="AH38" s="160" t="s">
        <v>1205</v>
      </c>
      <c r="AI38" s="160" t="s">
        <v>1205</v>
      </c>
      <c r="AJ38" s="160" t="s">
        <v>1206</v>
      </c>
      <c r="AK38" s="160" t="s">
        <v>1206</v>
      </c>
      <c r="AL38" s="160" t="s">
        <v>1205</v>
      </c>
    </row>
    <row r="39" spans="2:38" ht="15.75" customHeight="1" thickBot="1" x14ac:dyDescent="0.3">
      <c r="B39" s="127" t="s">
        <v>142</v>
      </c>
      <c r="C39" t="s">
        <v>1590</v>
      </c>
      <c r="D39" t="s">
        <v>1602</v>
      </c>
      <c r="E39" t="s">
        <v>1615</v>
      </c>
      <c r="F39" s="160" t="s">
        <v>71</v>
      </c>
      <c r="G39" s="160" t="s">
        <v>72</v>
      </c>
      <c r="H39" t="s">
        <v>1205</v>
      </c>
      <c r="I39" t="s">
        <v>1205</v>
      </c>
      <c r="J39" t="s">
        <v>1205</v>
      </c>
      <c r="K39" t="s">
        <v>1206</v>
      </c>
      <c r="L39" t="s">
        <v>1205</v>
      </c>
      <c r="M39" t="s">
        <v>1205</v>
      </c>
      <c r="N39" t="s">
        <v>1205</v>
      </c>
      <c r="O39" t="s">
        <v>1206</v>
      </c>
      <c r="P39" t="s">
        <v>1205</v>
      </c>
      <c r="Q39" t="s">
        <v>1205</v>
      </c>
      <c r="R39" t="s">
        <v>1206</v>
      </c>
      <c r="S39" t="s">
        <v>1205</v>
      </c>
      <c r="T39" t="s">
        <v>1205</v>
      </c>
      <c r="U39" t="s">
        <v>1205</v>
      </c>
      <c r="V39" t="s">
        <v>1206</v>
      </c>
      <c r="W39" t="s">
        <v>1205</v>
      </c>
      <c r="X39" t="s">
        <v>1206</v>
      </c>
      <c r="Y39" t="s">
        <v>1205</v>
      </c>
      <c r="Z39" t="s">
        <v>1206</v>
      </c>
      <c r="AA39" t="s">
        <v>1205</v>
      </c>
      <c r="AB39" t="s">
        <v>1206</v>
      </c>
      <c r="AC39" t="s">
        <v>1205</v>
      </c>
      <c r="AD39" s="160" t="s">
        <v>1206</v>
      </c>
      <c r="AE39" s="160" t="s">
        <v>1206</v>
      </c>
      <c r="AF39" s="160" t="s">
        <v>1206</v>
      </c>
      <c r="AG39" s="160" t="s">
        <v>1206</v>
      </c>
      <c r="AH39" s="160" t="s">
        <v>1206</v>
      </c>
      <c r="AI39" s="160" t="s">
        <v>1229</v>
      </c>
      <c r="AJ39" s="160" t="s">
        <v>1205</v>
      </c>
      <c r="AK39" s="160" t="s">
        <v>1206</v>
      </c>
      <c r="AL39" s="160" t="s">
        <v>1206</v>
      </c>
    </row>
    <row r="40" spans="2:38" ht="15.75" customHeight="1" thickBot="1" x14ac:dyDescent="0.3">
      <c r="B40" s="127" t="s">
        <v>142</v>
      </c>
      <c r="C40" t="s">
        <v>1591</v>
      </c>
      <c r="D40" t="s">
        <v>1603</v>
      </c>
      <c r="E40" t="s">
        <v>1616</v>
      </c>
      <c r="F40" s="160" t="s">
        <v>71</v>
      </c>
      <c r="G40" s="160" t="s">
        <v>72</v>
      </c>
      <c r="H40" t="s">
        <v>1206</v>
      </c>
      <c r="I40" t="s">
        <v>1206</v>
      </c>
      <c r="J40" t="s">
        <v>1206</v>
      </c>
      <c r="K40" t="s">
        <v>1206</v>
      </c>
      <c r="L40" t="s">
        <v>1205</v>
      </c>
      <c r="M40" t="s">
        <v>1205</v>
      </c>
      <c r="N40" t="s">
        <v>1205</v>
      </c>
      <c r="O40" t="s">
        <v>1206</v>
      </c>
      <c r="P40" t="s">
        <v>1229</v>
      </c>
      <c r="Q40" t="s">
        <v>1205</v>
      </c>
      <c r="R40" t="s">
        <v>1205</v>
      </c>
      <c r="S40" t="s">
        <v>1206</v>
      </c>
      <c r="T40" t="s">
        <v>1205</v>
      </c>
      <c r="U40" t="s">
        <v>1206</v>
      </c>
      <c r="V40" t="s">
        <v>1229</v>
      </c>
      <c r="W40" t="s">
        <v>1205</v>
      </c>
      <c r="X40" t="s">
        <v>1206</v>
      </c>
      <c r="Y40" t="s">
        <v>1205</v>
      </c>
      <c r="Z40" t="s">
        <v>1206</v>
      </c>
      <c r="AA40" t="s">
        <v>1206</v>
      </c>
      <c r="AB40" t="s">
        <v>1206</v>
      </c>
      <c r="AC40" t="s">
        <v>1206</v>
      </c>
      <c r="AD40" s="160" t="s">
        <v>1206</v>
      </c>
      <c r="AE40" s="160" t="s">
        <v>1206</v>
      </c>
      <c r="AF40" s="160" t="s">
        <v>1206</v>
      </c>
      <c r="AG40" s="160" t="s">
        <v>1205</v>
      </c>
      <c r="AH40" s="160" t="s">
        <v>1205</v>
      </c>
      <c r="AI40" s="160" t="s">
        <v>1229</v>
      </c>
      <c r="AJ40" s="160" t="s">
        <v>1206</v>
      </c>
      <c r="AK40" s="160" t="s">
        <v>1206</v>
      </c>
      <c r="AL40" s="160" t="s">
        <v>1205</v>
      </c>
    </row>
    <row r="41" spans="2:38" ht="15.75" customHeight="1" thickBot="1" x14ac:dyDescent="0.3">
      <c r="B41" s="127" t="s">
        <v>142</v>
      </c>
      <c r="C41" t="s">
        <v>1592</v>
      </c>
      <c r="D41" t="s">
        <v>1604</v>
      </c>
      <c r="E41" t="s">
        <v>1617</v>
      </c>
      <c r="F41" s="160" t="s">
        <v>71</v>
      </c>
      <c r="G41" s="160" t="s">
        <v>72</v>
      </c>
      <c r="H41" t="s">
        <v>1205</v>
      </c>
      <c r="I41" t="s">
        <v>1205</v>
      </c>
      <c r="J41" t="s">
        <v>1205</v>
      </c>
      <c r="K41" t="s">
        <v>1205</v>
      </c>
      <c r="L41" t="s">
        <v>1206</v>
      </c>
      <c r="M41" t="s">
        <v>1205</v>
      </c>
      <c r="N41" t="s">
        <v>1206</v>
      </c>
      <c r="O41" t="s">
        <v>1206</v>
      </c>
      <c r="P41" t="s">
        <v>1205</v>
      </c>
      <c r="Q41" t="s">
        <v>1205</v>
      </c>
      <c r="R41" t="s">
        <v>1206</v>
      </c>
      <c r="S41" t="s">
        <v>1206</v>
      </c>
      <c r="T41" t="s">
        <v>1206</v>
      </c>
      <c r="U41" t="s">
        <v>1205</v>
      </c>
      <c r="V41" t="s">
        <v>1205</v>
      </c>
      <c r="W41" t="s">
        <v>1205</v>
      </c>
      <c r="X41" t="s">
        <v>1205</v>
      </c>
      <c r="Y41" t="s">
        <v>1205</v>
      </c>
      <c r="Z41" t="s">
        <v>1206</v>
      </c>
      <c r="AA41" t="s">
        <v>1206</v>
      </c>
      <c r="AB41" t="s">
        <v>1206</v>
      </c>
      <c r="AC41" t="s">
        <v>1229</v>
      </c>
      <c r="AD41" s="160" t="s">
        <v>1206</v>
      </c>
      <c r="AE41" s="160" t="s">
        <v>1206</v>
      </c>
      <c r="AF41" s="160" t="s">
        <v>1205</v>
      </c>
      <c r="AG41" s="160" t="s">
        <v>1205</v>
      </c>
      <c r="AH41" s="160" t="s">
        <v>1205</v>
      </c>
      <c r="AI41" s="160" t="s">
        <v>1206</v>
      </c>
      <c r="AJ41" s="160" t="s">
        <v>1206</v>
      </c>
      <c r="AK41" s="160" t="s">
        <v>1206</v>
      </c>
      <c r="AL41" s="160" t="s">
        <v>1206</v>
      </c>
    </row>
    <row r="42" spans="2:38" ht="15.75" customHeight="1" thickBot="1" x14ac:dyDescent="0.3">
      <c r="B42" s="127" t="s">
        <v>142</v>
      </c>
      <c r="C42" t="s">
        <v>1593</v>
      </c>
      <c r="D42" t="s">
        <v>1652</v>
      </c>
      <c r="E42" t="s">
        <v>1618</v>
      </c>
      <c r="F42" s="160" t="s">
        <v>72</v>
      </c>
      <c r="G42" s="160" t="s">
        <v>72</v>
      </c>
      <c r="H42" t="s">
        <v>1205</v>
      </c>
      <c r="I42" t="s">
        <v>1205</v>
      </c>
      <c r="J42" t="s">
        <v>1205</v>
      </c>
      <c r="K42" t="s">
        <v>1206</v>
      </c>
      <c r="L42" t="s">
        <v>1206</v>
      </c>
      <c r="M42" t="s">
        <v>1205</v>
      </c>
      <c r="N42" t="s">
        <v>1206</v>
      </c>
      <c r="O42" t="s">
        <v>1206</v>
      </c>
      <c r="P42" t="s">
        <v>1205</v>
      </c>
      <c r="Q42" t="s">
        <v>1205</v>
      </c>
      <c r="R42" t="s">
        <v>1206</v>
      </c>
      <c r="S42" t="s">
        <v>1205</v>
      </c>
      <c r="T42" t="s">
        <v>1205</v>
      </c>
      <c r="U42" t="s">
        <v>1206</v>
      </c>
      <c r="V42" t="s">
        <v>1229</v>
      </c>
      <c r="W42" t="s">
        <v>1206</v>
      </c>
      <c r="X42" t="s">
        <v>1206</v>
      </c>
      <c r="Y42" t="s">
        <v>1205</v>
      </c>
      <c r="Z42" t="s">
        <v>1206</v>
      </c>
      <c r="AA42" t="s">
        <v>1206</v>
      </c>
      <c r="AB42" t="s">
        <v>1205</v>
      </c>
      <c r="AC42" t="s">
        <v>1206</v>
      </c>
      <c r="AD42" s="160" t="s">
        <v>1206</v>
      </c>
      <c r="AE42" s="160" t="s">
        <v>1206</v>
      </c>
      <c r="AF42" s="160" t="s">
        <v>1205</v>
      </c>
      <c r="AG42" s="160" t="s">
        <v>1205</v>
      </c>
      <c r="AH42" s="160" t="s">
        <v>1205</v>
      </c>
      <c r="AI42" s="160" t="s">
        <v>1205</v>
      </c>
      <c r="AJ42" s="160" t="s">
        <v>1206</v>
      </c>
      <c r="AK42" s="160" t="s">
        <v>1205</v>
      </c>
      <c r="AL42" s="160" t="s">
        <v>1206</v>
      </c>
    </row>
    <row r="43" spans="2:38" ht="15.75" customHeight="1" thickBot="1" x14ac:dyDescent="0.3">
      <c r="B43" s="127" t="s">
        <v>142</v>
      </c>
      <c r="C43" t="s">
        <v>1594</v>
      </c>
      <c r="D43" t="s">
        <v>1619</v>
      </c>
      <c r="E43" t="s">
        <v>1619</v>
      </c>
      <c r="F43" s="160" t="s">
        <v>71</v>
      </c>
      <c r="G43" s="160" t="s">
        <v>72</v>
      </c>
      <c r="H43" t="s">
        <v>1206</v>
      </c>
      <c r="I43" t="s">
        <v>1206</v>
      </c>
      <c r="J43" t="s">
        <v>1206</v>
      </c>
      <c r="K43" t="s">
        <v>1229</v>
      </c>
      <c r="L43" t="s">
        <v>1206</v>
      </c>
      <c r="M43" t="s">
        <v>1206</v>
      </c>
      <c r="N43" t="s">
        <v>1205</v>
      </c>
      <c r="O43" t="s">
        <v>1205</v>
      </c>
      <c r="P43" t="s">
        <v>1206</v>
      </c>
      <c r="Q43" t="s">
        <v>1205</v>
      </c>
      <c r="R43" t="s">
        <v>1205</v>
      </c>
      <c r="S43" t="s">
        <v>1206</v>
      </c>
      <c r="T43" t="s">
        <v>1205</v>
      </c>
      <c r="U43" t="s">
        <v>1229</v>
      </c>
      <c r="V43" t="s">
        <v>1206</v>
      </c>
      <c r="W43" t="s">
        <v>1206</v>
      </c>
      <c r="X43" t="s">
        <v>1205</v>
      </c>
      <c r="Y43" t="s">
        <v>1205</v>
      </c>
      <c r="Z43" t="s">
        <v>1206</v>
      </c>
      <c r="AA43" t="s">
        <v>1206</v>
      </c>
      <c r="AB43" t="s">
        <v>1205</v>
      </c>
      <c r="AC43" t="s">
        <v>1206</v>
      </c>
      <c r="AD43" s="160" t="s">
        <v>1206</v>
      </c>
      <c r="AE43" s="160" t="s">
        <v>1206</v>
      </c>
      <c r="AF43" s="160" t="s">
        <v>1205</v>
      </c>
      <c r="AG43" s="160" t="s">
        <v>1205</v>
      </c>
      <c r="AH43" s="160" t="s">
        <v>1205</v>
      </c>
      <c r="AI43" s="160" t="s">
        <v>1229</v>
      </c>
      <c r="AJ43" s="160" t="s">
        <v>1206</v>
      </c>
      <c r="AK43" s="160" t="s">
        <v>1206</v>
      </c>
      <c r="AL43" s="160" t="s">
        <v>1205</v>
      </c>
    </row>
    <row r="44" spans="2:38" ht="15.75" customHeight="1" thickBot="1" x14ac:dyDescent="0.3">
      <c r="B44" s="127" t="s">
        <v>142</v>
      </c>
      <c r="C44" t="s">
        <v>1595</v>
      </c>
      <c r="D44" t="s">
        <v>1653</v>
      </c>
      <c r="E44" t="s">
        <v>1217</v>
      </c>
      <c r="F44" s="160" t="s">
        <v>72</v>
      </c>
      <c r="G44" s="160" t="s">
        <v>72</v>
      </c>
      <c r="H44" t="s">
        <v>1206</v>
      </c>
      <c r="I44" t="s">
        <v>1206</v>
      </c>
      <c r="J44" t="s">
        <v>1229</v>
      </c>
      <c r="K44" t="s">
        <v>1229</v>
      </c>
      <c r="L44" t="s">
        <v>1205</v>
      </c>
      <c r="M44" t="s">
        <v>1205</v>
      </c>
      <c r="N44" t="s">
        <v>1205</v>
      </c>
      <c r="O44" t="s">
        <v>1205</v>
      </c>
      <c r="P44" t="s">
        <v>1206</v>
      </c>
      <c r="Q44" t="s">
        <v>1206</v>
      </c>
      <c r="R44" t="s">
        <v>1205</v>
      </c>
      <c r="S44" t="s">
        <v>1205</v>
      </c>
      <c r="T44" t="s">
        <v>1205</v>
      </c>
      <c r="U44" t="s">
        <v>1206</v>
      </c>
      <c r="V44" t="s">
        <v>1205</v>
      </c>
      <c r="W44" t="s">
        <v>1206</v>
      </c>
      <c r="X44" t="s">
        <v>1206</v>
      </c>
      <c r="Y44" t="s">
        <v>1205</v>
      </c>
      <c r="Z44" t="s">
        <v>1206</v>
      </c>
      <c r="AA44" t="s">
        <v>1206</v>
      </c>
      <c r="AB44" t="s">
        <v>1206</v>
      </c>
      <c r="AC44" t="s">
        <v>1205</v>
      </c>
      <c r="AD44" s="160" t="s">
        <v>1206</v>
      </c>
      <c r="AE44" s="160" t="s">
        <v>1206</v>
      </c>
      <c r="AF44" s="160" t="s">
        <v>1206</v>
      </c>
      <c r="AG44" s="160" t="s">
        <v>1206</v>
      </c>
      <c r="AH44" s="160" t="s">
        <v>1206</v>
      </c>
      <c r="AI44" s="160" t="s">
        <v>1205</v>
      </c>
      <c r="AJ44" s="160" t="s">
        <v>1205</v>
      </c>
      <c r="AK44" s="160" t="s">
        <v>1206</v>
      </c>
      <c r="AL44" s="160" t="s">
        <v>1206</v>
      </c>
    </row>
    <row r="45" spans="2:38" ht="15.75" customHeight="1" thickBot="1" x14ac:dyDescent="0.3">
      <c r="B45" s="127" t="s">
        <v>142</v>
      </c>
      <c r="C45" t="s">
        <v>1596</v>
      </c>
      <c r="D45" t="s">
        <v>1619</v>
      </c>
      <c r="E45" t="s">
        <v>1556</v>
      </c>
      <c r="F45" s="160" t="s">
        <v>71</v>
      </c>
      <c r="G45" s="160" t="s">
        <v>72</v>
      </c>
      <c r="H45" t="s">
        <v>1206</v>
      </c>
      <c r="I45" t="s">
        <v>1205</v>
      </c>
      <c r="J45" t="s">
        <v>1205</v>
      </c>
      <c r="K45" t="s">
        <v>1205</v>
      </c>
      <c r="L45" t="s">
        <v>1205</v>
      </c>
      <c r="M45" t="s">
        <v>1206</v>
      </c>
      <c r="N45" t="s">
        <v>1205</v>
      </c>
      <c r="O45" t="s">
        <v>1206</v>
      </c>
      <c r="P45" t="s">
        <v>1205</v>
      </c>
      <c r="Q45" t="s">
        <v>1205</v>
      </c>
      <c r="R45" t="s">
        <v>1205</v>
      </c>
      <c r="S45" t="s">
        <v>1205</v>
      </c>
      <c r="T45" t="s">
        <v>1205</v>
      </c>
      <c r="U45" t="s">
        <v>1206</v>
      </c>
      <c r="V45" t="s">
        <v>1229</v>
      </c>
      <c r="W45" t="s">
        <v>1205</v>
      </c>
      <c r="X45" t="s">
        <v>1206</v>
      </c>
      <c r="Y45" t="s">
        <v>1205</v>
      </c>
      <c r="Z45" t="s">
        <v>1206</v>
      </c>
      <c r="AA45" t="s">
        <v>1229</v>
      </c>
      <c r="AB45" t="s">
        <v>1206</v>
      </c>
      <c r="AC45" t="s">
        <v>1206</v>
      </c>
      <c r="AD45" s="160" t="s">
        <v>1206</v>
      </c>
      <c r="AE45" s="160" t="s">
        <v>1206</v>
      </c>
      <c r="AF45" s="160" t="s">
        <v>1205</v>
      </c>
      <c r="AG45" s="160" t="s">
        <v>1205</v>
      </c>
      <c r="AH45" s="160" t="s">
        <v>1205</v>
      </c>
      <c r="AI45" s="160" t="s">
        <v>1229</v>
      </c>
      <c r="AJ45" s="160" t="s">
        <v>1206</v>
      </c>
      <c r="AK45" s="160" t="s">
        <v>1206</v>
      </c>
      <c r="AL45" s="160" t="s">
        <v>1205</v>
      </c>
    </row>
    <row r="46" spans="2:38" ht="15.75" customHeight="1" thickBot="1" x14ac:dyDescent="0.3">
      <c r="B46" s="127" t="s">
        <v>142</v>
      </c>
      <c r="C46" t="s">
        <v>1597</v>
      </c>
      <c r="D46" t="s">
        <v>1654</v>
      </c>
      <c r="E46" t="s">
        <v>93</v>
      </c>
      <c r="F46" s="160" t="s">
        <v>71</v>
      </c>
      <c r="G46" s="160" t="s">
        <v>72</v>
      </c>
      <c r="H46" t="s">
        <v>1206</v>
      </c>
      <c r="I46" t="s">
        <v>1206</v>
      </c>
      <c r="J46" t="s">
        <v>1206</v>
      </c>
      <c r="K46" t="s">
        <v>1205</v>
      </c>
      <c r="L46" t="s">
        <v>1206</v>
      </c>
      <c r="M46" t="s">
        <v>1205</v>
      </c>
      <c r="N46" t="s">
        <v>1205</v>
      </c>
      <c r="O46" t="s">
        <v>1206</v>
      </c>
      <c r="P46" t="s">
        <v>1206</v>
      </c>
      <c r="Q46" t="s">
        <v>1206</v>
      </c>
      <c r="R46" t="s">
        <v>1206</v>
      </c>
      <c r="S46" t="s">
        <v>1205</v>
      </c>
      <c r="T46" t="s">
        <v>1205</v>
      </c>
      <c r="U46" t="s">
        <v>1206</v>
      </c>
      <c r="V46" t="s">
        <v>1205</v>
      </c>
      <c r="W46" t="s">
        <v>1206</v>
      </c>
      <c r="X46" t="s">
        <v>1206</v>
      </c>
      <c r="Y46" t="s">
        <v>1206</v>
      </c>
      <c r="Z46" t="s">
        <v>1205</v>
      </c>
      <c r="AA46" t="s">
        <v>1206</v>
      </c>
      <c r="AB46" t="s">
        <v>1206</v>
      </c>
      <c r="AC46" t="s">
        <v>1205</v>
      </c>
      <c r="AD46" s="160" t="s">
        <v>1206</v>
      </c>
      <c r="AE46" s="160" t="s">
        <v>1206</v>
      </c>
      <c r="AF46" s="160" t="s">
        <v>1205</v>
      </c>
      <c r="AG46" s="160" t="s">
        <v>1205</v>
      </c>
      <c r="AH46" s="160" t="s">
        <v>1205</v>
      </c>
      <c r="AI46" s="160" t="s">
        <v>1206</v>
      </c>
      <c r="AJ46" s="160" t="s">
        <v>1206</v>
      </c>
      <c r="AK46" s="160" t="s">
        <v>1205</v>
      </c>
      <c r="AL46" s="160" t="s">
        <v>1206</v>
      </c>
    </row>
    <row r="47" spans="2:38" ht="15.75" customHeight="1" thickBot="1" x14ac:dyDescent="0.3">
      <c r="B47" s="127" t="s">
        <v>142</v>
      </c>
      <c r="C47" t="s">
        <v>1609</v>
      </c>
      <c r="D47" t="s">
        <v>1606</v>
      </c>
      <c r="E47" t="s">
        <v>1613</v>
      </c>
      <c r="F47" s="160" t="s">
        <v>71</v>
      </c>
      <c r="G47" s="160" t="s">
        <v>72</v>
      </c>
      <c r="H47" t="s">
        <v>1206</v>
      </c>
      <c r="I47" t="s">
        <v>1206</v>
      </c>
      <c r="J47" t="s">
        <v>1206</v>
      </c>
      <c r="K47" t="s">
        <v>1205</v>
      </c>
      <c r="L47" t="s">
        <v>1206</v>
      </c>
      <c r="M47" t="s">
        <v>1205</v>
      </c>
      <c r="N47" t="s">
        <v>1205</v>
      </c>
      <c r="O47" t="s">
        <v>1206</v>
      </c>
      <c r="P47" t="s">
        <v>1206</v>
      </c>
      <c r="Q47" t="s">
        <v>1205</v>
      </c>
      <c r="R47" t="s">
        <v>1206</v>
      </c>
      <c r="S47" t="s">
        <v>1205</v>
      </c>
      <c r="T47" t="s">
        <v>1205</v>
      </c>
      <c r="U47" t="s">
        <v>1229</v>
      </c>
      <c r="V47" t="s">
        <v>1206</v>
      </c>
      <c r="W47" t="s">
        <v>1205</v>
      </c>
      <c r="X47" t="s">
        <v>1206</v>
      </c>
      <c r="Y47" t="s">
        <v>1206</v>
      </c>
      <c r="Z47" t="s">
        <v>1206</v>
      </c>
      <c r="AA47" t="s">
        <v>1206</v>
      </c>
      <c r="AB47" t="s">
        <v>1205</v>
      </c>
      <c r="AC47" t="s">
        <v>1206</v>
      </c>
      <c r="AD47" s="160" t="s">
        <v>1206</v>
      </c>
      <c r="AE47" s="160" t="s">
        <v>1206</v>
      </c>
      <c r="AF47" s="160" t="s">
        <v>1205</v>
      </c>
      <c r="AG47" s="160" t="s">
        <v>1205</v>
      </c>
      <c r="AH47" s="160" t="s">
        <v>1205</v>
      </c>
      <c r="AI47" s="160" t="s">
        <v>1229</v>
      </c>
      <c r="AJ47" s="160" t="s">
        <v>1206</v>
      </c>
      <c r="AK47" s="160" t="s">
        <v>1206</v>
      </c>
      <c r="AL47" s="160" t="s">
        <v>1205</v>
      </c>
    </row>
    <row r="48" spans="2:38" ht="15.75" customHeight="1" thickBot="1" x14ac:dyDescent="0.3">
      <c r="B48" s="127" t="s">
        <v>142</v>
      </c>
      <c r="C48" t="s">
        <v>1611</v>
      </c>
      <c r="D48" t="s">
        <v>1605</v>
      </c>
      <c r="E48" t="s">
        <v>1614</v>
      </c>
      <c r="F48" s="160" t="s">
        <v>72</v>
      </c>
      <c r="G48" s="160" t="s">
        <v>72</v>
      </c>
      <c r="H48" t="s">
        <v>1206</v>
      </c>
      <c r="I48" t="s">
        <v>1205</v>
      </c>
      <c r="J48" t="s">
        <v>1205</v>
      </c>
      <c r="K48" t="s">
        <v>1206</v>
      </c>
      <c r="L48" t="s">
        <v>1206</v>
      </c>
      <c r="M48" t="s">
        <v>1205</v>
      </c>
      <c r="N48" t="s">
        <v>1206</v>
      </c>
      <c r="O48" t="s">
        <v>1206</v>
      </c>
      <c r="P48" t="s">
        <v>1205</v>
      </c>
      <c r="Q48" t="s">
        <v>1205</v>
      </c>
      <c r="R48" t="s">
        <v>1205</v>
      </c>
      <c r="S48" t="s">
        <v>1205</v>
      </c>
      <c r="T48" t="s">
        <v>1206</v>
      </c>
      <c r="U48" t="s">
        <v>1205</v>
      </c>
      <c r="V48" t="s">
        <v>1206</v>
      </c>
      <c r="W48" t="s">
        <v>1206</v>
      </c>
      <c r="X48" t="s">
        <v>1205</v>
      </c>
      <c r="Y48" t="s">
        <v>1205</v>
      </c>
      <c r="Z48" t="s">
        <v>1205</v>
      </c>
      <c r="AA48" t="s">
        <v>1206</v>
      </c>
      <c r="AB48" t="s">
        <v>1205</v>
      </c>
      <c r="AC48" t="s">
        <v>1206</v>
      </c>
      <c r="AD48" s="160" t="s">
        <v>1206</v>
      </c>
      <c r="AE48" s="160" t="s">
        <v>1206</v>
      </c>
      <c r="AF48" s="160" t="s">
        <v>1206</v>
      </c>
      <c r="AG48" s="160" t="s">
        <v>1205</v>
      </c>
      <c r="AH48" s="160" t="s">
        <v>1205</v>
      </c>
      <c r="AI48" s="160" t="s">
        <v>1206</v>
      </c>
      <c r="AJ48" s="160" t="s">
        <v>1205</v>
      </c>
      <c r="AK48" s="160" t="s">
        <v>1206</v>
      </c>
      <c r="AL48" s="160" t="s">
        <v>1206</v>
      </c>
    </row>
    <row r="49" spans="2:38" ht="15.75" customHeight="1" thickBot="1" x14ac:dyDescent="0.3">
      <c r="B49" s="127" t="s">
        <v>142</v>
      </c>
      <c r="C49" s="160" t="s">
        <v>1460</v>
      </c>
      <c r="D49" t="s">
        <v>1607</v>
      </c>
      <c r="E49" t="s">
        <v>1613</v>
      </c>
      <c r="F49" s="160" t="s">
        <v>72</v>
      </c>
      <c r="G49" s="160" t="s">
        <v>72</v>
      </c>
      <c r="H49" t="s">
        <v>1205</v>
      </c>
      <c r="I49" t="s">
        <v>1206</v>
      </c>
      <c r="J49" t="s">
        <v>1205</v>
      </c>
      <c r="K49" t="s">
        <v>1205</v>
      </c>
      <c r="L49" t="s">
        <v>1206</v>
      </c>
      <c r="M49" t="s">
        <v>1206</v>
      </c>
      <c r="N49" t="s">
        <v>1206</v>
      </c>
      <c r="O49" t="s">
        <v>1206</v>
      </c>
      <c r="P49" t="s">
        <v>1206</v>
      </c>
      <c r="Q49" t="s">
        <v>1206</v>
      </c>
      <c r="R49" t="s">
        <v>1206</v>
      </c>
      <c r="S49" t="s">
        <v>1206</v>
      </c>
      <c r="T49" t="s">
        <v>1206</v>
      </c>
      <c r="U49" t="s">
        <v>1206</v>
      </c>
      <c r="V49" t="s">
        <v>1205</v>
      </c>
      <c r="W49" t="s">
        <v>1205</v>
      </c>
      <c r="X49" t="s">
        <v>1205</v>
      </c>
      <c r="Y49" t="s">
        <v>1206</v>
      </c>
      <c r="Z49" t="s">
        <v>1206</v>
      </c>
      <c r="AA49" t="s">
        <v>1206</v>
      </c>
      <c r="AB49" t="s">
        <v>1205</v>
      </c>
      <c r="AC49" t="s">
        <v>1206</v>
      </c>
      <c r="AD49" s="160" t="s">
        <v>1206</v>
      </c>
      <c r="AE49" s="160" t="s">
        <v>1206</v>
      </c>
      <c r="AF49" s="160" t="s">
        <v>1205</v>
      </c>
      <c r="AG49" s="160" t="s">
        <v>1205</v>
      </c>
      <c r="AH49" s="160" t="s">
        <v>1205</v>
      </c>
      <c r="AI49" s="160" t="s">
        <v>1206</v>
      </c>
      <c r="AJ49" s="160" t="s">
        <v>1206</v>
      </c>
      <c r="AK49" s="160" t="s">
        <v>1206</v>
      </c>
      <c r="AL49" s="160" t="s">
        <v>1206</v>
      </c>
    </row>
    <row r="50" spans="2:38" ht="15.75" customHeight="1" thickBot="1" x14ac:dyDescent="0.3">
      <c r="B50" s="127" t="s">
        <v>142</v>
      </c>
      <c r="C50" s="160" t="s">
        <v>1464</v>
      </c>
      <c r="D50" t="s">
        <v>1608</v>
      </c>
      <c r="E50" t="s">
        <v>1620</v>
      </c>
      <c r="F50" s="160" t="s">
        <v>72</v>
      </c>
      <c r="G50" s="160" t="s">
        <v>72</v>
      </c>
      <c r="H50" t="s">
        <v>1205</v>
      </c>
      <c r="I50" t="s">
        <v>1205</v>
      </c>
      <c r="J50" t="s">
        <v>1205</v>
      </c>
      <c r="K50" t="s">
        <v>1205</v>
      </c>
      <c r="L50" t="s">
        <v>1205</v>
      </c>
      <c r="M50" t="s">
        <v>1205</v>
      </c>
      <c r="N50" t="s">
        <v>1206</v>
      </c>
      <c r="O50" t="s">
        <v>1206</v>
      </c>
      <c r="P50" t="s">
        <v>1206</v>
      </c>
      <c r="Q50" t="s">
        <v>1206</v>
      </c>
      <c r="R50" t="s">
        <v>1205</v>
      </c>
      <c r="S50" t="s">
        <v>1205</v>
      </c>
      <c r="T50" t="s">
        <v>1205</v>
      </c>
      <c r="U50" t="s">
        <v>1206</v>
      </c>
      <c r="V50" t="s">
        <v>1205</v>
      </c>
      <c r="W50" t="s">
        <v>1205</v>
      </c>
      <c r="X50" t="s">
        <v>1205</v>
      </c>
      <c r="Y50" t="s">
        <v>1205</v>
      </c>
      <c r="Z50" t="s">
        <v>1206</v>
      </c>
      <c r="AA50" t="s">
        <v>1206</v>
      </c>
      <c r="AB50" t="s">
        <v>1206</v>
      </c>
      <c r="AC50" t="s">
        <v>1206</v>
      </c>
      <c r="AD50" s="160" t="s">
        <v>1206</v>
      </c>
      <c r="AE50" s="160" t="s">
        <v>1206</v>
      </c>
      <c r="AF50" s="160" t="s">
        <v>1205</v>
      </c>
      <c r="AG50" s="160" t="s">
        <v>1205</v>
      </c>
      <c r="AH50" s="160" t="s">
        <v>1205</v>
      </c>
      <c r="AI50" s="160" t="s">
        <v>1229</v>
      </c>
      <c r="AJ50" s="160" t="s">
        <v>1206</v>
      </c>
      <c r="AK50" s="160" t="s">
        <v>1205</v>
      </c>
      <c r="AL50" s="160" t="s">
        <v>1205</v>
      </c>
    </row>
    <row r="51" spans="2:38" ht="15.75" customHeight="1" thickBot="1" x14ac:dyDescent="0.3">
      <c r="B51" s="127" t="s">
        <v>142</v>
      </c>
      <c r="C51" s="178" t="s">
        <v>1465</v>
      </c>
      <c r="D51" t="s">
        <v>1654</v>
      </c>
      <c r="E51" t="s">
        <v>1616</v>
      </c>
      <c r="F51" s="160" t="s">
        <v>72</v>
      </c>
      <c r="G51" s="160" t="s">
        <v>72</v>
      </c>
      <c r="H51" t="s">
        <v>1205</v>
      </c>
      <c r="I51" t="s">
        <v>1206</v>
      </c>
      <c r="J51" t="s">
        <v>1206</v>
      </c>
      <c r="K51" t="s">
        <v>1205</v>
      </c>
      <c r="L51" t="s">
        <v>1206</v>
      </c>
      <c r="M51" t="s">
        <v>1205</v>
      </c>
      <c r="N51" t="s">
        <v>1206</v>
      </c>
      <c r="O51" t="s">
        <v>1229</v>
      </c>
      <c r="P51" t="s">
        <v>1205</v>
      </c>
      <c r="Q51" t="s">
        <v>1206</v>
      </c>
      <c r="R51" t="s">
        <v>1206</v>
      </c>
      <c r="S51" t="s">
        <v>1206</v>
      </c>
      <c r="T51" t="s">
        <v>1206</v>
      </c>
      <c r="U51" t="s">
        <v>1205</v>
      </c>
      <c r="V51" t="s">
        <v>1205</v>
      </c>
      <c r="W51" t="s">
        <v>1206</v>
      </c>
      <c r="X51" t="s">
        <v>1206</v>
      </c>
      <c r="Y51" t="s">
        <v>1205</v>
      </c>
      <c r="Z51" t="s">
        <v>1206</v>
      </c>
      <c r="AA51" t="s">
        <v>1206</v>
      </c>
      <c r="AB51" t="s">
        <v>1205</v>
      </c>
      <c r="AC51" t="s">
        <v>1205</v>
      </c>
      <c r="AD51" s="160" t="s">
        <v>1206</v>
      </c>
      <c r="AE51" s="160" t="s">
        <v>1206</v>
      </c>
      <c r="AF51" s="160" t="s">
        <v>1205</v>
      </c>
      <c r="AG51" s="160" t="s">
        <v>1206</v>
      </c>
      <c r="AH51" s="160" t="s">
        <v>1205</v>
      </c>
      <c r="AI51" s="160" t="s">
        <v>1206</v>
      </c>
      <c r="AJ51" s="160" t="s">
        <v>1206</v>
      </c>
      <c r="AK51" s="160" t="s">
        <v>1206</v>
      </c>
      <c r="AL51" s="160" t="s">
        <v>1205</v>
      </c>
    </row>
    <row r="52" spans="2:38" ht="15.75" customHeight="1" thickBot="1" x14ac:dyDescent="0.3">
      <c r="B52" s="127" t="s">
        <v>142</v>
      </c>
      <c r="C52" s="178" t="s">
        <v>1466</v>
      </c>
      <c r="D52" t="s">
        <v>1652</v>
      </c>
      <c r="E52" t="s">
        <v>1617</v>
      </c>
      <c r="F52" s="160" t="s">
        <v>72</v>
      </c>
      <c r="G52" s="160" t="s">
        <v>72</v>
      </c>
      <c r="H52" t="s">
        <v>1205</v>
      </c>
      <c r="I52" t="s">
        <v>1205</v>
      </c>
      <c r="J52" t="s">
        <v>1205</v>
      </c>
      <c r="K52" t="s">
        <v>1206</v>
      </c>
      <c r="L52" t="s">
        <v>1206</v>
      </c>
      <c r="M52" t="s">
        <v>1205</v>
      </c>
      <c r="N52" t="s">
        <v>1206</v>
      </c>
      <c r="O52" t="s">
        <v>1206</v>
      </c>
      <c r="P52" t="s">
        <v>1206</v>
      </c>
      <c r="Q52" t="s">
        <v>1206</v>
      </c>
      <c r="R52" t="s">
        <v>1206</v>
      </c>
      <c r="S52" t="s">
        <v>1205</v>
      </c>
      <c r="T52" t="s">
        <v>1206</v>
      </c>
      <c r="U52" t="s">
        <v>1205</v>
      </c>
      <c r="V52" t="s">
        <v>1206</v>
      </c>
      <c r="W52" t="s">
        <v>1206</v>
      </c>
      <c r="X52" t="s">
        <v>1205</v>
      </c>
      <c r="Y52" t="s">
        <v>1205</v>
      </c>
      <c r="Z52" t="s">
        <v>1205</v>
      </c>
      <c r="AA52" t="s">
        <v>1206</v>
      </c>
      <c r="AB52" t="s">
        <v>1206</v>
      </c>
      <c r="AC52" t="s">
        <v>1205</v>
      </c>
      <c r="AD52" s="160" t="s">
        <v>1206</v>
      </c>
      <c r="AE52" s="160" t="s">
        <v>1206</v>
      </c>
      <c r="AF52" s="160" t="s">
        <v>1206</v>
      </c>
      <c r="AG52" s="160" t="s">
        <v>1205</v>
      </c>
      <c r="AH52" s="160" t="s">
        <v>1205</v>
      </c>
      <c r="AI52" s="160" t="s">
        <v>1229</v>
      </c>
      <c r="AJ52" s="160" t="s">
        <v>1206</v>
      </c>
      <c r="AK52" s="160" t="s">
        <v>1206</v>
      </c>
      <c r="AL52" s="160" t="s">
        <v>1206</v>
      </c>
    </row>
    <row r="53" spans="2:38" ht="15.75" customHeight="1" thickBot="1" x14ac:dyDescent="0.3">
      <c r="B53" s="127" t="s">
        <v>142</v>
      </c>
      <c r="C53" s="160" t="s">
        <v>1447</v>
      </c>
      <c r="D53" t="s">
        <v>1654</v>
      </c>
      <c r="E53" t="s">
        <v>1618</v>
      </c>
      <c r="F53" s="160" t="s">
        <v>72</v>
      </c>
      <c r="G53" s="160" t="s">
        <v>72</v>
      </c>
      <c r="H53" t="s">
        <v>1206</v>
      </c>
      <c r="I53" t="s">
        <v>1205</v>
      </c>
      <c r="J53" t="s">
        <v>1205</v>
      </c>
      <c r="K53" t="s">
        <v>1205</v>
      </c>
      <c r="L53" t="s">
        <v>1206</v>
      </c>
      <c r="M53" t="s">
        <v>1206</v>
      </c>
      <c r="N53" t="s">
        <v>1205</v>
      </c>
      <c r="O53" t="s">
        <v>1206</v>
      </c>
      <c r="P53" t="s">
        <v>1205</v>
      </c>
      <c r="Q53" t="s">
        <v>1205</v>
      </c>
      <c r="R53" t="s">
        <v>1205</v>
      </c>
      <c r="S53" t="s">
        <v>1205</v>
      </c>
      <c r="T53" t="s">
        <v>1206</v>
      </c>
      <c r="U53" t="s">
        <v>1206</v>
      </c>
      <c r="V53" t="s">
        <v>1229</v>
      </c>
      <c r="W53" t="s">
        <v>1206</v>
      </c>
      <c r="X53" t="s">
        <v>1205</v>
      </c>
      <c r="Y53" t="s">
        <v>1206</v>
      </c>
      <c r="Z53" t="s">
        <v>1205</v>
      </c>
      <c r="AA53" t="s">
        <v>1206</v>
      </c>
      <c r="AB53" t="s">
        <v>1206</v>
      </c>
      <c r="AC53" t="s">
        <v>1205</v>
      </c>
      <c r="AD53" s="160" t="s">
        <v>1206</v>
      </c>
      <c r="AE53" s="160" t="s">
        <v>1206</v>
      </c>
      <c r="AF53" s="160" t="s">
        <v>1205</v>
      </c>
      <c r="AG53" s="160" t="s">
        <v>1205</v>
      </c>
      <c r="AH53" s="160" t="s">
        <v>1205</v>
      </c>
      <c r="AI53" s="160" t="s">
        <v>1205</v>
      </c>
      <c r="AJ53" s="160" t="s">
        <v>1206</v>
      </c>
      <c r="AK53" s="160" t="s">
        <v>1206</v>
      </c>
      <c r="AL53" s="160" t="s">
        <v>1205</v>
      </c>
    </row>
    <row r="54" spans="2:38" ht="15.75" customHeight="1" thickBot="1" x14ac:dyDescent="0.3">
      <c r="B54" s="127" t="s">
        <v>142</v>
      </c>
      <c r="C54" s="160" t="s">
        <v>1450</v>
      </c>
      <c r="D54" t="s">
        <v>1610</v>
      </c>
      <c r="E54" t="s">
        <v>1619</v>
      </c>
      <c r="F54" s="160" t="s">
        <v>72</v>
      </c>
      <c r="G54" s="160" t="s">
        <v>72</v>
      </c>
      <c r="H54" t="s">
        <v>1205</v>
      </c>
      <c r="I54" t="s">
        <v>1205</v>
      </c>
      <c r="J54" t="s">
        <v>1205</v>
      </c>
      <c r="K54" t="s">
        <v>1206</v>
      </c>
      <c r="L54" t="s">
        <v>1205</v>
      </c>
      <c r="M54" t="s">
        <v>1206</v>
      </c>
      <c r="N54" t="s">
        <v>1206</v>
      </c>
      <c r="O54" t="s">
        <v>1206</v>
      </c>
      <c r="P54" t="s">
        <v>1206</v>
      </c>
      <c r="Q54" t="s">
        <v>1206</v>
      </c>
      <c r="R54" t="s">
        <v>1205</v>
      </c>
      <c r="S54" t="s">
        <v>1205</v>
      </c>
      <c r="T54" t="s">
        <v>1229</v>
      </c>
      <c r="U54" t="s">
        <v>1206</v>
      </c>
      <c r="V54" t="s">
        <v>1206</v>
      </c>
      <c r="W54" t="s">
        <v>1205</v>
      </c>
      <c r="X54" t="s">
        <v>1206</v>
      </c>
      <c r="Y54" t="s">
        <v>1205</v>
      </c>
      <c r="Z54" t="s">
        <v>1205</v>
      </c>
      <c r="AA54" t="s">
        <v>1206</v>
      </c>
      <c r="AB54" t="s">
        <v>1205</v>
      </c>
      <c r="AC54" t="s">
        <v>1205</v>
      </c>
      <c r="AD54" s="160" t="s">
        <v>1206</v>
      </c>
      <c r="AE54" s="160" t="s">
        <v>1206</v>
      </c>
      <c r="AF54" s="160" t="s">
        <v>1205</v>
      </c>
      <c r="AG54" s="160" t="s">
        <v>1205</v>
      </c>
      <c r="AH54" s="160" t="s">
        <v>1205</v>
      </c>
      <c r="AI54" s="160" t="s">
        <v>1229</v>
      </c>
      <c r="AJ54" s="160" t="s">
        <v>1205</v>
      </c>
      <c r="AK54" s="160" t="s">
        <v>1205</v>
      </c>
      <c r="AL54" s="160" t="s">
        <v>1206</v>
      </c>
    </row>
    <row r="55" spans="2:38" ht="15.75" customHeight="1" thickBot="1" x14ac:dyDescent="0.3">
      <c r="B55" s="127" t="s">
        <v>142</v>
      </c>
      <c r="C55" s="160" t="s">
        <v>1451</v>
      </c>
      <c r="D55" t="s">
        <v>1616</v>
      </c>
      <c r="E55" t="s">
        <v>1613</v>
      </c>
      <c r="F55" s="160" t="s">
        <v>72</v>
      </c>
      <c r="G55" s="160" t="s">
        <v>72</v>
      </c>
      <c r="H55" t="s">
        <v>1205</v>
      </c>
      <c r="I55" t="s">
        <v>1206</v>
      </c>
      <c r="J55" t="s">
        <v>1206</v>
      </c>
      <c r="K55" t="s">
        <v>1206</v>
      </c>
      <c r="L55" t="s">
        <v>1206</v>
      </c>
      <c r="M55" t="s">
        <v>1205</v>
      </c>
      <c r="N55" t="s">
        <v>1206</v>
      </c>
      <c r="O55" t="s">
        <v>1205</v>
      </c>
      <c r="P55" t="s">
        <v>1205</v>
      </c>
      <c r="Q55" t="s">
        <v>1205</v>
      </c>
      <c r="R55" t="s">
        <v>1206</v>
      </c>
      <c r="S55" t="s">
        <v>1206</v>
      </c>
      <c r="T55" t="s">
        <v>1206</v>
      </c>
      <c r="U55" t="s">
        <v>1205</v>
      </c>
      <c r="V55" t="s">
        <v>1206</v>
      </c>
      <c r="W55" t="s">
        <v>1205</v>
      </c>
      <c r="X55" t="s">
        <v>1205</v>
      </c>
      <c r="Y55" t="s">
        <v>1205</v>
      </c>
      <c r="Z55" t="s">
        <v>1206</v>
      </c>
      <c r="AA55" t="s">
        <v>1205</v>
      </c>
      <c r="AB55" t="s">
        <v>1205</v>
      </c>
      <c r="AC55" t="s">
        <v>1206</v>
      </c>
      <c r="AD55" s="160" t="s">
        <v>1206</v>
      </c>
      <c r="AE55" s="160" t="s">
        <v>1206</v>
      </c>
      <c r="AF55" s="160" t="s">
        <v>1205</v>
      </c>
      <c r="AG55" s="160" t="s">
        <v>1205</v>
      </c>
      <c r="AH55" s="160" t="s">
        <v>1205</v>
      </c>
      <c r="AI55" s="160" t="s">
        <v>1206</v>
      </c>
      <c r="AJ55" s="160" t="s">
        <v>1206</v>
      </c>
      <c r="AK55" s="160" t="s">
        <v>1206</v>
      </c>
      <c r="AL55" s="160" t="s">
        <v>1205</v>
      </c>
    </row>
    <row r="56" spans="2:38" ht="15.75" customHeight="1" thickBot="1" x14ac:dyDescent="0.3">
      <c r="B56" s="127" t="s">
        <v>142</v>
      </c>
      <c r="C56" s="160" t="s">
        <v>1459</v>
      </c>
      <c r="D56" t="s">
        <v>1652</v>
      </c>
      <c r="E56" t="s">
        <v>1615</v>
      </c>
      <c r="F56" s="160" t="s">
        <v>72</v>
      </c>
      <c r="G56" s="160" t="s">
        <v>72</v>
      </c>
      <c r="H56" t="s">
        <v>1205</v>
      </c>
      <c r="I56" t="s">
        <v>1206</v>
      </c>
      <c r="J56" t="s">
        <v>1205</v>
      </c>
      <c r="K56" t="s">
        <v>1206</v>
      </c>
      <c r="L56" t="s">
        <v>1206</v>
      </c>
      <c r="M56" t="s">
        <v>1205</v>
      </c>
      <c r="N56" t="s">
        <v>1205</v>
      </c>
      <c r="O56" t="s">
        <v>1206</v>
      </c>
      <c r="P56" t="s">
        <v>1229</v>
      </c>
      <c r="Q56" t="s">
        <v>1206</v>
      </c>
      <c r="R56" t="s">
        <v>1205</v>
      </c>
      <c r="S56" t="s">
        <v>1206</v>
      </c>
      <c r="T56" t="s">
        <v>1206</v>
      </c>
      <c r="U56" t="s">
        <v>1205</v>
      </c>
      <c r="V56" t="s">
        <v>1206</v>
      </c>
      <c r="W56" t="s">
        <v>1206</v>
      </c>
      <c r="X56" t="s">
        <v>1205</v>
      </c>
      <c r="Y56" t="s">
        <v>1205</v>
      </c>
      <c r="Z56" t="s">
        <v>1206</v>
      </c>
      <c r="AA56" t="s">
        <v>1205</v>
      </c>
      <c r="AB56" t="s">
        <v>1206</v>
      </c>
      <c r="AC56" t="s">
        <v>1205</v>
      </c>
      <c r="AD56" s="160" t="s">
        <v>1206</v>
      </c>
      <c r="AE56" s="160" t="s">
        <v>1206</v>
      </c>
      <c r="AF56" s="160" t="s">
        <v>1205</v>
      </c>
      <c r="AG56" s="160" t="s">
        <v>1205</v>
      </c>
      <c r="AH56" s="160" t="s">
        <v>1205</v>
      </c>
      <c r="AI56" s="160" t="s">
        <v>1229</v>
      </c>
      <c r="AJ56" s="160" t="s">
        <v>1206</v>
      </c>
      <c r="AK56" s="160" t="s">
        <v>1206</v>
      </c>
      <c r="AL56" s="160" t="s">
        <v>1205</v>
      </c>
    </row>
    <row r="57" spans="2:38" ht="15.75" customHeight="1" thickBot="1" x14ac:dyDescent="0.3">
      <c r="B57" s="127" t="s">
        <v>142</v>
      </c>
      <c r="C57" s="160" t="s">
        <v>1453</v>
      </c>
      <c r="D57" t="s">
        <v>1612</v>
      </c>
      <c r="E57" t="s">
        <v>1616</v>
      </c>
      <c r="F57" s="160" t="s">
        <v>72</v>
      </c>
      <c r="G57" s="160" t="s">
        <v>72</v>
      </c>
      <c r="H57" t="s">
        <v>1206</v>
      </c>
      <c r="I57" t="s">
        <v>1206</v>
      </c>
      <c r="J57" t="s">
        <v>1205</v>
      </c>
      <c r="K57" t="s">
        <v>1205</v>
      </c>
      <c r="L57" t="s">
        <v>1206</v>
      </c>
      <c r="M57" t="s">
        <v>1205</v>
      </c>
      <c r="N57" t="s">
        <v>1206</v>
      </c>
      <c r="O57" t="s">
        <v>1205</v>
      </c>
      <c r="P57" t="s">
        <v>1206</v>
      </c>
      <c r="Q57" t="s">
        <v>1205</v>
      </c>
      <c r="R57" t="s">
        <v>1205</v>
      </c>
      <c r="S57" t="s">
        <v>1205</v>
      </c>
      <c r="T57" t="s">
        <v>1206</v>
      </c>
      <c r="U57" t="s">
        <v>1206</v>
      </c>
      <c r="V57" t="s">
        <v>1205</v>
      </c>
      <c r="W57" t="s">
        <v>1206</v>
      </c>
      <c r="X57" t="s">
        <v>1206</v>
      </c>
      <c r="Y57" t="s">
        <v>1206</v>
      </c>
      <c r="Z57" t="s">
        <v>1205</v>
      </c>
      <c r="AA57" t="s">
        <v>1206</v>
      </c>
      <c r="AB57" t="s">
        <v>1229</v>
      </c>
      <c r="AC57" t="s">
        <v>1205</v>
      </c>
      <c r="AD57" s="160" t="s">
        <v>1206</v>
      </c>
      <c r="AE57" s="160" t="s">
        <v>1206</v>
      </c>
      <c r="AF57" s="160" t="s">
        <v>1205</v>
      </c>
      <c r="AG57" s="160" t="s">
        <v>1205</v>
      </c>
      <c r="AH57" s="160" t="s">
        <v>1205</v>
      </c>
      <c r="AI57" s="160" t="s">
        <v>1206</v>
      </c>
      <c r="AJ57" s="160" t="s">
        <v>1205</v>
      </c>
      <c r="AK57" s="160" t="s">
        <v>1206</v>
      </c>
      <c r="AL57" s="160" t="s">
        <v>1205</v>
      </c>
    </row>
    <row r="58" spans="2:38" ht="15.75" customHeight="1" thickBot="1" x14ac:dyDescent="0.3">
      <c r="B58" s="127" t="s">
        <v>142</v>
      </c>
      <c r="C58" s="178" t="s">
        <v>1462</v>
      </c>
      <c r="D58" t="s">
        <v>1655</v>
      </c>
      <c r="E58" t="s">
        <v>1613</v>
      </c>
      <c r="F58" s="160" t="s">
        <v>72</v>
      </c>
      <c r="G58" s="160" t="s">
        <v>72</v>
      </c>
      <c r="H58" t="s">
        <v>1206</v>
      </c>
      <c r="I58" t="s">
        <v>1205</v>
      </c>
      <c r="J58" t="s">
        <v>1206</v>
      </c>
      <c r="K58" t="s">
        <v>1205</v>
      </c>
      <c r="L58" t="s">
        <v>1206</v>
      </c>
      <c r="M58" t="s">
        <v>1205</v>
      </c>
      <c r="N58" t="s">
        <v>1205</v>
      </c>
      <c r="O58" t="s">
        <v>1206</v>
      </c>
      <c r="P58" t="s">
        <v>1205</v>
      </c>
      <c r="Q58" t="s">
        <v>1206</v>
      </c>
      <c r="R58" t="s">
        <v>1205</v>
      </c>
      <c r="S58" t="s">
        <v>1205</v>
      </c>
      <c r="T58" t="s">
        <v>1206</v>
      </c>
      <c r="U58" t="s">
        <v>1206</v>
      </c>
      <c r="V58" t="s">
        <v>1229</v>
      </c>
      <c r="W58" t="s">
        <v>1206</v>
      </c>
      <c r="X58" t="s">
        <v>1206</v>
      </c>
      <c r="Y58" t="s">
        <v>1205</v>
      </c>
      <c r="Z58" t="s">
        <v>1205</v>
      </c>
      <c r="AA58" t="s">
        <v>1205</v>
      </c>
      <c r="AB58" t="s">
        <v>1206</v>
      </c>
      <c r="AC58" t="s">
        <v>1205</v>
      </c>
      <c r="AD58" s="160" t="s">
        <v>1206</v>
      </c>
      <c r="AE58" s="160" t="s">
        <v>1206</v>
      </c>
      <c r="AF58" s="160" t="s">
        <v>1229</v>
      </c>
      <c r="AG58" s="160" t="s">
        <v>1205</v>
      </c>
      <c r="AH58" s="160" t="s">
        <v>1229</v>
      </c>
      <c r="AI58" s="160" t="s">
        <v>1206</v>
      </c>
      <c r="AJ58" s="160" t="s">
        <v>1206</v>
      </c>
      <c r="AK58" s="160" t="s">
        <v>1205</v>
      </c>
      <c r="AL58" s="160" t="s">
        <v>1205</v>
      </c>
    </row>
    <row r="59" spans="2:38" ht="15.75" customHeight="1" thickBot="1" x14ac:dyDescent="0.3">
      <c r="B59" s="127" t="s">
        <v>142</v>
      </c>
      <c r="C59" s="160" t="s">
        <v>1463</v>
      </c>
      <c r="D59" t="s">
        <v>1652</v>
      </c>
      <c r="E59" t="s">
        <v>1615</v>
      </c>
      <c r="F59" s="160" t="s">
        <v>72</v>
      </c>
      <c r="G59" s="160" t="s">
        <v>72</v>
      </c>
      <c r="H59" t="s">
        <v>1205</v>
      </c>
      <c r="I59" t="s">
        <v>1206</v>
      </c>
      <c r="J59" t="s">
        <v>1205</v>
      </c>
      <c r="K59" t="s">
        <v>1205</v>
      </c>
      <c r="L59" t="s">
        <v>1206</v>
      </c>
      <c r="M59" t="s">
        <v>1205</v>
      </c>
      <c r="N59" t="s">
        <v>1205</v>
      </c>
      <c r="O59" t="s">
        <v>1206</v>
      </c>
      <c r="P59" t="s">
        <v>1206</v>
      </c>
      <c r="Q59" t="s">
        <v>1205</v>
      </c>
      <c r="R59" t="s">
        <v>1206</v>
      </c>
      <c r="S59" t="s">
        <v>1205</v>
      </c>
      <c r="T59" t="s">
        <v>1206</v>
      </c>
      <c r="U59" t="s">
        <v>1205</v>
      </c>
      <c r="V59" t="s">
        <v>1206</v>
      </c>
      <c r="W59" t="s">
        <v>1205</v>
      </c>
      <c r="X59" t="s">
        <v>1206</v>
      </c>
      <c r="Y59" t="s">
        <v>1206</v>
      </c>
      <c r="Z59" t="s">
        <v>1205</v>
      </c>
      <c r="AA59" t="s">
        <v>1206</v>
      </c>
      <c r="AB59" t="s">
        <v>1206</v>
      </c>
      <c r="AC59" t="s">
        <v>1205</v>
      </c>
      <c r="AD59" s="160" t="s">
        <v>1206</v>
      </c>
      <c r="AE59" s="160" t="s">
        <v>1206</v>
      </c>
      <c r="AF59" s="160" t="s">
        <v>1205</v>
      </c>
      <c r="AG59" s="160" t="s">
        <v>1205</v>
      </c>
      <c r="AH59" s="160" t="s">
        <v>1205</v>
      </c>
      <c r="AI59" s="160" t="s">
        <v>1229</v>
      </c>
      <c r="AJ59" s="160" t="s">
        <v>1206</v>
      </c>
      <c r="AK59" s="160" t="s">
        <v>1206</v>
      </c>
      <c r="AL59" s="160" t="s">
        <v>1206</v>
      </c>
    </row>
    <row r="60" spans="2:38" ht="15.75" customHeight="1" thickBot="1" x14ac:dyDescent="0.3">
      <c r="B60" s="127" t="s">
        <v>142</v>
      </c>
      <c r="C60" s="160" t="s">
        <v>1460</v>
      </c>
      <c r="D60" t="s">
        <v>1654</v>
      </c>
      <c r="E60" t="s">
        <v>1616</v>
      </c>
      <c r="F60" s="160" t="s">
        <v>72</v>
      </c>
      <c r="G60" s="160" t="s">
        <v>72</v>
      </c>
      <c r="H60" t="s">
        <v>1205</v>
      </c>
      <c r="I60" t="s">
        <v>1205</v>
      </c>
      <c r="J60" t="s">
        <v>1205</v>
      </c>
      <c r="K60" t="s">
        <v>1206</v>
      </c>
      <c r="L60" t="s">
        <v>1206</v>
      </c>
      <c r="M60" t="s">
        <v>1205</v>
      </c>
      <c r="N60" t="s">
        <v>1206</v>
      </c>
      <c r="O60" t="s">
        <v>1229</v>
      </c>
      <c r="P60" t="s">
        <v>1205</v>
      </c>
      <c r="Q60" t="s">
        <v>1206</v>
      </c>
      <c r="R60" t="s">
        <v>1205</v>
      </c>
      <c r="S60" t="s">
        <v>1205</v>
      </c>
      <c r="T60" t="s">
        <v>1205</v>
      </c>
      <c r="U60" t="s">
        <v>1205</v>
      </c>
      <c r="V60" t="s">
        <v>1205</v>
      </c>
      <c r="W60" t="s">
        <v>1206</v>
      </c>
      <c r="X60" t="s">
        <v>1205</v>
      </c>
      <c r="Y60" t="s">
        <v>1206</v>
      </c>
      <c r="Z60" t="s">
        <v>1206</v>
      </c>
      <c r="AA60" t="s">
        <v>1205</v>
      </c>
      <c r="AB60" t="s">
        <v>1205</v>
      </c>
      <c r="AC60" t="s">
        <v>1206</v>
      </c>
      <c r="AD60" s="160" t="s">
        <v>1206</v>
      </c>
      <c r="AE60" s="160" t="s">
        <v>1206</v>
      </c>
      <c r="AF60" s="160" t="s">
        <v>1205</v>
      </c>
      <c r="AG60" s="160" t="s">
        <v>1229</v>
      </c>
      <c r="AH60" s="160" t="s">
        <v>1205</v>
      </c>
      <c r="AI60" s="160" t="s">
        <v>1229</v>
      </c>
      <c r="AJ60" s="160" t="s">
        <v>1205</v>
      </c>
      <c r="AK60" s="160" t="s">
        <v>1206</v>
      </c>
      <c r="AL60" s="160" t="s">
        <v>1205</v>
      </c>
    </row>
    <row r="61" spans="2:38" ht="15.75" customHeight="1" thickBot="1" x14ac:dyDescent="0.3">
      <c r="B61" s="127" t="s">
        <v>142</v>
      </c>
      <c r="C61" s="160" t="s">
        <v>1464</v>
      </c>
      <c r="D61" t="s">
        <v>1653</v>
      </c>
      <c r="E61" t="s">
        <v>1617</v>
      </c>
      <c r="F61" s="160" t="s">
        <v>72</v>
      </c>
      <c r="G61" s="160" t="s">
        <v>72</v>
      </c>
      <c r="H61" t="s">
        <v>1205</v>
      </c>
      <c r="I61" t="s">
        <v>1205</v>
      </c>
      <c r="J61" t="s">
        <v>1205</v>
      </c>
      <c r="K61" t="s">
        <v>1205</v>
      </c>
      <c r="L61" t="s">
        <v>1205</v>
      </c>
      <c r="M61" t="s">
        <v>1205</v>
      </c>
      <c r="N61" t="s">
        <v>1205</v>
      </c>
      <c r="O61" t="s">
        <v>1206</v>
      </c>
      <c r="P61" t="s">
        <v>1206</v>
      </c>
      <c r="Q61" t="s">
        <v>1205</v>
      </c>
      <c r="R61" t="s">
        <v>1206</v>
      </c>
      <c r="S61" t="s">
        <v>1206</v>
      </c>
      <c r="T61" t="s">
        <v>1206</v>
      </c>
      <c r="U61" t="s">
        <v>1229</v>
      </c>
      <c r="V61" t="s">
        <v>1205</v>
      </c>
      <c r="W61" t="s">
        <v>1205</v>
      </c>
      <c r="X61" t="s">
        <v>1205</v>
      </c>
      <c r="Y61" t="s">
        <v>1205</v>
      </c>
      <c r="Z61" t="s">
        <v>1206</v>
      </c>
      <c r="AA61" t="s">
        <v>1206</v>
      </c>
      <c r="AB61" t="s">
        <v>1205</v>
      </c>
      <c r="AC61" t="s">
        <v>1205</v>
      </c>
      <c r="AD61" s="160" t="s">
        <v>1206</v>
      </c>
      <c r="AE61" s="160" t="s">
        <v>1206</v>
      </c>
      <c r="AF61" s="160" t="s">
        <v>1205</v>
      </c>
      <c r="AG61" s="160" t="s">
        <v>1205</v>
      </c>
      <c r="AH61" s="160" t="s">
        <v>1205</v>
      </c>
      <c r="AI61" s="160" t="s">
        <v>1206</v>
      </c>
      <c r="AJ61" s="160" t="s">
        <v>1206</v>
      </c>
      <c r="AK61" s="160" t="s">
        <v>1205</v>
      </c>
      <c r="AL61" s="160" t="s">
        <v>1205</v>
      </c>
    </row>
    <row r="62" spans="2:38" ht="15.75" customHeight="1" thickBot="1" x14ac:dyDescent="0.3">
      <c r="B62" s="127" t="s">
        <v>142</v>
      </c>
      <c r="C62" s="178" t="s">
        <v>1465</v>
      </c>
      <c r="D62" t="s">
        <v>1654</v>
      </c>
      <c r="E62" t="s">
        <v>1618</v>
      </c>
      <c r="F62" s="160" t="s">
        <v>72</v>
      </c>
      <c r="G62" s="160" t="s">
        <v>72</v>
      </c>
      <c r="H62" t="s">
        <v>1205</v>
      </c>
      <c r="I62" t="s">
        <v>1206</v>
      </c>
      <c r="J62" t="s">
        <v>1205</v>
      </c>
      <c r="K62" t="s">
        <v>1205</v>
      </c>
      <c r="L62" t="s">
        <v>1205</v>
      </c>
      <c r="M62" t="s">
        <v>1205</v>
      </c>
      <c r="N62" t="s">
        <v>1205</v>
      </c>
      <c r="O62" t="s">
        <v>1206</v>
      </c>
      <c r="P62" t="s">
        <v>1206</v>
      </c>
      <c r="Q62" t="s">
        <v>1206</v>
      </c>
      <c r="R62" t="s">
        <v>1206</v>
      </c>
      <c r="S62" t="s">
        <v>1205</v>
      </c>
      <c r="T62" t="s">
        <v>1206</v>
      </c>
      <c r="U62" t="s">
        <v>1205</v>
      </c>
      <c r="V62" t="s">
        <v>1206</v>
      </c>
      <c r="W62" t="s">
        <v>1205</v>
      </c>
      <c r="X62" t="s">
        <v>1206</v>
      </c>
      <c r="Y62" t="s">
        <v>1205</v>
      </c>
      <c r="Z62" t="s">
        <v>1206</v>
      </c>
      <c r="AA62" t="s">
        <v>1206</v>
      </c>
      <c r="AB62" t="s">
        <v>1205</v>
      </c>
      <c r="AC62" t="s">
        <v>1205</v>
      </c>
      <c r="AD62" s="160" t="s">
        <v>1206</v>
      </c>
      <c r="AE62" s="160" t="s">
        <v>1206</v>
      </c>
      <c r="AF62" s="160" t="s">
        <v>1229</v>
      </c>
      <c r="AG62" s="160" t="s">
        <v>1205</v>
      </c>
      <c r="AH62" s="160" t="s">
        <v>1229</v>
      </c>
      <c r="AI62" s="160" t="s">
        <v>1229</v>
      </c>
      <c r="AJ62" s="160" t="s">
        <v>1206</v>
      </c>
      <c r="AK62" s="160" t="s">
        <v>1206</v>
      </c>
      <c r="AL62" s="160" t="s">
        <v>1206</v>
      </c>
    </row>
    <row r="63" spans="2:38" ht="15.75" customHeight="1" thickBot="1" x14ac:dyDescent="0.3">
      <c r="B63" s="127" t="s">
        <v>142</v>
      </c>
      <c r="C63" s="178" t="s">
        <v>1466</v>
      </c>
      <c r="D63" t="s">
        <v>1619</v>
      </c>
      <c r="E63" t="s">
        <v>1619</v>
      </c>
      <c r="F63" s="160" t="s">
        <v>72</v>
      </c>
      <c r="G63" s="160" t="s">
        <v>72</v>
      </c>
      <c r="H63" t="s">
        <v>1205</v>
      </c>
      <c r="I63" t="s">
        <v>1206</v>
      </c>
      <c r="J63" t="s">
        <v>1206</v>
      </c>
      <c r="K63" t="s">
        <v>1206</v>
      </c>
      <c r="L63" t="s">
        <v>1205</v>
      </c>
      <c r="M63" t="s">
        <v>1206</v>
      </c>
      <c r="N63" t="s">
        <v>1205</v>
      </c>
      <c r="O63" t="s">
        <v>1229</v>
      </c>
      <c r="P63" t="s">
        <v>1206</v>
      </c>
      <c r="Q63" t="s">
        <v>1205</v>
      </c>
      <c r="R63" t="s">
        <v>1205</v>
      </c>
      <c r="S63" t="s">
        <v>1205</v>
      </c>
      <c r="T63" t="s">
        <v>1206</v>
      </c>
      <c r="U63" t="s">
        <v>1205</v>
      </c>
      <c r="V63" t="s">
        <v>1205</v>
      </c>
      <c r="W63" t="s">
        <v>1206</v>
      </c>
      <c r="X63" t="s">
        <v>1206</v>
      </c>
      <c r="Y63" t="s">
        <v>1206</v>
      </c>
      <c r="Z63" t="s">
        <v>1206</v>
      </c>
      <c r="AA63" t="s">
        <v>1205</v>
      </c>
      <c r="AB63" t="s">
        <v>1205</v>
      </c>
      <c r="AC63" t="s">
        <v>1206</v>
      </c>
      <c r="AD63" s="160" t="s">
        <v>1206</v>
      </c>
      <c r="AE63" s="160" t="s">
        <v>1206</v>
      </c>
      <c r="AF63" s="160" t="s">
        <v>1205</v>
      </c>
      <c r="AG63" s="160" t="s">
        <v>1205</v>
      </c>
      <c r="AH63" s="160" t="s">
        <v>1205</v>
      </c>
      <c r="AI63" s="160" t="s">
        <v>1206</v>
      </c>
      <c r="AJ63" s="160" t="s">
        <v>1205</v>
      </c>
      <c r="AK63" s="160" t="s">
        <v>1206</v>
      </c>
      <c r="AL63" s="160" t="s">
        <v>1206</v>
      </c>
    </row>
    <row r="64" spans="2:38" ht="15.75" customHeight="1" thickBot="1" x14ac:dyDescent="0.3">
      <c r="B64" s="127" t="s">
        <v>1195</v>
      </c>
      <c r="C64" s="160" t="s">
        <v>1546</v>
      </c>
      <c r="D64" t="s">
        <v>1654</v>
      </c>
      <c r="E64" s="160" t="s">
        <v>74</v>
      </c>
      <c r="F64" s="160" t="s">
        <v>72</v>
      </c>
      <c r="G64" s="160" t="s">
        <v>72</v>
      </c>
      <c r="H64" t="s">
        <v>1205</v>
      </c>
      <c r="I64" t="s">
        <v>1205</v>
      </c>
      <c r="J64" t="s">
        <v>1205</v>
      </c>
      <c r="K64" t="s">
        <v>1206</v>
      </c>
      <c r="L64" t="s">
        <v>1205</v>
      </c>
      <c r="M64" t="s">
        <v>1206</v>
      </c>
      <c r="N64" t="s">
        <v>1205</v>
      </c>
      <c r="O64" t="s">
        <v>1229</v>
      </c>
      <c r="P64" t="s">
        <v>1206</v>
      </c>
      <c r="Q64" t="s">
        <v>1205</v>
      </c>
      <c r="R64" t="s">
        <v>1205</v>
      </c>
      <c r="S64" t="s">
        <v>1205</v>
      </c>
      <c r="T64" t="s">
        <v>1206</v>
      </c>
      <c r="U64" t="s">
        <v>1205</v>
      </c>
      <c r="V64" t="s">
        <v>1205</v>
      </c>
      <c r="W64" t="s">
        <v>1206</v>
      </c>
      <c r="X64" t="s">
        <v>1206</v>
      </c>
      <c r="Y64" t="s">
        <v>1206</v>
      </c>
      <c r="Z64" t="s">
        <v>1206</v>
      </c>
      <c r="AA64" t="s">
        <v>1205</v>
      </c>
      <c r="AB64" t="s">
        <v>1205</v>
      </c>
      <c r="AC64" t="s">
        <v>1206</v>
      </c>
      <c r="AD64" s="160" t="s">
        <v>1206</v>
      </c>
      <c r="AE64" s="160" t="s">
        <v>1206</v>
      </c>
      <c r="AF64" s="160" t="s">
        <v>1205</v>
      </c>
      <c r="AG64" s="160" t="s">
        <v>1205</v>
      </c>
      <c r="AH64" s="160" t="s">
        <v>1205</v>
      </c>
      <c r="AI64" s="160" t="s">
        <v>1229</v>
      </c>
      <c r="AJ64" s="160" t="s">
        <v>1206</v>
      </c>
      <c r="AK64" s="160" t="s">
        <v>1206</v>
      </c>
      <c r="AL64" s="160" t="s">
        <v>1206</v>
      </c>
    </row>
    <row r="65" spans="1:39" ht="15.75" customHeight="1" thickBot="1" x14ac:dyDescent="0.3">
      <c r="B65" s="127" t="s">
        <v>127</v>
      </c>
      <c r="C65" s="178" t="s">
        <v>1547</v>
      </c>
      <c r="D65" s="160" t="s">
        <v>1552</v>
      </c>
      <c r="E65" s="160" t="s">
        <v>1555</v>
      </c>
      <c r="F65" s="160" t="s">
        <v>72</v>
      </c>
      <c r="G65" s="160" t="s">
        <v>72</v>
      </c>
      <c r="H65" s="160" t="s">
        <v>1205</v>
      </c>
      <c r="I65" s="160" t="s">
        <v>1206</v>
      </c>
      <c r="J65" s="160" t="s">
        <v>1206</v>
      </c>
      <c r="K65" s="160" t="s">
        <v>1206</v>
      </c>
      <c r="L65" s="160" t="s">
        <v>1205</v>
      </c>
      <c r="M65" s="160" t="s">
        <v>1205</v>
      </c>
      <c r="N65" s="160" t="s">
        <v>1206</v>
      </c>
      <c r="O65" s="160" t="s">
        <v>1205</v>
      </c>
      <c r="P65" s="160" t="s">
        <v>1205</v>
      </c>
      <c r="Q65" s="160" t="s">
        <v>1206</v>
      </c>
      <c r="R65" s="160" t="s">
        <v>1205</v>
      </c>
      <c r="S65" s="160" t="s">
        <v>1206</v>
      </c>
      <c r="T65" s="160" t="s">
        <v>1229</v>
      </c>
      <c r="U65" s="160" t="s">
        <v>1206</v>
      </c>
      <c r="V65" s="160" t="s">
        <v>1206</v>
      </c>
      <c r="W65" s="160" t="s">
        <v>1206</v>
      </c>
      <c r="X65" s="160" t="s">
        <v>1206</v>
      </c>
      <c r="Y65" s="160" t="s">
        <v>1206</v>
      </c>
      <c r="Z65" s="160" t="s">
        <v>1206</v>
      </c>
      <c r="AA65" s="160" t="s">
        <v>1205</v>
      </c>
      <c r="AB65" s="160" t="s">
        <v>1205</v>
      </c>
      <c r="AC65" s="160" t="s">
        <v>1229</v>
      </c>
      <c r="AD65" s="160" t="s">
        <v>1206</v>
      </c>
      <c r="AE65" s="160" t="s">
        <v>1206</v>
      </c>
      <c r="AF65" s="160" t="s">
        <v>1205</v>
      </c>
      <c r="AG65" s="160" t="s">
        <v>1205</v>
      </c>
      <c r="AH65" s="160" t="s">
        <v>1205</v>
      </c>
      <c r="AI65" s="160" t="s">
        <v>1206</v>
      </c>
      <c r="AJ65" s="160" t="s">
        <v>1206</v>
      </c>
      <c r="AK65" s="160" t="s">
        <v>1206</v>
      </c>
      <c r="AL65" s="160" t="s">
        <v>1206</v>
      </c>
    </row>
    <row r="66" spans="1:39" ht="27.75" customHeight="1" thickBot="1" x14ac:dyDescent="0.3">
      <c r="B66" s="127" t="s">
        <v>1195</v>
      </c>
      <c r="C66" s="178" t="s">
        <v>1550</v>
      </c>
      <c r="D66" s="178" t="s">
        <v>1553</v>
      </c>
      <c r="E66" s="160" t="s">
        <v>1557</v>
      </c>
      <c r="F66" s="160" t="s">
        <v>72</v>
      </c>
      <c r="G66" s="160" t="s">
        <v>72</v>
      </c>
      <c r="H66" s="160" t="s">
        <v>1205</v>
      </c>
      <c r="I66" s="160" t="s">
        <v>1205</v>
      </c>
      <c r="J66" s="160" t="s">
        <v>1205</v>
      </c>
      <c r="K66" s="160" t="s">
        <v>1206</v>
      </c>
      <c r="L66" s="160" t="s">
        <v>1205</v>
      </c>
      <c r="M66" s="160" t="s">
        <v>1205</v>
      </c>
      <c r="N66" s="160" t="s">
        <v>1205</v>
      </c>
      <c r="O66" s="160" t="s">
        <v>1206</v>
      </c>
      <c r="P66" s="160" t="s">
        <v>1206</v>
      </c>
      <c r="Q66" s="160" t="s">
        <v>1206</v>
      </c>
      <c r="R66" s="160" t="s">
        <v>1205</v>
      </c>
      <c r="S66" s="160" t="s">
        <v>1206</v>
      </c>
      <c r="T66" s="160" t="s">
        <v>1229</v>
      </c>
      <c r="U66" s="160" t="s">
        <v>1206</v>
      </c>
      <c r="V66" s="160" t="s">
        <v>1206</v>
      </c>
      <c r="W66" s="160" t="s">
        <v>1206</v>
      </c>
      <c r="X66" s="160" t="s">
        <v>1206</v>
      </c>
      <c r="Y66" s="160" t="s">
        <v>1206</v>
      </c>
      <c r="Z66" s="160" t="s">
        <v>1206</v>
      </c>
      <c r="AA66" s="160" t="s">
        <v>1205</v>
      </c>
      <c r="AB66" s="160" t="s">
        <v>1205</v>
      </c>
      <c r="AC66" s="160" t="s">
        <v>1229</v>
      </c>
      <c r="AD66" s="160" t="s">
        <v>1206</v>
      </c>
      <c r="AE66" s="160" t="s">
        <v>1206</v>
      </c>
      <c r="AF66" s="160" t="s">
        <v>1205</v>
      </c>
      <c r="AG66" s="160" t="s">
        <v>1205</v>
      </c>
      <c r="AH66" s="160" t="s">
        <v>1205</v>
      </c>
      <c r="AI66" s="160" t="s">
        <v>1229</v>
      </c>
      <c r="AJ66" s="160" t="s">
        <v>1206</v>
      </c>
      <c r="AK66" s="160" t="s">
        <v>1206</v>
      </c>
      <c r="AL66" s="160" t="s">
        <v>1206</v>
      </c>
    </row>
    <row r="67" spans="1:39" ht="15.75" customHeight="1" thickBot="1" x14ac:dyDescent="0.3">
      <c r="B67" s="127" t="s">
        <v>1195</v>
      </c>
      <c r="C67" s="178" t="s">
        <v>1551</v>
      </c>
      <c r="D67" s="178" t="s">
        <v>1554</v>
      </c>
      <c r="E67" s="160" t="s">
        <v>74</v>
      </c>
      <c r="F67" s="160" t="s">
        <v>72</v>
      </c>
      <c r="G67" s="160" t="s">
        <v>72</v>
      </c>
      <c r="H67" s="160" t="s">
        <v>1205</v>
      </c>
      <c r="I67" s="160" t="s">
        <v>1206</v>
      </c>
      <c r="J67" s="160" t="s">
        <v>1206</v>
      </c>
      <c r="K67" s="160" t="s">
        <v>1206</v>
      </c>
      <c r="L67" s="160" t="s">
        <v>1205</v>
      </c>
      <c r="M67" s="160" t="s">
        <v>1205</v>
      </c>
      <c r="N67" s="160" t="s">
        <v>1206</v>
      </c>
      <c r="O67" s="160" t="s">
        <v>1206</v>
      </c>
      <c r="P67" s="160" t="s">
        <v>1205</v>
      </c>
      <c r="Q67" s="160" t="s">
        <v>1205</v>
      </c>
      <c r="R67" s="160" t="s">
        <v>1205</v>
      </c>
      <c r="S67" s="160" t="s">
        <v>1206</v>
      </c>
      <c r="T67" s="160" t="s">
        <v>1229</v>
      </c>
      <c r="U67" s="160" t="s">
        <v>1206</v>
      </c>
      <c r="V67" s="160" t="s">
        <v>1206</v>
      </c>
      <c r="W67" s="160" t="s">
        <v>1206</v>
      </c>
      <c r="X67" s="160" t="s">
        <v>1206</v>
      </c>
      <c r="Y67" s="160" t="s">
        <v>1206</v>
      </c>
      <c r="Z67" s="160" t="s">
        <v>1206</v>
      </c>
      <c r="AA67" s="160" t="s">
        <v>1205</v>
      </c>
      <c r="AB67" s="160" t="s">
        <v>1205</v>
      </c>
      <c r="AC67" s="160" t="s">
        <v>1229</v>
      </c>
      <c r="AD67" s="160" t="s">
        <v>1206</v>
      </c>
      <c r="AE67" s="160" t="s">
        <v>1206</v>
      </c>
      <c r="AF67" s="160" t="s">
        <v>1205</v>
      </c>
      <c r="AG67" s="160" t="s">
        <v>1205</v>
      </c>
      <c r="AH67" s="160" t="s">
        <v>1205</v>
      </c>
      <c r="AI67" s="160" t="s">
        <v>1229</v>
      </c>
      <c r="AJ67" s="160" t="s">
        <v>1206</v>
      </c>
      <c r="AK67" s="160" t="s">
        <v>1205</v>
      </c>
      <c r="AL67" s="160" t="s">
        <v>1206</v>
      </c>
    </row>
    <row r="68" spans="1:39" ht="15" customHeight="1" x14ac:dyDescent="0.25"/>
    <row r="69" spans="1:39" ht="15" customHeight="1" x14ac:dyDescent="0.25"/>
    <row r="70" spans="1:39" ht="15" customHeight="1" x14ac:dyDescent="0.25"/>
    <row r="71" spans="1:39" ht="15" customHeight="1" x14ac:dyDescent="0.25"/>
    <row r="72" spans="1:39" ht="39" customHeight="1" thickBot="1" x14ac:dyDescent="0.3">
      <c r="A72" s="119" t="s">
        <v>1185</v>
      </c>
      <c r="B72" s="119" t="s">
        <v>14</v>
      </c>
      <c r="C72" s="122" t="s">
        <v>1239</v>
      </c>
      <c r="D72" s="125" t="s">
        <v>1208</v>
      </c>
      <c r="E72" s="125" t="s">
        <v>1207</v>
      </c>
      <c r="F72" s="125" t="s">
        <v>1209</v>
      </c>
      <c r="G72" s="125" t="s">
        <v>1212</v>
      </c>
      <c r="H72" s="125" t="s">
        <v>1211</v>
      </c>
      <c r="I72" s="125" t="s">
        <v>1210</v>
      </c>
      <c r="J72" s="116" t="s">
        <v>26</v>
      </c>
      <c r="K72" s="116" t="s">
        <v>27</v>
      </c>
      <c r="L72" s="116" t="s">
        <v>28</v>
      </c>
      <c r="M72" s="116" t="s">
        <v>29</v>
      </c>
      <c r="N72" s="116" t="s">
        <v>31</v>
      </c>
      <c r="O72" s="116" t="s">
        <v>32</v>
      </c>
      <c r="P72" s="116" t="s">
        <v>33</v>
      </c>
      <c r="Q72" s="116" t="s">
        <v>34</v>
      </c>
      <c r="R72" s="116" t="s">
        <v>35</v>
      </c>
      <c r="S72" s="116" t="s">
        <v>36</v>
      </c>
      <c r="T72" s="116" t="s">
        <v>37</v>
      </c>
      <c r="U72" s="116" t="s">
        <v>38</v>
      </c>
      <c r="V72" s="116" t="s">
        <v>39</v>
      </c>
      <c r="W72" s="116" t="s">
        <v>1170</v>
      </c>
      <c r="X72" s="116" t="s">
        <v>40</v>
      </c>
      <c r="Y72" s="116" t="s">
        <v>41</v>
      </c>
      <c r="Z72" s="116" t="s">
        <v>1172</v>
      </c>
      <c r="AA72" s="116" t="s">
        <v>42</v>
      </c>
      <c r="AB72" s="116" t="s">
        <v>43</v>
      </c>
      <c r="AC72" s="116" t="s">
        <v>44</v>
      </c>
      <c r="AD72" s="116" t="s">
        <v>45</v>
      </c>
      <c r="AE72" s="116" t="s">
        <v>1175</v>
      </c>
      <c r="AF72" s="116" t="s">
        <v>1176</v>
      </c>
      <c r="AG72" s="116" t="s">
        <v>1177</v>
      </c>
      <c r="AH72" s="116" t="s">
        <v>1178</v>
      </c>
      <c r="AI72" s="116" t="s">
        <v>1179</v>
      </c>
      <c r="AJ72" s="116" t="s">
        <v>1181</v>
      </c>
      <c r="AK72" s="116" t="s">
        <v>1182</v>
      </c>
      <c r="AL72" s="116" t="s">
        <v>1183</v>
      </c>
      <c r="AM72" s="116" t="s">
        <v>1184</v>
      </c>
    </row>
    <row r="73" spans="1:39" ht="15.75" customHeight="1" thickBot="1" x14ac:dyDescent="0.3">
      <c r="B73" s="119" t="s">
        <v>1577</v>
      </c>
      <c r="C73" s="122"/>
      <c r="D73" s="160" t="s">
        <v>1563</v>
      </c>
      <c r="E73" s="160" t="s">
        <v>1558</v>
      </c>
      <c r="F73" s="160" t="s">
        <v>1568</v>
      </c>
      <c r="G73" s="160" t="s">
        <v>1524</v>
      </c>
      <c r="H73" s="160" t="s">
        <v>72</v>
      </c>
      <c r="I73" s="160" t="s">
        <v>72</v>
      </c>
      <c r="J73" s="160" t="s">
        <v>1206</v>
      </c>
      <c r="K73" s="160" t="s">
        <v>1205</v>
      </c>
      <c r="L73" s="160" t="s">
        <v>1206</v>
      </c>
      <c r="M73" s="160" t="s">
        <v>1206</v>
      </c>
      <c r="N73" s="160" t="s">
        <v>1206</v>
      </c>
      <c r="O73" s="160" t="s">
        <v>1205</v>
      </c>
      <c r="P73" s="160" t="s">
        <v>1206</v>
      </c>
      <c r="Q73" s="160" t="s">
        <v>1205</v>
      </c>
      <c r="R73" s="160" t="s">
        <v>1206</v>
      </c>
      <c r="S73" s="160" t="s">
        <v>1205</v>
      </c>
      <c r="T73" s="160" t="s">
        <v>1205</v>
      </c>
      <c r="U73" s="160" t="s">
        <v>1206</v>
      </c>
      <c r="V73" s="160" t="s">
        <v>1205</v>
      </c>
      <c r="W73" s="160" t="s">
        <v>1205</v>
      </c>
      <c r="X73" s="160" t="s">
        <v>1205</v>
      </c>
      <c r="Y73" s="160" t="s">
        <v>1206</v>
      </c>
      <c r="Z73" s="160" t="s">
        <v>1205</v>
      </c>
      <c r="AA73" s="160" t="s">
        <v>1206</v>
      </c>
      <c r="AB73" s="160" t="s">
        <v>1205</v>
      </c>
      <c r="AC73" s="160" t="s">
        <v>1206</v>
      </c>
      <c r="AD73" s="160" t="s">
        <v>1205</v>
      </c>
      <c r="AE73" s="160" t="s">
        <v>1206</v>
      </c>
      <c r="AF73" s="160" t="s">
        <v>1205</v>
      </c>
      <c r="AG73" s="160" t="s">
        <v>1206</v>
      </c>
      <c r="AH73" s="160" t="s">
        <v>1205</v>
      </c>
      <c r="AI73" s="160" t="s">
        <v>1206</v>
      </c>
      <c r="AJ73" s="160" t="s">
        <v>1205</v>
      </c>
      <c r="AK73" s="160" t="s">
        <v>1206</v>
      </c>
      <c r="AL73" s="160" t="s">
        <v>1205</v>
      </c>
      <c r="AM73" s="160" t="s">
        <v>1206</v>
      </c>
    </row>
    <row r="74" spans="1:39" ht="27" customHeight="1" thickBot="1" x14ac:dyDescent="0.3">
      <c r="B74" s="119" t="s">
        <v>67</v>
      </c>
      <c r="C74" s="122"/>
      <c r="D74" s="160" t="s">
        <v>1564</v>
      </c>
      <c r="E74" s="160" t="s">
        <v>1559</v>
      </c>
      <c r="F74" s="180" t="s">
        <v>1569</v>
      </c>
      <c r="G74" s="160" t="s">
        <v>1573</v>
      </c>
      <c r="H74" s="160" t="s">
        <v>72</v>
      </c>
      <c r="I74" s="160" t="s">
        <v>72</v>
      </c>
      <c r="J74" s="160" t="s">
        <v>1206</v>
      </c>
      <c r="K74" s="160" t="s">
        <v>1206</v>
      </c>
      <c r="L74" s="160" t="s">
        <v>1205</v>
      </c>
      <c r="M74" s="160" t="s">
        <v>1206</v>
      </c>
      <c r="N74" s="160" t="s">
        <v>1205</v>
      </c>
      <c r="O74" s="160" t="s">
        <v>1205</v>
      </c>
      <c r="P74" s="160" t="s">
        <v>1205</v>
      </c>
      <c r="Q74" s="160" t="s">
        <v>1205</v>
      </c>
      <c r="R74" s="160" t="s">
        <v>1205</v>
      </c>
      <c r="S74" s="160" t="s">
        <v>1205</v>
      </c>
      <c r="T74" s="160" t="s">
        <v>1205</v>
      </c>
      <c r="U74" s="160" t="s">
        <v>1205</v>
      </c>
      <c r="V74" s="160" t="s">
        <v>1205</v>
      </c>
      <c r="W74" s="160" t="s">
        <v>1205</v>
      </c>
      <c r="X74" s="160" t="s">
        <v>1205</v>
      </c>
      <c r="Y74" s="160" t="s">
        <v>1205</v>
      </c>
      <c r="Z74" s="160" t="s">
        <v>1205</v>
      </c>
      <c r="AA74" s="160" t="s">
        <v>1205</v>
      </c>
      <c r="AB74" s="160" t="s">
        <v>1205</v>
      </c>
      <c r="AC74" s="160" t="s">
        <v>1205</v>
      </c>
      <c r="AD74" s="160" t="s">
        <v>1205</v>
      </c>
      <c r="AE74" s="160" t="s">
        <v>1205</v>
      </c>
      <c r="AF74" s="160" t="s">
        <v>1205</v>
      </c>
      <c r="AG74" s="160" t="s">
        <v>1205</v>
      </c>
      <c r="AH74" s="160" t="s">
        <v>1205</v>
      </c>
      <c r="AI74" s="160" t="s">
        <v>1205</v>
      </c>
      <c r="AJ74" s="160" t="s">
        <v>1205</v>
      </c>
      <c r="AK74" s="160" t="s">
        <v>1205</v>
      </c>
      <c r="AL74" s="160" t="s">
        <v>1205</v>
      </c>
      <c r="AM74" s="160" t="s">
        <v>1205</v>
      </c>
    </row>
    <row r="75" spans="1:39" ht="15.75" customHeight="1" thickBot="1" x14ac:dyDescent="0.3">
      <c r="B75" s="119" t="s">
        <v>1577</v>
      </c>
      <c r="C75" s="122"/>
      <c r="D75" s="160" t="s">
        <v>1565</v>
      </c>
      <c r="E75" s="160" t="s">
        <v>1560</v>
      </c>
      <c r="F75" s="180" t="s">
        <v>1570</v>
      </c>
      <c r="G75" s="160" t="s">
        <v>1518</v>
      </c>
      <c r="H75" s="160" t="s">
        <v>72</v>
      </c>
      <c r="I75" s="160" t="s">
        <v>72</v>
      </c>
      <c r="J75" s="160" t="s">
        <v>1205</v>
      </c>
      <c r="K75" s="160" t="s">
        <v>1205</v>
      </c>
      <c r="L75" s="160" t="s">
        <v>1206</v>
      </c>
      <c r="M75" s="160" t="s">
        <v>1205</v>
      </c>
      <c r="N75" s="160" t="s">
        <v>1206</v>
      </c>
      <c r="O75" s="160" t="s">
        <v>1206</v>
      </c>
      <c r="P75" s="160" t="s">
        <v>1205</v>
      </c>
      <c r="Q75" s="160" t="s">
        <v>1206</v>
      </c>
      <c r="R75" s="160" t="s">
        <v>1205</v>
      </c>
      <c r="S75" s="160" t="s">
        <v>1206</v>
      </c>
      <c r="T75" s="160" t="s">
        <v>1206</v>
      </c>
      <c r="U75" s="160" t="s">
        <v>1205</v>
      </c>
      <c r="V75" s="160" t="s">
        <v>1206</v>
      </c>
      <c r="W75" s="160" t="s">
        <v>1206</v>
      </c>
      <c r="X75" s="160" t="s">
        <v>1206</v>
      </c>
      <c r="Y75" s="160" t="s">
        <v>1205</v>
      </c>
      <c r="Z75" s="160" t="s">
        <v>1206</v>
      </c>
      <c r="AA75" s="160" t="s">
        <v>1205</v>
      </c>
      <c r="AB75" s="160" t="s">
        <v>1206</v>
      </c>
      <c r="AC75" s="160" t="s">
        <v>1205</v>
      </c>
      <c r="AD75" s="160" t="s">
        <v>1206</v>
      </c>
      <c r="AE75" s="160" t="s">
        <v>1205</v>
      </c>
      <c r="AF75" s="160" t="s">
        <v>1206</v>
      </c>
      <c r="AG75" s="160" t="s">
        <v>1205</v>
      </c>
      <c r="AH75" s="160" t="s">
        <v>1206</v>
      </c>
      <c r="AI75" s="160" t="s">
        <v>1205</v>
      </c>
      <c r="AJ75" s="160" t="s">
        <v>1206</v>
      </c>
      <c r="AK75" s="160" t="s">
        <v>1205</v>
      </c>
      <c r="AL75" s="160" t="s">
        <v>1206</v>
      </c>
      <c r="AM75" s="160" t="s">
        <v>1205</v>
      </c>
    </row>
    <row r="76" spans="1:39" ht="15.75" customHeight="1" thickBot="1" x14ac:dyDescent="0.3">
      <c r="B76" s="119" t="s">
        <v>1357</v>
      </c>
      <c r="C76" s="122"/>
      <c r="D76" s="160" t="s">
        <v>1566</v>
      </c>
      <c r="E76" s="160" t="s">
        <v>1561</v>
      </c>
      <c r="F76" s="160" t="s">
        <v>1571</v>
      </c>
      <c r="G76" s="160" t="s">
        <v>1305</v>
      </c>
      <c r="H76" s="160" t="s">
        <v>1574</v>
      </c>
      <c r="I76" s="160" t="s">
        <v>72</v>
      </c>
      <c r="J76" s="160" t="s">
        <v>1206</v>
      </c>
      <c r="K76" s="160" t="s">
        <v>1205</v>
      </c>
      <c r="L76" s="160" t="s">
        <v>1206</v>
      </c>
      <c r="M76" s="160" t="s">
        <v>1206</v>
      </c>
      <c r="N76" s="160" t="s">
        <v>1206</v>
      </c>
      <c r="O76" s="160" t="s">
        <v>1205</v>
      </c>
      <c r="P76" s="160" t="s">
        <v>1206</v>
      </c>
      <c r="Q76" s="160" t="s">
        <v>1205</v>
      </c>
      <c r="R76" s="160" t="s">
        <v>1206</v>
      </c>
      <c r="S76" s="160" t="s">
        <v>1205</v>
      </c>
      <c r="T76" s="160" t="s">
        <v>1205</v>
      </c>
      <c r="U76" s="160" t="s">
        <v>1206</v>
      </c>
      <c r="V76" s="160" t="s">
        <v>1205</v>
      </c>
      <c r="W76" s="160" t="s">
        <v>1205</v>
      </c>
      <c r="X76" s="160" t="s">
        <v>1205</v>
      </c>
      <c r="Y76" s="160" t="s">
        <v>1206</v>
      </c>
      <c r="Z76" s="160" t="s">
        <v>1205</v>
      </c>
      <c r="AA76" s="160" t="s">
        <v>1206</v>
      </c>
      <c r="AB76" s="160" t="s">
        <v>1205</v>
      </c>
      <c r="AC76" s="160" t="s">
        <v>1206</v>
      </c>
      <c r="AD76" s="160" t="s">
        <v>1205</v>
      </c>
      <c r="AE76" s="160" t="s">
        <v>1206</v>
      </c>
      <c r="AF76" s="160" t="s">
        <v>1205</v>
      </c>
      <c r="AG76" s="160" t="s">
        <v>1206</v>
      </c>
      <c r="AH76" s="160" t="s">
        <v>1205</v>
      </c>
      <c r="AI76" s="160" t="s">
        <v>1206</v>
      </c>
      <c r="AJ76" s="160" t="s">
        <v>1205</v>
      </c>
      <c r="AK76" s="160" t="s">
        <v>1206</v>
      </c>
      <c r="AL76" s="160" t="s">
        <v>1205</v>
      </c>
      <c r="AM76" s="160" t="s">
        <v>1206</v>
      </c>
    </row>
    <row r="77" spans="1:39" ht="27" customHeight="1" thickBot="1" x14ac:dyDescent="0.3">
      <c r="B77" s="119" t="s">
        <v>1577</v>
      </c>
      <c r="D77" s="160" t="s">
        <v>1567</v>
      </c>
      <c r="E77" s="160" t="s">
        <v>1562</v>
      </c>
      <c r="F77" s="160" t="s">
        <v>1572</v>
      </c>
      <c r="G77" s="160" t="s">
        <v>199</v>
      </c>
      <c r="H77" s="160" t="s">
        <v>71</v>
      </c>
      <c r="I77" s="160" t="s">
        <v>72</v>
      </c>
      <c r="J77" s="160" t="s">
        <v>1206</v>
      </c>
      <c r="K77" s="160" t="s">
        <v>1205</v>
      </c>
      <c r="L77" s="160" t="s">
        <v>1206</v>
      </c>
      <c r="M77" s="160" t="s">
        <v>1206</v>
      </c>
      <c r="N77" s="160" t="s">
        <v>1206</v>
      </c>
      <c r="O77" s="160" t="s">
        <v>1205</v>
      </c>
      <c r="P77" s="160" t="s">
        <v>1205</v>
      </c>
      <c r="Q77" s="160" t="s">
        <v>1206</v>
      </c>
      <c r="R77" s="160" t="s">
        <v>1205</v>
      </c>
      <c r="S77" s="160" t="s">
        <v>1206</v>
      </c>
      <c r="T77" s="160" t="s">
        <v>1206</v>
      </c>
      <c r="U77" s="160" t="s">
        <v>1205</v>
      </c>
      <c r="V77" s="160" t="s">
        <v>1206</v>
      </c>
      <c r="W77" s="160" t="s">
        <v>1206</v>
      </c>
      <c r="X77" s="160" t="s">
        <v>1206</v>
      </c>
      <c r="Y77" s="160" t="s">
        <v>1205</v>
      </c>
      <c r="Z77" s="160" t="s">
        <v>1206</v>
      </c>
      <c r="AA77" s="160" t="s">
        <v>1205</v>
      </c>
      <c r="AB77" s="160" t="s">
        <v>1206</v>
      </c>
      <c r="AC77" s="160" t="s">
        <v>1205</v>
      </c>
      <c r="AD77" s="160" t="s">
        <v>1206</v>
      </c>
      <c r="AE77" s="160" t="s">
        <v>1205</v>
      </c>
      <c r="AF77" s="160" t="s">
        <v>1206</v>
      </c>
      <c r="AG77" s="160" t="s">
        <v>1205</v>
      </c>
      <c r="AH77" s="160" t="s">
        <v>1206</v>
      </c>
      <c r="AI77" s="160" t="s">
        <v>1205</v>
      </c>
      <c r="AJ77" s="160" t="s">
        <v>1206</v>
      </c>
      <c r="AK77" s="160" t="s">
        <v>1205</v>
      </c>
      <c r="AL77" s="160" t="s">
        <v>1206</v>
      </c>
      <c r="AM77" s="160" t="s">
        <v>1205</v>
      </c>
    </row>
    <row r="81" spans="1:44" s="164" customFormat="1" x14ac:dyDescent="0.25">
      <c r="A81" s="163"/>
      <c r="B81" s="163"/>
      <c r="D81" s="165"/>
      <c r="E81" s="165"/>
      <c r="F81" s="165"/>
      <c r="G81" s="165"/>
      <c r="H81" s="165"/>
      <c r="I81" s="165"/>
    </row>
    <row r="83" spans="1:44" ht="15.75" thickBot="1" x14ac:dyDescent="0.3"/>
    <row r="84" spans="1:44" ht="17.25" thickBot="1" x14ac:dyDescent="0.3">
      <c r="A84" s="64" t="s">
        <v>14</v>
      </c>
      <c r="B84" s="65" t="s">
        <v>1166</v>
      </c>
      <c r="D84"/>
      <c r="E84"/>
      <c r="F84"/>
      <c r="G84" s="115"/>
      <c r="H84" s="64" t="s">
        <v>14</v>
      </c>
      <c r="I84" s="65" t="s">
        <v>197</v>
      </c>
      <c r="O84" s="64" t="s">
        <v>14</v>
      </c>
      <c r="P84" s="65" t="s">
        <v>618</v>
      </c>
      <c r="V84" s="64" t="s">
        <v>14</v>
      </c>
      <c r="W84" s="65" t="s">
        <v>90</v>
      </c>
    </row>
    <row r="85" spans="1:44" s="118" customFormat="1" ht="17.25" thickBot="1" x14ac:dyDescent="0.3">
      <c r="A85" s="64" t="s">
        <v>647</v>
      </c>
      <c r="B85" s="65">
        <v>2022</v>
      </c>
      <c r="C85"/>
      <c r="D85"/>
      <c r="E85"/>
      <c r="F85"/>
      <c r="H85" s="64" t="s">
        <v>647</v>
      </c>
      <c r="I85" s="65">
        <v>2022</v>
      </c>
      <c r="J85"/>
      <c r="K85"/>
      <c r="L85"/>
      <c r="M85"/>
      <c r="N85"/>
      <c r="O85" s="64" t="s">
        <v>647</v>
      </c>
      <c r="P85" s="65">
        <v>2022</v>
      </c>
      <c r="Q85"/>
      <c r="R85"/>
      <c r="S85"/>
      <c r="T85"/>
      <c r="U85"/>
      <c r="V85" s="64" t="s">
        <v>647</v>
      </c>
      <c r="W85" s="65">
        <v>2022</v>
      </c>
      <c r="X85"/>
      <c r="Y85"/>
      <c r="Z85"/>
      <c r="AA85"/>
      <c r="AB85"/>
      <c r="AC85"/>
      <c r="AD85"/>
      <c r="AE85"/>
      <c r="AF85"/>
      <c r="AG85"/>
      <c r="AH85"/>
      <c r="AI85"/>
      <c r="AJ85"/>
      <c r="AK85"/>
      <c r="AL85"/>
      <c r="AM85"/>
      <c r="AN85"/>
      <c r="AO85"/>
      <c r="AP85"/>
      <c r="AQ85"/>
      <c r="AR85"/>
    </row>
    <row r="86" spans="1:44" s="118" customFormat="1" ht="17.25" thickBot="1" x14ac:dyDescent="0.3">
      <c r="A86" s="64" t="s">
        <v>646</v>
      </c>
      <c r="B86" s="65">
        <f>I86+P86+W86</f>
        <v>22</v>
      </c>
      <c r="C86"/>
      <c r="D86"/>
      <c r="E86"/>
      <c r="F86"/>
      <c r="H86" s="64" t="s">
        <v>646</v>
      </c>
      <c r="I86" s="65">
        <f>COUNTIF(Table612[Prodi],"S1 Sistem Informasi")</f>
        <v>8</v>
      </c>
      <c r="J86"/>
      <c r="K86"/>
      <c r="L86"/>
      <c r="M86"/>
      <c r="N86"/>
      <c r="O86" s="64" t="s">
        <v>646</v>
      </c>
      <c r="P86" s="65">
        <f>COUNTIF(Table612[Prodi],"S1 Teknik Komputer")</f>
        <v>5</v>
      </c>
      <c r="Q86"/>
      <c r="R86"/>
      <c r="S86"/>
      <c r="T86"/>
      <c r="U86"/>
      <c r="V86" s="64" t="s">
        <v>646</v>
      </c>
      <c r="W86" s="65">
        <f>COUNTIF(Table612[Prodi],"D3 Sistem Informasi")</f>
        <v>9</v>
      </c>
      <c r="X86"/>
      <c r="Y86"/>
      <c r="Z86"/>
      <c r="AA86"/>
      <c r="AB86"/>
      <c r="AC86"/>
      <c r="AD86"/>
      <c r="AE86"/>
      <c r="AF86"/>
      <c r="AG86"/>
      <c r="AH86"/>
      <c r="AI86"/>
      <c r="AJ86"/>
      <c r="AK86"/>
      <c r="AL86"/>
      <c r="AM86"/>
      <c r="AN86"/>
      <c r="AO86"/>
      <c r="AP86"/>
      <c r="AQ86"/>
      <c r="AR86"/>
    </row>
    <row r="87" spans="1:44" s="118" customFormat="1" ht="16.5" x14ac:dyDescent="0.3">
      <c r="A87" s="55"/>
      <c r="B87" s="56" t="s">
        <v>1205</v>
      </c>
      <c r="C87" s="56" t="s">
        <v>1206</v>
      </c>
      <c r="D87" s="56" t="s">
        <v>1580</v>
      </c>
      <c r="E87" s="56" t="s">
        <v>1581</v>
      </c>
      <c r="F87" s="56"/>
      <c r="H87" s="55"/>
      <c r="I87" s="56" t="s">
        <v>1205</v>
      </c>
      <c r="J87" s="56" t="s">
        <v>1206</v>
      </c>
      <c r="K87" s="56" t="s">
        <v>1580</v>
      </c>
      <c r="L87" s="56" t="s">
        <v>1581</v>
      </c>
      <c r="M87" s="56"/>
      <c r="N87"/>
      <c r="O87" s="55"/>
      <c r="P87" s="56" t="s">
        <v>1205</v>
      </c>
      <c r="Q87" s="56" t="s">
        <v>1206</v>
      </c>
      <c r="R87" s="56" t="s">
        <v>1580</v>
      </c>
      <c r="S87" s="56" t="s">
        <v>1581</v>
      </c>
      <c r="T87" s="56"/>
      <c r="U87"/>
      <c r="V87" s="55"/>
      <c r="W87" s="56" t="s">
        <v>1205</v>
      </c>
      <c r="X87" s="56" t="s">
        <v>1206</v>
      </c>
      <c r="Y87" s="56" t="s">
        <v>1580</v>
      </c>
      <c r="Z87" s="56" t="s">
        <v>1581</v>
      </c>
      <c r="AA87" s="56"/>
      <c r="AB87"/>
      <c r="AC87"/>
      <c r="AD87"/>
      <c r="AE87"/>
      <c r="AF87"/>
      <c r="AG87"/>
      <c r="AH87"/>
      <c r="AI87"/>
      <c r="AJ87"/>
      <c r="AK87"/>
      <c r="AL87"/>
      <c r="AM87"/>
      <c r="AN87"/>
      <c r="AO87"/>
      <c r="AP87"/>
      <c r="AQ87"/>
      <c r="AR87"/>
    </row>
    <row r="88" spans="1:44" s="118" customFormat="1" ht="16.5" x14ac:dyDescent="0.3">
      <c r="A88" s="57" t="s">
        <v>26</v>
      </c>
      <c r="B88" s="66">
        <f>COUNTIF(Table612[B1],B$87)/$B$86</f>
        <v>0.5</v>
      </c>
      <c r="C88" s="66">
        <f>COUNTIF(Table612[B1],C$87)/$B$86</f>
        <v>0.5</v>
      </c>
      <c r="D88" s="66">
        <f>COUNTIF(Table612[B1],D$87)/$B$86</f>
        <v>0</v>
      </c>
      <c r="E88" s="66">
        <f>COUNTIF(Table612[B1],E$87)/$B$86</f>
        <v>0</v>
      </c>
      <c r="F88" s="62">
        <f t="shared" ref="F88:F128" si="0">SUM(B88:E88)</f>
        <v>1</v>
      </c>
      <c r="H88" s="57" t="s">
        <v>26</v>
      </c>
      <c r="I88" s="66">
        <f>COUNTIFS(Table612[Prodi],"S1 Sistem Informasi",Table612[B1],I$87)/$I$86</f>
        <v>0.75</v>
      </c>
      <c r="J88" s="66">
        <f>COUNTIFS(Table612[Prodi],"S1 Sistem Informasi",Table612[B1],J$87)/$I$86</f>
        <v>0.25</v>
      </c>
      <c r="K88" s="66">
        <f>COUNTIFS(Table612[Prodi],"S1 Sistem Informasi",Table612[B1],K$87)/$I$86</f>
        <v>0</v>
      </c>
      <c r="L88" s="66">
        <f>COUNTIFS(Table612[Prodi],"S1 Sistem Informasi",Table612[B1],L$87)/$I$86</f>
        <v>0</v>
      </c>
      <c r="M88" s="62">
        <f t="shared" ref="M88:M95" si="1">SUM(I88:L88)</f>
        <v>1</v>
      </c>
      <c r="N88"/>
      <c r="O88" s="57" t="s">
        <v>26</v>
      </c>
      <c r="P88" s="66">
        <f>COUNTIFS(Table612[Prodi],"S1 Teknik Komputer",Table612[B1],P$87)/$P$86</f>
        <v>0.8</v>
      </c>
      <c r="Q88" s="66">
        <f>COUNTIFS(Table612[Prodi],"S1 Teknik Komputer",Table612[B1],Q$87)/$P$86</f>
        <v>0.2</v>
      </c>
      <c r="R88" s="66">
        <f>COUNTIFS(Table612[Prodi],"S1 Teknik Komputer",Table612[B1],R$87)/$P$86</f>
        <v>0</v>
      </c>
      <c r="S88" s="66">
        <f>COUNTIFS(Table612[Prodi],"S1 Teknik Komputer",Table612[B1],S$87)/$P$86</f>
        <v>0</v>
      </c>
      <c r="T88" s="62">
        <f t="shared" ref="T88:T95" si="2">SUM(P88:S88)</f>
        <v>1</v>
      </c>
      <c r="U88"/>
      <c r="V88" s="57" t="s">
        <v>26</v>
      </c>
      <c r="W88" s="66">
        <f>COUNTIFS(Table612[Prodi],"D3 Sistem Informasi",Table612[B1],W$87)/$W$86</f>
        <v>0.1111111111111111</v>
      </c>
      <c r="X88" s="66">
        <f>COUNTIFS(Table612[Prodi],"D3 Sistem Informasi",Table612[B1],X$87)/$W$86</f>
        <v>0.88888888888888884</v>
      </c>
      <c r="Y88" s="66">
        <f>COUNTIFS(Table612[Prodi],"D3 Sistem Informasi",Table612[B1],Y$87)/$W$86</f>
        <v>0</v>
      </c>
      <c r="Z88" s="66">
        <f>COUNTIFS(Table612[Prodi],"D3 Sistem Informasi",Table612[B1],Z$87)/$W$86</f>
        <v>0</v>
      </c>
      <c r="AA88" s="62">
        <f t="shared" ref="AA88:AA95" si="3">SUM(W88:Z88)</f>
        <v>1</v>
      </c>
      <c r="AB88"/>
      <c r="AC88"/>
      <c r="AD88"/>
      <c r="AE88"/>
      <c r="AF88"/>
      <c r="AG88"/>
      <c r="AH88"/>
      <c r="AI88"/>
      <c r="AJ88"/>
      <c r="AK88"/>
      <c r="AL88"/>
      <c r="AM88"/>
      <c r="AN88"/>
      <c r="AO88"/>
      <c r="AP88"/>
      <c r="AQ88"/>
      <c r="AR88"/>
    </row>
    <row r="89" spans="1:44" s="118" customFormat="1" ht="16.5" x14ac:dyDescent="0.3">
      <c r="A89" s="57" t="s">
        <v>27</v>
      </c>
      <c r="B89" s="66">
        <f>COUNTIF(Table612[B1],B$87)/$B$86</f>
        <v>0.5</v>
      </c>
      <c r="C89" s="66">
        <f>COUNTIF(Table612[B1],C$87)/$B$86</f>
        <v>0.5</v>
      </c>
      <c r="D89" s="66">
        <f>COUNTIF(Table612[B1],D$87)/$B$86</f>
        <v>0</v>
      </c>
      <c r="E89" s="66">
        <f>COUNTIF(Table612[B1],E$87)/$B$86</f>
        <v>0</v>
      </c>
      <c r="F89" s="62">
        <f t="shared" si="0"/>
        <v>1</v>
      </c>
      <c r="H89" s="57" t="s">
        <v>27</v>
      </c>
      <c r="I89" s="66">
        <f>COUNTIFS(Table612[Prodi],"S1 Sistem Informasi",Table612[B2],I$87)/$I$86</f>
        <v>0.5</v>
      </c>
      <c r="J89" s="66">
        <f>COUNTIFS(Table612[Prodi],"S1 Sistem Informasi",Table612[B2],J$87)/$I$86</f>
        <v>0.5</v>
      </c>
      <c r="K89" s="66">
        <f>COUNTIFS(Table612[Prodi],"S1 Sistem Informasi",Table612[B2],K$87)/$I$86</f>
        <v>0</v>
      </c>
      <c r="L89" s="66">
        <f>COUNTIFS(Table612[Prodi],"S1 Sistem Informasi",Table612[B2],L$87)/$I$86</f>
        <v>0</v>
      </c>
      <c r="M89" s="62">
        <f t="shared" si="1"/>
        <v>1</v>
      </c>
      <c r="N89"/>
      <c r="O89" s="57" t="s">
        <v>27</v>
      </c>
      <c r="P89" s="66">
        <f>COUNTIFS(Table612[Prodi],"S1 Teknik Komputer",Table612[B2],P$87)/$P$86</f>
        <v>0.6</v>
      </c>
      <c r="Q89" s="66">
        <f>COUNTIFS(Table612[Prodi],"S1 Teknik Komputer",Table612[B2],Q$87)/$P$86</f>
        <v>0.4</v>
      </c>
      <c r="R89" s="66">
        <f>COUNTIFS(Table612[Prodi],"S1 Teknik Komputer",Table612[B2],R$87)/$P$86</f>
        <v>0</v>
      </c>
      <c r="S89" s="66">
        <f>COUNTIFS(Table612[Prodi],"S1 Teknik Komputer",Table612[B2],S$87)/$P$86</f>
        <v>0</v>
      </c>
      <c r="T89" s="62">
        <f t="shared" si="2"/>
        <v>1</v>
      </c>
      <c r="U89"/>
      <c r="V89" s="57" t="s">
        <v>27</v>
      </c>
      <c r="W89" s="66">
        <f>COUNTIFS(Table612[Prodi],"D3 Sistem Informasi",Table612[B2],W$87)/$W$86</f>
        <v>0.66666666666666663</v>
      </c>
      <c r="X89" s="66">
        <f>COUNTIFS(Table612[Prodi],"D3 Sistem Informasi",Table612[B2],X$87)/$W$86</f>
        <v>0.33333333333333331</v>
      </c>
      <c r="Y89" s="66">
        <f>COUNTIFS(Table612[Prodi],"D3 Sistem Informasi",Table612[B2],Y$87)/$W$86</f>
        <v>0</v>
      </c>
      <c r="Z89" s="66">
        <f>COUNTIFS(Table612[Prodi],"D3 Sistem Informasi",Table612[B2],Z$87)/$W$86</f>
        <v>0</v>
      </c>
      <c r="AA89" s="62">
        <f t="shared" si="3"/>
        <v>1</v>
      </c>
      <c r="AB89"/>
      <c r="AC89"/>
      <c r="AD89"/>
      <c r="AE89"/>
      <c r="AF89"/>
      <c r="AG89"/>
      <c r="AH89"/>
      <c r="AI89"/>
      <c r="AJ89"/>
      <c r="AK89"/>
      <c r="AL89"/>
      <c r="AM89"/>
      <c r="AN89"/>
      <c r="AO89"/>
      <c r="AP89"/>
      <c r="AQ89"/>
      <c r="AR89"/>
    </row>
    <row r="90" spans="1:44" s="118" customFormat="1" ht="16.5" x14ac:dyDescent="0.3">
      <c r="A90" s="57" t="s">
        <v>28</v>
      </c>
      <c r="B90" s="66">
        <f>COUNTIF(Table612[B1],B$87)/$B$86</f>
        <v>0.5</v>
      </c>
      <c r="C90" s="66">
        <f>COUNTIF(Table612[B1],C$87)/$B$86</f>
        <v>0.5</v>
      </c>
      <c r="D90" s="66">
        <f>COUNTIF(Table612[B1],D$87)/$B$86</f>
        <v>0</v>
      </c>
      <c r="E90" s="66">
        <f>COUNTIF(Table612[B1],E$87)/$B$86</f>
        <v>0</v>
      </c>
      <c r="F90" s="62">
        <f t="shared" si="0"/>
        <v>1</v>
      </c>
      <c r="H90" s="57" t="s">
        <v>28</v>
      </c>
      <c r="I90" s="66">
        <f>COUNTIFS(Table612[Prodi],"S1 Sistem Informasi",Table612[B3],I$87)/$I$86</f>
        <v>0.75</v>
      </c>
      <c r="J90" s="66">
        <f>COUNTIFS(Table612[Prodi],"S1 Sistem Informasi",Table612[B3],J$87)/$I$86</f>
        <v>0.25</v>
      </c>
      <c r="K90" s="66">
        <f>COUNTIFS(Table612[Prodi],"S1 Sistem Informasi",Table612[B3],K$87)/$I$86</f>
        <v>0</v>
      </c>
      <c r="L90" s="66">
        <f>COUNTIFS(Table612[Prodi],"S1 Sistem Informasi",Table612[B3],L$87)/$I$86</f>
        <v>0</v>
      </c>
      <c r="M90" s="62">
        <f t="shared" si="1"/>
        <v>1</v>
      </c>
      <c r="N90"/>
      <c r="O90" s="57" t="s">
        <v>28</v>
      </c>
      <c r="P90" s="66">
        <f>COUNTIFS(Table612[Prodi],"S1 Teknik Komputer",Table612[B3],P$87)/$P$86</f>
        <v>0.8</v>
      </c>
      <c r="Q90" s="66">
        <f>COUNTIFS(Table612[Prodi],"S1 Teknik Komputer",Table612[B3],Q$87)/$P$86</f>
        <v>0.2</v>
      </c>
      <c r="R90" s="66">
        <f>COUNTIFS(Table612[Prodi],"S1 Teknik Komputer",Table612[B3],R$87)/$P$86</f>
        <v>0</v>
      </c>
      <c r="S90" s="66">
        <f>COUNTIFS(Table612[Prodi],"S1 Teknik Komputer",Table612[B3],S$87)/$P$86</f>
        <v>0</v>
      </c>
      <c r="T90" s="62">
        <f t="shared" si="2"/>
        <v>1</v>
      </c>
      <c r="U90"/>
      <c r="V90" s="57" t="s">
        <v>28</v>
      </c>
      <c r="W90" s="66">
        <f>COUNTIFS(Table612[Prodi],"D3 Sistem Informasi",Table612[B3],W$87)/$W$86</f>
        <v>0.55555555555555558</v>
      </c>
      <c r="X90" s="66">
        <f>COUNTIFS(Table612[Prodi],"D3 Sistem Informasi",Table612[B3],X$87)/$W$86</f>
        <v>0.44444444444444442</v>
      </c>
      <c r="Y90" s="66">
        <f>COUNTIFS(Table612[Prodi],"D3 Sistem Informasi",Table612[B3],Y$87)/$W$86</f>
        <v>0</v>
      </c>
      <c r="Z90" s="66">
        <f>COUNTIFS(Table612[Prodi],"D3 Sistem Informasi",Table612[B3],Z$87)/$W$86</f>
        <v>0</v>
      </c>
      <c r="AA90" s="62">
        <f t="shared" si="3"/>
        <v>1</v>
      </c>
      <c r="AB90"/>
      <c r="AC90"/>
      <c r="AD90"/>
      <c r="AE90"/>
      <c r="AF90"/>
      <c r="AG90"/>
      <c r="AH90"/>
      <c r="AI90"/>
      <c r="AJ90"/>
      <c r="AK90"/>
      <c r="AL90"/>
      <c r="AM90"/>
      <c r="AN90"/>
      <c r="AO90"/>
      <c r="AP90"/>
      <c r="AQ90"/>
      <c r="AR90"/>
    </row>
    <row r="91" spans="1:44" s="118" customFormat="1" ht="16.5" x14ac:dyDescent="0.3">
      <c r="A91" s="57" t="s">
        <v>29</v>
      </c>
      <c r="B91" s="66">
        <f>COUNTIF(Table612[B1],B$87)/$B$86</f>
        <v>0.5</v>
      </c>
      <c r="C91" s="66">
        <f>COUNTIF(Table612[B1],C$87)/$B$86</f>
        <v>0.5</v>
      </c>
      <c r="D91" s="66">
        <f>COUNTIF(Table612[B1],D$87)/$B$86</f>
        <v>0</v>
      </c>
      <c r="E91" s="66">
        <f>COUNTIF(Table612[B1],E$87)/$B$86</f>
        <v>0</v>
      </c>
      <c r="F91" s="62">
        <f t="shared" si="0"/>
        <v>1</v>
      </c>
      <c r="H91" s="57" t="s">
        <v>29</v>
      </c>
      <c r="I91" s="66">
        <f>COUNTIFS(Table612[Prodi],"S1 Sistem Informasi",Table612[B4],I$87)/$I$86</f>
        <v>0.875</v>
      </c>
      <c r="J91" s="66">
        <f>COUNTIFS(Table612[Prodi],"S1 Sistem Informasi",Table612[B4],J$87)/$I$86</f>
        <v>0.125</v>
      </c>
      <c r="K91" s="66">
        <f>COUNTIFS(Table612[Prodi],"S1 Sistem Informasi",Table612[B4],K$87)/$I$86</f>
        <v>0</v>
      </c>
      <c r="L91" s="66">
        <f>COUNTIFS(Table612[Prodi],"S1 Sistem Informasi",Table612[B4],L$87)/$I$86</f>
        <v>0</v>
      </c>
      <c r="M91" s="62">
        <f t="shared" si="1"/>
        <v>1</v>
      </c>
      <c r="N91"/>
      <c r="O91" s="57" t="s">
        <v>29</v>
      </c>
      <c r="P91" s="66">
        <f>COUNTIFS(Table612[Prodi],"S1 Teknik Komputer",Table612[B4],P$87)/$P$86</f>
        <v>0.8</v>
      </c>
      <c r="Q91" s="66">
        <f>COUNTIFS(Table612[Prodi],"S1 Teknik Komputer",Table612[B4],Q$87)/$P$86</f>
        <v>0.2</v>
      </c>
      <c r="R91" s="66">
        <f>COUNTIFS(Table612[Prodi],"S1 Teknik Komputer",Table612[B4],R$87)/$P$86</f>
        <v>0</v>
      </c>
      <c r="S91" s="66">
        <f>COUNTIFS(Table612[Prodi],"S1 Teknik Komputer",Table612[B4],S$87)/$P$86</f>
        <v>0</v>
      </c>
      <c r="T91" s="62">
        <f t="shared" si="2"/>
        <v>1</v>
      </c>
      <c r="U91"/>
      <c r="V91" s="57" t="s">
        <v>29</v>
      </c>
      <c r="W91" s="66">
        <f>COUNTIFS(Table612[Prodi],"D3 Sistem Informasi",Table612[B4],W$87)/$W$86</f>
        <v>0.77777777777777779</v>
      </c>
      <c r="X91" s="66">
        <f>COUNTIFS(Table612[Prodi],"D3 Sistem Informasi",Table612[B4],X$87)/$W$86</f>
        <v>0.22222222222222221</v>
      </c>
      <c r="Y91" s="66">
        <f>COUNTIFS(Table612[Prodi],"D3 Sistem Informasi",Table612[B4],Y$87)/$W$86</f>
        <v>0</v>
      </c>
      <c r="Z91" s="66">
        <f>COUNTIFS(Table612[Prodi],"D3 Sistem Informasi",Table612[B4],Z$87)/$W$86</f>
        <v>0</v>
      </c>
      <c r="AA91" s="62">
        <f t="shared" si="3"/>
        <v>1</v>
      </c>
      <c r="AB91"/>
      <c r="AC91"/>
      <c r="AD91"/>
      <c r="AE91"/>
      <c r="AF91"/>
      <c r="AG91"/>
      <c r="AH91"/>
      <c r="AI91"/>
      <c r="AJ91"/>
      <c r="AK91"/>
      <c r="AL91"/>
      <c r="AM91"/>
      <c r="AN91"/>
      <c r="AO91"/>
      <c r="AP91"/>
      <c r="AQ91"/>
      <c r="AR91"/>
    </row>
    <row r="92" spans="1:44" s="118" customFormat="1" ht="16.5" x14ac:dyDescent="0.3">
      <c r="A92" s="60"/>
      <c r="B92" s="61">
        <f>AVERAGE(B88:B91)</f>
        <v>0.5</v>
      </c>
      <c r="C92" s="61">
        <f>AVERAGE(C88:C91)</f>
        <v>0.5</v>
      </c>
      <c r="D92" s="61">
        <f>AVERAGE(D88:D91)</f>
        <v>0</v>
      </c>
      <c r="E92" s="61">
        <f>AVERAGE(E88:E91)</f>
        <v>0</v>
      </c>
      <c r="F92" s="62">
        <f t="shared" si="0"/>
        <v>1</v>
      </c>
      <c r="H92" s="60"/>
      <c r="I92" s="61">
        <f>AVERAGE(I88:I91)</f>
        <v>0.71875</v>
      </c>
      <c r="J92" s="61">
        <f>AVERAGE(J88:J91)</f>
        <v>0.28125</v>
      </c>
      <c r="K92" s="61">
        <f>AVERAGE(K88:K91)</f>
        <v>0</v>
      </c>
      <c r="L92" s="61">
        <f>AVERAGE(L88:L91)</f>
        <v>0</v>
      </c>
      <c r="M92" s="62">
        <f t="shared" si="1"/>
        <v>1</v>
      </c>
      <c r="N92"/>
      <c r="O92" s="60"/>
      <c r="P92" s="61">
        <f>AVERAGE(P88:P91)</f>
        <v>0.75</v>
      </c>
      <c r="Q92" s="61">
        <f>AVERAGE(Q88:Q91)</f>
        <v>0.25</v>
      </c>
      <c r="R92" s="61">
        <f>AVERAGE(R88:R91)</f>
        <v>0</v>
      </c>
      <c r="S92" s="61">
        <f>AVERAGE(S88:S91)</f>
        <v>0</v>
      </c>
      <c r="T92" s="62">
        <f t="shared" si="2"/>
        <v>1</v>
      </c>
      <c r="U92"/>
      <c r="V92" s="60"/>
      <c r="W92" s="61">
        <f>AVERAGE(W88:W91)</f>
        <v>0.52777777777777779</v>
      </c>
      <c r="X92" s="61">
        <f>AVERAGE(X88:X91)</f>
        <v>0.47222222222222221</v>
      </c>
      <c r="Y92" s="61">
        <f>AVERAGE(Y88:Y91)</f>
        <v>0</v>
      </c>
      <c r="Z92" s="61">
        <f>AVERAGE(Z88:Z91)</f>
        <v>0</v>
      </c>
      <c r="AA92" s="62">
        <f t="shared" si="3"/>
        <v>1</v>
      </c>
      <c r="AB92"/>
      <c r="AC92"/>
      <c r="AD92"/>
      <c r="AE92"/>
      <c r="AF92"/>
      <c r="AG92"/>
      <c r="AH92"/>
      <c r="AI92"/>
      <c r="AJ92"/>
      <c r="AK92"/>
      <c r="AL92"/>
      <c r="AM92"/>
      <c r="AN92"/>
      <c r="AO92"/>
      <c r="AP92"/>
      <c r="AQ92"/>
      <c r="AR92"/>
    </row>
    <row r="93" spans="1:44" s="118" customFormat="1" ht="16.5" x14ac:dyDescent="0.3">
      <c r="A93" s="57" t="s">
        <v>31</v>
      </c>
      <c r="B93" s="66">
        <f>COUNTIF(Table612[C1],B$87)/$B$86</f>
        <v>0.63636363636363635</v>
      </c>
      <c r="C93" s="66">
        <f>COUNTIF(Table612[C1],C$87)/$B$86</f>
        <v>0.36363636363636365</v>
      </c>
      <c r="D93" s="66">
        <f>COUNTIF(Table612[C1],D$87)/$B$86</f>
        <v>0</v>
      </c>
      <c r="E93" s="66">
        <f>COUNTIF(Table612[C1],E$87)/$B$86</f>
        <v>0</v>
      </c>
      <c r="F93" s="62">
        <f t="shared" si="0"/>
        <v>1</v>
      </c>
      <c r="H93" s="57" t="s">
        <v>31</v>
      </c>
      <c r="I93" s="66">
        <f>COUNTIFS(Table612[Prodi],"S1 Sistem Informasi",Table612[C1],I$87)/$I$86</f>
        <v>0.75</v>
      </c>
      <c r="J93" s="66">
        <f>COUNTIFS(Table612[Prodi],"S1 Sistem Informasi",Table612[C1],J$87)/$I$86</f>
        <v>0.25</v>
      </c>
      <c r="K93" s="66">
        <f>COUNTIFS(Table612[Prodi],"S1 Sistem Informasi",Table612[C1],K$87)/$I$86</f>
        <v>0</v>
      </c>
      <c r="L93" s="66">
        <f>COUNTIFS(Table612[Prodi],"S1 Sistem Informasi",Table612[C1],L$87)/$I$86</f>
        <v>0</v>
      </c>
      <c r="M93" s="62">
        <f t="shared" si="1"/>
        <v>1</v>
      </c>
      <c r="N93"/>
      <c r="O93" s="57" t="s">
        <v>31</v>
      </c>
      <c r="P93" s="66">
        <f>COUNTIFS(Table612[Prodi],"S1 Teknik Komputer",Table612[C1],P$87)/$P$86</f>
        <v>0.6</v>
      </c>
      <c r="Q93" s="66">
        <f>COUNTIFS(Table612[Prodi],"S1 Teknik Komputer",Table612[C1],Q$87)/$P$86</f>
        <v>0.4</v>
      </c>
      <c r="R93" s="66">
        <f>COUNTIFS(Table612[Prodi],"S1 Teknik Komputer",Table612[C1],R$87)/$P$86</f>
        <v>0</v>
      </c>
      <c r="S93" s="66">
        <f>COUNTIFS(Table612[Prodi],"S1 Teknik Komputer",Table612[C1],S$87)/$P$86</f>
        <v>0</v>
      </c>
      <c r="T93" s="62">
        <f t="shared" si="2"/>
        <v>1</v>
      </c>
      <c r="U93"/>
      <c r="V93" s="57" t="s">
        <v>31</v>
      </c>
      <c r="W93" s="66">
        <f>COUNTIFS(Table612[Prodi],"D3 Sistem Informasi",Table612[C1],W$87)/$W$86</f>
        <v>0.55555555555555558</v>
      </c>
      <c r="X93" s="66">
        <f>COUNTIFS(Table612[Prodi],"D3 Sistem Informasi",Table612[C1],X$87)/$W$86</f>
        <v>0.44444444444444442</v>
      </c>
      <c r="Y93" s="66">
        <f>COUNTIFS(Table612[Prodi],"D3 Sistem Informasi",Table612[C1],Y$87)/$W$86</f>
        <v>0</v>
      </c>
      <c r="Z93" s="66">
        <f>COUNTIFS(Table612[Prodi],"D3 Sistem Informasi",Table612[C1],Z$87)/$W$86</f>
        <v>0</v>
      </c>
      <c r="AA93" s="62">
        <f t="shared" si="3"/>
        <v>1</v>
      </c>
      <c r="AB93"/>
      <c r="AC93"/>
      <c r="AD93"/>
      <c r="AE93"/>
      <c r="AF93"/>
      <c r="AG93"/>
      <c r="AH93"/>
      <c r="AI93"/>
      <c r="AJ93"/>
      <c r="AK93"/>
      <c r="AL93"/>
      <c r="AM93"/>
      <c r="AN93"/>
      <c r="AO93"/>
      <c r="AP93"/>
      <c r="AQ93"/>
      <c r="AR93"/>
    </row>
    <row r="94" spans="1:44" s="118" customFormat="1" ht="16.5" x14ac:dyDescent="0.3">
      <c r="A94" s="57" t="s">
        <v>32</v>
      </c>
      <c r="B94" s="66">
        <f>COUNTIF(Table612[C2],B$87)/$B$86</f>
        <v>0.68181818181818177</v>
      </c>
      <c r="C94" s="66">
        <f>COUNTIF(Table612[C2],C$87)/$B$86</f>
        <v>0.27272727272727271</v>
      </c>
      <c r="D94" s="66">
        <f>COUNTIF(Table612[C2],D$87)/$B$86</f>
        <v>4.5454545454545456E-2</v>
      </c>
      <c r="E94" s="66">
        <f>COUNTIF(Table612[C2],E$87)/$B$86</f>
        <v>0</v>
      </c>
      <c r="F94" s="62">
        <f t="shared" si="0"/>
        <v>0.99999999999999989</v>
      </c>
      <c r="H94" s="57" t="s">
        <v>32</v>
      </c>
      <c r="I94" s="66">
        <f>COUNTIFS(Table612[Prodi],"S1 Sistem Informasi",Table612[C2],I$87)/$I$86</f>
        <v>0.75</v>
      </c>
      <c r="J94" s="66">
        <f>COUNTIFS(Table612[Prodi],"S1 Sistem Informasi",Table612[C2],J$87)/$I$86</f>
        <v>0.25</v>
      </c>
      <c r="K94" s="66">
        <f>COUNTIFS(Table612[Prodi],"S1 Sistem Informasi",Table612[C2],K$87)/$I$86</f>
        <v>0</v>
      </c>
      <c r="L94" s="66">
        <f>COUNTIFS(Table612[Prodi],"S1 Sistem Informasi",Table612[C2],L$87)/$I$86</f>
        <v>0</v>
      </c>
      <c r="M94" s="62">
        <f t="shared" si="1"/>
        <v>1</v>
      </c>
      <c r="N94"/>
      <c r="O94" s="57" t="s">
        <v>32</v>
      </c>
      <c r="P94" s="66">
        <f>COUNTIFS(Table612[Prodi],"S1 Teknik Komputer",Table612[C2],P$87)/$P$86</f>
        <v>0.8</v>
      </c>
      <c r="Q94" s="66">
        <f>COUNTIFS(Table612[Prodi],"S1 Teknik Komputer",Table612[C2],Q$87)/$P$86</f>
        <v>0.2</v>
      </c>
      <c r="R94" s="66">
        <f>COUNTIFS(Table612[Prodi],"S1 Teknik Komputer",Table612[C2],R$87)/$P$86</f>
        <v>0</v>
      </c>
      <c r="S94" s="66">
        <f>COUNTIFS(Table612[Prodi],"S1 Teknik Komputer",Table612[C2],S$87)/$P$86</f>
        <v>0</v>
      </c>
      <c r="T94" s="62">
        <f t="shared" si="2"/>
        <v>1</v>
      </c>
      <c r="U94"/>
      <c r="V94" s="57" t="s">
        <v>32</v>
      </c>
      <c r="W94" s="66">
        <f>COUNTIFS(Table612[Prodi],"D3 Sistem Informasi",Table612[C2],W$87)/$W$86</f>
        <v>0.55555555555555558</v>
      </c>
      <c r="X94" s="66">
        <f>COUNTIFS(Table612[Prodi],"D3 Sistem Informasi",Table612[C2],X$87)/$W$86</f>
        <v>0.33333333333333331</v>
      </c>
      <c r="Y94" s="66">
        <f>COUNTIFS(Table612[Prodi],"D3 Sistem Informasi",Table612[C2],Y$87)/$W$86</f>
        <v>0.1111111111111111</v>
      </c>
      <c r="Z94" s="66">
        <f>COUNTIFS(Table612[Prodi],"D3 Sistem Informasi",Table612[C2],Z$87)/$W$86</f>
        <v>0</v>
      </c>
      <c r="AA94" s="62">
        <f t="shared" si="3"/>
        <v>1</v>
      </c>
      <c r="AB94"/>
      <c r="AC94"/>
      <c r="AD94"/>
      <c r="AE94"/>
      <c r="AF94"/>
      <c r="AG94"/>
      <c r="AH94"/>
      <c r="AI94"/>
      <c r="AJ94"/>
      <c r="AK94"/>
      <c r="AL94"/>
      <c r="AM94"/>
      <c r="AN94"/>
      <c r="AO94"/>
      <c r="AP94"/>
      <c r="AQ94"/>
      <c r="AR94"/>
    </row>
    <row r="95" spans="1:44" s="118" customFormat="1" ht="16.5" x14ac:dyDescent="0.3">
      <c r="A95" s="57" t="s">
        <v>1164</v>
      </c>
      <c r="B95" s="66">
        <f>COUNTIF(Table612[C3],B$87)/$B$86</f>
        <v>0.77272727272727271</v>
      </c>
      <c r="C95" s="66">
        <f>COUNTIF(Table612[C3],C$87)/$B$86</f>
        <v>0.22727272727272727</v>
      </c>
      <c r="D95" s="66">
        <f>COUNTIF(Table612[C3],D$87)/$B$86</f>
        <v>0</v>
      </c>
      <c r="E95" s="66">
        <f>COUNTIF(Table612[C3],E$87)/$B$86</f>
        <v>0</v>
      </c>
      <c r="F95" s="62">
        <f t="shared" si="0"/>
        <v>1</v>
      </c>
      <c r="H95" s="57" t="s">
        <v>1164</v>
      </c>
      <c r="I95" s="66">
        <f>COUNTIFS(Table612[Prodi],"S1 Sistem Informasi",Table612[C3],I$87)/$I$86</f>
        <v>0.875</v>
      </c>
      <c r="J95" s="66">
        <f>COUNTIFS(Table612[Prodi],"S1 Sistem Informasi",Table612[C3],J$87)/$I$86</f>
        <v>0.125</v>
      </c>
      <c r="K95" s="66">
        <f>COUNTIFS(Table612[Prodi],"S1 Sistem Informasi",Table612[C3],K$87)/$I$86</f>
        <v>0</v>
      </c>
      <c r="L95" s="66">
        <f>COUNTIFS(Table612[Prodi],"S1 Sistem Informasi",Table612[C3],L$87)/$I$86</f>
        <v>0</v>
      </c>
      <c r="M95" s="62">
        <f t="shared" si="1"/>
        <v>1</v>
      </c>
      <c r="N95"/>
      <c r="O95" s="57" t="s">
        <v>1164</v>
      </c>
      <c r="P95" s="66">
        <f>COUNTIFS(Table612[Prodi],"S1 Teknik Komputer",Table612[C3],P$87)/$P$86</f>
        <v>0.6</v>
      </c>
      <c r="Q95" s="66">
        <f>COUNTIFS(Table612[Prodi],"S1 Teknik Komputer",Table612[C3],Q$87)/$P$86</f>
        <v>0.4</v>
      </c>
      <c r="R95" s="66">
        <f>COUNTIFS(Table612[Prodi],"S1 Teknik Komputer",Table612[C3],R$87)/$P$86</f>
        <v>0</v>
      </c>
      <c r="S95" s="66">
        <f>COUNTIFS(Table612[Prodi],"S1 Teknik Komputer",Table612[C3],S$87)/$P$86</f>
        <v>0</v>
      </c>
      <c r="T95" s="62">
        <f t="shared" si="2"/>
        <v>1</v>
      </c>
      <c r="U95"/>
      <c r="V95" s="57" t="s">
        <v>1164</v>
      </c>
      <c r="W95" s="66">
        <f>COUNTIFS(Table612[Prodi],"D3 Sistem Informasi",Table612[C3],W$87)/$W$86</f>
        <v>0.77777777777777779</v>
      </c>
      <c r="X95" s="66">
        <f>COUNTIFS(Table612[Prodi],"D3 Sistem Informasi",Table612[C3],X$87)/$W$86</f>
        <v>0.22222222222222221</v>
      </c>
      <c r="Y95" s="66">
        <f>COUNTIFS(Table612[Prodi],"D3 Sistem Informasi",Table612[C3],Y$87)/$W$86</f>
        <v>0</v>
      </c>
      <c r="Z95" s="66">
        <f>COUNTIFS(Table612[Prodi],"D3 Sistem Informasi",Table612[C3],Z$87)/$W$86</f>
        <v>0</v>
      </c>
      <c r="AA95" s="62">
        <f t="shared" si="3"/>
        <v>1</v>
      </c>
      <c r="AB95"/>
      <c r="AC95"/>
      <c r="AD95"/>
      <c r="AE95"/>
      <c r="AF95"/>
      <c r="AG95"/>
      <c r="AH95"/>
      <c r="AI95"/>
      <c r="AJ95"/>
      <c r="AK95"/>
      <c r="AL95"/>
      <c r="AM95"/>
      <c r="AN95"/>
      <c r="AO95"/>
      <c r="AP95"/>
      <c r="AQ95"/>
      <c r="AR95"/>
    </row>
    <row r="96" spans="1:44" s="118" customFormat="1" ht="16.5" x14ac:dyDescent="0.3">
      <c r="A96" s="60"/>
      <c r="B96" s="61">
        <f>AVERAGE(B93:B95)</f>
        <v>0.69696969696969691</v>
      </c>
      <c r="C96" s="61">
        <f>AVERAGE(C93:C95)</f>
        <v>0.2878787878787879</v>
      </c>
      <c r="D96" s="61">
        <f>AVERAGE(D93:D95)</f>
        <v>1.5151515151515152E-2</v>
      </c>
      <c r="E96" s="61">
        <f>AVERAGE(E93:E95)</f>
        <v>0</v>
      </c>
      <c r="F96" s="62">
        <f>SUM(B96:E96)</f>
        <v>1</v>
      </c>
      <c r="H96" s="60"/>
      <c r="I96" s="61">
        <f>AVERAGE(I93:I95)</f>
        <v>0.79166666666666663</v>
      </c>
      <c r="J96" s="61">
        <f>AVERAGE(J93:J95)</f>
        <v>0.20833333333333334</v>
      </c>
      <c r="K96" s="61">
        <f>AVERAGE(K93:K95)</f>
        <v>0</v>
      </c>
      <c r="L96" s="61">
        <f>AVERAGE(L93:L95)</f>
        <v>0</v>
      </c>
      <c r="M96" s="62">
        <f>SUM(I96:L96)</f>
        <v>1</v>
      </c>
      <c r="N96"/>
      <c r="O96" s="60"/>
      <c r="P96" s="61">
        <f>AVERAGE(P93:P95)</f>
        <v>0.66666666666666663</v>
      </c>
      <c r="Q96" s="61">
        <f>AVERAGE(Q93:Q95)</f>
        <v>0.33333333333333331</v>
      </c>
      <c r="R96" s="61">
        <f>AVERAGE(R93:R95)</f>
        <v>0</v>
      </c>
      <c r="S96" s="61">
        <f>AVERAGE(S93:S95)</f>
        <v>0</v>
      </c>
      <c r="T96" s="62">
        <f>SUM(P96:S96)</f>
        <v>1</v>
      </c>
      <c r="U96"/>
      <c r="V96" s="60"/>
      <c r="W96" s="61">
        <f>AVERAGE(W93:W95)</f>
        <v>0.62962962962962965</v>
      </c>
      <c r="X96" s="61">
        <f>AVERAGE(X93:X95)</f>
        <v>0.33333333333333331</v>
      </c>
      <c r="Y96" s="61">
        <f>AVERAGE(Y93:Y95)</f>
        <v>3.7037037037037035E-2</v>
      </c>
      <c r="Z96" s="61">
        <f>AVERAGE(Z93:Z95)</f>
        <v>0</v>
      </c>
      <c r="AA96" s="62">
        <f>SUM(W96:Z96)</f>
        <v>1</v>
      </c>
      <c r="AB96"/>
      <c r="AC96"/>
      <c r="AD96"/>
      <c r="AE96"/>
      <c r="AF96"/>
      <c r="AG96"/>
      <c r="AH96"/>
      <c r="AI96"/>
      <c r="AJ96"/>
      <c r="AK96"/>
      <c r="AL96"/>
      <c r="AM96"/>
      <c r="AN96"/>
      <c r="AO96"/>
      <c r="AP96"/>
      <c r="AQ96"/>
      <c r="AR96"/>
    </row>
    <row r="97" spans="1:44" s="118" customFormat="1" ht="16.5" x14ac:dyDescent="0.3">
      <c r="A97" s="57" t="s">
        <v>33</v>
      </c>
      <c r="B97" s="66">
        <f>COUNTIF(Table612[D1],B$87)/$B$86</f>
        <v>0.22727272727272727</v>
      </c>
      <c r="C97" s="66">
        <f>COUNTIF(Table612[D1],C$87)/$B$86</f>
        <v>0.45454545454545453</v>
      </c>
      <c r="D97" s="66">
        <f>COUNTIF(Table612[D1],D$87)/$B$86</f>
        <v>0.31818181818181818</v>
      </c>
      <c r="E97" s="66">
        <f>COUNTIF(Table612[D1],E$87)/$B$86</f>
        <v>0</v>
      </c>
      <c r="F97" s="62">
        <f t="shared" si="0"/>
        <v>1</v>
      </c>
      <c r="H97" s="57" t="s">
        <v>33</v>
      </c>
      <c r="I97" s="66">
        <f>COUNTIFS(Table612[Prodi],"S1 Sistem Informasi",Table612[D1],I$87)/$I$86</f>
        <v>0.125</v>
      </c>
      <c r="J97" s="66">
        <f>COUNTIFS(Table612[Prodi],"S1 Sistem Informasi",Table612[D1],J$87)/$I$86</f>
        <v>0.75</v>
      </c>
      <c r="K97" s="66">
        <f>COUNTIFS(Table612[Prodi],"S1 Sistem Informasi",Table612[D1],K$87)/$I$86</f>
        <v>0.125</v>
      </c>
      <c r="L97" s="66">
        <f>COUNTIFS(Table612[Prodi],"S1 Sistem Informasi",Table612[D1],L$87)/$I$86</f>
        <v>0</v>
      </c>
      <c r="M97" s="62">
        <f t="shared" ref="M97:M128" si="4">SUM(I97:L97)</f>
        <v>1</v>
      </c>
      <c r="N97"/>
      <c r="O97" s="57" t="s">
        <v>33</v>
      </c>
      <c r="P97" s="66">
        <f>COUNTIFS(Table612[Prodi],"S1 Teknik Komputer",Table612[D1],P$87)/$P$86</f>
        <v>0.2</v>
      </c>
      <c r="Q97" s="66">
        <f>COUNTIFS(Table612[Prodi],"S1 Teknik Komputer",Table612[D1],Q$87)/$P$86</f>
        <v>0.2</v>
      </c>
      <c r="R97" s="66">
        <f>COUNTIFS(Table612[Prodi],"S1 Teknik Komputer",Table612[D1],R$87)/$P$86</f>
        <v>0.6</v>
      </c>
      <c r="S97" s="66">
        <f>COUNTIFS(Table612[Prodi],"S1 Teknik Komputer",Table612[D1],S$87)/$P$86</f>
        <v>0</v>
      </c>
      <c r="T97" s="62">
        <f t="shared" ref="T97:T128" si="5">SUM(P97:S97)</f>
        <v>1</v>
      </c>
      <c r="U97"/>
      <c r="V97" s="57" t="s">
        <v>33</v>
      </c>
      <c r="W97" s="66">
        <f>COUNTIFS(Table612[Prodi],"D3 Sistem Informasi",Table612[D1],W$87)/$W$86</f>
        <v>0.33333333333333331</v>
      </c>
      <c r="X97" s="66">
        <f>COUNTIFS(Table612[Prodi],"D3 Sistem Informasi",Table612[D1],X$87)/$W$86</f>
        <v>0.33333333333333331</v>
      </c>
      <c r="Y97" s="66">
        <f>COUNTIFS(Table612[Prodi],"D3 Sistem Informasi",Table612[D1],Y$87)/$W$86</f>
        <v>0.33333333333333331</v>
      </c>
      <c r="Z97" s="66">
        <f>COUNTIFS(Table612[Prodi],"D3 Sistem Informasi",Table612[D1],Z$87)/$W$86</f>
        <v>0</v>
      </c>
      <c r="AA97" s="62">
        <f t="shared" ref="AA97:AA128" si="6">SUM(W97:Z97)</f>
        <v>1</v>
      </c>
      <c r="AB97"/>
      <c r="AC97"/>
      <c r="AD97"/>
      <c r="AE97"/>
      <c r="AF97"/>
      <c r="AG97"/>
      <c r="AH97"/>
      <c r="AI97"/>
      <c r="AJ97"/>
      <c r="AK97"/>
      <c r="AL97"/>
      <c r="AM97"/>
      <c r="AN97"/>
      <c r="AO97"/>
      <c r="AP97"/>
      <c r="AQ97"/>
      <c r="AR97"/>
    </row>
    <row r="98" spans="1:44" s="118" customFormat="1" ht="16.5" x14ac:dyDescent="0.3">
      <c r="A98" s="57" t="s">
        <v>34</v>
      </c>
      <c r="B98" s="66">
        <f>COUNTIF(Table612[D2],B$87)/$B$86</f>
        <v>0.45454545454545453</v>
      </c>
      <c r="C98" s="66">
        <f>COUNTIF(Table612[D2],C$87)/$B$86</f>
        <v>0.54545454545454541</v>
      </c>
      <c r="D98" s="66">
        <f>COUNTIF(Table612[D2],D$87)/$B$86</f>
        <v>0</v>
      </c>
      <c r="E98" s="66">
        <f>COUNTIF(Table612[D2],E$87)/$B$86</f>
        <v>0</v>
      </c>
      <c r="F98" s="62">
        <f t="shared" si="0"/>
        <v>1</v>
      </c>
      <c r="H98" s="57" t="s">
        <v>34</v>
      </c>
      <c r="I98" s="66">
        <f>COUNTIFS(Table612[Prodi],"S1 Sistem Informasi",Table612[D2],I$87)/$I$86</f>
        <v>0.5</v>
      </c>
      <c r="J98" s="66">
        <f>COUNTIFS(Table612[Prodi],"S1 Sistem Informasi",Table612[D2],J$87)/$I$86</f>
        <v>0.5</v>
      </c>
      <c r="K98" s="66">
        <f>COUNTIFS(Table612[Prodi],"S1 Sistem Informasi",Table612[D2],K$87)/$I$86</f>
        <v>0</v>
      </c>
      <c r="L98" s="66">
        <f>COUNTIFS(Table612[Prodi],"S1 Sistem Informasi",Table612[D2],L$87)/$I$86</f>
        <v>0</v>
      </c>
      <c r="M98" s="62">
        <f t="shared" si="4"/>
        <v>1</v>
      </c>
      <c r="N98"/>
      <c r="O98" s="57" t="s">
        <v>34</v>
      </c>
      <c r="P98" s="66">
        <f>COUNTIFS(Table612[Prodi],"S1 Teknik Komputer",Table612[D2],P$87)/$P$86</f>
        <v>0.6</v>
      </c>
      <c r="Q98" s="66">
        <f>COUNTIFS(Table612[Prodi],"S1 Teknik Komputer",Table612[D2],Q$87)/$P$86</f>
        <v>0.4</v>
      </c>
      <c r="R98" s="66">
        <f>COUNTIFS(Table612[Prodi],"S1 Teknik Komputer",Table612[D2],R$87)/$P$86</f>
        <v>0</v>
      </c>
      <c r="S98" s="66">
        <f>COUNTIFS(Table612[Prodi],"S1 Teknik Komputer",Table612[D2],S$87)/$P$86</f>
        <v>0</v>
      </c>
      <c r="T98" s="62">
        <f t="shared" si="5"/>
        <v>1</v>
      </c>
      <c r="U98"/>
      <c r="V98" s="57" t="s">
        <v>34</v>
      </c>
      <c r="W98" s="66">
        <f>COUNTIFS(Table612[Prodi],"D3 Sistem Informasi",Table612[D2],W$87)/$W$86</f>
        <v>0.33333333333333331</v>
      </c>
      <c r="X98" s="66">
        <f>COUNTIFS(Table612[Prodi],"D3 Sistem Informasi",Table612[D2],X$87)/$W$86</f>
        <v>0.66666666666666663</v>
      </c>
      <c r="Y98" s="66">
        <f>COUNTIFS(Table612[Prodi],"D3 Sistem Informasi",Table612[D2],Y$87)/$W$86</f>
        <v>0</v>
      </c>
      <c r="Z98" s="66">
        <f>COUNTIFS(Table612[Prodi],"D3 Sistem Informasi",Table612[D2],Z$87)/$W$86</f>
        <v>0</v>
      </c>
      <c r="AA98" s="62">
        <f t="shared" si="6"/>
        <v>1</v>
      </c>
      <c r="AB98"/>
      <c r="AC98"/>
      <c r="AD98"/>
      <c r="AE98"/>
      <c r="AF98"/>
      <c r="AG98"/>
      <c r="AH98"/>
      <c r="AI98"/>
      <c r="AJ98"/>
      <c r="AK98"/>
      <c r="AL98"/>
      <c r="AM98"/>
      <c r="AN98"/>
      <c r="AO98"/>
      <c r="AP98"/>
      <c r="AQ98"/>
      <c r="AR98"/>
    </row>
    <row r="99" spans="1:44" s="118" customFormat="1" ht="16.5" x14ac:dyDescent="0.3">
      <c r="A99" s="60"/>
      <c r="B99" s="61">
        <f>AVERAGE(B97:B98)</f>
        <v>0.34090909090909088</v>
      </c>
      <c r="C99" s="61">
        <f>AVERAGE(C97:C98)</f>
        <v>0.5</v>
      </c>
      <c r="D99" s="61">
        <f>AVERAGE(D97:D98)</f>
        <v>0.15909090909090909</v>
      </c>
      <c r="E99" s="61">
        <f>AVERAGE(E97:E98)</f>
        <v>0</v>
      </c>
      <c r="F99" s="62">
        <f t="shared" si="0"/>
        <v>0.99999999999999989</v>
      </c>
      <c r="H99" s="60"/>
      <c r="I99" s="61">
        <f>AVERAGE(I97:I98)</f>
        <v>0.3125</v>
      </c>
      <c r="J99" s="61">
        <f>AVERAGE(J97:J98)</f>
        <v>0.625</v>
      </c>
      <c r="K99" s="61">
        <f>AVERAGE(K97:K98)</f>
        <v>6.25E-2</v>
      </c>
      <c r="L99" s="61">
        <f>AVERAGE(L97:L98)</f>
        <v>0</v>
      </c>
      <c r="M99" s="62">
        <f t="shared" si="4"/>
        <v>1</v>
      </c>
      <c r="N99"/>
      <c r="O99" s="60"/>
      <c r="P99" s="61">
        <f>AVERAGE(P97:P98)</f>
        <v>0.4</v>
      </c>
      <c r="Q99" s="61">
        <f>AVERAGE(Q97:Q98)</f>
        <v>0.30000000000000004</v>
      </c>
      <c r="R99" s="61">
        <f>AVERAGE(R97:R98)</f>
        <v>0.3</v>
      </c>
      <c r="S99" s="61">
        <f>AVERAGE(S97:S98)</f>
        <v>0</v>
      </c>
      <c r="T99" s="62">
        <f t="shared" si="5"/>
        <v>1</v>
      </c>
      <c r="U99"/>
      <c r="V99" s="60"/>
      <c r="W99" s="61">
        <f>AVERAGE(W97:W98)</f>
        <v>0.33333333333333331</v>
      </c>
      <c r="X99" s="61">
        <f>AVERAGE(X97:X98)</f>
        <v>0.5</v>
      </c>
      <c r="Y99" s="61">
        <f>AVERAGE(Y97:Y98)</f>
        <v>0.16666666666666666</v>
      </c>
      <c r="Z99" s="61">
        <f>AVERAGE(Z97:Z98)</f>
        <v>0</v>
      </c>
      <c r="AA99" s="62">
        <f t="shared" si="6"/>
        <v>0.99999999999999989</v>
      </c>
      <c r="AB99"/>
      <c r="AC99"/>
      <c r="AD99"/>
      <c r="AE99"/>
      <c r="AF99"/>
      <c r="AG99"/>
      <c r="AH99"/>
      <c r="AI99"/>
      <c r="AJ99"/>
      <c r="AK99"/>
      <c r="AL99"/>
      <c r="AM99"/>
      <c r="AN99"/>
      <c r="AO99"/>
      <c r="AP99"/>
      <c r="AQ99"/>
      <c r="AR99"/>
    </row>
    <row r="100" spans="1:44" s="118" customFormat="1" ht="16.5" x14ac:dyDescent="0.3">
      <c r="A100" s="57" t="s">
        <v>35</v>
      </c>
      <c r="B100" s="66">
        <f>COUNTIF(Table612[E1],B$87)/$B$86</f>
        <v>0.77272727272727271</v>
      </c>
      <c r="C100" s="66">
        <f>COUNTIF(Table612[E1],C$87)/$B$86</f>
        <v>0.22727272727272727</v>
      </c>
      <c r="D100" s="66">
        <f>COUNTIF(Table612[E1],D$87)/$B$86</f>
        <v>0</v>
      </c>
      <c r="E100" s="66">
        <f>COUNTIF(Table612[E1],E$87)/$B$86</f>
        <v>0</v>
      </c>
      <c r="F100" s="62">
        <f t="shared" si="0"/>
        <v>1</v>
      </c>
      <c r="H100" s="57" t="s">
        <v>35</v>
      </c>
      <c r="I100" s="66">
        <f>COUNTIFS(Table612[Prodi],"S1 Sistem Informasi",Table612[E1],I$87)/$I$86</f>
        <v>0.875</v>
      </c>
      <c r="J100" s="66">
        <f>COUNTIFS(Table612[Prodi],"S1 Sistem Informasi",Table612[E1],J$87)/$I$86</f>
        <v>0.125</v>
      </c>
      <c r="K100" s="66">
        <f>COUNTIFS(Table612[Prodi],"S1 Sistem Informasi",Table612[E1],K$87)/$I$86</f>
        <v>0</v>
      </c>
      <c r="L100" s="66">
        <f>COUNTIFS(Table612[Prodi],"S1 Sistem Informasi",Table612[E1],L$87)/$I$86</f>
        <v>0</v>
      </c>
      <c r="M100" s="62">
        <f t="shared" si="4"/>
        <v>1</v>
      </c>
      <c r="N100"/>
      <c r="O100" s="57" t="s">
        <v>35</v>
      </c>
      <c r="P100" s="66">
        <f>COUNTIFS(Table612[Prodi],"S1 Teknik Komputer",Table612[E1],P$87)/$P$86</f>
        <v>0.6</v>
      </c>
      <c r="Q100" s="66">
        <f>COUNTIFS(Table612[Prodi],"S1 Teknik Komputer",Table612[E1],Q$87)/$P$86</f>
        <v>0.4</v>
      </c>
      <c r="R100" s="66">
        <f>COUNTIFS(Table612[Prodi],"S1 Teknik Komputer",Table612[E1],R$87)/$P$86</f>
        <v>0</v>
      </c>
      <c r="S100" s="66">
        <f>COUNTIFS(Table612[Prodi],"S1 Teknik Komputer",Table612[E1],S$87)/$P$86</f>
        <v>0</v>
      </c>
      <c r="T100" s="62">
        <f t="shared" si="5"/>
        <v>1</v>
      </c>
      <c r="U100"/>
      <c r="V100" s="57" t="s">
        <v>35</v>
      </c>
      <c r="W100" s="66">
        <f>COUNTIFS(Table612[Prodi],"D3 Sistem Informasi",Table612[E1],W$87)/$W$86</f>
        <v>0.77777777777777779</v>
      </c>
      <c r="X100" s="66">
        <f>COUNTIFS(Table612[Prodi],"D3 Sistem Informasi",Table612[E1],X$87)/$W$86</f>
        <v>0.22222222222222221</v>
      </c>
      <c r="Y100" s="66">
        <f>COUNTIFS(Table612[Prodi],"D3 Sistem Informasi",Table612[E1],Y$87)/$W$86</f>
        <v>0</v>
      </c>
      <c r="Z100" s="66">
        <f>COUNTIFS(Table612[Prodi],"D3 Sistem Informasi",Table612[E1],Z$87)/$W$86</f>
        <v>0</v>
      </c>
      <c r="AA100" s="62">
        <f t="shared" si="6"/>
        <v>1</v>
      </c>
      <c r="AB100"/>
      <c r="AC100"/>
      <c r="AD100"/>
      <c r="AE100"/>
      <c r="AF100"/>
      <c r="AG100"/>
      <c r="AH100"/>
      <c r="AI100"/>
      <c r="AJ100"/>
      <c r="AK100"/>
      <c r="AL100"/>
      <c r="AM100"/>
      <c r="AN100"/>
      <c r="AO100"/>
      <c r="AP100"/>
      <c r="AQ100"/>
      <c r="AR100"/>
    </row>
    <row r="101" spans="1:44" s="118" customFormat="1" ht="16.5" x14ac:dyDescent="0.3">
      <c r="A101" s="57" t="s">
        <v>36</v>
      </c>
      <c r="B101" s="66">
        <f>COUNTIF(Table612[E2],B$87)/$B$86</f>
        <v>0.77272727272727271</v>
      </c>
      <c r="C101" s="66">
        <f>COUNTIF(Table612[E2],C$87)/$B$86</f>
        <v>0.22727272727272727</v>
      </c>
      <c r="D101" s="66">
        <f>COUNTIF(Table612[E2],D$87)/$B$86</f>
        <v>0</v>
      </c>
      <c r="E101" s="66">
        <f>COUNTIF(Table612[E2],E$87)/$B$86</f>
        <v>0</v>
      </c>
      <c r="F101" s="62">
        <f t="shared" si="0"/>
        <v>1</v>
      </c>
      <c r="H101" s="57" t="s">
        <v>36</v>
      </c>
      <c r="I101" s="66">
        <f>COUNTIFS(Table612[Prodi],"S1 Sistem Informasi",Table612[E2],I$87)/$I$86</f>
        <v>1</v>
      </c>
      <c r="J101" s="66">
        <f>COUNTIFS(Table612[Prodi],"S1 Sistem Informasi",Table612[E2],J$87)/$I$86</f>
        <v>0</v>
      </c>
      <c r="K101" s="66">
        <f>COUNTIFS(Table612[Prodi],"S1 Sistem Informasi",Table612[E2],K$87)/$I$86</f>
        <v>0</v>
      </c>
      <c r="L101" s="66">
        <f>COUNTIFS(Table612[Prodi],"S1 Sistem Informasi",Table612[E2],L$87)/$I$86</f>
        <v>0</v>
      </c>
      <c r="M101" s="62">
        <f t="shared" si="4"/>
        <v>1</v>
      </c>
      <c r="N101"/>
      <c r="O101" s="57" t="s">
        <v>36</v>
      </c>
      <c r="P101" s="66">
        <f>COUNTIFS(Table612[Prodi],"S1 Teknik Komputer",Table612[E2],P$87)/$P$86</f>
        <v>0.8</v>
      </c>
      <c r="Q101" s="66">
        <f>COUNTIFS(Table612[Prodi],"S1 Teknik Komputer",Table612[E2],Q$87)/$P$86</f>
        <v>0.2</v>
      </c>
      <c r="R101" s="66">
        <f>COUNTIFS(Table612[Prodi],"S1 Teknik Komputer",Table612[E2],R$87)/$P$86</f>
        <v>0</v>
      </c>
      <c r="S101" s="66">
        <f>COUNTIFS(Table612[Prodi],"S1 Teknik Komputer",Table612[E2],S$87)/$P$86</f>
        <v>0</v>
      </c>
      <c r="T101" s="62">
        <f t="shared" si="5"/>
        <v>1</v>
      </c>
      <c r="U101"/>
      <c r="V101" s="57" t="s">
        <v>36</v>
      </c>
      <c r="W101" s="66">
        <f>COUNTIFS(Table612[Prodi],"D3 Sistem Informasi",Table612[E2],W$87)/$W$86</f>
        <v>0.55555555555555558</v>
      </c>
      <c r="X101" s="66">
        <f>COUNTIFS(Table612[Prodi],"D3 Sistem Informasi",Table612[E2],X$87)/$W$86</f>
        <v>0.44444444444444442</v>
      </c>
      <c r="Y101" s="66">
        <f>COUNTIFS(Table612[Prodi],"D3 Sistem Informasi",Table612[E2],Y$87)/$W$86</f>
        <v>0</v>
      </c>
      <c r="Z101" s="66">
        <f>COUNTIFS(Table612[Prodi],"D3 Sistem Informasi",Table612[E2],Z$87)/$W$86</f>
        <v>0</v>
      </c>
      <c r="AA101" s="62">
        <f t="shared" si="6"/>
        <v>1</v>
      </c>
      <c r="AB101"/>
      <c r="AC101"/>
      <c r="AD101"/>
      <c r="AE101"/>
      <c r="AF101"/>
      <c r="AG101"/>
      <c r="AH101"/>
      <c r="AI101"/>
      <c r="AJ101"/>
      <c r="AK101"/>
      <c r="AL101"/>
      <c r="AM101"/>
      <c r="AN101"/>
      <c r="AO101"/>
      <c r="AP101"/>
      <c r="AQ101"/>
      <c r="AR101"/>
    </row>
    <row r="102" spans="1:44" s="118" customFormat="1" ht="16.5" x14ac:dyDescent="0.3">
      <c r="A102" s="57" t="s">
        <v>1168</v>
      </c>
      <c r="B102" s="66">
        <f>COUNTIF(Table612[E3],B$87)/$B$86</f>
        <v>0.72727272727272729</v>
      </c>
      <c r="C102" s="66">
        <f>COUNTIF(Table612[E3],C$87)/$B$86</f>
        <v>0.27272727272727271</v>
      </c>
      <c r="D102" s="66">
        <f>COUNTIF(Table612[E3],D$87)/$B$86</f>
        <v>0</v>
      </c>
      <c r="E102" s="66">
        <f>COUNTIF(Table612[E3],E$87)/$B$86</f>
        <v>0</v>
      </c>
      <c r="F102" s="62">
        <f t="shared" si="0"/>
        <v>1</v>
      </c>
      <c r="H102" s="57" t="s">
        <v>1168</v>
      </c>
      <c r="I102" s="66">
        <f>COUNTIFS(Table612[Prodi],"S1 Sistem Informasi",Table612[E3],I$87)/$I$86</f>
        <v>1</v>
      </c>
      <c r="J102" s="66">
        <f>COUNTIFS(Table612[Prodi],"S1 Sistem Informasi",Table612[E3],J$87)/$I$86</f>
        <v>0</v>
      </c>
      <c r="K102" s="66">
        <f>COUNTIFS(Table612[Prodi],"S1 Sistem Informasi",Table612[E3],K$87)/$I$86</f>
        <v>0</v>
      </c>
      <c r="L102" s="66">
        <f>COUNTIFS(Table612[Prodi],"S1 Sistem Informasi",Table612[E3],L$87)/$I$86</f>
        <v>0</v>
      </c>
      <c r="M102" s="62">
        <f t="shared" si="4"/>
        <v>1</v>
      </c>
      <c r="N102"/>
      <c r="O102" s="57" t="s">
        <v>1168</v>
      </c>
      <c r="P102" s="66">
        <f>COUNTIFS(Table612[Prodi],"S1 Teknik Komputer",Table612[E3],P$87)/$P$86</f>
        <v>0.6</v>
      </c>
      <c r="Q102" s="66">
        <f>COUNTIFS(Table612[Prodi],"S1 Teknik Komputer",Table612[E3],Q$87)/$P$86</f>
        <v>0.4</v>
      </c>
      <c r="R102" s="66">
        <f>COUNTIFS(Table612[Prodi],"S1 Teknik Komputer",Table612[E3],R$87)/$P$86</f>
        <v>0</v>
      </c>
      <c r="S102" s="66">
        <f>COUNTIFS(Table612[Prodi],"S1 Teknik Komputer",Table612[E3],S$87)/$P$86</f>
        <v>0</v>
      </c>
      <c r="T102" s="62">
        <f t="shared" si="5"/>
        <v>1</v>
      </c>
      <c r="U102"/>
      <c r="V102" s="57" t="s">
        <v>1168</v>
      </c>
      <c r="W102" s="66">
        <f>COUNTIFS(Table612[Prodi],"D3 Sistem Informasi",Table612[E3],W$87)/$W$86</f>
        <v>0.55555555555555558</v>
      </c>
      <c r="X102" s="66">
        <f>COUNTIFS(Table612[Prodi],"D3 Sistem Informasi",Table612[E3],X$87)/$W$86</f>
        <v>0.44444444444444442</v>
      </c>
      <c r="Y102" s="66">
        <f>COUNTIFS(Table612[Prodi],"D3 Sistem Informasi",Table612[E3],Y$87)/$W$86</f>
        <v>0</v>
      </c>
      <c r="Z102" s="66">
        <f>COUNTIFS(Table612[Prodi],"D3 Sistem Informasi",Table612[E3],Z$87)/$W$86</f>
        <v>0</v>
      </c>
      <c r="AA102" s="62">
        <f t="shared" si="6"/>
        <v>1</v>
      </c>
      <c r="AB102"/>
      <c r="AC102"/>
      <c r="AD102"/>
      <c r="AE102"/>
      <c r="AF102"/>
      <c r="AG102"/>
      <c r="AH102"/>
      <c r="AI102"/>
      <c r="AJ102"/>
      <c r="AK102"/>
      <c r="AL102"/>
      <c r="AM102"/>
      <c r="AN102"/>
      <c r="AO102"/>
      <c r="AP102"/>
      <c r="AQ102"/>
      <c r="AR102"/>
    </row>
    <row r="103" spans="1:44" s="118" customFormat="1" ht="16.5" x14ac:dyDescent="0.3">
      <c r="A103" s="60"/>
      <c r="B103" s="61">
        <f>AVERAGE(B100:B102)</f>
        <v>0.75757575757575746</v>
      </c>
      <c r="C103" s="61">
        <f>AVERAGE(C100:C102)</f>
        <v>0.24242424242424243</v>
      </c>
      <c r="D103" s="61">
        <f>AVERAGE(D100:D102)</f>
        <v>0</v>
      </c>
      <c r="E103" s="61">
        <f>AVERAGE(E100:E102)</f>
        <v>0</v>
      </c>
      <c r="F103" s="62">
        <f t="shared" si="0"/>
        <v>0.99999999999999989</v>
      </c>
      <c r="H103" s="60"/>
      <c r="I103" s="61">
        <f>AVERAGE(I100:I102)</f>
        <v>0.95833333333333337</v>
      </c>
      <c r="J103" s="61">
        <f>AVERAGE(J100:J102)</f>
        <v>4.1666666666666664E-2</v>
      </c>
      <c r="K103" s="61">
        <f>AVERAGE(K100:K102)</f>
        <v>0</v>
      </c>
      <c r="L103" s="61">
        <f>AVERAGE(L100:L102)</f>
        <v>0</v>
      </c>
      <c r="M103" s="62">
        <f t="shared" si="4"/>
        <v>1</v>
      </c>
      <c r="N103"/>
      <c r="O103" s="60"/>
      <c r="P103" s="61">
        <f>AVERAGE(P100:P102)</f>
        <v>0.66666666666666663</v>
      </c>
      <c r="Q103" s="61">
        <f>AVERAGE(Q100:Q102)</f>
        <v>0.33333333333333331</v>
      </c>
      <c r="R103" s="61">
        <f>AVERAGE(R100:R102)</f>
        <v>0</v>
      </c>
      <c r="S103" s="61">
        <f>AVERAGE(S100:S102)</f>
        <v>0</v>
      </c>
      <c r="T103" s="62">
        <f t="shared" si="5"/>
        <v>1</v>
      </c>
      <c r="U103"/>
      <c r="V103" s="60"/>
      <c r="W103" s="61">
        <f>AVERAGE(W100:W102)</f>
        <v>0.62962962962962965</v>
      </c>
      <c r="X103" s="61">
        <f>AVERAGE(X100:X102)</f>
        <v>0.37037037037037041</v>
      </c>
      <c r="Y103" s="61">
        <f>AVERAGE(Y100:Y102)</f>
        <v>0</v>
      </c>
      <c r="Z103" s="61">
        <f>AVERAGE(Z100:Z102)</f>
        <v>0</v>
      </c>
      <c r="AA103" s="62">
        <f t="shared" si="6"/>
        <v>1</v>
      </c>
      <c r="AB103"/>
      <c r="AC103"/>
      <c r="AD103"/>
      <c r="AE103"/>
      <c r="AF103"/>
      <c r="AG103"/>
      <c r="AH103"/>
      <c r="AI103"/>
      <c r="AJ103"/>
      <c r="AK103"/>
      <c r="AL103"/>
      <c r="AM103"/>
      <c r="AN103"/>
      <c r="AO103"/>
      <c r="AP103"/>
      <c r="AQ103"/>
      <c r="AR103"/>
    </row>
    <row r="104" spans="1:44" s="118" customFormat="1" ht="16.5" x14ac:dyDescent="0.3">
      <c r="A104" s="57" t="s">
        <v>37</v>
      </c>
      <c r="B104" s="66">
        <f>COUNTIF(Table612[F1],B$87)/$B$86</f>
        <v>0.45454545454545453</v>
      </c>
      <c r="C104" s="66">
        <f>COUNTIF(Table612[F1],C$87)/$B$86</f>
        <v>0.5</v>
      </c>
      <c r="D104" s="66">
        <f>COUNTIF(Table612[F1],D$87)/$B$86</f>
        <v>4.5454545454545456E-2</v>
      </c>
      <c r="E104" s="66">
        <f>COUNTIF(Table612[F1],E$87)/$B$86</f>
        <v>0</v>
      </c>
      <c r="F104" s="62">
        <f t="shared" si="0"/>
        <v>1</v>
      </c>
      <c r="H104" s="57" t="s">
        <v>37</v>
      </c>
      <c r="I104" s="66">
        <f>COUNTIFS(Table612[Prodi],"S1 Sistem Informasi",Table612[F1],I$87)/$I$86</f>
        <v>0.75</v>
      </c>
      <c r="J104" s="66">
        <f>COUNTIFS(Table612[Prodi],"S1 Sistem Informasi",Table612[F1],J$87)/$I$86</f>
        <v>0.125</v>
      </c>
      <c r="K104" s="66">
        <f>COUNTIFS(Table612[Prodi],"S1 Sistem Informasi",Table612[F1],K$87)/$I$86</f>
        <v>0.125</v>
      </c>
      <c r="L104" s="66">
        <f>COUNTIFS(Table612[Prodi],"S1 Sistem Informasi",Table612[F1],L$87)/$I$86</f>
        <v>0</v>
      </c>
      <c r="M104" s="62">
        <f t="shared" si="4"/>
        <v>1</v>
      </c>
      <c r="N104" t="s">
        <v>1575</v>
      </c>
      <c r="O104" s="57" t="s">
        <v>37</v>
      </c>
      <c r="P104" s="66">
        <f>COUNTIFS(Table612[Prodi],"S1 Teknik Komputer",Table612[F1],P$87)/$P$86</f>
        <v>0.4</v>
      </c>
      <c r="Q104" s="66">
        <f>COUNTIFS(Table612[Prodi],"S1 Teknik Komputer",Table612[F1],Q$87)/$P$86</f>
        <v>0.6</v>
      </c>
      <c r="R104" s="66">
        <f>COUNTIFS(Table612[Prodi],"S1 Teknik Komputer",Table612[F1],R$87)/$P$86</f>
        <v>0</v>
      </c>
      <c r="S104" s="66">
        <f>COUNTIFS(Table612[Prodi],"S1 Teknik Komputer",Table612[F1],S$87)/$P$86</f>
        <v>0</v>
      </c>
      <c r="T104" s="62">
        <f t="shared" si="5"/>
        <v>1</v>
      </c>
      <c r="U104"/>
      <c r="V104" s="57" t="s">
        <v>37</v>
      </c>
      <c r="W104" s="66">
        <f>COUNTIFS(Table612[Prodi],"D3 Sistem Informasi",Table612[F1],W$87)/$W$86</f>
        <v>0.22222222222222221</v>
      </c>
      <c r="X104" s="66">
        <f>COUNTIFS(Table612[Prodi],"D3 Sistem Informasi",Table612[F1],X$87)/$W$86</f>
        <v>0.77777777777777779</v>
      </c>
      <c r="Y104" s="66">
        <f>COUNTIFS(Table612[Prodi],"D3 Sistem Informasi",Table612[F1],Y$87)/$W$86</f>
        <v>0</v>
      </c>
      <c r="Z104" s="66">
        <f>COUNTIFS(Table612[Prodi],"D3 Sistem Informasi",Table612[F1],Z$87)/$W$86</f>
        <v>0</v>
      </c>
      <c r="AA104" s="62">
        <f t="shared" si="6"/>
        <v>1</v>
      </c>
      <c r="AB104"/>
      <c r="AC104"/>
      <c r="AD104"/>
      <c r="AE104"/>
      <c r="AF104"/>
      <c r="AG104"/>
      <c r="AH104"/>
      <c r="AI104"/>
      <c r="AJ104"/>
      <c r="AK104"/>
      <c r="AL104"/>
      <c r="AM104"/>
      <c r="AN104"/>
      <c r="AO104"/>
      <c r="AP104"/>
      <c r="AQ104"/>
      <c r="AR104"/>
    </row>
    <row r="105" spans="1:44" s="118" customFormat="1" ht="16.5" x14ac:dyDescent="0.3">
      <c r="A105" s="57" t="s">
        <v>38</v>
      </c>
      <c r="B105" s="66">
        <f>COUNTIF(Table612[F2],B$87)/$B$86</f>
        <v>0.59090909090909094</v>
      </c>
      <c r="C105" s="66">
        <f>COUNTIF(Table612[F2],C$87)/$B$86</f>
        <v>0.36363636363636365</v>
      </c>
      <c r="D105" s="66">
        <f>COUNTIF(Table612[F2],D$87)/$B$86</f>
        <v>4.5454545454545456E-2</v>
      </c>
      <c r="E105" s="66">
        <f>COUNTIF(Table612[F2],E$87)/$B$86</f>
        <v>0</v>
      </c>
      <c r="F105" s="62">
        <f t="shared" si="0"/>
        <v>1</v>
      </c>
      <c r="H105" s="57" t="s">
        <v>38</v>
      </c>
      <c r="I105" s="66">
        <f>COUNTIFS(Table612[Prodi],"S1 Sistem Informasi",Table612[F2],I$87)/$I$86</f>
        <v>0.75</v>
      </c>
      <c r="J105" s="66">
        <f>COUNTIFS(Table612[Prodi],"S1 Sistem Informasi",Table612[F2],J$87)/$I$86</f>
        <v>0.125</v>
      </c>
      <c r="K105" s="66">
        <f>COUNTIFS(Table612[Prodi],"S1 Sistem Informasi",Table612[F2],K$87)/$I$86</f>
        <v>0.125</v>
      </c>
      <c r="L105" s="66">
        <f>COUNTIFS(Table612[Prodi],"S1 Sistem Informasi",Table612[F2],L$87)/$I$86</f>
        <v>0</v>
      </c>
      <c r="M105" s="62">
        <f t="shared" si="4"/>
        <v>1</v>
      </c>
      <c r="N105"/>
      <c r="O105" s="57" t="s">
        <v>38</v>
      </c>
      <c r="P105" s="66">
        <f>COUNTIFS(Table612[Prodi],"S1 Teknik Komputer",Table612[F2],P$87)/$P$86</f>
        <v>0.6</v>
      </c>
      <c r="Q105" s="66">
        <f>COUNTIFS(Table612[Prodi],"S1 Teknik Komputer",Table612[F2],Q$87)/$P$86</f>
        <v>0.4</v>
      </c>
      <c r="R105" s="66">
        <f>COUNTIFS(Table612[Prodi],"S1 Teknik Komputer",Table612[F2],R$87)/$P$86</f>
        <v>0</v>
      </c>
      <c r="S105" s="66">
        <f>COUNTIFS(Table612[Prodi],"S1 Teknik Komputer",Table612[F2],S$87)/$P$86</f>
        <v>0</v>
      </c>
      <c r="T105" s="62">
        <f t="shared" si="5"/>
        <v>1</v>
      </c>
      <c r="U105"/>
      <c r="V105" s="57" t="s">
        <v>38</v>
      </c>
      <c r="W105" s="66">
        <f>COUNTIFS(Table612[Prodi],"D3 Sistem Informasi",Table612[F2],W$87)/$W$86</f>
        <v>0.44444444444444442</v>
      </c>
      <c r="X105" s="66">
        <f>COUNTIFS(Table612[Prodi],"D3 Sistem Informasi",Table612[F2],X$87)/$W$86</f>
        <v>0.55555555555555558</v>
      </c>
      <c r="Y105" s="66">
        <f>COUNTIFS(Table612[Prodi],"D3 Sistem Informasi",Table612[F2],Y$87)/$W$86</f>
        <v>0</v>
      </c>
      <c r="Z105" s="66">
        <f>COUNTIFS(Table612[Prodi],"D3 Sistem Informasi",Table612[F2],Z$87)/$W$86</f>
        <v>0</v>
      </c>
      <c r="AA105" s="62">
        <f t="shared" si="6"/>
        <v>1</v>
      </c>
      <c r="AB105"/>
      <c r="AC105"/>
      <c r="AD105"/>
      <c r="AE105"/>
      <c r="AF105"/>
      <c r="AG105"/>
      <c r="AH105"/>
      <c r="AI105"/>
      <c r="AJ105"/>
      <c r="AK105"/>
      <c r="AL105"/>
      <c r="AM105"/>
      <c r="AN105"/>
      <c r="AO105"/>
      <c r="AP105"/>
      <c r="AQ105"/>
      <c r="AR105"/>
    </row>
    <row r="106" spans="1:44" s="118" customFormat="1" ht="16.5" x14ac:dyDescent="0.3">
      <c r="A106" s="57" t="s">
        <v>39</v>
      </c>
      <c r="B106" s="66">
        <f>COUNTIF(Table612[F3],B$87)/$B$86</f>
        <v>0.45454545454545453</v>
      </c>
      <c r="C106" s="66">
        <f>COUNTIF(Table612[F3],C$87)/$B$86</f>
        <v>0.54545454545454541</v>
      </c>
      <c r="D106" s="66">
        <f>COUNTIF(Table612[F3],D$87)/$B$86</f>
        <v>0</v>
      </c>
      <c r="E106" s="66">
        <f>COUNTIF(Table612[F3],E$87)/$B$86</f>
        <v>0</v>
      </c>
      <c r="F106" s="62">
        <f t="shared" si="0"/>
        <v>1</v>
      </c>
      <c r="H106" s="57" t="s">
        <v>39</v>
      </c>
      <c r="I106" s="66">
        <f>COUNTIFS(Table612[Prodi],"S1 Sistem Informasi",Table612[F3],I$87)/$I$86</f>
        <v>0.625</v>
      </c>
      <c r="J106" s="66">
        <f>COUNTIFS(Table612[Prodi],"S1 Sistem Informasi",Table612[F3],J$87)/$I$86</f>
        <v>0.375</v>
      </c>
      <c r="K106" s="66">
        <f>COUNTIFS(Table612[Prodi],"S1 Sistem Informasi",Table612[F3],K$87)/$I$86</f>
        <v>0</v>
      </c>
      <c r="L106" s="66">
        <f>COUNTIFS(Table612[Prodi],"S1 Sistem Informasi",Table612[F3],L$87)/$I$86</f>
        <v>0</v>
      </c>
      <c r="M106" s="62">
        <f t="shared" si="4"/>
        <v>1</v>
      </c>
      <c r="N106"/>
      <c r="O106" s="57" t="s">
        <v>39</v>
      </c>
      <c r="P106" s="66">
        <f>COUNTIFS(Table612[Prodi],"S1 Teknik Komputer",Table612[F3],P$87)/$P$86</f>
        <v>0.4</v>
      </c>
      <c r="Q106" s="66">
        <f>COUNTIFS(Table612[Prodi],"S1 Teknik Komputer",Table612[F3],Q$87)/$P$86</f>
        <v>0.6</v>
      </c>
      <c r="R106" s="66">
        <f>COUNTIFS(Table612[Prodi],"S1 Teknik Komputer",Table612[F3],R$87)/$P$86</f>
        <v>0</v>
      </c>
      <c r="S106" s="66">
        <f>COUNTIFS(Table612[Prodi],"S1 Teknik Komputer",Table612[F3],S$87)/$P$86</f>
        <v>0</v>
      </c>
      <c r="T106" s="62">
        <f t="shared" si="5"/>
        <v>1</v>
      </c>
      <c r="U106"/>
      <c r="V106" s="57" t="s">
        <v>39</v>
      </c>
      <c r="W106" s="66">
        <f>COUNTIFS(Table612[Prodi],"D3 Sistem Informasi",Table612[F3],W$87)/$W$86</f>
        <v>0.33333333333333331</v>
      </c>
      <c r="X106" s="66">
        <f>COUNTIFS(Table612[Prodi],"D3 Sistem Informasi",Table612[F3],X$87)/$W$86</f>
        <v>0.66666666666666663</v>
      </c>
      <c r="Y106" s="66">
        <f>COUNTIFS(Table612[Prodi],"D3 Sistem Informasi",Table612[F3],Y$87)/$W$86</f>
        <v>0</v>
      </c>
      <c r="Z106" s="66">
        <f>COUNTIFS(Table612[Prodi],"D3 Sistem Informasi",Table612[F3],Z$87)/$W$86</f>
        <v>0</v>
      </c>
      <c r="AA106" s="62">
        <f t="shared" si="6"/>
        <v>1</v>
      </c>
      <c r="AB106"/>
      <c r="AC106"/>
      <c r="AD106"/>
      <c r="AE106"/>
      <c r="AF106"/>
      <c r="AG106"/>
      <c r="AH106"/>
      <c r="AI106"/>
      <c r="AJ106"/>
      <c r="AK106"/>
      <c r="AL106"/>
      <c r="AM106"/>
      <c r="AN106"/>
      <c r="AO106"/>
      <c r="AP106"/>
      <c r="AQ106"/>
      <c r="AR106"/>
    </row>
    <row r="107" spans="1:44" s="118" customFormat="1" ht="16.5" x14ac:dyDescent="0.3">
      <c r="A107" s="57" t="s">
        <v>1170</v>
      </c>
      <c r="B107" s="66">
        <f>COUNTIF(Table612[F4],B$87)/$B$86</f>
        <v>0.5</v>
      </c>
      <c r="C107" s="66">
        <f>COUNTIF(Table612[F4],C$87)/$B$86</f>
        <v>0.40909090909090912</v>
      </c>
      <c r="D107" s="66">
        <f>COUNTIF(Table612[F4],D$87)/$B$86</f>
        <v>9.0909090909090912E-2</v>
      </c>
      <c r="E107" s="66">
        <f>COUNTIF(Table612[F4],E$87)/$B$86</f>
        <v>0</v>
      </c>
      <c r="F107" s="62">
        <f t="shared" si="0"/>
        <v>1</v>
      </c>
      <c r="H107" s="57" t="s">
        <v>1170</v>
      </c>
      <c r="I107" s="66">
        <f>COUNTIFS(Table612[Prodi],"S1 Sistem Informasi",Table612[F4],I$87)/$I$86</f>
        <v>0.5</v>
      </c>
      <c r="J107" s="66">
        <f>COUNTIFS(Table612[Prodi],"S1 Sistem Informasi",Table612[F4],J$87)/$I$86</f>
        <v>0.25</v>
      </c>
      <c r="K107" s="66">
        <f>COUNTIFS(Table612[Prodi],"S1 Sistem Informasi",Table612[F4],K$87)/$I$86</f>
        <v>0.25</v>
      </c>
      <c r="L107" s="66">
        <f>COUNTIFS(Table612[Prodi],"S1 Sistem Informasi",Table612[F4],L$87)/$I$86</f>
        <v>0</v>
      </c>
      <c r="M107" s="62">
        <f t="shared" si="4"/>
        <v>1</v>
      </c>
      <c r="N107"/>
      <c r="O107" s="57" t="s">
        <v>1170</v>
      </c>
      <c r="P107" s="66">
        <f>COUNTIFS(Table612[Prodi],"S1 Teknik Komputer",Table612[F4],P$87)/$P$86</f>
        <v>0.8</v>
      </c>
      <c r="Q107" s="66">
        <f>COUNTIFS(Table612[Prodi],"S1 Teknik Komputer",Table612[F4],Q$87)/$P$86</f>
        <v>0.2</v>
      </c>
      <c r="R107" s="66">
        <f>COUNTIFS(Table612[Prodi],"S1 Teknik Komputer",Table612[F4],R$87)/$P$86</f>
        <v>0</v>
      </c>
      <c r="S107" s="66">
        <f>COUNTIFS(Table612[Prodi],"S1 Teknik Komputer",Table612[F4],S$87)/$P$86</f>
        <v>0</v>
      </c>
      <c r="T107" s="62">
        <f t="shared" si="5"/>
        <v>1</v>
      </c>
      <c r="U107"/>
      <c r="V107" s="57" t="s">
        <v>1170</v>
      </c>
      <c r="W107" s="66">
        <f>COUNTIFS(Table612[Prodi],"D3 Sistem Informasi",Table612[F4],W$87)/$W$86</f>
        <v>0.33333333333333331</v>
      </c>
      <c r="X107" s="66">
        <f>COUNTIFS(Table612[Prodi],"D3 Sistem Informasi",Table612[F4],X$87)/$W$86</f>
        <v>0.66666666666666663</v>
      </c>
      <c r="Y107" s="66">
        <f>COUNTIFS(Table612[Prodi],"D3 Sistem Informasi",Table612[F4],Y$87)/$W$86</f>
        <v>0</v>
      </c>
      <c r="Z107" s="66">
        <f>COUNTIFS(Table612[Prodi],"D3 Sistem Informasi",Table612[F4],Z$87)/$W$86</f>
        <v>0</v>
      </c>
      <c r="AA107" s="62">
        <f t="shared" si="6"/>
        <v>1</v>
      </c>
      <c r="AB107"/>
      <c r="AC107"/>
      <c r="AD107"/>
      <c r="AE107"/>
      <c r="AF107"/>
      <c r="AG107"/>
      <c r="AH107"/>
      <c r="AI107"/>
      <c r="AJ107"/>
      <c r="AK107"/>
      <c r="AL107"/>
      <c r="AM107"/>
      <c r="AN107"/>
      <c r="AO107"/>
      <c r="AP107"/>
      <c r="AQ107"/>
      <c r="AR107"/>
    </row>
    <row r="108" spans="1:44" s="118" customFormat="1" ht="16.5" x14ac:dyDescent="0.3">
      <c r="A108" s="60"/>
      <c r="B108" s="61">
        <f>AVERAGE(B104:B107)</f>
        <v>0.5</v>
      </c>
      <c r="C108" s="61">
        <f>AVERAGE(C104:C107)</f>
        <v>0.45454545454545459</v>
      </c>
      <c r="D108" s="61">
        <f>AVERAGE(D104:D107)</f>
        <v>4.5454545454545456E-2</v>
      </c>
      <c r="E108" s="61">
        <f>AVERAGE(E104:E107)</f>
        <v>0</v>
      </c>
      <c r="F108" s="62">
        <f t="shared" si="0"/>
        <v>1</v>
      </c>
      <c r="H108" s="60"/>
      <c r="I108" s="61">
        <f>AVERAGE(I104:I107)</f>
        <v>0.65625</v>
      </c>
      <c r="J108" s="61">
        <f>AVERAGE(J104:J107)</f>
        <v>0.21875</v>
      </c>
      <c r="K108" s="61">
        <f>AVERAGE(K104:K107)</f>
        <v>0.125</v>
      </c>
      <c r="L108" s="61">
        <f>AVERAGE(L104:L107)</f>
        <v>0</v>
      </c>
      <c r="M108" s="62">
        <f t="shared" si="4"/>
        <v>1</v>
      </c>
      <c r="N108"/>
      <c r="O108" s="60"/>
      <c r="P108" s="61">
        <f>AVERAGE(P104:P107)</f>
        <v>0.55000000000000004</v>
      </c>
      <c r="Q108" s="61">
        <f>AVERAGE(Q104:Q107)</f>
        <v>0.45</v>
      </c>
      <c r="R108" s="61">
        <f>AVERAGE(R104:R107)</f>
        <v>0</v>
      </c>
      <c r="S108" s="61">
        <f>AVERAGE(S104:S107)</f>
        <v>0</v>
      </c>
      <c r="T108" s="62">
        <f t="shared" si="5"/>
        <v>1</v>
      </c>
      <c r="U108"/>
      <c r="V108" s="60"/>
      <c r="W108" s="61">
        <f>AVERAGE(W104:W107)</f>
        <v>0.33333333333333331</v>
      </c>
      <c r="X108" s="61">
        <f>AVERAGE(X104:X107)</f>
        <v>0.66666666666666663</v>
      </c>
      <c r="Y108" s="61">
        <f>AVERAGE(Y104:Y107)</f>
        <v>0</v>
      </c>
      <c r="Z108" s="61">
        <f>AVERAGE(Z104:Z107)</f>
        <v>0</v>
      </c>
      <c r="AA108" s="62">
        <f t="shared" si="6"/>
        <v>1</v>
      </c>
      <c r="AB108"/>
      <c r="AC108"/>
      <c r="AD108"/>
      <c r="AE108"/>
      <c r="AF108"/>
      <c r="AG108"/>
      <c r="AH108"/>
      <c r="AI108"/>
      <c r="AJ108"/>
      <c r="AK108"/>
      <c r="AL108"/>
      <c r="AM108"/>
      <c r="AN108"/>
      <c r="AO108"/>
      <c r="AP108"/>
      <c r="AQ108"/>
      <c r="AR108"/>
    </row>
    <row r="109" spans="1:44" s="118" customFormat="1" ht="16.5" x14ac:dyDescent="0.3">
      <c r="A109" s="57" t="s">
        <v>40</v>
      </c>
      <c r="B109" s="66">
        <f>COUNTIF(Table612[G1],B$87)/$B$86</f>
        <v>0.77272727272727271</v>
      </c>
      <c r="C109" s="66">
        <f>COUNTIF(Table612[G1],C$87)/$B$86</f>
        <v>0.22727272727272727</v>
      </c>
      <c r="D109" s="66">
        <f>COUNTIF(Table612[G1],D$87)/$B$86</f>
        <v>0</v>
      </c>
      <c r="E109" s="66">
        <f>COUNTIF(Table612[G1],E$87)/$B$86</f>
        <v>0</v>
      </c>
      <c r="F109" s="62">
        <f t="shared" si="0"/>
        <v>1</v>
      </c>
      <c r="H109" s="57" t="s">
        <v>40</v>
      </c>
      <c r="I109" s="66">
        <f>COUNTIFS(Table612[Prodi],"S1 Sistem Informasi",Table612[G1],I$87)/$I$86</f>
        <v>1</v>
      </c>
      <c r="J109" s="66">
        <f>COUNTIFS(Table612[Prodi],"S1 Sistem Informasi",Table612[G1],J$87)/$I$86</f>
        <v>0</v>
      </c>
      <c r="K109" s="66">
        <f>COUNTIFS(Table612[Prodi],"S1 Sistem Informasi",Table612[G1],K$87)/$I$86</f>
        <v>0</v>
      </c>
      <c r="L109" s="66">
        <f>COUNTIFS(Table612[Prodi],"S1 Sistem Informasi",Table612[G1],L$87)/$I$86</f>
        <v>0</v>
      </c>
      <c r="M109" s="62">
        <f t="shared" si="4"/>
        <v>1</v>
      </c>
      <c r="N109"/>
      <c r="O109" s="57" t="s">
        <v>40</v>
      </c>
      <c r="P109" s="66">
        <f>COUNTIFS(Table612[Prodi],"S1 Teknik Komputer",Table612[G1],P$87)/$P$86</f>
        <v>0.8</v>
      </c>
      <c r="Q109" s="66">
        <f>COUNTIFS(Table612[Prodi],"S1 Teknik Komputer",Table612[G1],Q$87)/$P$86</f>
        <v>0.2</v>
      </c>
      <c r="R109" s="66">
        <f>COUNTIFS(Table612[Prodi],"S1 Teknik Komputer",Table612[G1],R$87)/$P$86</f>
        <v>0</v>
      </c>
      <c r="S109" s="66">
        <f>COUNTIFS(Table612[Prodi],"S1 Teknik Komputer",Table612[G1],S$87)/$P$86</f>
        <v>0</v>
      </c>
      <c r="T109" s="62">
        <f t="shared" si="5"/>
        <v>1</v>
      </c>
      <c r="U109"/>
      <c r="V109" s="57" t="s">
        <v>40</v>
      </c>
      <c r="W109" s="66">
        <f>COUNTIFS(Table612[Prodi],"D3 Sistem Informasi",Table612[G1],W$87)/$W$86</f>
        <v>0.55555555555555558</v>
      </c>
      <c r="X109" s="66">
        <f>COUNTIFS(Table612[Prodi],"D3 Sistem Informasi",Table612[G1],X$87)/$W$86</f>
        <v>0.44444444444444442</v>
      </c>
      <c r="Y109" s="66">
        <f>COUNTIFS(Table612[Prodi],"D3 Sistem Informasi",Table612[G1],Y$87)/$W$86</f>
        <v>0</v>
      </c>
      <c r="Z109" s="66">
        <f>COUNTIFS(Table612[Prodi],"D3 Sistem Informasi",Table612[G1],Z$87)/$W$86</f>
        <v>0</v>
      </c>
      <c r="AA109" s="62">
        <f t="shared" si="6"/>
        <v>1</v>
      </c>
      <c r="AB109"/>
      <c r="AC109"/>
      <c r="AD109"/>
      <c r="AE109"/>
      <c r="AF109"/>
      <c r="AG109"/>
      <c r="AH109"/>
      <c r="AI109"/>
      <c r="AJ109"/>
      <c r="AK109"/>
      <c r="AL109"/>
      <c r="AM109"/>
      <c r="AN109"/>
      <c r="AO109"/>
      <c r="AP109"/>
      <c r="AQ109"/>
      <c r="AR109"/>
    </row>
    <row r="110" spans="1:44" s="118" customFormat="1" ht="16.5" x14ac:dyDescent="0.3">
      <c r="A110" s="57" t="s">
        <v>41</v>
      </c>
      <c r="B110" s="66">
        <f>COUNTIF(Table612[G2],B$87)/$B$86</f>
        <v>0.77272727272727271</v>
      </c>
      <c r="C110" s="66">
        <f>COUNTIF(Table612[G2],C$87)/$B$86</f>
        <v>0.18181818181818182</v>
      </c>
      <c r="D110" s="66">
        <f>COUNTIF(Table612[G2],D$87)/$B$86</f>
        <v>0</v>
      </c>
      <c r="E110" s="66">
        <f>COUNTIF(Table612[G2],E$87)/$B$86</f>
        <v>4.5454545454545456E-2</v>
      </c>
      <c r="F110" s="62">
        <f t="shared" si="0"/>
        <v>1</v>
      </c>
      <c r="H110" s="57" t="s">
        <v>41</v>
      </c>
      <c r="I110" s="66">
        <f>COUNTIFS(Table612[Prodi],"S1 Sistem Informasi",Table612[G2],I$87)/$I$86</f>
        <v>0.875</v>
      </c>
      <c r="J110" s="66">
        <f>COUNTIFS(Table612[Prodi],"S1 Sistem Informasi",Table612[G2],J$87)/$I$86</f>
        <v>0</v>
      </c>
      <c r="K110" s="66">
        <f>COUNTIFS(Table612[Prodi],"S1 Sistem Informasi",Table612[G2],K$87)/$I$86</f>
        <v>0</v>
      </c>
      <c r="L110" s="66">
        <f>COUNTIFS(Table612[Prodi],"S1 Sistem Informasi",Table612[G2],L$87)/$I$86</f>
        <v>0.125</v>
      </c>
      <c r="M110" s="62">
        <f t="shared" si="4"/>
        <v>1</v>
      </c>
      <c r="N110"/>
      <c r="O110" s="57" t="s">
        <v>41</v>
      </c>
      <c r="P110" s="66">
        <f>COUNTIFS(Table612[Prodi],"S1 Teknik Komputer",Table612[G2],P$87)/$P$86</f>
        <v>0.8</v>
      </c>
      <c r="Q110" s="66">
        <f>COUNTIFS(Table612[Prodi],"S1 Teknik Komputer",Table612[G2],Q$87)/$P$86</f>
        <v>0.2</v>
      </c>
      <c r="R110" s="66">
        <f>COUNTIFS(Table612[Prodi],"S1 Teknik Komputer",Table612[G2],R$87)/$P$86</f>
        <v>0</v>
      </c>
      <c r="S110" s="66">
        <f>COUNTIFS(Table612[Prodi],"S1 Teknik Komputer",Table612[G2],S$87)/$P$86</f>
        <v>0</v>
      </c>
      <c r="T110" s="62">
        <f t="shared" si="5"/>
        <v>1</v>
      </c>
      <c r="U110"/>
      <c r="V110" s="57" t="s">
        <v>41</v>
      </c>
      <c r="W110" s="66">
        <f>COUNTIFS(Table612[Prodi],"D3 Sistem Informasi",Table612[G2],W$87)/$W$86</f>
        <v>0.66666666666666663</v>
      </c>
      <c r="X110" s="66">
        <f>COUNTIFS(Table612[Prodi],"D3 Sistem Informasi",Table612[G2],X$87)/$W$86</f>
        <v>0.33333333333333331</v>
      </c>
      <c r="Y110" s="66">
        <f>COUNTIFS(Table612[Prodi],"D3 Sistem Informasi",Table612[G2],Y$87)/$W$86</f>
        <v>0</v>
      </c>
      <c r="Z110" s="66">
        <f>COUNTIFS(Table612[Prodi],"D3 Sistem Informasi",Table612[G2],Z$87)/$W$86</f>
        <v>0</v>
      </c>
      <c r="AA110" s="62">
        <f t="shared" si="6"/>
        <v>1</v>
      </c>
      <c r="AB110"/>
      <c r="AC110"/>
      <c r="AD110"/>
      <c r="AE110"/>
      <c r="AF110"/>
      <c r="AG110"/>
      <c r="AH110"/>
      <c r="AI110"/>
      <c r="AJ110"/>
      <c r="AK110"/>
      <c r="AL110"/>
      <c r="AM110"/>
      <c r="AN110"/>
      <c r="AO110"/>
      <c r="AP110"/>
      <c r="AQ110"/>
      <c r="AR110"/>
    </row>
    <row r="111" spans="1:44" s="118" customFormat="1" ht="16.5" x14ac:dyDescent="0.3">
      <c r="A111" s="57" t="s">
        <v>1172</v>
      </c>
      <c r="B111" s="66">
        <f>COUNTIF(Table612[G3],B$87)/$B$86</f>
        <v>0.68181818181818177</v>
      </c>
      <c r="C111" s="66">
        <f>COUNTIF(Table612[G3],C$87)/$B$86</f>
        <v>0.27272727272727271</v>
      </c>
      <c r="D111" s="66">
        <f>COUNTIF(Table612[G3],D$87)/$B$86</f>
        <v>0</v>
      </c>
      <c r="E111" s="66">
        <f>COUNTIF(Table612[G3],E$87)/$B$86</f>
        <v>4.5454545454545456E-2</v>
      </c>
      <c r="F111" s="62">
        <f t="shared" si="0"/>
        <v>0.99999999999999989</v>
      </c>
      <c r="H111" s="57" t="s">
        <v>1172</v>
      </c>
      <c r="I111" s="66">
        <f>COUNTIFS(Table612[Prodi],"S1 Sistem Informasi",Table612[G3],I$87)/$I$86</f>
        <v>0.75</v>
      </c>
      <c r="J111" s="66">
        <f>COUNTIFS(Table612[Prodi],"S1 Sistem Informasi",Table612[G3],J$87)/$I$86</f>
        <v>0.125</v>
      </c>
      <c r="K111" s="66">
        <f>COUNTIFS(Table612[Prodi],"S1 Sistem Informasi",Table612[G3],K$87)/$I$86</f>
        <v>0</v>
      </c>
      <c r="L111" s="66">
        <f>COUNTIFS(Table612[Prodi],"S1 Sistem Informasi",Table612[G3],L$87)/$I$86</f>
        <v>0.125</v>
      </c>
      <c r="M111" s="62">
        <f t="shared" si="4"/>
        <v>1</v>
      </c>
      <c r="N111"/>
      <c r="O111" s="57" t="s">
        <v>1172</v>
      </c>
      <c r="P111" s="66">
        <f>COUNTIFS(Table612[Prodi],"S1 Teknik Komputer",Table612[G3],P$87)/$P$86</f>
        <v>0.6</v>
      </c>
      <c r="Q111" s="66">
        <f>COUNTIFS(Table612[Prodi],"S1 Teknik Komputer",Table612[G3],Q$87)/$P$86</f>
        <v>0.4</v>
      </c>
      <c r="R111" s="66">
        <f>COUNTIFS(Table612[Prodi],"S1 Teknik Komputer",Table612[G3],R$87)/$P$86</f>
        <v>0</v>
      </c>
      <c r="S111" s="66">
        <f>COUNTIFS(Table612[Prodi],"S1 Teknik Komputer",Table612[G3],S$87)/$P$86</f>
        <v>0</v>
      </c>
      <c r="T111" s="62">
        <f t="shared" si="5"/>
        <v>1</v>
      </c>
      <c r="U111"/>
      <c r="V111" s="57" t="s">
        <v>1172</v>
      </c>
      <c r="W111" s="66">
        <f>COUNTIFS(Table612[Prodi],"D3 Sistem Informasi",Table612[G3],W$87)/$W$86</f>
        <v>0.66666666666666663</v>
      </c>
      <c r="X111" s="66">
        <f>COUNTIFS(Table612[Prodi],"D3 Sistem Informasi",Table612[G3],X$87)/$W$86</f>
        <v>0.33333333333333331</v>
      </c>
      <c r="Y111" s="66">
        <f>COUNTIFS(Table612[Prodi],"D3 Sistem Informasi",Table612[G3],Y$87)/$W$86</f>
        <v>0</v>
      </c>
      <c r="Z111" s="66">
        <f>COUNTIFS(Table612[Prodi],"D3 Sistem Informasi",Table612[G3],Z$87)/$W$86</f>
        <v>0</v>
      </c>
      <c r="AA111" s="62">
        <f t="shared" si="6"/>
        <v>1</v>
      </c>
      <c r="AB111"/>
      <c r="AC111"/>
      <c r="AD111"/>
      <c r="AE111"/>
      <c r="AF111"/>
      <c r="AG111"/>
      <c r="AH111"/>
      <c r="AI111"/>
      <c r="AJ111"/>
      <c r="AK111"/>
      <c r="AL111"/>
      <c r="AM111"/>
      <c r="AN111"/>
      <c r="AO111"/>
      <c r="AP111"/>
      <c r="AQ111"/>
      <c r="AR111"/>
    </row>
    <row r="112" spans="1:44" s="118" customFormat="1" ht="16.5" x14ac:dyDescent="0.3">
      <c r="A112" s="60"/>
      <c r="B112" s="61">
        <f>AVERAGE(B109:B111)</f>
        <v>0.74242424242424232</v>
      </c>
      <c r="C112" s="61">
        <f>AVERAGE(C109:C111)</f>
        <v>0.22727272727272727</v>
      </c>
      <c r="D112" s="61">
        <f>AVERAGE(D109:D111)</f>
        <v>0</v>
      </c>
      <c r="E112" s="61">
        <f>AVERAGE(E109:E111)</f>
        <v>3.0303030303030304E-2</v>
      </c>
      <c r="F112" s="62">
        <f t="shared" si="0"/>
        <v>0.99999999999999989</v>
      </c>
      <c r="H112" s="60"/>
      <c r="I112" s="61">
        <f>AVERAGE(I109:I111)</f>
        <v>0.875</v>
      </c>
      <c r="J112" s="61">
        <f>AVERAGE(J109:J111)</f>
        <v>4.1666666666666664E-2</v>
      </c>
      <c r="K112" s="61">
        <f>AVERAGE(K109:K111)</f>
        <v>0</v>
      </c>
      <c r="L112" s="61">
        <f>AVERAGE(L109:L111)</f>
        <v>8.3333333333333329E-2</v>
      </c>
      <c r="M112" s="62">
        <f t="shared" si="4"/>
        <v>1</v>
      </c>
      <c r="N112"/>
      <c r="O112" s="60"/>
      <c r="P112" s="61">
        <f>AVERAGE(P109:P111)</f>
        <v>0.73333333333333339</v>
      </c>
      <c r="Q112" s="61">
        <f>AVERAGE(Q109:Q111)</f>
        <v>0.26666666666666666</v>
      </c>
      <c r="R112" s="61">
        <f>AVERAGE(R109:R111)</f>
        <v>0</v>
      </c>
      <c r="S112" s="61">
        <f>AVERAGE(S109:S111)</f>
        <v>0</v>
      </c>
      <c r="T112" s="62">
        <f t="shared" si="5"/>
        <v>1</v>
      </c>
      <c r="U112"/>
      <c r="V112" s="60"/>
      <c r="W112" s="61">
        <f>AVERAGE(W109:W111)</f>
        <v>0.62962962962962965</v>
      </c>
      <c r="X112" s="61">
        <f>AVERAGE(X109:X111)</f>
        <v>0.37037037037037029</v>
      </c>
      <c r="Y112" s="61">
        <f>AVERAGE(Y109:Y111)</f>
        <v>0</v>
      </c>
      <c r="Z112" s="61">
        <f>AVERAGE(Z109:Z111)</f>
        <v>0</v>
      </c>
      <c r="AA112" s="62">
        <f t="shared" si="6"/>
        <v>1</v>
      </c>
      <c r="AB112"/>
      <c r="AC112"/>
      <c r="AD112"/>
      <c r="AE112"/>
      <c r="AF112"/>
      <c r="AG112"/>
      <c r="AH112"/>
      <c r="AI112"/>
      <c r="AJ112"/>
      <c r="AK112"/>
      <c r="AL112"/>
      <c r="AM112"/>
      <c r="AN112"/>
      <c r="AO112"/>
      <c r="AP112"/>
      <c r="AQ112"/>
      <c r="AR112"/>
    </row>
    <row r="113" spans="1:44" s="118" customFormat="1" ht="16.5" x14ac:dyDescent="0.3">
      <c r="A113" s="57" t="s">
        <v>42</v>
      </c>
      <c r="B113" s="66">
        <f>COUNTIF(Table612[H1],B$87)/$B$86</f>
        <v>0.72727272727272729</v>
      </c>
      <c r="C113" s="66">
        <f>COUNTIF(Table612[H1],C$87)/$B$86</f>
        <v>0.27272727272727271</v>
      </c>
      <c r="D113" s="66">
        <f>COUNTIF(Table612[H1],D$87)/$B$86</f>
        <v>0</v>
      </c>
      <c r="E113" s="66">
        <f>COUNTIF(Table612[H1],E$87)/$B$86</f>
        <v>0</v>
      </c>
      <c r="F113" s="62">
        <f t="shared" si="0"/>
        <v>1</v>
      </c>
      <c r="H113" s="57" t="s">
        <v>42</v>
      </c>
      <c r="I113" s="66">
        <f>COUNTIFS(Table612[Prodi],"S1 Sistem Informasi",Table612[H1],I$87)/$I$86</f>
        <v>0.625</v>
      </c>
      <c r="J113" s="66">
        <f>COUNTIFS(Table612[Prodi],"S1 Sistem Informasi",Table612[H1],J$87)/$I$86</f>
        <v>0.375</v>
      </c>
      <c r="K113" s="66">
        <f>COUNTIFS(Table612[Prodi],"S1 Sistem Informasi",Table612[H1],K$87)/$I$86</f>
        <v>0</v>
      </c>
      <c r="L113" s="66">
        <f>COUNTIFS(Table612[Prodi],"S1 Sistem Informasi",Table612[H1],L$87)/$I$86</f>
        <v>0</v>
      </c>
      <c r="M113" s="62">
        <f t="shared" si="4"/>
        <v>1</v>
      </c>
      <c r="N113"/>
      <c r="O113" s="57" t="s">
        <v>42</v>
      </c>
      <c r="P113" s="66">
        <f>COUNTIFS(Table612[Prodi],"S1 Teknik Komputer",Table612[H1],P$87)/$P$86</f>
        <v>0.8</v>
      </c>
      <c r="Q113" s="66">
        <f>COUNTIFS(Table612[Prodi],"S1 Teknik Komputer",Table612[H1],Q$87)/$P$86</f>
        <v>0.2</v>
      </c>
      <c r="R113" s="66">
        <f>COUNTIFS(Table612[Prodi],"S1 Teknik Komputer",Table612[H1],R$87)/$P$86</f>
        <v>0</v>
      </c>
      <c r="S113" s="66">
        <f>COUNTIFS(Table612[Prodi],"S1 Teknik Komputer",Table612[H1],S$87)/$P$86</f>
        <v>0</v>
      </c>
      <c r="T113" s="62">
        <f t="shared" si="5"/>
        <v>1</v>
      </c>
      <c r="U113"/>
      <c r="V113" s="57" t="s">
        <v>42</v>
      </c>
      <c r="W113" s="66">
        <f>COUNTIFS(Table612[Prodi],"D3 Sistem Informasi",Table612[H1],W$87)/$W$86</f>
        <v>0.77777777777777779</v>
      </c>
      <c r="X113" s="66">
        <f>COUNTIFS(Table612[Prodi],"D3 Sistem Informasi",Table612[H1],X$87)/$W$86</f>
        <v>0.22222222222222221</v>
      </c>
      <c r="Y113" s="66">
        <f>COUNTIFS(Table612[Prodi],"D3 Sistem Informasi",Table612[H1],Y$87)/$W$86</f>
        <v>0</v>
      </c>
      <c r="Z113" s="66">
        <f>COUNTIFS(Table612[Prodi],"D3 Sistem Informasi",Table612[H1],Z$87)/$W$86</f>
        <v>0</v>
      </c>
      <c r="AA113" s="62">
        <f t="shared" si="6"/>
        <v>1</v>
      </c>
      <c r="AB113"/>
      <c r="AC113"/>
      <c r="AD113"/>
      <c r="AE113"/>
      <c r="AF113"/>
      <c r="AG113"/>
      <c r="AH113"/>
      <c r="AI113"/>
      <c r="AJ113"/>
      <c r="AK113"/>
      <c r="AL113"/>
      <c r="AM113"/>
      <c r="AN113"/>
      <c r="AO113"/>
      <c r="AP113"/>
      <c r="AQ113"/>
      <c r="AR113"/>
    </row>
    <row r="114" spans="1:44" s="118" customFormat="1" ht="16.5" x14ac:dyDescent="0.3">
      <c r="A114" s="57" t="s">
        <v>43</v>
      </c>
      <c r="B114" s="66">
        <f>COUNTIF(Table612[H2],B$87)/$B$86</f>
        <v>0.54545454545454541</v>
      </c>
      <c r="C114" s="66">
        <f>COUNTIF(Table612[H2],C$87)/$B$86</f>
        <v>0.45454545454545453</v>
      </c>
      <c r="D114" s="66">
        <f>COUNTIF(Table612[H2],D$87)/$B$86</f>
        <v>0</v>
      </c>
      <c r="E114" s="66">
        <f>COUNTIF(Table612[H2],E$87)/$B$86</f>
        <v>0</v>
      </c>
      <c r="F114" s="62">
        <f t="shared" si="0"/>
        <v>1</v>
      </c>
      <c r="H114" s="57" t="s">
        <v>43</v>
      </c>
      <c r="I114" s="66">
        <f>COUNTIFS(Table612[Prodi],"S1 Sistem Informasi",Table612[H2],I$87)/$I$86</f>
        <v>0.5</v>
      </c>
      <c r="J114" s="66">
        <f>COUNTIFS(Table612[Prodi],"S1 Sistem Informasi",Table612[H2],J$87)/$I$86</f>
        <v>0.5</v>
      </c>
      <c r="K114" s="66">
        <f>COUNTIFS(Table612[Prodi],"S1 Sistem Informasi",Table612[H2],K$87)/$I$86</f>
        <v>0</v>
      </c>
      <c r="L114" s="66">
        <f>COUNTIFS(Table612[Prodi],"S1 Sistem Informasi",Table612[H2],L$87)/$I$86</f>
        <v>0</v>
      </c>
      <c r="M114" s="62">
        <f t="shared" si="4"/>
        <v>1</v>
      </c>
      <c r="N114"/>
      <c r="O114" s="57" t="s">
        <v>43</v>
      </c>
      <c r="P114" s="66">
        <f>COUNTIFS(Table612[Prodi],"S1 Teknik Komputer",Table612[H2],P$87)/$P$86</f>
        <v>0.6</v>
      </c>
      <c r="Q114" s="66">
        <f>COUNTIFS(Table612[Prodi],"S1 Teknik Komputer",Table612[H2],Q$87)/$P$86</f>
        <v>0.4</v>
      </c>
      <c r="R114" s="66">
        <f>COUNTIFS(Table612[Prodi],"S1 Teknik Komputer",Table612[H2],R$87)/$P$86</f>
        <v>0</v>
      </c>
      <c r="S114" s="66">
        <f>COUNTIFS(Table612[Prodi],"S1 Teknik Komputer",Table612[H2],S$87)/$P$86</f>
        <v>0</v>
      </c>
      <c r="T114" s="62">
        <f t="shared" si="5"/>
        <v>1</v>
      </c>
      <c r="U114"/>
      <c r="V114" s="57" t="s">
        <v>43</v>
      </c>
      <c r="W114" s="66">
        <f>COUNTIFS(Table612[Prodi],"D3 Sistem Informasi",Table612[H2],W$87)/$W$86</f>
        <v>0.55555555555555558</v>
      </c>
      <c r="X114" s="66">
        <f>COUNTIFS(Table612[Prodi],"D3 Sistem Informasi",Table612[H2],X$87)/$W$86</f>
        <v>0.44444444444444442</v>
      </c>
      <c r="Y114" s="66">
        <f>COUNTIFS(Table612[Prodi],"D3 Sistem Informasi",Table612[H2],Y$87)/$W$86</f>
        <v>0</v>
      </c>
      <c r="Z114" s="66">
        <f>COUNTIFS(Table612[Prodi],"D3 Sistem Informasi",Table612[H2],Z$87)/$W$86</f>
        <v>0</v>
      </c>
      <c r="AA114" s="62">
        <f t="shared" si="6"/>
        <v>1</v>
      </c>
      <c r="AB114"/>
      <c r="AC114"/>
      <c r="AD114"/>
      <c r="AE114"/>
      <c r="AF114"/>
      <c r="AG114"/>
      <c r="AH114"/>
      <c r="AI114"/>
      <c r="AJ114"/>
      <c r="AK114"/>
      <c r="AL114"/>
      <c r="AM114"/>
      <c r="AN114"/>
      <c r="AO114"/>
      <c r="AP114"/>
      <c r="AQ114"/>
      <c r="AR114"/>
    </row>
    <row r="115" spans="1:44" s="118" customFormat="1" ht="16.5" x14ac:dyDescent="0.3">
      <c r="A115" s="57" t="s">
        <v>44</v>
      </c>
      <c r="B115" s="66">
        <f>COUNTIF(Table612[H3],B$87)/$B$86</f>
        <v>0.68181818181818177</v>
      </c>
      <c r="C115" s="66">
        <f>COUNTIF(Table612[H3],C$87)/$B$86</f>
        <v>0.31818181818181818</v>
      </c>
      <c r="D115" s="66">
        <f>COUNTIF(Table612[H3],D$87)/$B$86</f>
        <v>0</v>
      </c>
      <c r="E115" s="66">
        <f>COUNTIF(Table612[H3],E$87)/$B$86</f>
        <v>0</v>
      </c>
      <c r="F115" s="62">
        <f t="shared" si="0"/>
        <v>1</v>
      </c>
      <c r="H115" s="57" t="s">
        <v>44</v>
      </c>
      <c r="I115" s="66">
        <f>COUNTIFS(Table612[Prodi],"S1 Sistem Informasi",Table612[H3],I$87)/$I$86</f>
        <v>0.625</v>
      </c>
      <c r="J115" s="66">
        <f>COUNTIFS(Table612[Prodi],"S1 Sistem Informasi",Table612[H3],J$87)/$I$86</f>
        <v>0.375</v>
      </c>
      <c r="K115" s="66">
        <f>COUNTIFS(Table612[Prodi],"S1 Sistem Informasi",Table612[H3],K$87)/$I$86</f>
        <v>0</v>
      </c>
      <c r="L115" s="66">
        <f>COUNTIFS(Table612[Prodi],"S1 Sistem Informasi",Table612[H3],L$87)/$I$86</f>
        <v>0</v>
      </c>
      <c r="M115" s="62">
        <f t="shared" si="4"/>
        <v>1</v>
      </c>
      <c r="N115"/>
      <c r="O115" s="57" t="s">
        <v>44</v>
      </c>
      <c r="P115" s="66">
        <f>COUNTIFS(Table612[Prodi],"S1 Teknik Komputer",Table612[H3],P$87)/$P$86</f>
        <v>0.8</v>
      </c>
      <c r="Q115" s="66">
        <f>COUNTIFS(Table612[Prodi],"S1 Teknik Komputer",Table612[H3],Q$87)/$P$86</f>
        <v>0.2</v>
      </c>
      <c r="R115" s="66">
        <f>COUNTIFS(Table612[Prodi],"S1 Teknik Komputer",Table612[H3],R$87)/$P$86</f>
        <v>0</v>
      </c>
      <c r="S115" s="66">
        <f>COUNTIFS(Table612[Prodi],"S1 Teknik Komputer",Table612[H3],S$87)/$P$86</f>
        <v>0</v>
      </c>
      <c r="T115" s="62">
        <f t="shared" si="5"/>
        <v>1</v>
      </c>
      <c r="U115"/>
      <c r="V115" s="57" t="s">
        <v>44</v>
      </c>
      <c r="W115" s="66">
        <f>COUNTIFS(Table612[Prodi],"D3 Sistem Informasi",Table612[H3],W$87)/$W$86</f>
        <v>0.66666666666666663</v>
      </c>
      <c r="X115" s="66">
        <f>COUNTIFS(Table612[Prodi],"D3 Sistem Informasi",Table612[H3],X$87)/$W$86</f>
        <v>0.33333333333333331</v>
      </c>
      <c r="Y115" s="66">
        <f>COUNTIFS(Table612[Prodi],"D3 Sistem Informasi",Table612[H3],Y$87)/$W$86</f>
        <v>0</v>
      </c>
      <c r="Z115" s="66">
        <f>COUNTIFS(Table612[Prodi],"D3 Sistem Informasi",Table612[H3],Z$87)/$W$86</f>
        <v>0</v>
      </c>
      <c r="AA115" s="62">
        <f t="shared" si="6"/>
        <v>1</v>
      </c>
      <c r="AB115"/>
      <c r="AC115"/>
      <c r="AD115"/>
      <c r="AE115"/>
      <c r="AF115"/>
      <c r="AG115"/>
      <c r="AH115"/>
      <c r="AI115"/>
      <c r="AJ115"/>
      <c r="AK115"/>
      <c r="AL115"/>
      <c r="AM115"/>
      <c r="AN115"/>
      <c r="AO115"/>
      <c r="AP115"/>
      <c r="AQ115"/>
      <c r="AR115"/>
    </row>
    <row r="116" spans="1:44" s="118" customFormat="1" ht="16.5" x14ac:dyDescent="0.3">
      <c r="A116" s="57" t="s">
        <v>45</v>
      </c>
      <c r="B116" s="66">
        <f>COUNTIF(Table612[H4],B$87)/$B$86</f>
        <v>0.59090909090909094</v>
      </c>
      <c r="C116" s="66">
        <f>COUNTIF(Table612[H4],C$87)/$B$86</f>
        <v>0.40909090909090912</v>
      </c>
      <c r="D116" s="66">
        <f>COUNTIF(Table612[H4],D$87)/$B$86</f>
        <v>0</v>
      </c>
      <c r="E116" s="66">
        <f>COUNTIF(Table612[H4],E$87)/$B$86</f>
        <v>0</v>
      </c>
      <c r="F116" s="62">
        <f t="shared" si="0"/>
        <v>1</v>
      </c>
      <c r="H116" s="57" t="s">
        <v>45</v>
      </c>
      <c r="I116" s="66">
        <f>COUNTIFS(Table612[Prodi],"S1 Sistem Informasi",Table612[H4],I$87)/$I$86</f>
        <v>0.75</v>
      </c>
      <c r="J116" s="66">
        <f>COUNTIFS(Table612[Prodi],"S1 Sistem Informasi",Table612[H4],J$87)/$I$86</f>
        <v>0.25</v>
      </c>
      <c r="K116" s="66">
        <f>COUNTIFS(Table612[Prodi],"S1 Sistem Informasi",Table612[H4],K$87)/$I$86</f>
        <v>0</v>
      </c>
      <c r="L116" s="66">
        <f>COUNTIFS(Table612[Prodi],"S1 Sistem Informasi",Table612[H4],L$87)/$I$86</f>
        <v>0</v>
      </c>
      <c r="M116" s="62">
        <f t="shared" si="4"/>
        <v>1</v>
      </c>
      <c r="N116"/>
      <c r="O116" s="57" t="s">
        <v>45</v>
      </c>
      <c r="P116" s="66">
        <f>COUNTIFS(Table612[Prodi],"S1 Teknik Komputer",Table612[H4],P$87)/$P$86</f>
        <v>0.6</v>
      </c>
      <c r="Q116" s="66">
        <f>COUNTIFS(Table612[Prodi],"S1 Teknik Komputer",Table612[H4],Q$87)/$P$86</f>
        <v>0.4</v>
      </c>
      <c r="R116" s="66">
        <f>COUNTIFS(Table612[Prodi],"S1 Teknik Komputer",Table612[H4],R$87)/$P$86</f>
        <v>0</v>
      </c>
      <c r="S116" s="66">
        <f>COUNTIFS(Table612[Prodi],"S1 Teknik Komputer",Table612[H4],S$87)/$P$86</f>
        <v>0</v>
      </c>
      <c r="T116" s="62">
        <f t="shared" si="5"/>
        <v>1</v>
      </c>
      <c r="U116"/>
      <c r="V116" s="57" t="s">
        <v>45</v>
      </c>
      <c r="W116" s="66">
        <f>COUNTIFS(Table612[Prodi],"D3 Sistem Informasi",Table612[H4],W$87)/$W$86</f>
        <v>0.44444444444444442</v>
      </c>
      <c r="X116" s="66">
        <f>COUNTIFS(Table612[Prodi],"D3 Sistem Informasi",Table612[H4],X$87)/$W$86</f>
        <v>0.55555555555555558</v>
      </c>
      <c r="Y116" s="66">
        <f>COUNTIFS(Table612[Prodi],"D3 Sistem Informasi",Table612[H4],Y$87)/$W$86</f>
        <v>0</v>
      </c>
      <c r="Z116" s="66">
        <f>COUNTIFS(Table612[Prodi],"D3 Sistem Informasi",Table612[H4],Z$87)/$W$86</f>
        <v>0</v>
      </c>
      <c r="AA116" s="62">
        <f t="shared" si="6"/>
        <v>1</v>
      </c>
      <c r="AB116"/>
      <c r="AC116"/>
      <c r="AD116"/>
      <c r="AE116"/>
      <c r="AF116"/>
      <c r="AG116"/>
      <c r="AH116"/>
      <c r="AI116"/>
      <c r="AJ116"/>
      <c r="AK116"/>
      <c r="AL116"/>
      <c r="AM116"/>
      <c r="AN116"/>
      <c r="AO116"/>
      <c r="AP116"/>
      <c r="AQ116"/>
      <c r="AR116"/>
    </row>
    <row r="117" spans="1:44" s="118" customFormat="1" ht="16.5" x14ac:dyDescent="0.3">
      <c r="A117" s="60"/>
      <c r="B117" s="61">
        <f>AVERAGE(B113:B116)</f>
        <v>0.63636363636363635</v>
      </c>
      <c r="C117" s="61">
        <f>AVERAGE(C113:C116)</f>
        <v>0.36363636363636365</v>
      </c>
      <c r="D117" s="61">
        <f>AVERAGE(D113:D116)</f>
        <v>0</v>
      </c>
      <c r="E117" s="61">
        <f>AVERAGE(E113:E116)</f>
        <v>0</v>
      </c>
      <c r="F117" s="62">
        <f t="shared" si="0"/>
        <v>1</v>
      </c>
      <c r="H117" s="60"/>
      <c r="I117" s="61">
        <f>AVERAGE(I113:I116)</f>
        <v>0.625</v>
      </c>
      <c r="J117" s="61">
        <f>AVERAGE(J113:J116)</f>
        <v>0.375</v>
      </c>
      <c r="K117" s="61">
        <f>AVERAGE(K113:K116)</f>
        <v>0</v>
      </c>
      <c r="L117" s="61">
        <f>AVERAGE(L113:L116)</f>
        <v>0</v>
      </c>
      <c r="M117" s="62">
        <f t="shared" si="4"/>
        <v>1</v>
      </c>
      <c r="N117"/>
      <c r="O117" s="60"/>
      <c r="P117" s="61">
        <f>AVERAGE(P113:P116)</f>
        <v>0.70000000000000007</v>
      </c>
      <c r="Q117" s="61">
        <f>AVERAGE(Q113:Q116)</f>
        <v>0.30000000000000004</v>
      </c>
      <c r="R117" s="61">
        <f>AVERAGE(R113:R116)</f>
        <v>0</v>
      </c>
      <c r="S117" s="61">
        <f>AVERAGE(S113:S116)</f>
        <v>0</v>
      </c>
      <c r="T117" s="62">
        <f t="shared" si="5"/>
        <v>1</v>
      </c>
      <c r="U117"/>
      <c r="V117" s="60"/>
      <c r="W117" s="61">
        <f>AVERAGE(W113:W116)</f>
        <v>0.61111111111111116</v>
      </c>
      <c r="X117" s="61">
        <f>AVERAGE(X113:X116)</f>
        <v>0.3888888888888889</v>
      </c>
      <c r="Y117" s="61">
        <f>AVERAGE(Y113:Y116)</f>
        <v>0</v>
      </c>
      <c r="Z117" s="61">
        <f>AVERAGE(Z113:Z116)</f>
        <v>0</v>
      </c>
      <c r="AA117" s="62">
        <f t="shared" si="6"/>
        <v>1</v>
      </c>
      <c r="AB117"/>
      <c r="AC117"/>
      <c r="AD117"/>
      <c r="AE117"/>
      <c r="AF117"/>
      <c r="AG117"/>
      <c r="AH117"/>
      <c r="AI117"/>
      <c r="AJ117"/>
      <c r="AK117"/>
      <c r="AL117"/>
      <c r="AM117"/>
      <c r="AN117"/>
      <c r="AO117"/>
      <c r="AP117"/>
      <c r="AQ117"/>
      <c r="AR117"/>
    </row>
    <row r="118" spans="1:44" s="118" customFormat="1" ht="16.5" x14ac:dyDescent="0.3">
      <c r="A118" s="57" t="s">
        <v>648</v>
      </c>
      <c r="B118" s="66">
        <f>COUNTIF(Table612[I1.1],B$87)/$B$86</f>
        <v>0.27272727272727271</v>
      </c>
      <c r="C118" s="66">
        <f>COUNTIF(Table612[I1.1],C$87)/$B$86</f>
        <v>0.72727272727272729</v>
      </c>
      <c r="D118" s="66">
        <f>COUNTIF(Table612[I1.1],D$87)/$B$86</f>
        <v>0</v>
      </c>
      <c r="E118" s="66">
        <f>COUNTIF(Table612[I1.1],E$87)/$B$86</f>
        <v>0</v>
      </c>
      <c r="F118" s="62">
        <f t="shared" si="0"/>
        <v>1</v>
      </c>
      <c r="H118" s="57" t="s">
        <v>648</v>
      </c>
      <c r="I118" s="66">
        <f>COUNTIFS(Table612[Prodi],"S1 Sistem Informasi",Table612[I1.1],I$87)/$I$86</f>
        <v>0.125</v>
      </c>
      <c r="J118" s="66">
        <f>COUNTIFS(Table612[Prodi],"S1 Sistem Informasi",Table612[I1.1],J$87)/$I$86</f>
        <v>0.875</v>
      </c>
      <c r="K118" s="66">
        <f>COUNTIFS(Table612[Prodi],"S1 Sistem Informasi",Table612[I1.1],K$87)/$I$86</f>
        <v>0</v>
      </c>
      <c r="L118" s="66">
        <f>COUNTIFS(Table612[Prodi],"S1 Sistem Informasi",Table612[I1.1],L$87)/$I$86</f>
        <v>0</v>
      </c>
      <c r="M118" s="62">
        <f t="shared" si="4"/>
        <v>1</v>
      </c>
      <c r="N118"/>
      <c r="O118" s="57" t="s">
        <v>648</v>
      </c>
      <c r="P118" s="66">
        <f>COUNTIFS(Table612[Prodi],"S1 Teknik Komputer",Table612[I1.1],P$87)/$P$86</f>
        <v>0.4</v>
      </c>
      <c r="Q118" s="66">
        <f>COUNTIFS(Table612[Prodi],"S1 Teknik Komputer",Table612[I1.1],Q$87)/$P$86</f>
        <v>0.6</v>
      </c>
      <c r="R118" s="66">
        <f>COUNTIFS(Table612[Prodi],"S1 Teknik Komputer",Table612[I1.1],R$87)/$P$86</f>
        <v>0</v>
      </c>
      <c r="S118" s="66">
        <f>COUNTIFS(Table612[Prodi],"S1 Teknik Komputer",Table612[I1.1],S$87)/$P$86</f>
        <v>0</v>
      </c>
      <c r="T118" s="62">
        <f t="shared" si="5"/>
        <v>1</v>
      </c>
      <c r="U118"/>
      <c r="V118" s="57" t="s">
        <v>648</v>
      </c>
      <c r="W118" s="66">
        <f>COUNTIFS(Table612[Prodi],"D3 Sistem Informasi",Table612[I1.1],W$87)/$W$86</f>
        <v>0.33333333333333331</v>
      </c>
      <c r="X118" s="66">
        <f>COUNTIFS(Table612[Prodi],"D3 Sistem Informasi",Table612[I1.1],X$87)/$W$86</f>
        <v>0.66666666666666663</v>
      </c>
      <c r="Y118" s="66">
        <f>COUNTIFS(Table612[Prodi],"D3 Sistem Informasi",Table612[I1.1],Y$87)/$W$86</f>
        <v>0</v>
      </c>
      <c r="Z118" s="66">
        <f>COUNTIFS(Table612[Prodi],"D3 Sistem Informasi",Table612[I1.1],Z$87)/$W$86</f>
        <v>0</v>
      </c>
      <c r="AA118" s="62">
        <f t="shared" si="6"/>
        <v>1</v>
      </c>
      <c r="AB118"/>
      <c r="AC118"/>
      <c r="AD118"/>
      <c r="AE118"/>
      <c r="AF118"/>
      <c r="AG118"/>
      <c r="AH118"/>
      <c r="AI118"/>
      <c r="AJ118"/>
      <c r="AK118"/>
      <c r="AL118"/>
      <c r="AM118"/>
      <c r="AN118"/>
      <c r="AO118"/>
      <c r="AP118"/>
      <c r="AQ118"/>
      <c r="AR118"/>
    </row>
    <row r="119" spans="1:44" s="118" customFormat="1" ht="16.5" x14ac:dyDescent="0.3">
      <c r="A119" s="57" t="s">
        <v>649</v>
      </c>
      <c r="B119" s="66">
        <f>COUNTIF(Table612[I1.2],B$87)/$B$86</f>
        <v>0.59090909090909094</v>
      </c>
      <c r="C119" s="66">
        <f>COUNTIF(Table612[I1.2],C$87)/$B$86</f>
        <v>0.36363636363636365</v>
      </c>
      <c r="D119" s="66">
        <f>COUNTIF(Table612[I1.2],D$87)/$B$86</f>
        <v>0</v>
      </c>
      <c r="E119" s="66">
        <f>COUNTIF(Table612[I1.2],E$87)/$B$86</f>
        <v>4.5454545454545456E-2</v>
      </c>
      <c r="F119" s="62">
        <f t="shared" si="0"/>
        <v>1</v>
      </c>
      <c r="H119" s="57" t="s">
        <v>649</v>
      </c>
      <c r="I119" s="66">
        <f>COUNTIFS(Table612[Prodi],"S1 Sistem Informasi",Table612[I1.2],I$87)/$I$86</f>
        <v>0.375</v>
      </c>
      <c r="J119" s="66">
        <f>COUNTIFS(Table612[Prodi],"S1 Sistem Informasi",Table612[I1.2],J$87)/$I$86</f>
        <v>0.5</v>
      </c>
      <c r="K119" s="66">
        <f>COUNTIFS(Table612[Prodi],"S1 Sistem Informasi",Table612[I1.2],K$87)/$I$86</f>
        <v>0</v>
      </c>
      <c r="L119" s="66">
        <f>COUNTIFS(Table612[Prodi],"S1 Sistem Informasi",Table612[I1.2],L$87)/$I$86</f>
        <v>0.125</v>
      </c>
      <c r="M119" s="62">
        <f t="shared" si="4"/>
        <v>1</v>
      </c>
      <c r="N119"/>
      <c r="O119" s="57" t="s">
        <v>649</v>
      </c>
      <c r="P119" s="66">
        <f>COUNTIFS(Table612[Prodi],"S1 Teknik Komputer",Table612[I1.2],P$87)/$P$86</f>
        <v>1</v>
      </c>
      <c r="Q119" s="66">
        <f>COUNTIFS(Table612[Prodi],"S1 Teknik Komputer",Table612[I1.2],Q$87)/$P$86</f>
        <v>0</v>
      </c>
      <c r="R119" s="66">
        <f>COUNTIFS(Table612[Prodi],"S1 Teknik Komputer",Table612[I1.2],R$87)/$P$86</f>
        <v>0</v>
      </c>
      <c r="S119" s="66">
        <f>COUNTIFS(Table612[Prodi],"S1 Teknik Komputer",Table612[I1.2],S$87)/$P$86</f>
        <v>0</v>
      </c>
      <c r="T119" s="62">
        <f t="shared" si="5"/>
        <v>1</v>
      </c>
      <c r="U119"/>
      <c r="V119" s="57" t="s">
        <v>649</v>
      </c>
      <c r="W119" s="66">
        <f>COUNTIFS(Table612[Prodi],"D3 Sistem Informasi",Table612[I1.2],W$87)/$W$86</f>
        <v>0.55555555555555558</v>
      </c>
      <c r="X119" s="66">
        <f>COUNTIFS(Table612[Prodi],"D3 Sistem Informasi",Table612[I1.2],X$87)/$W$86</f>
        <v>0.44444444444444442</v>
      </c>
      <c r="Y119" s="66">
        <f>COUNTIFS(Table612[Prodi],"D3 Sistem Informasi",Table612[I1.2],Y$87)/$W$86</f>
        <v>0</v>
      </c>
      <c r="Z119" s="66">
        <f>COUNTIFS(Table612[Prodi],"D3 Sistem Informasi",Table612[I1.2],Z$87)/$W$86</f>
        <v>0</v>
      </c>
      <c r="AA119" s="62">
        <f t="shared" si="6"/>
        <v>1</v>
      </c>
      <c r="AB119"/>
      <c r="AC119"/>
      <c r="AD119"/>
      <c r="AE119"/>
      <c r="AF119"/>
      <c r="AG119"/>
      <c r="AH119"/>
      <c r="AI119"/>
      <c r="AJ119"/>
      <c r="AK119"/>
      <c r="AL119"/>
      <c r="AM119"/>
      <c r="AN119"/>
      <c r="AO119"/>
      <c r="AP119"/>
      <c r="AQ119"/>
      <c r="AR119"/>
    </row>
    <row r="120" spans="1:44" s="118" customFormat="1" ht="16.5" x14ac:dyDescent="0.3">
      <c r="A120" s="57" t="s">
        <v>650</v>
      </c>
      <c r="B120" s="66">
        <f>COUNTIF(Table612[I1.3],B$87)/$B$86</f>
        <v>0.5</v>
      </c>
      <c r="C120" s="66">
        <f>COUNTIF(Table612[I1.3],C$87)/$B$86</f>
        <v>0.45454545454545453</v>
      </c>
      <c r="D120" s="66">
        <f>COUNTIF(Table612[I1.3],D$87)/$B$86</f>
        <v>0</v>
      </c>
      <c r="E120" s="66">
        <f>COUNTIF(Table612[I1.3],E$87)/$B$86</f>
        <v>4.5454545454545456E-2</v>
      </c>
      <c r="F120" s="62">
        <f t="shared" si="0"/>
        <v>1</v>
      </c>
      <c r="H120" s="57" t="s">
        <v>650</v>
      </c>
      <c r="I120" s="66">
        <f>COUNTIFS(Table612[Prodi],"S1 Sistem Informasi",Table612[I1.3],I$87)/$I$86</f>
        <v>0.375</v>
      </c>
      <c r="J120" s="66">
        <f>COUNTIFS(Table612[Prodi],"S1 Sistem Informasi",Table612[I1.3],J$87)/$I$86</f>
        <v>0.5</v>
      </c>
      <c r="K120" s="66">
        <f>COUNTIFS(Table612[Prodi],"S1 Sistem Informasi",Table612[I1.3],K$87)/$I$86</f>
        <v>0</v>
      </c>
      <c r="L120" s="66">
        <f>COUNTIFS(Table612[Prodi],"S1 Sistem Informasi",Table612[I1.3],L$87)/$I$86</f>
        <v>0.125</v>
      </c>
      <c r="M120" s="62">
        <f t="shared" si="4"/>
        <v>1</v>
      </c>
      <c r="N120"/>
      <c r="O120" s="57" t="s">
        <v>650</v>
      </c>
      <c r="P120" s="66">
        <f>COUNTIFS(Table612[Prodi],"S1 Teknik Komputer",Table612[I1.3],P$87)/$P$86</f>
        <v>0.6</v>
      </c>
      <c r="Q120" s="66">
        <f>COUNTIFS(Table612[Prodi],"S1 Teknik Komputer",Table612[I1.3],Q$87)/$P$86</f>
        <v>0.4</v>
      </c>
      <c r="R120" s="66">
        <f>COUNTIFS(Table612[Prodi],"S1 Teknik Komputer",Table612[I1.3],R$87)/$P$86</f>
        <v>0</v>
      </c>
      <c r="S120" s="66">
        <f>COUNTIFS(Table612[Prodi],"S1 Teknik Komputer",Table612[I1.3],S$87)/$P$86</f>
        <v>0</v>
      </c>
      <c r="T120" s="62">
        <f t="shared" si="5"/>
        <v>1</v>
      </c>
      <c r="U120"/>
      <c r="V120" s="57" t="s">
        <v>650</v>
      </c>
      <c r="W120" s="66">
        <f>COUNTIFS(Table612[Prodi],"D3 Sistem Informasi",Table612[I1.3],W$87)/$W$86</f>
        <v>0.55555555555555558</v>
      </c>
      <c r="X120" s="66">
        <f>COUNTIFS(Table612[Prodi],"D3 Sistem Informasi",Table612[I1.3],X$87)/$W$86</f>
        <v>0.44444444444444442</v>
      </c>
      <c r="Y120" s="66">
        <f>COUNTIFS(Table612[Prodi],"D3 Sistem Informasi",Table612[I1.3],Y$87)/$W$86</f>
        <v>0</v>
      </c>
      <c r="Z120" s="66">
        <f>COUNTIFS(Table612[Prodi],"D3 Sistem Informasi",Table612[I1.3],Z$87)/$W$86</f>
        <v>0</v>
      </c>
      <c r="AA120" s="62">
        <f t="shared" si="6"/>
        <v>1</v>
      </c>
      <c r="AB120"/>
      <c r="AC120"/>
      <c r="AD120"/>
      <c r="AE120"/>
      <c r="AF120"/>
      <c r="AG120"/>
      <c r="AH120"/>
      <c r="AI120"/>
      <c r="AJ120"/>
      <c r="AK120"/>
      <c r="AL120"/>
      <c r="AM120"/>
      <c r="AN120"/>
      <c r="AO120"/>
      <c r="AP120"/>
      <c r="AQ120"/>
      <c r="AR120"/>
    </row>
    <row r="121" spans="1:44" s="118" customFormat="1" ht="16.5" x14ac:dyDescent="0.3">
      <c r="A121" s="57" t="s">
        <v>651</v>
      </c>
      <c r="B121" s="66">
        <f>COUNTIF(Table612[I1.4],B$87)/$B$86</f>
        <v>9.0909090909090912E-2</v>
      </c>
      <c r="C121" s="66">
        <f>COUNTIF(Table612[I1.4],C$87)/$B$86</f>
        <v>0.86363636363636365</v>
      </c>
      <c r="D121" s="66">
        <f>COUNTIF(Table612[I1.4],D$87)/$B$86</f>
        <v>4.5454545454545456E-2</v>
      </c>
      <c r="E121" s="66">
        <f>COUNTIF(Table612[I1.4],E$87)/$B$86</f>
        <v>0</v>
      </c>
      <c r="F121" s="62">
        <f t="shared" si="0"/>
        <v>1</v>
      </c>
      <c r="H121" s="57" t="s">
        <v>651</v>
      </c>
      <c r="I121" s="66">
        <f>COUNTIFS(Table612[Prodi],"S1 Sistem Informasi",Table612[I1.4],I$87)/$I$86</f>
        <v>0</v>
      </c>
      <c r="J121" s="66">
        <f>COUNTIFS(Table612[Prodi],"S1 Sistem Informasi",Table612[I1.4],J$87)/$I$86</f>
        <v>0.875</v>
      </c>
      <c r="K121" s="66">
        <f>COUNTIFS(Table612[Prodi],"S1 Sistem Informasi",Table612[I1.4],K$87)/$I$86</f>
        <v>0.125</v>
      </c>
      <c r="L121" s="66">
        <f>COUNTIFS(Table612[Prodi],"S1 Sistem Informasi",Table612[I1.4],L$87)/$I$86</f>
        <v>0</v>
      </c>
      <c r="M121" s="62">
        <f t="shared" si="4"/>
        <v>1</v>
      </c>
      <c r="N121"/>
      <c r="O121" s="57" t="s">
        <v>651</v>
      </c>
      <c r="P121" s="66">
        <f>COUNTIFS(Table612[Prodi],"S1 Teknik Komputer",Table612[I1.4],P$87)/$P$86</f>
        <v>0</v>
      </c>
      <c r="Q121" s="66">
        <f>COUNTIFS(Table612[Prodi],"S1 Teknik Komputer",Table612[I1.4],Q$87)/$P$86</f>
        <v>1</v>
      </c>
      <c r="R121" s="66">
        <f>COUNTIFS(Table612[Prodi],"S1 Teknik Komputer",Table612[I1.4],R$87)/$P$86</f>
        <v>0</v>
      </c>
      <c r="S121" s="66">
        <f>COUNTIFS(Table612[Prodi],"S1 Teknik Komputer",Table612[I1.4],S$87)/$P$86</f>
        <v>0</v>
      </c>
      <c r="T121" s="62">
        <f t="shared" si="5"/>
        <v>1</v>
      </c>
      <c r="U121"/>
      <c r="V121" s="57" t="s">
        <v>651</v>
      </c>
      <c r="W121" s="66">
        <f>COUNTIFS(Table612[Prodi],"D3 Sistem Informasi",Table612[I1.4],W$87)/$W$86</f>
        <v>0.22222222222222221</v>
      </c>
      <c r="X121" s="66">
        <f>COUNTIFS(Table612[Prodi],"D3 Sistem Informasi",Table612[I1.4],X$87)/$W$86</f>
        <v>0.77777777777777779</v>
      </c>
      <c r="Y121" s="66">
        <f>COUNTIFS(Table612[Prodi],"D3 Sistem Informasi",Table612[I1.4],Y$87)/$W$86</f>
        <v>0</v>
      </c>
      <c r="Z121" s="66">
        <f>COUNTIFS(Table612[Prodi],"D3 Sistem Informasi",Table612[I1.4],Z$87)/$W$86</f>
        <v>0</v>
      </c>
      <c r="AA121" s="62">
        <f t="shared" si="6"/>
        <v>1</v>
      </c>
      <c r="AB121"/>
      <c r="AC121"/>
      <c r="AD121"/>
      <c r="AE121"/>
      <c r="AF121"/>
      <c r="AG121"/>
      <c r="AH121"/>
      <c r="AI121"/>
      <c r="AJ121"/>
      <c r="AK121"/>
      <c r="AL121"/>
      <c r="AM121"/>
      <c r="AN121"/>
      <c r="AO121"/>
      <c r="AP121"/>
      <c r="AQ121"/>
      <c r="AR121"/>
    </row>
    <row r="122" spans="1:44" s="118" customFormat="1" ht="16.5" x14ac:dyDescent="0.3">
      <c r="A122" s="57" t="s">
        <v>652</v>
      </c>
      <c r="B122" s="66">
        <f>COUNTIF(Table612[I1.5],B$87)/$B$86</f>
        <v>0.22727272727272727</v>
      </c>
      <c r="C122" s="66">
        <f>COUNTIF(Table612[I1.5],C$87)/$B$86</f>
        <v>0.72727272727272729</v>
      </c>
      <c r="D122" s="66">
        <f>COUNTIF(Table612[I1.5],D$87)/$B$86</f>
        <v>4.5454545454545456E-2</v>
      </c>
      <c r="E122" s="66">
        <f>COUNTIF(Table612[I1.5],E$87)/$B$86</f>
        <v>0</v>
      </c>
      <c r="F122" s="62">
        <f t="shared" si="0"/>
        <v>1</v>
      </c>
      <c r="H122" s="57" t="s">
        <v>652</v>
      </c>
      <c r="I122" s="66">
        <f>COUNTIFS(Table612[Prodi],"S1 Sistem Informasi",Table612[I1.5],I$87)/$I$86</f>
        <v>0</v>
      </c>
      <c r="J122" s="66">
        <f>COUNTIFS(Table612[Prodi],"S1 Sistem Informasi",Table612[I1.5],J$87)/$I$86</f>
        <v>0.875</v>
      </c>
      <c r="K122" s="66">
        <f>COUNTIFS(Table612[Prodi],"S1 Sistem Informasi",Table612[I1.5],K$87)/$I$86</f>
        <v>0.125</v>
      </c>
      <c r="L122" s="66">
        <f>COUNTIFS(Table612[Prodi],"S1 Sistem Informasi",Table612[I1.5],L$87)/$I$86</f>
        <v>0</v>
      </c>
      <c r="M122" s="62">
        <f t="shared" si="4"/>
        <v>1</v>
      </c>
      <c r="N122"/>
      <c r="O122" s="57" t="s">
        <v>652</v>
      </c>
      <c r="P122" s="66">
        <f>COUNTIFS(Table612[Prodi],"S1 Teknik Komputer",Table612[I1.5],P$87)/$P$86</f>
        <v>0.2</v>
      </c>
      <c r="Q122" s="66">
        <f>COUNTIFS(Table612[Prodi],"S1 Teknik Komputer",Table612[I1.5],Q$87)/$P$86</f>
        <v>0.8</v>
      </c>
      <c r="R122" s="66">
        <f>COUNTIFS(Table612[Prodi],"S1 Teknik Komputer",Table612[I1.5],R$87)/$P$86</f>
        <v>0</v>
      </c>
      <c r="S122" s="66">
        <f>COUNTIFS(Table612[Prodi],"S1 Teknik Komputer",Table612[I1.5],S$87)/$P$86</f>
        <v>0</v>
      </c>
      <c r="T122" s="62">
        <f t="shared" si="5"/>
        <v>1</v>
      </c>
      <c r="U122"/>
      <c r="V122" s="57" t="s">
        <v>652</v>
      </c>
      <c r="W122" s="66">
        <f>COUNTIFS(Table612[Prodi],"D3 Sistem Informasi",Table612[I1.5],W$87)/$W$86</f>
        <v>0.44444444444444442</v>
      </c>
      <c r="X122" s="66">
        <f>COUNTIFS(Table612[Prodi],"D3 Sistem Informasi",Table612[I1.5],X$87)/$W$86</f>
        <v>0.55555555555555558</v>
      </c>
      <c r="Y122" s="66">
        <f>COUNTIFS(Table612[Prodi],"D3 Sistem Informasi",Table612[I1.5],Y$87)/$W$86</f>
        <v>0</v>
      </c>
      <c r="Z122" s="66">
        <f>COUNTIFS(Table612[Prodi],"D3 Sistem Informasi",Table612[I1.5],Z$87)/$W$86</f>
        <v>0</v>
      </c>
      <c r="AA122" s="62">
        <f t="shared" si="6"/>
        <v>1</v>
      </c>
      <c r="AB122"/>
      <c r="AC122"/>
      <c r="AD122"/>
      <c r="AE122"/>
      <c r="AF122"/>
      <c r="AG122"/>
      <c r="AH122"/>
      <c r="AI122"/>
      <c r="AJ122"/>
      <c r="AK122"/>
      <c r="AL122"/>
      <c r="AM122"/>
      <c r="AN122"/>
      <c r="AO122"/>
      <c r="AP122"/>
      <c r="AQ122"/>
      <c r="AR122"/>
    </row>
    <row r="123" spans="1:44" s="118" customFormat="1" ht="16.5" x14ac:dyDescent="0.3">
      <c r="A123" s="60"/>
      <c r="B123" s="61">
        <f>AVERAGE(B119:B122)</f>
        <v>0.35227272727272724</v>
      </c>
      <c r="C123" s="61">
        <f>AVERAGE(C119:C122)</f>
        <v>0.60227272727272729</v>
      </c>
      <c r="D123" s="61">
        <f>AVERAGE(D119:D122)</f>
        <v>2.2727272727272728E-2</v>
      </c>
      <c r="E123" s="61">
        <f>AVERAGE(E119:E122)</f>
        <v>2.2727272727272728E-2</v>
      </c>
      <c r="F123" s="62">
        <f t="shared" si="0"/>
        <v>1</v>
      </c>
      <c r="H123" s="60"/>
      <c r="I123" s="61">
        <f>AVERAGE(I119:I122)</f>
        <v>0.1875</v>
      </c>
      <c r="J123" s="61">
        <f>AVERAGE(J119:J122)</f>
        <v>0.6875</v>
      </c>
      <c r="K123" s="61">
        <f>AVERAGE(K119:K122)</f>
        <v>6.25E-2</v>
      </c>
      <c r="L123" s="61">
        <f>AVERAGE(L119:L122)</f>
        <v>6.25E-2</v>
      </c>
      <c r="M123" s="62">
        <f t="shared" si="4"/>
        <v>1</v>
      </c>
      <c r="N123"/>
      <c r="O123" s="60"/>
      <c r="P123" s="61">
        <f>AVERAGE(P119:P122)</f>
        <v>0.45</v>
      </c>
      <c r="Q123" s="61">
        <f>AVERAGE(Q119:Q122)</f>
        <v>0.55000000000000004</v>
      </c>
      <c r="R123" s="61">
        <f>AVERAGE(R119:R122)</f>
        <v>0</v>
      </c>
      <c r="S123" s="61">
        <f>AVERAGE(S119:S122)</f>
        <v>0</v>
      </c>
      <c r="T123" s="62">
        <f t="shared" si="5"/>
        <v>1</v>
      </c>
      <c r="U123"/>
      <c r="V123" s="60"/>
      <c r="W123" s="61">
        <f>AVERAGE(W119:W122)</f>
        <v>0.44444444444444448</v>
      </c>
      <c r="X123" s="61">
        <f>AVERAGE(X119:X122)</f>
        <v>0.55555555555555558</v>
      </c>
      <c r="Y123" s="61">
        <f>AVERAGE(Y119:Y122)</f>
        <v>0</v>
      </c>
      <c r="Z123" s="61">
        <f>AVERAGE(Z119:Z122)</f>
        <v>0</v>
      </c>
      <c r="AA123" s="62">
        <f t="shared" si="6"/>
        <v>1</v>
      </c>
      <c r="AB123"/>
      <c r="AC123"/>
      <c r="AD123"/>
      <c r="AE123"/>
      <c r="AF123"/>
      <c r="AG123"/>
      <c r="AH123"/>
      <c r="AI123"/>
      <c r="AJ123"/>
      <c r="AK123"/>
      <c r="AL123"/>
      <c r="AM123"/>
      <c r="AN123"/>
      <c r="AO123"/>
      <c r="AP123"/>
      <c r="AQ123"/>
      <c r="AR123"/>
    </row>
    <row r="124" spans="1:44" s="118" customFormat="1" ht="16.5" x14ac:dyDescent="0.3">
      <c r="A124" s="57" t="s">
        <v>653</v>
      </c>
      <c r="B124" s="66">
        <f>COUNTIF(Table612[I2.1],B$87)/$B$86</f>
        <v>0.54545454545454541</v>
      </c>
      <c r="C124" s="66">
        <f>COUNTIF(Table612[I2.1],C$87)/$B$86</f>
        <v>0.36363636363636365</v>
      </c>
      <c r="D124" s="66">
        <f>COUNTIF(Table612[I2.1],D$87)/$B$86</f>
        <v>4.5454545454545456E-2</v>
      </c>
      <c r="E124" s="66">
        <f>COUNTIF(Table612[I2.1],E$87)/$B$86</f>
        <v>4.5454545454545456E-2</v>
      </c>
      <c r="F124" s="62">
        <f t="shared" si="0"/>
        <v>0.99999999999999989</v>
      </c>
      <c r="H124" s="57" t="s">
        <v>653</v>
      </c>
      <c r="I124" s="66">
        <f>COUNTIFS(Table612[Prodi],"S1 Sistem Informasi",Table612[I2.1],I$87)/$I$86</f>
        <v>0.375</v>
      </c>
      <c r="J124" s="66">
        <f>COUNTIFS(Table612[Prodi],"S1 Sistem Informasi",Table612[I2.1],J$87)/$I$86</f>
        <v>0.375</v>
      </c>
      <c r="K124" s="66">
        <f>COUNTIFS(Table612[Prodi],"S1 Sistem Informasi",Table612[I2.1],K$87)/$I$86</f>
        <v>0.125</v>
      </c>
      <c r="L124" s="66">
        <f>COUNTIFS(Table612[Prodi],"S1 Sistem Informasi",Table612[I2.1],L$87)/$I$86</f>
        <v>0.125</v>
      </c>
      <c r="M124" s="62">
        <f t="shared" si="4"/>
        <v>1</v>
      </c>
      <c r="N124"/>
      <c r="O124" s="57" t="s">
        <v>653</v>
      </c>
      <c r="P124" s="66">
        <f>COUNTIFS(Table612[Prodi],"S1 Teknik Komputer",Table612[I2.1],P$87)/$P$86</f>
        <v>0.6</v>
      </c>
      <c r="Q124" s="66">
        <f>COUNTIFS(Table612[Prodi],"S1 Teknik Komputer",Table612[I2.1],Q$87)/$P$86</f>
        <v>0.4</v>
      </c>
      <c r="R124" s="66">
        <f>COUNTIFS(Table612[Prodi],"S1 Teknik Komputer",Table612[I2.1],R$87)/$P$86</f>
        <v>0</v>
      </c>
      <c r="S124" s="66">
        <f>COUNTIFS(Table612[Prodi],"S1 Teknik Komputer",Table612[I2.1],S$87)/$P$86</f>
        <v>0</v>
      </c>
      <c r="T124" s="62">
        <f t="shared" si="5"/>
        <v>1</v>
      </c>
      <c r="U124"/>
      <c r="V124" s="57" t="s">
        <v>653</v>
      </c>
      <c r="W124" s="66">
        <f>COUNTIFS(Table612[Prodi],"D3 Sistem Informasi",Table612[I2.1],W$87)/$W$86</f>
        <v>0.66666666666666663</v>
      </c>
      <c r="X124" s="66">
        <f>COUNTIFS(Table612[Prodi],"D3 Sistem Informasi",Table612[I2.1],X$87)/$W$86</f>
        <v>0.33333333333333331</v>
      </c>
      <c r="Y124" s="66">
        <f>COUNTIFS(Table612[Prodi],"D3 Sistem Informasi",Table612[I2.1],Y$87)/$W$86</f>
        <v>0</v>
      </c>
      <c r="Z124" s="66">
        <f>COUNTIFS(Table612[Prodi],"D3 Sistem Informasi",Table612[I2.1],Z$87)/$W$86</f>
        <v>0</v>
      </c>
      <c r="AA124" s="62">
        <f t="shared" si="6"/>
        <v>1</v>
      </c>
      <c r="AB124"/>
      <c r="AC124"/>
      <c r="AD124"/>
      <c r="AE124"/>
      <c r="AF124"/>
      <c r="AG124"/>
      <c r="AH124"/>
      <c r="AI124"/>
      <c r="AJ124"/>
      <c r="AK124"/>
      <c r="AL124"/>
      <c r="AM124"/>
      <c r="AN124"/>
      <c r="AO124"/>
      <c r="AP124"/>
      <c r="AQ124"/>
      <c r="AR124"/>
    </row>
    <row r="125" spans="1:44" s="118" customFormat="1" ht="16.5" x14ac:dyDescent="0.3">
      <c r="A125" s="57" t="s">
        <v>654</v>
      </c>
      <c r="B125" s="66">
        <f>COUNTIF(Table612[I2.2],B$87)/$B$86</f>
        <v>0.63636363636363635</v>
      </c>
      <c r="C125" s="66">
        <f>COUNTIF(Table612[I2.2],C$87)/$B$86</f>
        <v>0.27272727272727271</v>
      </c>
      <c r="D125" s="66">
        <f>COUNTIF(Table612[I2.2],D$87)/$B$86</f>
        <v>4.5454545454545456E-2</v>
      </c>
      <c r="E125" s="66">
        <f>COUNTIF(Table612[I2.2],E$87)/$B$86</f>
        <v>4.5454545454545456E-2</v>
      </c>
      <c r="F125" s="62">
        <f t="shared" si="0"/>
        <v>0.99999999999999989</v>
      </c>
      <c r="H125" s="57" t="s">
        <v>654</v>
      </c>
      <c r="I125" s="66">
        <f>COUNTIFS(Table612[Prodi],"S1 Sistem Informasi",Table612[I2.2],I$87)/$I$86</f>
        <v>0.375</v>
      </c>
      <c r="J125" s="66">
        <f>COUNTIFS(Table612[Prodi],"S1 Sistem Informasi",Table612[I2.2],J$87)/$I$86</f>
        <v>0.375</v>
      </c>
      <c r="K125" s="66">
        <f>COUNTIFS(Table612[Prodi],"S1 Sistem Informasi",Table612[I2.2],K$87)/$I$86</f>
        <v>0.125</v>
      </c>
      <c r="L125" s="66">
        <f>COUNTIFS(Table612[Prodi],"S1 Sistem Informasi",Table612[I2.2],L$87)/$I$86</f>
        <v>0.125</v>
      </c>
      <c r="M125" s="62">
        <f t="shared" si="4"/>
        <v>1</v>
      </c>
      <c r="N125"/>
      <c r="O125" s="57" t="s">
        <v>654</v>
      </c>
      <c r="P125" s="66">
        <f>COUNTIFS(Table612[Prodi],"S1 Teknik Komputer",Table612[I2.2],P$87)/$P$86</f>
        <v>1</v>
      </c>
      <c r="Q125" s="66">
        <f>COUNTIFS(Table612[Prodi],"S1 Teknik Komputer",Table612[I2.2],Q$87)/$P$86</f>
        <v>0</v>
      </c>
      <c r="R125" s="66">
        <f>COUNTIFS(Table612[Prodi],"S1 Teknik Komputer",Table612[I2.2],R$87)/$P$86</f>
        <v>0</v>
      </c>
      <c r="S125" s="66">
        <f>COUNTIFS(Table612[Prodi],"S1 Teknik Komputer",Table612[I2.2],S$87)/$P$86</f>
        <v>0</v>
      </c>
      <c r="T125" s="62">
        <f t="shared" si="5"/>
        <v>1</v>
      </c>
      <c r="U125"/>
      <c r="V125" s="57" t="s">
        <v>654</v>
      </c>
      <c r="W125" s="66">
        <f>COUNTIFS(Table612[Prodi],"D3 Sistem Informasi",Table612[I2.2],W$87)/$W$86</f>
        <v>0.66666666666666663</v>
      </c>
      <c r="X125" s="66">
        <f>COUNTIFS(Table612[Prodi],"D3 Sistem Informasi",Table612[I2.2],X$87)/$W$86</f>
        <v>0.33333333333333331</v>
      </c>
      <c r="Y125" s="66">
        <f>COUNTIFS(Table612[Prodi],"D3 Sistem Informasi",Table612[I2.2],Y$87)/$W$86</f>
        <v>0</v>
      </c>
      <c r="Z125" s="66">
        <f>COUNTIFS(Table612[Prodi],"D3 Sistem Informasi",Table612[I2.2],Z$87)/$W$86</f>
        <v>0</v>
      </c>
      <c r="AA125" s="62">
        <f t="shared" si="6"/>
        <v>1</v>
      </c>
      <c r="AB125"/>
      <c r="AC125"/>
      <c r="AD125"/>
      <c r="AE125"/>
      <c r="AF125"/>
      <c r="AG125"/>
      <c r="AH125"/>
      <c r="AI125"/>
      <c r="AJ125"/>
      <c r="AK125"/>
      <c r="AL125"/>
      <c r="AM125"/>
      <c r="AN125"/>
      <c r="AO125"/>
      <c r="AP125"/>
      <c r="AQ125"/>
      <c r="AR125"/>
    </row>
    <row r="126" spans="1:44" s="118" customFormat="1" ht="16.5" x14ac:dyDescent="0.3">
      <c r="A126" s="57" t="s">
        <v>655</v>
      </c>
      <c r="B126" s="66">
        <f>COUNTIF(Table612[I2.3],B$87)/$B$86</f>
        <v>0.63636363636363635</v>
      </c>
      <c r="C126" s="66">
        <f>COUNTIF(Table612[I2.3],C$87)/$B$86</f>
        <v>0.13636363636363635</v>
      </c>
      <c r="D126" s="66">
        <f>COUNTIF(Table612[I2.3],D$87)/$B$86</f>
        <v>0.18181818181818182</v>
      </c>
      <c r="E126" s="66">
        <f>COUNTIF(Table612[I2.3],E$87)/$B$86</f>
        <v>4.5454545454545456E-2</v>
      </c>
      <c r="F126" s="62">
        <f t="shared" si="0"/>
        <v>1</v>
      </c>
      <c r="H126" s="57" t="s">
        <v>655</v>
      </c>
      <c r="I126" s="66">
        <f>COUNTIFS(Table612[Prodi],"S1 Sistem Informasi",Table612[I2.3],I$87)/$I$86</f>
        <v>0.375</v>
      </c>
      <c r="J126" s="66">
        <f>COUNTIFS(Table612[Prodi],"S1 Sistem Informasi",Table612[I2.3],J$87)/$I$86</f>
        <v>0.25</v>
      </c>
      <c r="K126" s="66">
        <f>COUNTIFS(Table612[Prodi],"S1 Sistem Informasi",Table612[I2.3],K$87)/$I$86</f>
        <v>0.25</v>
      </c>
      <c r="L126" s="66">
        <f>COUNTIFS(Table612[Prodi],"S1 Sistem Informasi",Table612[I2.3],L$87)/$I$86</f>
        <v>0.125</v>
      </c>
      <c r="M126" s="62">
        <f t="shared" si="4"/>
        <v>1</v>
      </c>
      <c r="N126"/>
      <c r="O126" s="57" t="s">
        <v>655</v>
      </c>
      <c r="P126" s="66">
        <f>COUNTIFS(Table612[Prodi],"S1 Teknik Komputer",Table612[I2.3],P$87)/$P$86</f>
        <v>1</v>
      </c>
      <c r="Q126" s="66">
        <f>COUNTIFS(Table612[Prodi],"S1 Teknik Komputer",Table612[I2.3],Q$87)/$P$86</f>
        <v>0</v>
      </c>
      <c r="R126" s="66">
        <f>COUNTIFS(Table612[Prodi],"S1 Teknik Komputer",Table612[I2.3],R$87)/$P$86</f>
        <v>0</v>
      </c>
      <c r="S126" s="66">
        <f>COUNTIFS(Table612[Prodi],"S1 Teknik Komputer",Table612[I2.3],S$87)/$P$86</f>
        <v>0</v>
      </c>
      <c r="T126" s="62">
        <f t="shared" si="5"/>
        <v>1</v>
      </c>
      <c r="U126"/>
      <c r="V126" s="57" t="s">
        <v>655</v>
      </c>
      <c r="W126" s="66">
        <f>COUNTIFS(Table612[Prodi],"D3 Sistem Informasi",Table612[I2.3],W$87)/$W$86</f>
        <v>0.66666666666666663</v>
      </c>
      <c r="X126" s="66">
        <f>COUNTIFS(Table612[Prodi],"D3 Sistem Informasi",Table612[I2.3],X$87)/$W$86</f>
        <v>0.1111111111111111</v>
      </c>
      <c r="Y126" s="66">
        <f>COUNTIFS(Table612[Prodi],"D3 Sistem Informasi",Table612[I2.3],Y$87)/$W$86</f>
        <v>0.22222222222222221</v>
      </c>
      <c r="Z126" s="66">
        <f>COUNTIFS(Table612[Prodi],"D3 Sistem Informasi",Table612[I2.3],Z$87)/$W$86</f>
        <v>0</v>
      </c>
      <c r="AA126" s="62">
        <f t="shared" si="6"/>
        <v>0.99999999999999989</v>
      </c>
      <c r="AB126"/>
      <c r="AC126"/>
      <c r="AD126"/>
      <c r="AE126"/>
      <c r="AF126"/>
      <c r="AG126"/>
      <c r="AH126"/>
      <c r="AI126"/>
      <c r="AJ126"/>
      <c r="AK126"/>
      <c r="AL126"/>
      <c r="AM126"/>
      <c r="AN126"/>
      <c r="AO126"/>
      <c r="AP126"/>
      <c r="AQ126"/>
      <c r="AR126"/>
    </row>
    <row r="127" spans="1:44" s="118" customFormat="1" ht="16.5" x14ac:dyDescent="0.3">
      <c r="A127" s="57" t="s">
        <v>656</v>
      </c>
      <c r="B127" s="66">
        <f>COUNTIF(Table612[I2.4],B$87)/$B$86</f>
        <v>0.40909090909090912</v>
      </c>
      <c r="C127" s="66">
        <f>COUNTIF(Table612[I2.4],C$87)/$B$86</f>
        <v>0.5</v>
      </c>
      <c r="D127" s="66">
        <f>COUNTIF(Table612[I2.4],D$87)/$B$86</f>
        <v>4.5454545454545456E-2</v>
      </c>
      <c r="E127" s="66">
        <f>COUNTIF(Table612[I2.4],E$87)/$B$86</f>
        <v>4.5454545454545456E-2</v>
      </c>
      <c r="F127" s="62">
        <f t="shared" si="0"/>
        <v>1</v>
      </c>
      <c r="H127" s="57" t="s">
        <v>656</v>
      </c>
      <c r="I127" s="66">
        <f>COUNTIFS(Table612[Prodi],"S1 Sistem Informasi",Table612[I2.4],I$87)/$I$86</f>
        <v>0.25</v>
      </c>
      <c r="J127" s="66">
        <f>COUNTIFS(Table612[Prodi],"S1 Sistem Informasi",Table612[I2.4],J$87)/$I$86</f>
        <v>0.5</v>
      </c>
      <c r="K127" s="66">
        <f>COUNTIFS(Table612[Prodi],"S1 Sistem Informasi",Table612[I2.4],K$87)/$I$86</f>
        <v>0.125</v>
      </c>
      <c r="L127" s="66">
        <f>COUNTIFS(Table612[Prodi],"S1 Sistem Informasi",Table612[I2.4],L$87)/$I$86</f>
        <v>0.125</v>
      </c>
      <c r="M127" s="62">
        <f t="shared" si="4"/>
        <v>1</v>
      </c>
      <c r="N127"/>
      <c r="O127" s="57" t="s">
        <v>656</v>
      </c>
      <c r="P127" s="66">
        <f>COUNTIFS(Table612[Prodi],"S1 Teknik Komputer",Table612[I2.4],P$87)/$P$86</f>
        <v>0.4</v>
      </c>
      <c r="Q127" s="66">
        <f>COUNTIFS(Table612[Prodi],"S1 Teknik Komputer",Table612[I2.4],Q$87)/$P$86</f>
        <v>0.6</v>
      </c>
      <c r="R127" s="66">
        <f>COUNTIFS(Table612[Prodi],"S1 Teknik Komputer",Table612[I2.4],R$87)/$P$86</f>
        <v>0</v>
      </c>
      <c r="S127" s="66">
        <f>COUNTIFS(Table612[Prodi],"S1 Teknik Komputer",Table612[I2.4],S$87)/$P$86</f>
        <v>0</v>
      </c>
      <c r="T127" s="62">
        <f t="shared" si="5"/>
        <v>1</v>
      </c>
      <c r="U127"/>
      <c r="V127" s="57" t="s">
        <v>656</v>
      </c>
      <c r="W127" s="66">
        <f>COUNTIFS(Table612[Prodi],"D3 Sistem Informasi",Table612[I2.4],W$87)/$W$86</f>
        <v>0.55555555555555558</v>
      </c>
      <c r="X127" s="66">
        <f>COUNTIFS(Table612[Prodi],"D3 Sistem Informasi",Table612[I2.4],X$87)/$W$86</f>
        <v>0.44444444444444442</v>
      </c>
      <c r="Y127" s="66">
        <f>COUNTIFS(Table612[Prodi],"D3 Sistem Informasi",Table612[I2.4],Y$87)/$W$86</f>
        <v>0</v>
      </c>
      <c r="Z127" s="66">
        <f>COUNTIFS(Table612[Prodi],"D3 Sistem Informasi",Table612[I2.4],Z$87)/$W$86</f>
        <v>0</v>
      </c>
      <c r="AA127" s="62">
        <f t="shared" si="6"/>
        <v>1</v>
      </c>
      <c r="AB127"/>
      <c r="AC127"/>
      <c r="AD127"/>
      <c r="AE127"/>
      <c r="AF127"/>
      <c r="AG127"/>
      <c r="AH127"/>
      <c r="AI127"/>
      <c r="AJ127"/>
      <c r="AK127"/>
      <c r="AL127"/>
      <c r="AM127"/>
      <c r="AN127"/>
      <c r="AO127"/>
      <c r="AP127"/>
      <c r="AQ127"/>
      <c r="AR127"/>
    </row>
    <row r="128" spans="1:44" s="118" customFormat="1" ht="17.25" thickBot="1" x14ac:dyDescent="0.35">
      <c r="A128" s="67"/>
      <c r="B128" s="61">
        <f>AVERAGE(B124:B127)</f>
        <v>0.55681818181818177</v>
      </c>
      <c r="C128" s="61">
        <f>AVERAGE(C124:C127)</f>
        <v>0.31818181818181818</v>
      </c>
      <c r="D128" s="61">
        <f>AVERAGE(D124:D127)</f>
        <v>7.9545454545454544E-2</v>
      </c>
      <c r="E128" s="61">
        <f>AVERAGE(E124:E127)</f>
        <v>4.5454545454545456E-2</v>
      </c>
      <c r="F128" s="62">
        <f t="shared" si="0"/>
        <v>1</v>
      </c>
      <c r="H128" s="67"/>
      <c r="I128" s="61">
        <f>AVERAGE(I124:I127)</f>
        <v>0.34375</v>
      </c>
      <c r="J128" s="61">
        <f>AVERAGE(J124:J127)</f>
        <v>0.375</v>
      </c>
      <c r="K128" s="61">
        <f>AVERAGE(K124:K127)</f>
        <v>0.15625</v>
      </c>
      <c r="L128" s="61">
        <f>AVERAGE(L124:L127)</f>
        <v>0.125</v>
      </c>
      <c r="M128" s="62">
        <f t="shared" si="4"/>
        <v>1</v>
      </c>
      <c r="N128"/>
      <c r="O128" s="67"/>
      <c r="P128" s="61">
        <f>AVERAGE(P124:P127)</f>
        <v>0.75</v>
      </c>
      <c r="Q128" s="61">
        <f>AVERAGE(Q124:Q127)</f>
        <v>0.25</v>
      </c>
      <c r="R128" s="61">
        <f>AVERAGE(R124:R127)</f>
        <v>0</v>
      </c>
      <c r="S128" s="61">
        <f>AVERAGE(S124:S127)</f>
        <v>0</v>
      </c>
      <c r="T128" s="62">
        <f t="shared" si="5"/>
        <v>1</v>
      </c>
      <c r="U128"/>
      <c r="V128" s="67"/>
      <c r="W128" s="61">
        <f>AVERAGE(W124:W127)</f>
        <v>0.63888888888888884</v>
      </c>
      <c r="X128" s="61">
        <f>AVERAGE(X124:X127)</f>
        <v>0.30555555555555552</v>
      </c>
      <c r="Y128" s="61">
        <f>AVERAGE(Y124:Y127)</f>
        <v>5.5555555555555552E-2</v>
      </c>
      <c r="Z128" s="61">
        <f>AVERAGE(Z124:Z127)</f>
        <v>0</v>
      </c>
      <c r="AA128" s="62">
        <f t="shared" si="6"/>
        <v>1</v>
      </c>
      <c r="AB128"/>
      <c r="AC128"/>
      <c r="AD128"/>
      <c r="AE128"/>
      <c r="AF128"/>
      <c r="AG128"/>
      <c r="AH128"/>
      <c r="AI128"/>
      <c r="AJ128"/>
      <c r="AK128"/>
      <c r="AL128"/>
      <c r="AM128"/>
      <c r="AN128"/>
      <c r="AO128"/>
      <c r="AP128"/>
      <c r="AQ128"/>
      <c r="AR128"/>
    </row>
    <row r="129" spans="1:44" ht="15.75" thickBot="1" x14ac:dyDescent="0.3"/>
    <row r="130" spans="1:44" s="118" customFormat="1" ht="17.25" thickBot="1" x14ac:dyDescent="0.3">
      <c r="A130" s="64" t="s">
        <v>14</v>
      </c>
      <c r="B130" s="65" t="s">
        <v>1161</v>
      </c>
      <c r="C130"/>
      <c r="H130" s="64" t="s">
        <v>14</v>
      </c>
      <c r="I130" s="65" t="s">
        <v>142</v>
      </c>
      <c r="J130"/>
      <c r="O130" s="64" t="s">
        <v>14</v>
      </c>
      <c r="P130" s="65" t="s">
        <v>1195</v>
      </c>
      <c r="Q130"/>
      <c r="U130"/>
      <c r="V130" s="64" t="s">
        <v>14</v>
      </c>
      <c r="W130" s="65" t="s">
        <v>127</v>
      </c>
      <c r="X130"/>
      <c r="AB130"/>
      <c r="AC130"/>
      <c r="AD130"/>
      <c r="AE130"/>
      <c r="AF130"/>
      <c r="AG130"/>
      <c r="AH130"/>
      <c r="AI130"/>
      <c r="AJ130"/>
      <c r="AK130"/>
      <c r="AL130"/>
      <c r="AM130"/>
      <c r="AN130"/>
      <c r="AO130"/>
      <c r="AP130"/>
      <c r="AQ130"/>
      <c r="AR130"/>
    </row>
    <row r="131" spans="1:44" s="118" customFormat="1" ht="17.25" thickBot="1" x14ac:dyDescent="0.3">
      <c r="A131" s="64" t="s">
        <v>647</v>
      </c>
      <c r="B131" s="65">
        <v>2022</v>
      </c>
      <c r="C131"/>
      <c r="H131" s="64" t="s">
        <v>647</v>
      </c>
      <c r="I131" s="65">
        <v>2022</v>
      </c>
      <c r="J131"/>
      <c r="O131" s="64" t="s">
        <v>647</v>
      </c>
      <c r="P131" s="65">
        <v>2022</v>
      </c>
      <c r="Q131"/>
      <c r="U131"/>
      <c r="V131" s="64" t="s">
        <v>647</v>
      </c>
      <c r="W131" s="65">
        <v>2022</v>
      </c>
      <c r="X131"/>
      <c r="AB131"/>
      <c r="AC131"/>
      <c r="AD131"/>
      <c r="AE131"/>
      <c r="AF131"/>
      <c r="AG131"/>
      <c r="AH131"/>
      <c r="AI131"/>
      <c r="AJ131"/>
      <c r="AK131"/>
      <c r="AL131"/>
      <c r="AM131"/>
      <c r="AN131"/>
      <c r="AO131"/>
      <c r="AP131"/>
      <c r="AQ131"/>
      <c r="AR131"/>
    </row>
    <row r="132" spans="1:44" s="118" customFormat="1" ht="17.25" thickBot="1" x14ac:dyDescent="0.3">
      <c r="A132" s="64" t="s">
        <v>646</v>
      </c>
      <c r="B132" s="65">
        <f>COUNTIF(Table913[Prodi],"S1 Desain Komunikasi Visual") + COUNTIF(Table913[Prodi],"S1 Desain Produk") + COUNTIF(Table913[Prodi],"D4 Produksi Film dan Televisi")</f>
        <v>35</v>
      </c>
      <c r="C132"/>
      <c r="H132" s="64" t="s">
        <v>646</v>
      </c>
      <c r="I132" s="65">
        <f>COUNTIF(Table913[Prodi],"S1 Desain Komunikasi Visual")</f>
        <v>31</v>
      </c>
      <c r="J132"/>
      <c r="O132" s="64" t="s">
        <v>646</v>
      </c>
      <c r="P132" s="65">
        <f>COUNTIF(Table913[Prodi],P130)</f>
        <v>3</v>
      </c>
      <c r="Q132"/>
      <c r="U132"/>
      <c r="V132" s="64" t="s">
        <v>646</v>
      </c>
      <c r="W132" s="65">
        <f>COUNTIF(Table913[Prodi],W130)</f>
        <v>1</v>
      </c>
      <c r="X132"/>
      <c r="AB132"/>
      <c r="AC132"/>
      <c r="AD132"/>
      <c r="AE132"/>
      <c r="AF132"/>
      <c r="AG132"/>
      <c r="AH132"/>
      <c r="AI132"/>
      <c r="AJ132"/>
      <c r="AK132"/>
      <c r="AL132"/>
      <c r="AM132"/>
      <c r="AN132"/>
      <c r="AO132"/>
      <c r="AP132"/>
      <c r="AQ132"/>
      <c r="AR132"/>
    </row>
    <row r="133" spans="1:44" s="118" customFormat="1" ht="16.5" x14ac:dyDescent="0.3">
      <c r="A133" s="166"/>
      <c r="B133" s="56" t="s">
        <v>1205</v>
      </c>
      <c r="C133" s="56" t="s">
        <v>1206</v>
      </c>
      <c r="D133" s="56" t="s">
        <v>1229</v>
      </c>
      <c r="E133" s="56" t="s">
        <v>1436</v>
      </c>
      <c r="F133" s="167"/>
      <c r="H133" s="166"/>
      <c r="I133" s="56" t="s">
        <v>1205</v>
      </c>
      <c r="J133" s="56" t="s">
        <v>1206</v>
      </c>
      <c r="K133" s="56" t="s">
        <v>1229</v>
      </c>
      <c r="L133" s="56" t="s">
        <v>1436</v>
      </c>
      <c r="M133" s="167"/>
      <c r="O133" s="166"/>
      <c r="P133" s="56" t="s">
        <v>1205</v>
      </c>
      <c r="Q133" s="56" t="s">
        <v>1206</v>
      </c>
      <c r="R133" s="56" t="s">
        <v>1229</v>
      </c>
      <c r="S133" s="56" t="s">
        <v>1436</v>
      </c>
      <c r="T133" s="167"/>
      <c r="U133"/>
      <c r="V133" s="166"/>
      <c r="W133" s="56" t="s">
        <v>1205</v>
      </c>
      <c r="X133" s="56" t="s">
        <v>1206</v>
      </c>
      <c r="Y133" s="56" t="s">
        <v>1229</v>
      </c>
      <c r="Z133" s="56" t="s">
        <v>1436</v>
      </c>
      <c r="AA133" s="167"/>
      <c r="AB133"/>
      <c r="AC133"/>
      <c r="AD133"/>
      <c r="AE133"/>
      <c r="AF133"/>
      <c r="AG133"/>
      <c r="AH133"/>
      <c r="AI133"/>
      <c r="AJ133"/>
      <c r="AK133"/>
      <c r="AL133"/>
      <c r="AM133"/>
      <c r="AN133"/>
      <c r="AO133"/>
      <c r="AP133"/>
      <c r="AQ133"/>
      <c r="AR133"/>
    </row>
    <row r="134" spans="1:44" s="118" customFormat="1" ht="16.5" x14ac:dyDescent="0.3">
      <c r="A134" s="168" t="s">
        <v>26</v>
      </c>
      <c r="B134" s="169">
        <f>COUNTIF(Table913[B1],B$133)/$B$132</f>
        <v>0.62857142857142856</v>
      </c>
      <c r="C134" s="169">
        <f>COUNTIF(Table913[B1],C$133)/$B$132</f>
        <v>0.37142857142857144</v>
      </c>
      <c r="D134" s="169">
        <f>COUNTIF(Table913[B1],D$133)/$B$132</f>
        <v>0</v>
      </c>
      <c r="E134" s="169">
        <f>COUNTIF(Table913[B1],E$133)/$B$132</f>
        <v>0</v>
      </c>
      <c r="F134" s="62">
        <f>SUM(B134:E134)</f>
        <v>1</v>
      </c>
      <c r="H134" s="168" t="s">
        <v>26</v>
      </c>
      <c r="I134" s="169">
        <f>COUNTIFS(Table913[Prodi],"S1 Desain Komunikasi Visual",Table913[B1],I$133)/$I$132</f>
        <v>0.58064516129032262</v>
      </c>
      <c r="J134" s="169">
        <f>COUNTIFS(Table913[Prodi],"S1 Desain Komunikasi Visual",Table913[B1],J$133)/$I$132</f>
        <v>0.41935483870967744</v>
      </c>
      <c r="K134" s="169">
        <f>COUNTIFS(Table913[Prodi],"S1 Desain Komunikasi Visual",Table913[B1],K$133)/$I$132</f>
        <v>0</v>
      </c>
      <c r="L134" s="169">
        <f>COUNTIFS(Table913[Prodi],"S1 Desain Komunikasi Visual",Table913[B1],L$133)/$I$132</f>
        <v>0</v>
      </c>
      <c r="M134" s="62">
        <f>SUM(I134:L134)</f>
        <v>1</v>
      </c>
      <c r="O134" s="168" t="s">
        <v>26</v>
      </c>
      <c r="P134" s="169">
        <f>COUNTIFS(Table913[Prodi],$P$130,Table913[B1],P$133)/$P$132</f>
        <v>1</v>
      </c>
      <c r="Q134" s="169">
        <f>COUNTIFS(Table913[Prodi],$P$130,Table913[B1],Q$133)/$P$132</f>
        <v>0</v>
      </c>
      <c r="R134" s="169">
        <f>COUNTIFS(Table913[Prodi],$P$130,Table913[B1],R$133)/$P$132</f>
        <v>0</v>
      </c>
      <c r="S134" s="169">
        <f>COUNTIFS(Table913[Prodi],$P$130,Table913[B1],S$133)/$P$132</f>
        <v>0</v>
      </c>
      <c r="T134" s="62">
        <f>SUM(P134:S134)</f>
        <v>1</v>
      </c>
      <c r="U134"/>
      <c r="V134" s="168" t="s">
        <v>26</v>
      </c>
      <c r="W134" s="169">
        <f>COUNTIFS(Table913[Prodi],$W$130,Table913[B1],W$133)/$W$132</f>
        <v>1</v>
      </c>
      <c r="X134" s="169">
        <f>COUNTIFS(Table913[Prodi],$W$130,Table913[B1],X$133)/$W$132</f>
        <v>0</v>
      </c>
      <c r="Y134" s="169">
        <f>COUNTIFS(Table913[Prodi],$W$130,Table913[B1],Y$133)/$W$132</f>
        <v>0</v>
      </c>
      <c r="Z134" s="169">
        <f>COUNTIFS(Table913[Prodi],$W$130,Table913[B1],Z$133)/$W$132</f>
        <v>0</v>
      </c>
      <c r="AA134" s="62">
        <f>SUM(W134:Z134)</f>
        <v>1</v>
      </c>
      <c r="AB134"/>
      <c r="AC134"/>
      <c r="AD134"/>
      <c r="AE134"/>
      <c r="AF134"/>
      <c r="AG134"/>
      <c r="AH134"/>
      <c r="AI134"/>
      <c r="AJ134"/>
      <c r="AK134"/>
      <c r="AL134"/>
      <c r="AM134"/>
      <c r="AN134"/>
      <c r="AO134"/>
      <c r="AP134"/>
      <c r="AQ134"/>
      <c r="AR134"/>
    </row>
    <row r="135" spans="1:44" s="118" customFormat="1" ht="16.5" x14ac:dyDescent="0.3">
      <c r="A135" s="168" t="s">
        <v>27</v>
      </c>
      <c r="B135" s="169">
        <f>COUNTIF(Table913[B2],B$133)/$B$132</f>
        <v>0.48571428571428571</v>
      </c>
      <c r="C135" s="169">
        <f>COUNTIF(Table913[B2],C$133)/$B$132</f>
        <v>0.51428571428571423</v>
      </c>
      <c r="D135" s="169">
        <f>COUNTIF(Table913[B2],D$133)/$B$132</f>
        <v>0</v>
      </c>
      <c r="E135" s="169">
        <f>COUNTIF(Table913[B2],E$133)/$B$132</f>
        <v>0</v>
      </c>
      <c r="F135" s="62">
        <f t="shared" ref="F135:F173" si="7">SUM(B135:E135)</f>
        <v>1</v>
      </c>
      <c r="H135" s="168" t="s">
        <v>27</v>
      </c>
      <c r="I135" s="169">
        <f>COUNTIFS(Table913[Prodi],"S1 Desain Komunikasi Visual",Table913[B2],I$133)/$I$132</f>
        <v>0.4838709677419355</v>
      </c>
      <c r="J135" s="169">
        <f>COUNTIFS(Table913[Prodi],"S1 Desain Komunikasi Visual",Table913[B2],J$133)/$I$132</f>
        <v>0.5161290322580645</v>
      </c>
      <c r="K135" s="169">
        <f>COUNTIFS(Table913[Prodi],"S1 Desain Komunikasi Visual",Table913[B2],K$133)/$I$132</f>
        <v>0</v>
      </c>
      <c r="L135" s="169">
        <f>COUNTIFS(Table913[Prodi],"S1 Desain Komunikasi Visual",Table913[B2],L$133)/$I$132</f>
        <v>0</v>
      </c>
      <c r="M135" s="62">
        <f t="shared" ref="M135:M152" si="8">SUM(I135:L135)</f>
        <v>1</v>
      </c>
      <c r="O135" s="168" t="s">
        <v>27</v>
      </c>
      <c r="P135" s="169">
        <f>COUNTIFS(Table913[Prodi],$P$130,Table913[B2],P$133)/$P$132</f>
        <v>0.66666666666666663</v>
      </c>
      <c r="Q135" s="169">
        <f>COUNTIFS(Table913[Prodi],$P$130,Table913[B2],Q$133)/$P$132</f>
        <v>0.33333333333333331</v>
      </c>
      <c r="R135" s="169">
        <f>COUNTIFS(Table913[Prodi],$P$130,Table913[B2],R$133)/$P$132</f>
        <v>0</v>
      </c>
      <c r="S135" s="169">
        <f>COUNTIFS(Table913[Prodi],$P$130,Table913[B2],S$133)/$P$132</f>
        <v>0</v>
      </c>
      <c r="T135" s="62">
        <f t="shared" ref="T135:T152" si="9">SUM(P135:S135)</f>
        <v>1</v>
      </c>
      <c r="U135"/>
      <c r="V135" s="168" t="s">
        <v>27</v>
      </c>
      <c r="W135" s="169">
        <f>COUNTIFS(Table913[Prodi],$W$130,Table913[B2],W$133)/$W$132</f>
        <v>0</v>
      </c>
      <c r="X135" s="169">
        <f>COUNTIFS(Table913[Prodi],$W$130,Table913[B2],X$133)/$W$132</f>
        <v>1</v>
      </c>
      <c r="Y135" s="169">
        <f>COUNTIFS(Table913[Prodi],$W$130,Table913[B2],Y$133)/$W$132</f>
        <v>0</v>
      </c>
      <c r="Z135" s="169">
        <f>COUNTIFS(Table913[Prodi],$W$130,Table913[B2],Z$133)/$W$132</f>
        <v>0</v>
      </c>
      <c r="AA135" s="62">
        <f t="shared" ref="AA135:AA152" si="10">SUM(W135:Z135)</f>
        <v>1</v>
      </c>
      <c r="AB135"/>
      <c r="AC135"/>
      <c r="AD135"/>
      <c r="AE135"/>
      <c r="AF135"/>
      <c r="AG135"/>
      <c r="AH135"/>
      <c r="AI135"/>
      <c r="AJ135"/>
      <c r="AK135"/>
      <c r="AL135"/>
      <c r="AM135"/>
      <c r="AN135"/>
      <c r="AO135"/>
      <c r="AP135"/>
      <c r="AQ135"/>
      <c r="AR135"/>
    </row>
    <row r="136" spans="1:44" s="118" customFormat="1" ht="16.5" x14ac:dyDescent="0.3">
      <c r="A136" s="168" t="s">
        <v>28</v>
      </c>
      <c r="B136" s="169">
        <f>COUNTIF(Table913[B3],B$133)/$B$132</f>
        <v>0.54285714285714282</v>
      </c>
      <c r="C136" s="169">
        <f>COUNTIF(Table913[B3],C$133)/$B$132</f>
        <v>0.42857142857142855</v>
      </c>
      <c r="D136" s="169">
        <f>COUNTIF(Table913[B3],D$133)/$B$132</f>
        <v>2.8571428571428571E-2</v>
      </c>
      <c r="E136" s="169">
        <f>COUNTIF(Table913[B3],E$133)/$B$132</f>
        <v>0</v>
      </c>
      <c r="F136" s="62">
        <f t="shared" si="7"/>
        <v>0.99999999999999989</v>
      </c>
      <c r="H136" s="168" t="s">
        <v>28</v>
      </c>
      <c r="I136" s="169">
        <f>COUNTIFS(Table913[Prodi],"S1 Desain Komunikasi Visual",Table913[B3],I$133)/$I$132</f>
        <v>0.54838709677419351</v>
      </c>
      <c r="J136" s="169">
        <f>COUNTIFS(Table913[Prodi],"S1 Desain Komunikasi Visual",Table913[B3],J$133)/$I$132</f>
        <v>0.41935483870967744</v>
      </c>
      <c r="K136" s="169">
        <f>COUNTIFS(Table913[Prodi],"S1 Desain Komunikasi Visual",Table913[B3],K$133)/$I$132</f>
        <v>3.2258064516129031E-2</v>
      </c>
      <c r="L136" s="169">
        <f>COUNTIFS(Table913[Prodi],"S1 Desain Komunikasi Visual",Table913[B3],L$133)/$I$132</f>
        <v>0</v>
      </c>
      <c r="M136" s="62">
        <f t="shared" si="8"/>
        <v>1</v>
      </c>
      <c r="O136" s="168" t="s">
        <v>28</v>
      </c>
      <c r="P136" s="169">
        <f>COUNTIFS(Table913[Prodi],$P$130,Table913[B3],P$133)/$P$132</f>
        <v>0.66666666666666663</v>
      </c>
      <c r="Q136" s="169">
        <f>COUNTIFS(Table913[Prodi],$P$130,Table913[B3],Q$133)/$P$132</f>
        <v>0.33333333333333331</v>
      </c>
      <c r="R136" s="169">
        <f>COUNTIFS(Table913[Prodi],$P$130,Table913[B3],R$133)/$P$132</f>
        <v>0</v>
      </c>
      <c r="S136" s="169">
        <f>COUNTIFS(Table913[Prodi],$P$130,Table913[B3],S$133)/$P$132</f>
        <v>0</v>
      </c>
      <c r="T136" s="62">
        <f t="shared" si="9"/>
        <v>1</v>
      </c>
      <c r="U136"/>
      <c r="V136" s="168" t="s">
        <v>28</v>
      </c>
      <c r="W136" s="169">
        <f>COUNTIFS(Table913[Prodi],$W$130,Table913[B3],W$133)/$W$132</f>
        <v>0</v>
      </c>
      <c r="X136" s="169">
        <f>COUNTIFS(Table913[Prodi],$W$130,Table913[B3],X$133)/$W$132</f>
        <v>1</v>
      </c>
      <c r="Y136" s="169">
        <f>COUNTIFS(Table913[Prodi],$W$130,Table913[B3],Y$133)/$W$132</f>
        <v>0</v>
      </c>
      <c r="Z136" s="169">
        <f>COUNTIFS(Table913[Prodi],$W$130,Table913[B3],Z$133)/$W$132</f>
        <v>0</v>
      </c>
      <c r="AA136" s="62">
        <f t="shared" si="10"/>
        <v>1</v>
      </c>
      <c r="AB136"/>
      <c r="AC136"/>
      <c r="AD136"/>
      <c r="AE136"/>
      <c r="AF136"/>
      <c r="AG136"/>
      <c r="AH136"/>
      <c r="AI136"/>
      <c r="AJ136"/>
      <c r="AK136"/>
      <c r="AL136"/>
      <c r="AM136"/>
      <c r="AN136"/>
      <c r="AO136"/>
      <c r="AP136"/>
      <c r="AQ136"/>
      <c r="AR136"/>
    </row>
    <row r="137" spans="1:44" s="118" customFormat="1" ht="16.5" x14ac:dyDescent="0.3">
      <c r="A137" s="168" t="s">
        <v>29</v>
      </c>
      <c r="B137" s="169">
        <f>COUNTIF(Table913[B4],B$133)/$B$132</f>
        <v>0.45714285714285713</v>
      </c>
      <c r="C137" s="169">
        <f>COUNTIF(Table913[B4],C$133)/$B$132</f>
        <v>0.48571428571428571</v>
      </c>
      <c r="D137" s="169">
        <f>COUNTIF(Table913[B4],D$133)/$B$132</f>
        <v>5.7142857142857141E-2</v>
      </c>
      <c r="E137" s="169">
        <f>COUNTIF(Table913[B4],E$133)/$B$132</f>
        <v>0</v>
      </c>
      <c r="F137" s="62">
        <f t="shared" si="7"/>
        <v>1</v>
      </c>
      <c r="H137" s="168" t="s">
        <v>29</v>
      </c>
      <c r="I137" s="169">
        <f>COUNTIFS(Table913[Prodi],"S1 Desain Komunikasi Visual",Table913[B4],I$133)/$I$132</f>
        <v>0.5161290322580645</v>
      </c>
      <c r="J137" s="169">
        <f>COUNTIFS(Table913[Prodi],"S1 Desain Komunikasi Visual",Table913[B4],J$133)/$I$132</f>
        <v>0.41935483870967744</v>
      </c>
      <c r="K137" s="169">
        <f>COUNTIFS(Table913[Prodi],"S1 Desain Komunikasi Visual",Table913[B4],K$133)/$I$132</f>
        <v>6.4516129032258063E-2</v>
      </c>
      <c r="L137" s="169">
        <f>COUNTIFS(Table913[Prodi],"S1 Desain Komunikasi Visual",Table913[B4],L$133)/$I$132</f>
        <v>0</v>
      </c>
      <c r="M137" s="62">
        <f t="shared" si="8"/>
        <v>1</v>
      </c>
      <c r="O137" s="168" t="s">
        <v>29</v>
      </c>
      <c r="P137" s="169">
        <f>COUNTIFS(Table913[Prodi],$P$130,Table913[B4],P$133)/$P$132</f>
        <v>0</v>
      </c>
      <c r="Q137" s="169">
        <f>COUNTIFS(Table913[Prodi],$P$130,Table913[B4],Q$133)/$P$132</f>
        <v>1</v>
      </c>
      <c r="R137" s="169">
        <f>COUNTIFS(Table913[Prodi],$P$130,Table913[B4],R$133)/$P$132</f>
        <v>0</v>
      </c>
      <c r="S137" s="169">
        <f>COUNTIFS(Table913[Prodi],$P$130,Table913[B4],S$133)/$P$132</f>
        <v>0</v>
      </c>
      <c r="T137" s="62">
        <f t="shared" si="9"/>
        <v>1</v>
      </c>
      <c r="U137"/>
      <c r="V137" s="168" t="s">
        <v>29</v>
      </c>
      <c r="W137" s="169">
        <f>COUNTIFS(Table913[Prodi],$W$130,Table913[B4],W$133)/$W$132</f>
        <v>0</v>
      </c>
      <c r="X137" s="169">
        <f>COUNTIFS(Table913[Prodi],$W$130,Table913[B4],X$133)/$W$132</f>
        <v>1</v>
      </c>
      <c r="Y137" s="169">
        <f>COUNTIFS(Table913[Prodi],$W$130,Table913[B4],Y$133)/$W$132</f>
        <v>0</v>
      </c>
      <c r="Z137" s="169">
        <f>COUNTIFS(Table913[Prodi],$W$130,Table913[B4],Z$133)/$W$132</f>
        <v>0</v>
      </c>
      <c r="AA137" s="62">
        <f t="shared" si="10"/>
        <v>1</v>
      </c>
      <c r="AB137"/>
      <c r="AC137"/>
      <c r="AD137"/>
      <c r="AE137"/>
      <c r="AF137"/>
      <c r="AG137"/>
      <c r="AH137"/>
      <c r="AI137"/>
      <c r="AJ137"/>
      <c r="AK137"/>
      <c r="AL137"/>
      <c r="AM137"/>
      <c r="AN137"/>
      <c r="AO137"/>
      <c r="AP137"/>
      <c r="AQ137"/>
      <c r="AR137"/>
    </row>
    <row r="138" spans="1:44" s="118" customFormat="1" ht="16.5" x14ac:dyDescent="0.3">
      <c r="A138" s="168" t="s">
        <v>30</v>
      </c>
      <c r="B138" s="169">
        <f>COUNTIF(Table913[B5],B$133)/$B$132</f>
        <v>0.45714285714285713</v>
      </c>
      <c r="C138" s="169">
        <f>COUNTIF(Table913[B5],C$133)/$B$132</f>
        <v>0.54285714285714282</v>
      </c>
      <c r="D138" s="169">
        <f>COUNTIF(Table913[B5],D$133)/$B$132</f>
        <v>0</v>
      </c>
      <c r="E138" s="169">
        <f>COUNTIF(Table913[B5],E$133)/$B$132</f>
        <v>0</v>
      </c>
      <c r="F138" s="62">
        <f t="shared" si="7"/>
        <v>1</v>
      </c>
      <c r="H138" s="168" t="s">
        <v>30</v>
      </c>
      <c r="I138" s="169">
        <f>COUNTIFS(Table913[Prodi],"S1 Desain Komunikasi Visual",Table913[B5],I$133)/$I$132</f>
        <v>0.38709677419354838</v>
      </c>
      <c r="J138" s="169">
        <f>COUNTIFS(Table913[Prodi],"S1 Desain Komunikasi Visual",Table913[B5],J$133)/$I$132</f>
        <v>0.61290322580645162</v>
      </c>
      <c r="K138" s="169">
        <f>COUNTIFS(Table913[Prodi],"S1 Desain Komunikasi Visual",Table913[B5],K$133)/$I$132</f>
        <v>0</v>
      </c>
      <c r="L138" s="169">
        <f>COUNTIFS(Table913[Prodi],"S1 Desain Komunikasi Visual",Table913[B5],L$133)/$I$132</f>
        <v>0</v>
      </c>
      <c r="M138" s="62">
        <f t="shared" si="8"/>
        <v>1</v>
      </c>
      <c r="O138" s="168" t="s">
        <v>30</v>
      </c>
      <c r="P138" s="169">
        <f>COUNTIFS(Table913[Prodi],$P$130,Table913[B5],P$133)/$P$132</f>
        <v>1</v>
      </c>
      <c r="Q138" s="169">
        <f>COUNTIFS(Table913[Prodi],$P$130,Table913[B5],Q$133)/$P$132</f>
        <v>0</v>
      </c>
      <c r="R138" s="169">
        <f>COUNTIFS(Table913[Prodi],$P$130,Table913[B5],R$133)/$P$132</f>
        <v>0</v>
      </c>
      <c r="S138" s="169">
        <f>COUNTIFS(Table913[Prodi],$P$130,Table913[B5],S$133)/$P$132</f>
        <v>0</v>
      </c>
      <c r="T138" s="62">
        <f t="shared" si="9"/>
        <v>1</v>
      </c>
      <c r="U138"/>
      <c r="V138" s="168" t="s">
        <v>30</v>
      </c>
      <c r="W138" s="169">
        <f>COUNTIFS(Table913[Prodi],$W$130,Table913[B5],W$133)/$W$132</f>
        <v>1</v>
      </c>
      <c r="X138" s="169">
        <f>COUNTIFS(Table913[Prodi],$W$130,Table913[B5],X$133)/$W$132</f>
        <v>0</v>
      </c>
      <c r="Y138" s="169">
        <f>COUNTIFS(Table913[Prodi],$W$130,Table913[B5],Y$133)/$W$132</f>
        <v>0</v>
      </c>
      <c r="Z138" s="169">
        <f>COUNTIFS(Table913[Prodi],$W$130,Table913[B5],Z$133)/$W$132</f>
        <v>0</v>
      </c>
      <c r="AA138" s="62">
        <f t="shared" si="10"/>
        <v>1</v>
      </c>
      <c r="AB138"/>
      <c r="AC138"/>
      <c r="AD138"/>
      <c r="AE138"/>
      <c r="AF138"/>
      <c r="AG138"/>
      <c r="AH138"/>
      <c r="AI138"/>
      <c r="AJ138"/>
      <c r="AK138"/>
      <c r="AL138"/>
      <c r="AM138"/>
      <c r="AN138"/>
      <c r="AO138"/>
      <c r="AP138"/>
      <c r="AQ138"/>
      <c r="AR138"/>
    </row>
    <row r="139" spans="1:44" s="118" customFormat="1" ht="16.5" x14ac:dyDescent="0.3">
      <c r="A139" s="170"/>
      <c r="B139" s="61">
        <f>AVERAGE(B134:B138)</f>
        <v>0.51428571428571435</v>
      </c>
      <c r="C139" s="61">
        <f>AVERAGE(C134:C138)</f>
        <v>0.46857142857142858</v>
      </c>
      <c r="D139" s="61">
        <f>AVERAGE(D134:D138)</f>
        <v>1.7142857142857144E-2</v>
      </c>
      <c r="E139" s="61">
        <f>AVERAGE(E134:E138)</f>
        <v>0</v>
      </c>
      <c r="F139" s="62">
        <f t="shared" si="7"/>
        <v>1</v>
      </c>
      <c r="H139" s="170"/>
      <c r="I139" s="61">
        <f>AVERAGE(I134:I138)</f>
        <v>0.50322580645161286</v>
      </c>
      <c r="J139" s="61">
        <f>AVERAGE(J134:J138)</f>
        <v>0.47741935483870968</v>
      </c>
      <c r="K139" s="61">
        <f>AVERAGE(K134:K138)</f>
        <v>1.935483870967742E-2</v>
      </c>
      <c r="L139" s="61">
        <f>AVERAGE(L134:L138)</f>
        <v>0</v>
      </c>
      <c r="M139" s="62">
        <f t="shared" si="8"/>
        <v>1</v>
      </c>
      <c r="O139" s="170"/>
      <c r="P139" s="61">
        <f>AVERAGE(P134:P138)</f>
        <v>0.66666666666666663</v>
      </c>
      <c r="Q139" s="61">
        <f>AVERAGE(Q134:Q138)</f>
        <v>0.33333333333333331</v>
      </c>
      <c r="R139" s="61">
        <f>AVERAGE(R134:R138)</f>
        <v>0</v>
      </c>
      <c r="S139" s="61">
        <f>AVERAGE(S134:S138)</f>
        <v>0</v>
      </c>
      <c r="T139" s="62">
        <f t="shared" si="9"/>
        <v>1</v>
      </c>
      <c r="U139"/>
      <c r="V139" s="170"/>
      <c r="W139" s="61">
        <f>AVERAGE(W134:W138)</f>
        <v>0.4</v>
      </c>
      <c r="X139" s="61">
        <f>AVERAGE(X134:X138)</f>
        <v>0.6</v>
      </c>
      <c r="Y139" s="61">
        <f>AVERAGE(Y134:Y138)</f>
        <v>0</v>
      </c>
      <c r="Z139" s="61">
        <f>AVERAGE(Z134:Z138)</f>
        <v>0</v>
      </c>
      <c r="AA139" s="62">
        <f t="shared" si="10"/>
        <v>1</v>
      </c>
      <c r="AB139"/>
      <c r="AC139"/>
      <c r="AD139"/>
      <c r="AE139"/>
      <c r="AF139"/>
      <c r="AG139"/>
      <c r="AH139"/>
      <c r="AI139"/>
      <c r="AJ139"/>
      <c r="AK139"/>
      <c r="AL139"/>
      <c r="AM139"/>
      <c r="AN139"/>
      <c r="AO139"/>
      <c r="AP139"/>
      <c r="AQ139"/>
      <c r="AR139"/>
    </row>
    <row r="140" spans="1:44" s="118" customFormat="1" ht="16.5" x14ac:dyDescent="0.3">
      <c r="A140" s="168" t="s">
        <v>31</v>
      </c>
      <c r="B140" s="169">
        <f>COUNTIF(Table913[C1],B$133)/$B$132</f>
        <v>0.7142857142857143</v>
      </c>
      <c r="C140" s="169">
        <f>COUNTIF(Table913[C1],C$133)/$B$132</f>
        <v>0.2857142857142857</v>
      </c>
      <c r="D140" s="169">
        <f>COUNTIF(Table913[C1],D$133)/$B$132</f>
        <v>0</v>
      </c>
      <c r="E140" s="169">
        <f>COUNTIF(Table913[C1],E$133)/$B$132</f>
        <v>0</v>
      </c>
      <c r="F140" s="62">
        <f t="shared" si="7"/>
        <v>1</v>
      </c>
      <c r="H140" s="168" t="s">
        <v>31</v>
      </c>
      <c r="I140" s="169">
        <f>COUNTIFS(Table913[Prodi],"S1 Desain Komunikasi Visual",Table913[C1],I$133)/$I$132</f>
        <v>0.70967741935483875</v>
      </c>
      <c r="J140" s="169">
        <f>COUNTIFS(Table913[Prodi],"S1 Desain Komunikasi Visual",Table913[C1],J$133)/$I$132</f>
        <v>0.29032258064516131</v>
      </c>
      <c r="K140" s="169">
        <f>COUNTIFS(Table913[Prodi],"S1 Desain Komunikasi Visual",Table913[C1],K$133)/$I$132</f>
        <v>0</v>
      </c>
      <c r="L140" s="169">
        <f>COUNTIFS(Table913[Prodi],"S1 Desain Komunikasi Visual",Table913[C1],L$133)/$I$132</f>
        <v>0</v>
      </c>
      <c r="M140" s="62">
        <f t="shared" si="8"/>
        <v>1</v>
      </c>
      <c r="O140" s="168" t="s">
        <v>31</v>
      </c>
      <c r="P140" s="169">
        <f>COUNTIFS(Table913[Prodi],$P$130,Table913[C1],P$133)/$P$132</f>
        <v>0.66666666666666663</v>
      </c>
      <c r="Q140" s="169">
        <f>COUNTIFS(Table913[Prodi],$P$130,Table913[C1],Q$133)/$P$132</f>
        <v>0.33333333333333331</v>
      </c>
      <c r="R140" s="169">
        <f>COUNTIFS(Table913[Prodi],$P$130,Table913[C1],R$133)/$P$132</f>
        <v>0</v>
      </c>
      <c r="S140" s="169">
        <f>COUNTIFS(Table913[Prodi],$P$130,Table913[C1],S$133)/$P$132</f>
        <v>0</v>
      </c>
      <c r="T140" s="62">
        <f t="shared" si="9"/>
        <v>1</v>
      </c>
      <c r="U140"/>
      <c r="V140" s="168" t="s">
        <v>31</v>
      </c>
      <c r="W140" s="169">
        <f>COUNTIFS(Table913[Prodi],$W$130,Table913[C1],W$133)/$W$132</f>
        <v>1</v>
      </c>
      <c r="X140" s="169">
        <f>COUNTIFS(Table913[Prodi],$W$130,Table913[C1],X$133)/$W$132</f>
        <v>0</v>
      </c>
      <c r="Y140" s="169">
        <f>COUNTIFS(Table913[Prodi],$W$130,Table913[C1],Y$133)/$W$132</f>
        <v>0</v>
      </c>
      <c r="Z140" s="169">
        <f>COUNTIFS(Table913[Prodi],$W$130,Table913[C1],Z$133)/$W$132</f>
        <v>0</v>
      </c>
      <c r="AA140" s="62">
        <f t="shared" si="10"/>
        <v>1</v>
      </c>
      <c r="AB140"/>
      <c r="AC140"/>
      <c r="AD140"/>
      <c r="AE140"/>
      <c r="AF140"/>
      <c r="AG140"/>
      <c r="AH140"/>
      <c r="AI140"/>
      <c r="AJ140"/>
      <c r="AK140"/>
      <c r="AL140"/>
      <c r="AM140"/>
      <c r="AN140"/>
      <c r="AO140"/>
      <c r="AP140"/>
      <c r="AQ140"/>
      <c r="AR140"/>
    </row>
    <row r="141" spans="1:44" s="118" customFormat="1" ht="16.5" x14ac:dyDescent="0.3">
      <c r="A141" s="168" t="s">
        <v>32</v>
      </c>
      <c r="B141" s="169">
        <f>COUNTIF(Table913[C2],B$133)/$B$132</f>
        <v>0.5714285714285714</v>
      </c>
      <c r="C141" s="169">
        <f>COUNTIF(Table913[C2],C$133)/$B$132</f>
        <v>0.42857142857142855</v>
      </c>
      <c r="D141" s="169">
        <f>COUNTIF(Table913[C2],D$133)/$B$132</f>
        <v>0</v>
      </c>
      <c r="E141" s="169">
        <f>COUNTIF(Table913[C2],E$133)/$B$132</f>
        <v>0</v>
      </c>
      <c r="F141" s="62">
        <f t="shared" si="7"/>
        <v>1</v>
      </c>
      <c r="H141" s="168" t="s">
        <v>32</v>
      </c>
      <c r="I141" s="169">
        <f>COUNTIFS(Table913[Prodi],"S1 Desain Komunikasi Visual",Table913[C2],I$133)/$I$132</f>
        <v>0.58064516129032262</v>
      </c>
      <c r="J141" s="169">
        <f>COUNTIFS(Table913[Prodi],"S1 Desain Komunikasi Visual",Table913[C2],J$133)/$I$132</f>
        <v>0.41935483870967744</v>
      </c>
      <c r="K141" s="169">
        <f>COUNTIFS(Table913[Prodi],"S1 Desain Komunikasi Visual",Table913[C2],K$133)/$I$132</f>
        <v>0</v>
      </c>
      <c r="L141" s="169">
        <f>COUNTIFS(Table913[Prodi],"S1 Desain Komunikasi Visual",Table913[C2],L$133)/$I$132</f>
        <v>0</v>
      </c>
      <c r="M141" s="62">
        <f t="shared" si="8"/>
        <v>1</v>
      </c>
      <c r="O141" s="168" t="s">
        <v>32</v>
      </c>
      <c r="P141" s="169">
        <f>COUNTIFS(Table913[Prodi],$P$130,Table913[C2],P$133)/$P$132</f>
        <v>0.66666666666666663</v>
      </c>
      <c r="Q141" s="169">
        <f>COUNTIFS(Table913[Prodi],$P$130,Table913[C2],Q$133)/$P$132</f>
        <v>0.33333333333333331</v>
      </c>
      <c r="R141" s="169">
        <f>COUNTIFS(Table913[Prodi],$P$130,Table913[C2],R$133)/$P$132</f>
        <v>0</v>
      </c>
      <c r="S141" s="169">
        <f>COUNTIFS(Table913[Prodi],$P$130,Table913[C2],S$133)/$P$132</f>
        <v>0</v>
      </c>
      <c r="T141" s="62">
        <f t="shared" si="9"/>
        <v>1</v>
      </c>
      <c r="U141"/>
      <c r="V141" s="168" t="s">
        <v>32</v>
      </c>
      <c r="W141" s="169">
        <f>COUNTIFS(Table913[Prodi],$W$130,Table913[C2],W$133)/$W$132</f>
        <v>0</v>
      </c>
      <c r="X141" s="169">
        <f>COUNTIFS(Table913[Prodi],$W$130,Table913[C2],X$133)/$W$132</f>
        <v>1</v>
      </c>
      <c r="Y141" s="169">
        <f>COUNTIFS(Table913[Prodi],$W$130,Table913[C2],Y$133)/$W$132</f>
        <v>0</v>
      </c>
      <c r="Z141" s="169">
        <f>COUNTIFS(Table913[Prodi],$W$130,Table913[C2],Z$133)/$W$132</f>
        <v>0</v>
      </c>
      <c r="AA141" s="62">
        <f t="shared" si="10"/>
        <v>1</v>
      </c>
      <c r="AB141"/>
      <c r="AC141"/>
      <c r="AD141"/>
      <c r="AE141"/>
      <c r="AF141"/>
      <c r="AG141"/>
      <c r="AH141"/>
      <c r="AI141"/>
      <c r="AJ141"/>
      <c r="AK141"/>
      <c r="AL141"/>
      <c r="AM141"/>
      <c r="AN141"/>
      <c r="AO141"/>
      <c r="AP141"/>
      <c r="AQ141"/>
      <c r="AR141"/>
    </row>
    <row r="142" spans="1:44" s="118" customFormat="1" ht="16.5" x14ac:dyDescent="0.3">
      <c r="A142" s="171"/>
      <c r="B142" s="61">
        <f>AVERAGE(B140:B141)</f>
        <v>0.64285714285714279</v>
      </c>
      <c r="C142" s="61">
        <f>AVERAGE(C140:C141)</f>
        <v>0.3571428571428571</v>
      </c>
      <c r="D142" s="61">
        <f>AVERAGE(D140:D141)</f>
        <v>0</v>
      </c>
      <c r="E142" s="61">
        <f>AVERAGE(E140:E141)</f>
        <v>0</v>
      </c>
      <c r="F142" s="62">
        <f t="shared" si="7"/>
        <v>0.99999999999999989</v>
      </c>
      <c r="H142" s="171"/>
      <c r="I142" s="61">
        <f>AVERAGE(I140:I141)</f>
        <v>0.64516129032258074</v>
      </c>
      <c r="J142" s="61">
        <f>AVERAGE(J140:J141)</f>
        <v>0.35483870967741937</v>
      </c>
      <c r="K142" s="61">
        <f>AVERAGE(K140:K141)</f>
        <v>0</v>
      </c>
      <c r="L142" s="61">
        <f>AVERAGE(L140:L141)</f>
        <v>0</v>
      </c>
      <c r="M142" s="62">
        <f t="shared" si="8"/>
        <v>1</v>
      </c>
      <c r="O142" s="171"/>
      <c r="P142" s="61">
        <f>AVERAGE(P140:P141)</f>
        <v>0.66666666666666663</v>
      </c>
      <c r="Q142" s="61">
        <f>AVERAGE(Q140:Q141)</f>
        <v>0.33333333333333331</v>
      </c>
      <c r="R142" s="61">
        <f>AVERAGE(R140:R141)</f>
        <v>0</v>
      </c>
      <c r="S142" s="61">
        <f>AVERAGE(S140:S141)</f>
        <v>0</v>
      </c>
      <c r="T142" s="62">
        <f t="shared" si="9"/>
        <v>1</v>
      </c>
      <c r="U142"/>
      <c r="V142" s="171"/>
      <c r="W142" s="61">
        <f>AVERAGE(W140:W141)</f>
        <v>0.5</v>
      </c>
      <c r="X142" s="61">
        <f>AVERAGE(X140:X141)</f>
        <v>0.5</v>
      </c>
      <c r="Y142" s="61">
        <f>AVERAGE(Y140:Y141)</f>
        <v>0</v>
      </c>
      <c r="Z142" s="61">
        <f>AVERAGE(Z140:Z141)</f>
        <v>0</v>
      </c>
      <c r="AA142" s="62">
        <f t="shared" si="10"/>
        <v>1</v>
      </c>
      <c r="AB142"/>
      <c r="AC142"/>
      <c r="AD142"/>
      <c r="AE142"/>
      <c r="AF142"/>
      <c r="AG142"/>
      <c r="AH142"/>
      <c r="AI142"/>
      <c r="AJ142"/>
      <c r="AK142"/>
      <c r="AL142"/>
      <c r="AM142"/>
      <c r="AN142"/>
      <c r="AO142"/>
      <c r="AP142"/>
      <c r="AQ142"/>
      <c r="AR142"/>
    </row>
    <row r="143" spans="1:44" s="118" customFormat="1" ht="16.5" x14ac:dyDescent="0.3">
      <c r="A143" s="172" t="s">
        <v>33</v>
      </c>
      <c r="B143" s="169">
        <f>COUNTIF(Table913[D1],B$133)/$B$132</f>
        <v>0.22857142857142856</v>
      </c>
      <c r="C143" s="169">
        <f>COUNTIF(Table913[D1],C$133)/$B$132</f>
        <v>0.62857142857142856</v>
      </c>
      <c r="D143" s="169">
        <f>COUNTIF(Table913[D1],D$133)/$B$132</f>
        <v>0.14285714285714285</v>
      </c>
      <c r="E143" s="169">
        <f>COUNTIF(Table913[D1],E$133)/$B$132</f>
        <v>0</v>
      </c>
      <c r="F143" s="62">
        <f t="shared" si="7"/>
        <v>1</v>
      </c>
      <c r="H143" s="172" t="s">
        <v>33</v>
      </c>
      <c r="I143" s="169">
        <f>COUNTIFS(Table913[Prodi],"S1 Desain Komunikasi Visual",Table913[D1],I$133)/$I$132</f>
        <v>0.22580645161290322</v>
      </c>
      <c r="J143" s="169">
        <f>COUNTIFS(Table913[Prodi],"S1 Desain Komunikasi Visual",Table913[D1],J$133)/$I$132</f>
        <v>0.64516129032258063</v>
      </c>
      <c r="K143" s="169">
        <f>COUNTIFS(Table913[Prodi],"S1 Desain Komunikasi Visual",Table913[D1],K$133)/$I$132</f>
        <v>0.12903225806451613</v>
      </c>
      <c r="L143" s="169">
        <f>COUNTIFS(Table913[Prodi],"S1 Desain Komunikasi Visual",Table913[D1],L$133)/$I$132</f>
        <v>0</v>
      </c>
      <c r="M143" s="62">
        <f t="shared" si="8"/>
        <v>1</v>
      </c>
      <c r="O143" s="172" t="s">
        <v>33</v>
      </c>
      <c r="P143" s="169">
        <f>COUNTIFS(Table913[Prodi],$P$130,Table913[D1],P$133)/$P$132</f>
        <v>0</v>
      </c>
      <c r="Q143" s="169">
        <f>COUNTIFS(Table913[Prodi],$P$130,Table913[D1],Q$133)/$P$132</f>
        <v>0.66666666666666663</v>
      </c>
      <c r="R143" s="169">
        <f>COUNTIFS(Table913[Prodi],$P$130,Table913[D1],R$133)/$P$132</f>
        <v>0.33333333333333331</v>
      </c>
      <c r="S143" s="169">
        <f>COUNTIFS(Table913[Prodi],$P$130,Table913[D1],S$133)/$P$132</f>
        <v>0</v>
      </c>
      <c r="T143" s="62">
        <f t="shared" si="9"/>
        <v>1</v>
      </c>
      <c r="U143"/>
      <c r="V143" s="172" t="s">
        <v>33</v>
      </c>
      <c r="W143" s="169">
        <f>COUNTIFS(Table913[Prodi],$W$130,Table913[D1],W$133)/$W$132</f>
        <v>1</v>
      </c>
      <c r="X143" s="169">
        <f>COUNTIFS(Table913[Prodi],$W$130,Table913[D1],X$133)/$W$132</f>
        <v>0</v>
      </c>
      <c r="Y143" s="169">
        <f>COUNTIFS(Table913[Prodi],$W$130,Table913[D1],Y$133)/$W$132</f>
        <v>0</v>
      </c>
      <c r="Z143" s="169">
        <f>COUNTIFS(Table913[Prodi],$W$130,Table913[D1],Z$133)/$W$132</f>
        <v>0</v>
      </c>
      <c r="AA143" s="62">
        <f t="shared" si="10"/>
        <v>1</v>
      </c>
      <c r="AB143"/>
      <c r="AC143"/>
      <c r="AD143"/>
      <c r="AE143"/>
      <c r="AF143"/>
      <c r="AG143"/>
      <c r="AH143"/>
      <c r="AI143"/>
      <c r="AJ143"/>
      <c r="AK143"/>
      <c r="AL143"/>
      <c r="AM143"/>
      <c r="AN143"/>
      <c r="AO143"/>
      <c r="AP143"/>
      <c r="AQ143"/>
      <c r="AR143"/>
    </row>
    <row r="144" spans="1:44" s="118" customFormat="1" ht="16.5" x14ac:dyDescent="0.3">
      <c r="A144" s="168" t="s">
        <v>34</v>
      </c>
      <c r="B144" s="169">
        <f>COUNTIF(Table913[D2],B$133)/$B$132</f>
        <v>0.42857142857142855</v>
      </c>
      <c r="C144" s="169">
        <f>COUNTIF(Table913[D2],C$133)/$B$132</f>
        <v>0.48571428571428571</v>
      </c>
      <c r="D144" s="169">
        <f>COUNTIF(Table913[D2],D$133)/$B$132</f>
        <v>8.5714285714285715E-2</v>
      </c>
      <c r="E144" s="169">
        <f>COUNTIF(Table913[D2],E$133)/$B$132</f>
        <v>0</v>
      </c>
      <c r="F144" s="62">
        <f t="shared" si="7"/>
        <v>1</v>
      </c>
      <c r="H144" s="168" t="s">
        <v>34</v>
      </c>
      <c r="I144" s="169">
        <f>COUNTIFS(Table913[Prodi],"S1 Desain Komunikasi Visual",Table913[D2],I$133)/$I$132</f>
        <v>0.41935483870967744</v>
      </c>
      <c r="J144" s="169">
        <f>COUNTIFS(Table913[Prodi],"S1 Desain Komunikasi Visual",Table913[D2],J$133)/$I$132</f>
        <v>0.4838709677419355</v>
      </c>
      <c r="K144" s="169">
        <f>COUNTIFS(Table913[Prodi],"S1 Desain Komunikasi Visual",Table913[D2],K$133)/$I$132</f>
        <v>9.6774193548387094E-2</v>
      </c>
      <c r="L144" s="169">
        <f>COUNTIFS(Table913[Prodi],"S1 Desain Komunikasi Visual",Table913[D2],L$133)/$I$132</f>
        <v>0</v>
      </c>
      <c r="M144" s="62">
        <f t="shared" si="8"/>
        <v>1</v>
      </c>
      <c r="O144" s="168" t="s">
        <v>34</v>
      </c>
      <c r="P144" s="169">
        <f>COUNTIFS(Table913[Prodi],$P$130,Table913[D2],P$133)/$P$132</f>
        <v>0.33333333333333331</v>
      </c>
      <c r="Q144" s="169">
        <f>COUNTIFS(Table913[Prodi],$P$130,Table913[D2],Q$133)/$P$132</f>
        <v>0.66666666666666663</v>
      </c>
      <c r="R144" s="169">
        <f>COUNTIFS(Table913[Prodi],$P$130,Table913[D2],R$133)/$P$132</f>
        <v>0</v>
      </c>
      <c r="S144" s="169">
        <f>COUNTIFS(Table913[Prodi],$P$130,Table913[D2],S$133)/$P$132</f>
        <v>0</v>
      </c>
      <c r="T144" s="62">
        <f t="shared" si="9"/>
        <v>1</v>
      </c>
      <c r="U144"/>
      <c r="V144" s="168" t="s">
        <v>34</v>
      </c>
      <c r="W144" s="169">
        <f>COUNTIFS(Table913[Prodi],$W$130,Table913[D2],W$133)/$W$132</f>
        <v>1</v>
      </c>
      <c r="X144" s="169">
        <f>COUNTIFS(Table913[Prodi],$W$130,Table913[D2],X$133)/$W$132</f>
        <v>0</v>
      </c>
      <c r="Y144" s="169">
        <f>COUNTIFS(Table913[Prodi],$W$130,Table913[D2],Y$133)/$W$132</f>
        <v>0</v>
      </c>
      <c r="Z144" s="169">
        <f>COUNTIFS(Table913[Prodi],$W$130,Table913[D2],Z$133)/$W$132</f>
        <v>0</v>
      </c>
      <c r="AA144" s="62">
        <f t="shared" si="10"/>
        <v>1</v>
      </c>
      <c r="AB144"/>
      <c r="AC144"/>
      <c r="AD144"/>
      <c r="AE144"/>
      <c r="AF144"/>
      <c r="AG144"/>
      <c r="AH144"/>
      <c r="AI144"/>
      <c r="AJ144"/>
      <c r="AK144"/>
      <c r="AL144"/>
      <c r="AM144"/>
      <c r="AN144"/>
      <c r="AO144"/>
      <c r="AP144"/>
      <c r="AQ144"/>
      <c r="AR144"/>
    </row>
    <row r="145" spans="1:44" s="118" customFormat="1" ht="16.5" x14ac:dyDescent="0.3">
      <c r="A145" s="171"/>
      <c r="B145" s="61">
        <f>AVERAGE(B143:B144)</f>
        <v>0.32857142857142857</v>
      </c>
      <c r="C145" s="61">
        <f>AVERAGE(C143:C144)</f>
        <v>0.55714285714285716</v>
      </c>
      <c r="D145" s="61">
        <f>AVERAGE(D143:D144)</f>
        <v>0.11428571428571428</v>
      </c>
      <c r="E145" s="61">
        <f>AVERAGE(E143:E144)</f>
        <v>0</v>
      </c>
      <c r="F145" s="62">
        <f t="shared" si="7"/>
        <v>1</v>
      </c>
      <c r="H145" s="171"/>
      <c r="I145" s="61">
        <f>AVERAGE(I143:I144)</f>
        <v>0.32258064516129031</v>
      </c>
      <c r="J145" s="61">
        <f>AVERAGE(J143:J144)</f>
        <v>0.56451612903225801</v>
      </c>
      <c r="K145" s="61">
        <f>AVERAGE(K143:K144)</f>
        <v>0.11290322580645161</v>
      </c>
      <c r="L145" s="61">
        <f>AVERAGE(L143:L144)</f>
        <v>0</v>
      </c>
      <c r="M145" s="62">
        <f t="shared" si="8"/>
        <v>0.99999999999999989</v>
      </c>
      <c r="O145" s="171"/>
      <c r="P145" s="61">
        <f>AVERAGE(P143:P144)</f>
        <v>0.16666666666666666</v>
      </c>
      <c r="Q145" s="61">
        <f>AVERAGE(Q143:Q144)</f>
        <v>0.66666666666666663</v>
      </c>
      <c r="R145" s="61">
        <f>AVERAGE(R143:R144)</f>
        <v>0.16666666666666666</v>
      </c>
      <c r="S145" s="61">
        <f>AVERAGE(S143:S144)</f>
        <v>0</v>
      </c>
      <c r="T145" s="62">
        <f t="shared" si="9"/>
        <v>0.99999999999999989</v>
      </c>
      <c r="U145"/>
      <c r="V145" s="171"/>
      <c r="W145" s="61">
        <f>AVERAGE(W143:W144)</f>
        <v>1</v>
      </c>
      <c r="X145" s="61">
        <f>AVERAGE(X143:X144)</f>
        <v>0</v>
      </c>
      <c r="Y145" s="61">
        <f>AVERAGE(Y143:Y144)</f>
        <v>0</v>
      </c>
      <c r="Z145" s="61">
        <f>AVERAGE(Z143:Z144)</f>
        <v>0</v>
      </c>
      <c r="AA145" s="62">
        <f t="shared" si="10"/>
        <v>1</v>
      </c>
      <c r="AB145"/>
      <c r="AC145"/>
      <c r="AD145"/>
      <c r="AE145"/>
      <c r="AF145"/>
      <c r="AG145"/>
      <c r="AH145"/>
      <c r="AI145"/>
      <c r="AJ145"/>
      <c r="AK145"/>
      <c r="AL145"/>
      <c r="AM145"/>
      <c r="AN145"/>
      <c r="AO145"/>
      <c r="AP145"/>
      <c r="AQ145"/>
      <c r="AR145"/>
    </row>
    <row r="146" spans="1:44" s="118" customFormat="1" ht="16.5" x14ac:dyDescent="0.3">
      <c r="A146" s="172" t="s">
        <v>35</v>
      </c>
      <c r="B146" s="169">
        <f>COUNTIF(Table913[E1],B$133)/$B$132</f>
        <v>0.6</v>
      </c>
      <c r="C146" s="169">
        <f>COUNTIF(Table913[E1],C$133)/$B$132</f>
        <v>0.4</v>
      </c>
      <c r="D146" s="169">
        <f>COUNTIF(Table913[E1],D$133)/$B$132</f>
        <v>0</v>
      </c>
      <c r="E146" s="169">
        <f>COUNTIF(Table913[E1],E$133)/$B$132</f>
        <v>0</v>
      </c>
      <c r="F146" s="62">
        <f t="shared" si="7"/>
        <v>1</v>
      </c>
      <c r="H146" s="172" t="s">
        <v>35</v>
      </c>
      <c r="I146" s="169">
        <f>COUNTIFS(Table913[Prodi],"S1 Desain Komunikasi Visual",Table913[E1],I$133)/$I$132</f>
        <v>0.61290322580645162</v>
      </c>
      <c r="J146" s="169">
        <f>COUNTIFS(Table913[Prodi],"S1 Desain Komunikasi Visual",Table913[E1],J$133)/$I$132</f>
        <v>0.38709677419354838</v>
      </c>
      <c r="K146" s="169">
        <f>COUNTIFS(Table913[Prodi],"S1 Desain Komunikasi Visual",Table913[E1],K$133)/$I$132</f>
        <v>0</v>
      </c>
      <c r="L146" s="169">
        <f>COUNTIFS(Table913[Prodi],"S1 Desain Komunikasi Visual",Table913[E1],L$133)/$I$132</f>
        <v>0</v>
      </c>
      <c r="M146" s="62">
        <f t="shared" si="8"/>
        <v>1</v>
      </c>
      <c r="O146" s="172" t="s">
        <v>35</v>
      </c>
      <c r="P146" s="169">
        <f>COUNTIFS(Table913[Prodi],$P$130,Table913[E1],P$133)/$P$132</f>
        <v>0.66666666666666663</v>
      </c>
      <c r="Q146" s="169">
        <f>COUNTIFS(Table913[Prodi],$P$130,Table913[E1],Q$133)/$P$132</f>
        <v>0.33333333333333331</v>
      </c>
      <c r="R146" s="169">
        <f>COUNTIFS(Table913[Prodi],$P$130,Table913[E1],R$133)/$P$132</f>
        <v>0</v>
      </c>
      <c r="S146" s="169">
        <f>COUNTIFS(Table913[Prodi],$P$130,Table913[E1],S$133)/$P$132</f>
        <v>0</v>
      </c>
      <c r="T146" s="62">
        <f t="shared" si="9"/>
        <v>1</v>
      </c>
      <c r="U146"/>
      <c r="V146" s="172" t="s">
        <v>35</v>
      </c>
      <c r="W146" s="169">
        <f>COUNTIFS(Table913[Prodi],$W$130,Table913[E1],W$133)/$W$132</f>
        <v>0</v>
      </c>
      <c r="X146" s="169">
        <f>COUNTIFS(Table913[Prodi],$W$130,Table913[E1],X$133)/$W$132</f>
        <v>1</v>
      </c>
      <c r="Y146" s="169">
        <f>COUNTIFS(Table913[Prodi],$W$130,Table913[E1],Y$133)/$W$132</f>
        <v>0</v>
      </c>
      <c r="Z146" s="169">
        <f>COUNTIFS(Table913[Prodi],$W$130,Table913[E1],Z$133)/$W$132</f>
        <v>0</v>
      </c>
      <c r="AA146" s="62">
        <f t="shared" si="10"/>
        <v>1</v>
      </c>
      <c r="AB146"/>
      <c r="AC146"/>
      <c r="AD146"/>
      <c r="AE146"/>
      <c r="AF146"/>
      <c r="AG146"/>
      <c r="AH146"/>
      <c r="AI146"/>
      <c r="AJ146"/>
      <c r="AK146"/>
      <c r="AL146"/>
      <c r="AM146"/>
      <c r="AN146"/>
      <c r="AO146"/>
      <c r="AP146"/>
      <c r="AQ146"/>
      <c r="AR146"/>
    </row>
    <row r="147" spans="1:44" s="118" customFormat="1" ht="16.5" x14ac:dyDescent="0.3">
      <c r="A147" s="168" t="s">
        <v>36</v>
      </c>
      <c r="B147" s="169">
        <f>COUNTIF(Table913[E2],B$133)/$B$132</f>
        <v>0.54285714285714282</v>
      </c>
      <c r="C147" s="169">
        <f>COUNTIF(Table913[E2],C$133)/$B$132</f>
        <v>0.45714285714285713</v>
      </c>
      <c r="D147" s="169">
        <f>COUNTIF(Table913[E2],D$133)/$B$132</f>
        <v>0</v>
      </c>
      <c r="E147" s="169">
        <f>COUNTIF(Table913[E2],E$133)/$B$132</f>
        <v>0</v>
      </c>
      <c r="F147" s="62">
        <f t="shared" si="7"/>
        <v>1</v>
      </c>
      <c r="H147" s="168" t="s">
        <v>36</v>
      </c>
      <c r="I147" s="169">
        <f>COUNTIFS(Table913[Prodi],"S1 Desain Komunikasi Visual",Table913[E2],I$133)/$I$132</f>
        <v>0.4838709677419355</v>
      </c>
      <c r="J147" s="169">
        <f>COUNTIFS(Table913[Prodi],"S1 Desain Komunikasi Visual",Table913[E2],J$133)/$I$132</f>
        <v>0.5161290322580645</v>
      </c>
      <c r="K147" s="169">
        <f>COUNTIFS(Table913[Prodi],"S1 Desain Komunikasi Visual",Table913[E2],K$133)/$I$132</f>
        <v>0</v>
      </c>
      <c r="L147" s="169">
        <f>COUNTIFS(Table913[Prodi],"S1 Desain Komunikasi Visual",Table913[E2],L$133)/$I$132</f>
        <v>0</v>
      </c>
      <c r="M147" s="62">
        <f t="shared" si="8"/>
        <v>1</v>
      </c>
      <c r="O147" s="168" t="s">
        <v>36</v>
      </c>
      <c r="P147" s="169">
        <f>COUNTIFS(Table913[Prodi],$P$130,Table913[E2],P$133)/$P$132</f>
        <v>1</v>
      </c>
      <c r="Q147" s="169">
        <f>COUNTIFS(Table913[Prodi],$P$130,Table913[E2],Q$133)/$P$132</f>
        <v>0</v>
      </c>
      <c r="R147" s="169">
        <f>COUNTIFS(Table913[Prodi],$P$130,Table913[E2],R$133)/$P$132</f>
        <v>0</v>
      </c>
      <c r="S147" s="169">
        <f>COUNTIFS(Table913[Prodi],$P$130,Table913[E2],S$133)/$P$132</f>
        <v>0</v>
      </c>
      <c r="T147" s="62">
        <f t="shared" si="9"/>
        <v>1</v>
      </c>
      <c r="U147"/>
      <c r="V147" s="168" t="s">
        <v>36</v>
      </c>
      <c r="W147" s="169">
        <f>COUNTIFS(Table913[Prodi],$W$130,Table913[E2],W$133)/$W$132</f>
        <v>1</v>
      </c>
      <c r="X147" s="169">
        <f>COUNTIFS(Table913[Prodi],$W$130,Table913[E2],X$133)/$W$132</f>
        <v>0</v>
      </c>
      <c r="Y147" s="169">
        <f>COUNTIFS(Table913[Prodi],$W$130,Table913[E2],Y$133)/$W$132</f>
        <v>0</v>
      </c>
      <c r="Z147" s="169">
        <f>COUNTIFS(Table913[Prodi],$W$130,Table913[E2],Z$133)/$W$132</f>
        <v>0</v>
      </c>
      <c r="AA147" s="62">
        <f t="shared" si="10"/>
        <v>1</v>
      </c>
      <c r="AB147"/>
      <c r="AC147"/>
      <c r="AD147"/>
      <c r="AE147"/>
      <c r="AF147"/>
      <c r="AG147"/>
      <c r="AH147"/>
      <c r="AI147"/>
      <c r="AJ147"/>
      <c r="AK147"/>
      <c r="AL147"/>
      <c r="AM147"/>
      <c r="AN147"/>
      <c r="AO147"/>
      <c r="AP147"/>
      <c r="AQ147"/>
      <c r="AR147"/>
    </row>
    <row r="148" spans="1:44" s="118" customFormat="1" ht="16.5" x14ac:dyDescent="0.3">
      <c r="A148" s="168" t="s">
        <v>1168</v>
      </c>
      <c r="B148" s="169">
        <f>COUNTIF(Table913[E3],B$133)/$B$132</f>
        <v>0.65714285714285714</v>
      </c>
      <c r="C148" s="169">
        <f>COUNTIF(Table913[E3],C$133)/$B$132</f>
        <v>0.34285714285714286</v>
      </c>
      <c r="D148" s="169">
        <f>COUNTIF(Table913[E3],D$133)/$B$132</f>
        <v>0</v>
      </c>
      <c r="E148" s="169">
        <f>COUNTIF(Table913[E3],E$133)/$B$132</f>
        <v>0</v>
      </c>
      <c r="F148" s="62">
        <f t="shared" si="7"/>
        <v>1</v>
      </c>
      <c r="H148" s="168" t="s">
        <v>1168</v>
      </c>
      <c r="I148" s="169">
        <f>COUNTIFS(Table913[Prodi],"S1 Desain Komunikasi Visual",Table913[E3],I$133)/$I$132</f>
        <v>0.70967741935483875</v>
      </c>
      <c r="J148" s="169">
        <f>COUNTIFS(Table913[Prodi],"S1 Desain Komunikasi Visual",Table913[E3],J$133)/$I$132</f>
        <v>0.29032258064516131</v>
      </c>
      <c r="K148" s="169">
        <f>COUNTIFS(Table913[Prodi],"S1 Desain Komunikasi Visual",Table913[E3],K$133)/$I$132</f>
        <v>0</v>
      </c>
      <c r="L148" s="169">
        <f>COUNTIFS(Table913[Prodi],"S1 Desain Komunikasi Visual",Table913[E3],L$133)/$I$132</f>
        <v>0</v>
      </c>
      <c r="M148" s="62">
        <f t="shared" si="8"/>
        <v>1</v>
      </c>
      <c r="O148" s="168" t="s">
        <v>1168</v>
      </c>
      <c r="P148" s="169">
        <f>COUNTIFS(Table913[Prodi],$P$130,Table913[E3],P$133)/$P$132</f>
        <v>0.33333333333333331</v>
      </c>
      <c r="Q148" s="169">
        <f>COUNTIFS(Table913[Prodi],$P$130,Table913[E3],Q$133)/$P$132</f>
        <v>0.66666666666666663</v>
      </c>
      <c r="R148" s="169">
        <f>COUNTIFS(Table913[Prodi],$P$130,Table913[E3],R$133)/$P$132</f>
        <v>0</v>
      </c>
      <c r="S148" s="169">
        <f>COUNTIFS(Table913[Prodi],$P$130,Table913[E3],S$133)/$P$132</f>
        <v>0</v>
      </c>
      <c r="T148" s="62">
        <f t="shared" si="9"/>
        <v>1</v>
      </c>
      <c r="U148"/>
      <c r="V148" s="168" t="s">
        <v>1168</v>
      </c>
      <c r="W148" s="169">
        <f>COUNTIFS(Table913[Prodi],$W$130,Table913[E3],W$133)/$W$132</f>
        <v>0</v>
      </c>
      <c r="X148" s="169">
        <f>COUNTIFS(Table913[Prodi],$W$130,Table913[E3],X$133)/$W$132</f>
        <v>1</v>
      </c>
      <c r="Y148" s="169">
        <f>COUNTIFS(Table913[Prodi],$W$130,Table913[E3],Y$133)/$W$132</f>
        <v>0</v>
      </c>
      <c r="Z148" s="169">
        <f>COUNTIFS(Table913[Prodi],$W$130,Table913[E3],Z$133)/$W$132</f>
        <v>0</v>
      </c>
      <c r="AA148" s="62">
        <f t="shared" si="10"/>
        <v>1</v>
      </c>
      <c r="AB148"/>
      <c r="AC148"/>
      <c r="AD148"/>
      <c r="AE148"/>
      <c r="AF148"/>
      <c r="AG148"/>
      <c r="AH148"/>
      <c r="AI148"/>
      <c r="AJ148"/>
      <c r="AK148"/>
      <c r="AL148"/>
      <c r="AM148"/>
      <c r="AN148"/>
      <c r="AO148"/>
      <c r="AP148"/>
      <c r="AQ148"/>
      <c r="AR148"/>
    </row>
    <row r="149" spans="1:44" s="118" customFormat="1" ht="16.5" x14ac:dyDescent="0.3">
      <c r="A149" s="171"/>
      <c r="B149" s="61">
        <f>AVERAGE(B146:B148)</f>
        <v>0.6</v>
      </c>
      <c r="C149" s="61">
        <f>AVERAGE(C146:C148)</f>
        <v>0.40000000000000008</v>
      </c>
      <c r="D149" s="61">
        <f>AVERAGE(D146:D148)</f>
        <v>0</v>
      </c>
      <c r="E149" s="61">
        <f>AVERAGE(E146:E148)</f>
        <v>0</v>
      </c>
      <c r="F149" s="62">
        <f t="shared" si="7"/>
        <v>1</v>
      </c>
      <c r="H149" s="171"/>
      <c r="I149" s="61">
        <f>AVERAGE(I146:I148)</f>
        <v>0.60215053763440862</v>
      </c>
      <c r="J149" s="61">
        <f>AVERAGE(J146:J148)</f>
        <v>0.39784946236559143</v>
      </c>
      <c r="K149" s="61">
        <f>AVERAGE(K146:K148)</f>
        <v>0</v>
      </c>
      <c r="L149" s="61">
        <f>AVERAGE(L146:L148)</f>
        <v>0</v>
      </c>
      <c r="M149" s="62">
        <f t="shared" si="8"/>
        <v>1</v>
      </c>
      <c r="O149" s="171"/>
      <c r="P149" s="61">
        <f>AVERAGE(P146:P148)</f>
        <v>0.66666666666666663</v>
      </c>
      <c r="Q149" s="61">
        <f>AVERAGE(Q146:Q148)</f>
        <v>0.33333333333333331</v>
      </c>
      <c r="R149" s="61">
        <f>AVERAGE(R146:R148)</f>
        <v>0</v>
      </c>
      <c r="S149" s="61">
        <f>AVERAGE(S146:S148)</f>
        <v>0</v>
      </c>
      <c r="T149" s="62">
        <f t="shared" si="9"/>
        <v>1</v>
      </c>
      <c r="U149"/>
      <c r="V149" s="171"/>
      <c r="W149" s="61">
        <f>AVERAGE(W146:W148)</f>
        <v>0.33333333333333331</v>
      </c>
      <c r="X149" s="61">
        <f>AVERAGE(X146:X148)</f>
        <v>0.66666666666666663</v>
      </c>
      <c r="Y149" s="61">
        <f>AVERAGE(Y146:Y148)</f>
        <v>0</v>
      </c>
      <c r="Z149" s="61">
        <f>AVERAGE(Z146:Z148)</f>
        <v>0</v>
      </c>
      <c r="AA149" s="62">
        <f t="shared" si="10"/>
        <v>1</v>
      </c>
      <c r="AB149"/>
      <c r="AC149"/>
      <c r="AD149"/>
      <c r="AE149"/>
      <c r="AF149"/>
      <c r="AG149"/>
      <c r="AH149"/>
      <c r="AI149"/>
      <c r="AJ149"/>
      <c r="AK149"/>
      <c r="AL149"/>
      <c r="AM149"/>
      <c r="AN149"/>
      <c r="AO149"/>
      <c r="AP149"/>
      <c r="AQ149"/>
      <c r="AR149"/>
    </row>
    <row r="150" spans="1:44" s="118" customFormat="1" ht="16.5" x14ac:dyDescent="0.3">
      <c r="A150" s="172" t="s">
        <v>37</v>
      </c>
      <c r="B150" s="169">
        <f>COUNTIF(Table913[F1],B$133)/$B$132</f>
        <v>0.37142857142857144</v>
      </c>
      <c r="C150" s="169">
        <f>COUNTIF(Table913[F1],C$133)/$B$132</f>
        <v>0.45714285714285713</v>
      </c>
      <c r="D150" s="169">
        <f>COUNTIF(Table913[F1],D$133)/$B$132</f>
        <v>0.17142857142857143</v>
      </c>
      <c r="E150" s="169">
        <f>COUNTIF(Table913[F1],E$133)/$B$132</f>
        <v>0</v>
      </c>
      <c r="F150" s="62">
        <f t="shared" si="7"/>
        <v>1</v>
      </c>
      <c r="H150" s="172" t="s">
        <v>37</v>
      </c>
      <c r="I150" s="169">
        <f>COUNTIFS(Table913[Prodi],"S1 Desain Komunikasi Visual",Table913[F1],I$133)/$I$132</f>
        <v>0.41935483870967744</v>
      </c>
      <c r="J150" s="169">
        <f>COUNTIFS(Table913[Prodi],"S1 Desain Komunikasi Visual",Table913[F1],J$133)/$I$132</f>
        <v>0.4838709677419355</v>
      </c>
      <c r="K150" s="169">
        <f>COUNTIFS(Table913[Prodi],"S1 Desain Komunikasi Visual",Table913[F1],K$133)/$I$132</f>
        <v>9.6774193548387094E-2</v>
      </c>
      <c r="L150" s="169">
        <f>COUNTIFS(Table913[Prodi],"S1 Desain Komunikasi Visual",Table913[F1],L$133)/$I$132</f>
        <v>0</v>
      </c>
      <c r="M150" s="62">
        <f t="shared" si="8"/>
        <v>1</v>
      </c>
      <c r="O150" s="172" t="s">
        <v>37</v>
      </c>
      <c r="P150" s="169">
        <f>COUNTIFS(Table913[Prodi],$P$130,Table913[F1],P$133)/$P$132</f>
        <v>0</v>
      </c>
      <c r="Q150" s="169">
        <f>COUNTIFS(Table913[Prodi],$P$130,Table913[F1],Q$133)/$P$132</f>
        <v>0.33333333333333331</v>
      </c>
      <c r="R150" s="169">
        <f>COUNTIFS(Table913[Prodi],$P$130,Table913[F1],R$133)/$P$132</f>
        <v>0.66666666666666663</v>
      </c>
      <c r="S150" s="169">
        <f>COUNTIFS(Table913[Prodi],$P$130,Table913[F1],S$133)/$P$132</f>
        <v>0</v>
      </c>
      <c r="T150" s="62">
        <f t="shared" si="9"/>
        <v>1</v>
      </c>
      <c r="U150"/>
      <c r="V150" s="172" t="s">
        <v>37</v>
      </c>
      <c r="W150" s="169">
        <f>COUNTIFS(Table913[Prodi],$W$130,Table913[F1],W$133)/$W$132</f>
        <v>0</v>
      </c>
      <c r="X150" s="169">
        <f>COUNTIFS(Table913[Prodi],$W$130,Table913[F1],X$133)/$W$132</f>
        <v>0</v>
      </c>
      <c r="Y150" s="169">
        <f>COUNTIFS(Table913[Prodi],$W$130,Table913[F1],Y$133)/$W$132</f>
        <v>1</v>
      </c>
      <c r="Z150" s="169">
        <f>COUNTIFS(Table913[Prodi],$W$130,Table913[F1],Z$133)/$W$132</f>
        <v>0</v>
      </c>
      <c r="AA150" s="62">
        <f t="shared" si="10"/>
        <v>1</v>
      </c>
      <c r="AB150"/>
      <c r="AC150"/>
      <c r="AD150"/>
      <c r="AE150"/>
      <c r="AF150"/>
      <c r="AG150"/>
      <c r="AH150"/>
      <c r="AI150"/>
      <c r="AJ150"/>
      <c r="AK150"/>
      <c r="AL150"/>
      <c r="AM150"/>
      <c r="AN150"/>
      <c r="AO150"/>
      <c r="AP150"/>
      <c r="AQ150"/>
      <c r="AR150"/>
    </row>
    <row r="151" spans="1:44" s="118" customFormat="1" ht="16.5" x14ac:dyDescent="0.3">
      <c r="A151" s="168" t="s">
        <v>38</v>
      </c>
      <c r="B151" s="169">
        <f>COUNTIF(Table913[F2],B$133)/$B$132</f>
        <v>0.37142857142857144</v>
      </c>
      <c r="C151" s="169">
        <f>COUNTIF(Table913[F2],C$133)/$B$132</f>
        <v>0.54285714285714282</v>
      </c>
      <c r="D151" s="169">
        <f>COUNTIF(Table913[F2],D$133)/$B$132</f>
        <v>8.5714285714285715E-2</v>
      </c>
      <c r="E151" s="169">
        <f>COUNTIF(Table913[F2],E$133)/$B$132</f>
        <v>0</v>
      </c>
      <c r="F151" s="62">
        <f t="shared" si="7"/>
        <v>1</v>
      </c>
      <c r="H151" s="168" t="s">
        <v>38</v>
      </c>
      <c r="I151" s="169">
        <f>COUNTIFS(Table913[Prodi],"S1 Desain Komunikasi Visual",Table913[F2],I$133)/$I$132</f>
        <v>0.38709677419354838</v>
      </c>
      <c r="J151" s="169">
        <f>COUNTIFS(Table913[Prodi],"S1 Desain Komunikasi Visual",Table913[F2],J$133)/$I$132</f>
        <v>0.5161290322580645</v>
      </c>
      <c r="K151" s="169">
        <f>COUNTIFS(Table913[Prodi],"S1 Desain Komunikasi Visual",Table913[F2],K$133)/$I$132</f>
        <v>9.6774193548387094E-2</v>
      </c>
      <c r="L151" s="169">
        <f>COUNTIFS(Table913[Prodi],"S1 Desain Komunikasi Visual",Table913[F2],L$133)/$I$132</f>
        <v>0</v>
      </c>
      <c r="M151" s="62">
        <f t="shared" si="8"/>
        <v>1</v>
      </c>
      <c r="O151" s="168" t="s">
        <v>38</v>
      </c>
      <c r="P151" s="169">
        <f>COUNTIFS(Table913[Prodi],$P$130,Table913[F2],P$133)/$P$132</f>
        <v>0.33333333333333331</v>
      </c>
      <c r="Q151" s="169">
        <f>COUNTIFS(Table913[Prodi],$P$130,Table913[F2],Q$133)/$P$132</f>
        <v>0.66666666666666663</v>
      </c>
      <c r="R151" s="169">
        <f>COUNTIFS(Table913[Prodi],$P$130,Table913[F2],R$133)/$P$132</f>
        <v>0</v>
      </c>
      <c r="S151" s="169">
        <f>COUNTIFS(Table913[Prodi],$P$130,Table913[F2],S$133)/$P$132</f>
        <v>0</v>
      </c>
      <c r="T151" s="62">
        <f t="shared" si="9"/>
        <v>1</v>
      </c>
      <c r="U151"/>
      <c r="V151" s="168" t="s">
        <v>38</v>
      </c>
      <c r="W151" s="169">
        <f>COUNTIFS(Table913[Prodi],$W$130,Table913[F2],W$133)/$W$132</f>
        <v>0</v>
      </c>
      <c r="X151" s="169">
        <f>COUNTIFS(Table913[Prodi],$W$130,Table913[F2],X$133)/$W$132</f>
        <v>1</v>
      </c>
      <c r="Y151" s="169">
        <f>COUNTIFS(Table913[Prodi],$W$130,Table913[F2],Y$133)/$W$132</f>
        <v>0</v>
      </c>
      <c r="Z151" s="169">
        <f>COUNTIFS(Table913[Prodi],$W$130,Table913[F2],Z$133)/$W$132</f>
        <v>0</v>
      </c>
      <c r="AA151" s="62">
        <f t="shared" si="10"/>
        <v>1</v>
      </c>
      <c r="AB151"/>
      <c r="AC151"/>
      <c r="AD151"/>
      <c r="AE151"/>
      <c r="AF151"/>
      <c r="AG151"/>
      <c r="AH151"/>
      <c r="AI151"/>
      <c r="AJ151"/>
      <c r="AK151"/>
      <c r="AL151"/>
      <c r="AM151"/>
      <c r="AN151"/>
      <c r="AO151"/>
      <c r="AP151"/>
      <c r="AQ151"/>
      <c r="AR151"/>
    </row>
    <row r="152" spans="1:44" s="118" customFormat="1" ht="16.5" x14ac:dyDescent="0.3">
      <c r="A152" s="168" t="s">
        <v>39</v>
      </c>
      <c r="B152" s="169">
        <f>COUNTIF(Table913[F3],B$133)/$B$132</f>
        <v>0.37142857142857144</v>
      </c>
      <c r="C152" s="169">
        <f>COUNTIF(Table913[F3],C$133)/$B$132</f>
        <v>0.48571428571428571</v>
      </c>
      <c r="D152" s="169">
        <f>COUNTIF(Table913[F3],D$133)/$B$132</f>
        <v>0.14285714285714285</v>
      </c>
      <c r="E152" s="169">
        <f>COUNTIF(Table913[F3],E$133)/$B$132</f>
        <v>0</v>
      </c>
      <c r="F152" s="62">
        <f t="shared" si="7"/>
        <v>1</v>
      </c>
      <c r="H152" s="168" t="s">
        <v>39</v>
      </c>
      <c r="I152" s="169">
        <f>COUNTIFS(Table913[Prodi],"S1 Desain Komunikasi Visual",Table913[F3],I$133)/$I$132</f>
        <v>0.38709677419354838</v>
      </c>
      <c r="J152" s="169">
        <f>COUNTIFS(Table913[Prodi],"S1 Desain Komunikasi Visual",Table913[F3],J$133)/$I$132</f>
        <v>0.45161290322580644</v>
      </c>
      <c r="K152" s="169">
        <f>COUNTIFS(Table913[Prodi],"S1 Desain Komunikasi Visual",Table913[F3],K$133)/$I$132</f>
        <v>0.16129032258064516</v>
      </c>
      <c r="L152" s="169">
        <f>COUNTIFS(Table913[Prodi],"S1 Desain Komunikasi Visual",Table913[F3],L$133)/$I$132</f>
        <v>0</v>
      </c>
      <c r="M152" s="62">
        <f t="shared" si="8"/>
        <v>0.99999999999999989</v>
      </c>
      <c r="O152" s="168" t="s">
        <v>39</v>
      </c>
      <c r="P152" s="169">
        <f>COUNTIFS(Table913[Prodi],$P$130,Table913[F3],P$133)/$P$132</f>
        <v>0.33333333333333331</v>
      </c>
      <c r="Q152" s="169">
        <f>COUNTIFS(Table913[Prodi],$P$130,Table913[F3],Q$133)/$P$132</f>
        <v>0.66666666666666663</v>
      </c>
      <c r="R152" s="169">
        <f>COUNTIFS(Table913[Prodi],$P$130,Table913[F3],R$133)/$P$132</f>
        <v>0</v>
      </c>
      <c r="S152" s="169">
        <f>COUNTIFS(Table913[Prodi],$P$130,Table913[F3],S$133)/$P$132</f>
        <v>0</v>
      </c>
      <c r="T152" s="62">
        <f t="shared" si="9"/>
        <v>1</v>
      </c>
      <c r="U152"/>
      <c r="V152" s="168" t="s">
        <v>39</v>
      </c>
      <c r="W152" s="169">
        <f>COUNTIFS(Table913[Prodi],$W$130,Table913[F3],W$133)/$W$132</f>
        <v>0</v>
      </c>
      <c r="X152" s="169">
        <f>COUNTIFS(Table913[Prodi],$W$130,Table913[F3],X$133)/$W$132</f>
        <v>1</v>
      </c>
      <c r="Y152" s="169">
        <f>COUNTIFS(Table913[Prodi],$W$130,Table913[F3],Y$133)/$W$132</f>
        <v>0</v>
      </c>
      <c r="Z152" s="169">
        <f>COUNTIFS(Table913[Prodi],$W$130,Table913[F3],Z$133)/$W$132</f>
        <v>0</v>
      </c>
      <c r="AA152" s="62">
        <f t="shared" si="10"/>
        <v>1</v>
      </c>
      <c r="AB152"/>
      <c r="AC152"/>
      <c r="AD152"/>
      <c r="AE152"/>
      <c r="AF152"/>
      <c r="AG152"/>
      <c r="AH152"/>
      <c r="AI152"/>
      <c r="AJ152"/>
      <c r="AK152"/>
      <c r="AL152"/>
      <c r="AM152"/>
      <c r="AN152"/>
      <c r="AO152"/>
      <c r="AP152"/>
      <c r="AQ152"/>
      <c r="AR152"/>
    </row>
    <row r="153" spans="1:44" s="118" customFormat="1" ht="16.5" x14ac:dyDescent="0.3">
      <c r="A153" s="171"/>
      <c r="B153" s="61">
        <f>AVERAGE(B150:B152)</f>
        <v>0.37142857142857144</v>
      </c>
      <c r="C153" s="61">
        <f>AVERAGE(C150:C152)</f>
        <v>0.49523809523809526</v>
      </c>
      <c r="D153" s="61">
        <f>AVERAGE(D150:D152)</f>
        <v>0.13333333333333333</v>
      </c>
      <c r="E153" s="61">
        <f>AVERAGE(E150:E152)</f>
        <v>0</v>
      </c>
      <c r="F153" s="62">
        <f>SUM(B153:E153)</f>
        <v>1</v>
      </c>
      <c r="H153" s="171"/>
      <c r="I153" s="61">
        <f>AVERAGE(I150:I152)</f>
        <v>0.39784946236559132</v>
      </c>
      <c r="J153" s="61">
        <f>AVERAGE(J150:J152)</f>
        <v>0.4838709677419355</v>
      </c>
      <c r="K153" s="61">
        <f>AVERAGE(K150:K152)</f>
        <v>0.11827956989247312</v>
      </c>
      <c r="L153" s="61">
        <f>AVERAGE(L150:L152)</f>
        <v>0</v>
      </c>
      <c r="M153" s="62">
        <f>SUM(I153:L153)</f>
        <v>0.99999999999999989</v>
      </c>
      <c r="O153" s="171"/>
      <c r="P153" s="61">
        <f>AVERAGE(P150:P152)</f>
        <v>0.22222222222222221</v>
      </c>
      <c r="Q153" s="61">
        <f>AVERAGE(Q150:Q152)</f>
        <v>0.55555555555555547</v>
      </c>
      <c r="R153" s="61">
        <f>AVERAGE(R150:R152)</f>
        <v>0.22222222222222221</v>
      </c>
      <c r="S153" s="61">
        <f>AVERAGE(S150:S152)</f>
        <v>0</v>
      </c>
      <c r="T153" s="62">
        <f>SUM(P153:S153)</f>
        <v>0.99999999999999989</v>
      </c>
      <c r="U153"/>
      <c r="V153" s="171"/>
      <c r="W153" s="61">
        <f>AVERAGE(W150:W152)</f>
        <v>0</v>
      </c>
      <c r="X153" s="61">
        <f>AVERAGE(X150:X152)</f>
        <v>0.66666666666666663</v>
      </c>
      <c r="Y153" s="61">
        <f>AVERAGE(Y150:Y152)</f>
        <v>0.33333333333333331</v>
      </c>
      <c r="Z153" s="61">
        <f>AVERAGE(Z150:Z152)</f>
        <v>0</v>
      </c>
      <c r="AA153" s="62">
        <f>SUM(W153:Z153)</f>
        <v>1</v>
      </c>
      <c r="AB153"/>
      <c r="AC153"/>
      <c r="AD153"/>
      <c r="AE153"/>
      <c r="AF153"/>
      <c r="AG153"/>
      <c r="AH153"/>
      <c r="AI153"/>
      <c r="AJ153"/>
      <c r="AK153"/>
      <c r="AL153"/>
      <c r="AM153"/>
      <c r="AN153"/>
      <c r="AO153"/>
      <c r="AP153"/>
      <c r="AQ153"/>
      <c r="AR153"/>
    </row>
    <row r="154" spans="1:44" s="118" customFormat="1" ht="16.5" x14ac:dyDescent="0.3">
      <c r="A154" s="168" t="s">
        <v>40</v>
      </c>
      <c r="B154" s="169">
        <f>COUNTIF(Table913[G1],B$133)/$B$132</f>
        <v>0.4</v>
      </c>
      <c r="C154" s="169">
        <f>COUNTIF(Table913[G1],C$133)/$B$132</f>
        <v>0.6</v>
      </c>
      <c r="D154" s="169">
        <f>COUNTIF(Table913[G1],D$133)/$B$132</f>
        <v>0</v>
      </c>
      <c r="E154" s="169">
        <f>COUNTIF(Table913[G1],E$133)/$B$132</f>
        <v>0</v>
      </c>
      <c r="F154" s="62">
        <f t="shared" si="7"/>
        <v>1</v>
      </c>
      <c r="H154" s="168" t="s">
        <v>40</v>
      </c>
      <c r="I154" s="169">
        <f>COUNTIFS(Table913[Prodi],"S1 Desain Komunikasi Visual",Table913[G1],I$133)/$I$132</f>
        <v>0.45161290322580644</v>
      </c>
      <c r="J154" s="169">
        <f>COUNTIFS(Table913[Prodi],"S1 Desain Komunikasi Visual",Table913[G1],J$133)/$I$132</f>
        <v>0.54838709677419351</v>
      </c>
      <c r="K154" s="169">
        <f>COUNTIFS(Table913[Prodi],"S1 Desain Komunikasi Visual",Table913[G1],K$133)/$I$132</f>
        <v>0</v>
      </c>
      <c r="L154" s="169">
        <f>COUNTIFS(Table913[Prodi],"S1 Desain Komunikasi Visual",Table913[G1],L$133)/$I$132</f>
        <v>0</v>
      </c>
      <c r="M154" s="62">
        <f t="shared" ref="M154:M173" si="11">SUM(I154:L154)</f>
        <v>1</v>
      </c>
      <c r="O154" s="168" t="s">
        <v>40</v>
      </c>
      <c r="P154" s="169">
        <f>COUNTIFS(Table913[Prodi],$P$130,Table913[G1],P$133)/$P$132</f>
        <v>0</v>
      </c>
      <c r="Q154" s="169">
        <f>COUNTIFS(Table913[Prodi],$P$130,Table913[G1],Q$133)/$P$132</f>
        <v>1</v>
      </c>
      <c r="R154" s="169">
        <f>COUNTIFS(Table913[Prodi],$P$130,Table913[G1],R$133)/$P$132</f>
        <v>0</v>
      </c>
      <c r="S154" s="169">
        <f>COUNTIFS(Table913[Prodi],$P$130,Table913[G1],S$133)/$P$132</f>
        <v>0</v>
      </c>
      <c r="T154" s="62">
        <f t="shared" ref="T154:T173" si="12">SUM(P154:S154)</f>
        <v>1</v>
      </c>
      <c r="U154"/>
      <c r="V154" s="168" t="s">
        <v>40</v>
      </c>
      <c r="W154" s="169">
        <f>COUNTIFS(Table913[Prodi],$W$130,Table913[G1],W$133)/$W$132</f>
        <v>0</v>
      </c>
      <c r="X154" s="169">
        <f>COUNTIFS(Table913[Prodi],$W$130,Table913[G1],X$133)/$W$132</f>
        <v>1</v>
      </c>
      <c r="Y154" s="169">
        <f>COUNTIFS(Table913[Prodi],$W$130,Table913[G1],Y$133)/$W$132</f>
        <v>0</v>
      </c>
      <c r="Z154" s="169">
        <f>COUNTIFS(Table913[Prodi],$W$130,Table913[G1],Z$133)/$W$132</f>
        <v>0</v>
      </c>
      <c r="AA154" s="62">
        <f t="shared" ref="AA154:AA173" si="13">SUM(W154:Z154)</f>
        <v>1</v>
      </c>
      <c r="AB154"/>
      <c r="AC154"/>
      <c r="AD154"/>
      <c r="AE154"/>
      <c r="AF154"/>
      <c r="AG154"/>
      <c r="AH154"/>
      <c r="AI154"/>
      <c r="AJ154"/>
      <c r="AK154"/>
      <c r="AL154"/>
      <c r="AM154"/>
      <c r="AN154"/>
      <c r="AO154"/>
      <c r="AP154"/>
      <c r="AQ154"/>
      <c r="AR154"/>
    </row>
    <row r="155" spans="1:44" s="118" customFormat="1" ht="16.5" x14ac:dyDescent="0.3">
      <c r="A155" s="172" t="s">
        <v>41</v>
      </c>
      <c r="B155" s="169">
        <f>COUNTIF(Table913[G2],B$133)/$B$132</f>
        <v>0.4</v>
      </c>
      <c r="C155" s="169">
        <f>COUNTIF(Table913[G2],C$133)/$B$132</f>
        <v>0.6</v>
      </c>
      <c r="D155" s="169">
        <f>COUNTIF(Table913[G2],D$133)/$B$132</f>
        <v>0</v>
      </c>
      <c r="E155" s="169">
        <f>COUNTIF(Table913[G2],E$133)/$B$132</f>
        <v>0</v>
      </c>
      <c r="F155" s="62">
        <f t="shared" si="7"/>
        <v>1</v>
      </c>
      <c r="H155" s="172" t="s">
        <v>41</v>
      </c>
      <c r="I155" s="169">
        <f>COUNTIFS(Table913[Prodi],"S1 Desain Komunikasi Visual",Table913[G2],I$133)/$I$132</f>
        <v>0.45161290322580644</v>
      </c>
      <c r="J155" s="169">
        <f>COUNTIFS(Table913[Prodi],"S1 Desain Komunikasi Visual",Table913[G2],J$133)/$I$132</f>
        <v>0.54838709677419351</v>
      </c>
      <c r="K155" s="169">
        <f>COUNTIFS(Table913[Prodi],"S1 Desain Komunikasi Visual",Table913[G2],K$133)/$I$132</f>
        <v>0</v>
      </c>
      <c r="L155" s="169">
        <f>COUNTIFS(Table913[Prodi],"S1 Desain Komunikasi Visual",Table913[G2],L$133)/$I$132</f>
        <v>0</v>
      </c>
      <c r="M155" s="62">
        <f t="shared" si="11"/>
        <v>1</v>
      </c>
      <c r="O155" s="172" t="s">
        <v>41</v>
      </c>
      <c r="P155" s="169">
        <f>COUNTIFS(Table913[Prodi],$P$130,Table913[G2],P$133)/$P$132</f>
        <v>0</v>
      </c>
      <c r="Q155" s="169">
        <f>COUNTIFS(Table913[Prodi],$P$130,Table913[G2],Q$133)/$P$132</f>
        <v>1</v>
      </c>
      <c r="R155" s="169">
        <f>COUNTIFS(Table913[Prodi],$P$130,Table913[G2],R$133)/$P$132</f>
        <v>0</v>
      </c>
      <c r="S155" s="169">
        <f>COUNTIFS(Table913[Prodi],$P$130,Table913[G2],S$133)/$P$132</f>
        <v>0</v>
      </c>
      <c r="T155" s="62">
        <f t="shared" si="12"/>
        <v>1</v>
      </c>
      <c r="U155"/>
      <c r="V155" s="172" t="s">
        <v>41</v>
      </c>
      <c r="W155" s="169">
        <f>COUNTIFS(Table913[Prodi],$W$130,Table913[G2],W$133)/$W$132</f>
        <v>0</v>
      </c>
      <c r="X155" s="169">
        <f>COUNTIFS(Table913[Prodi],$W$130,Table913[G2],X$133)/$W$132</f>
        <v>1</v>
      </c>
      <c r="Y155" s="169">
        <f>COUNTIFS(Table913[Prodi],$W$130,Table913[G2],Y$133)/$W$132</f>
        <v>0</v>
      </c>
      <c r="Z155" s="169">
        <f>COUNTIFS(Table913[Prodi],$W$130,Table913[G2],Z$133)/$W$132</f>
        <v>0</v>
      </c>
      <c r="AA155" s="62">
        <f t="shared" si="13"/>
        <v>1</v>
      </c>
      <c r="AB155"/>
      <c r="AC155"/>
      <c r="AD155"/>
      <c r="AE155"/>
      <c r="AF155"/>
      <c r="AG155"/>
      <c r="AH155"/>
      <c r="AI155"/>
      <c r="AJ155"/>
      <c r="AK155"/>
      <c r="AL155"/>
      <c r="AM155"/>
      <c r="AN155"/>
      <c r="AO155"/>
      <c r="AP155"/>
      <c r="AQ155"/>
      <c r="AR155"/>
    </row>
    <row r="156" spans="1:44" s="118" customFormat="1" ht="16.5" x14ac:dyDescent="0.3">
      <c r="A156" s="168" t="s">
        <v>1172</v>
      </c>
      <c r="B156" s="169">
        <f>COUNTIF(Table913[G3],B$133)/$B$132</f>
        <v>0.54285714285714282</v>
      </c>
      <c r="C156" s="169">
        <f>COUNTIF(Table913[G3],C$133)/$B$132</f>
        <v>0.45714285714285713</v>
      </c>
      <c r="D156" s="169">
        <f>COUNTIF(Table913[G3],D$133)/$B$132</f>
        <v>0</v>
      </c>
      <c r="E156" s="169">
        <f>COUNTIF(Table913[G3],E$133)/$B$132</f>
        <v>0</v>
      </c>
      <c r="F156" s="62">
        <f t="shared" si="7"/>
        <v>1</v>
      </c>
      <c r="H156" s="168" t="s">
        <v>1172</v>
      </c>
      <c r="I156" s="169">
        <f>COUNTIFS(Table913[Prodi],"S1 Desain Komunikasi Visual",Table913[G3],I$133)/$I$132</f>
        <v>0.61290322580645162</v>
      </c>
      <c r="J156" s="169">
        <f>COUNTIFS(Table913[Prodi],"S1 Desain Komunikasi Visual",Table913[G3],J$133)/$I$132</f>
        <v>0.38709677419354838</v>
      </c>
      <c r="K156" s="169">
        <f>COUNTIFS(Table913[Prodi],"S1 Desain Komunikasi Visual",Table913[G3],K$133)/$I$132</f>
        <v>0</v>
      </c>
      <c r="L156" s="169">
        <f>COUNTIFS(Table913[Prodi],"S1 Desain Komunikasi Visual",Table913[G3],L$133)/$I$132</f>
        <v>0</v>
      </c>
      <c r="M156" s="62">
        <f t="shared" si="11"/>
        <v>1</v>
      </c>
      <c r="O156" s="168" t="s">
        <v>1172</v>
      </c>
      <c r="P156" s="169">
        <f>COUNTIFS(Table913[Prodi],$P$130,Table913[G3],P$133)/$P$132</f>
        <v>0</v>
      </c>
      <c r="Q156" s="169">
        <f>COUNTIFS(Table913[Prodi],$P$130,Table913[G3],Q$133)/$P$132</f>
        <v>1</v>
      </c>
      <c r="R156" s="169">
        <f>COUNTIFS(Table913[Prodi],$P$130,Table913[G3],R$133)/$P$132</f>
        <v>0</v>
      </c>
      <c r="S156" s="169">
        <f>COUNTIFS(Table913[Prodi],$P$130,Table913[G3],S$133)/$P$132</f>
        <v>0</v>
      </c>
      <c r="T156" s="62">
        <f t="shared" si="12"/>
        <v>1</v>
      </c>
      <c r="U156"/>
      <c r="V156" s="168" t="s">
        <v>1172</v>
      </c>
      <c r="W156" s="169">
        <f>COUNTIFS(Table913[Prodi],$W$130,Table913[G3],W$133)/$W$132</f>
        <v>0</v>
      </c>
      <c r="X156" s="169">
        <f>COUNTIFS(Table913[Prodi],$W$130,Table913[G3],X$133)/$W$132</f>
        <v>1</v>
      </c>
      <c r="Y156" s="169">
        <f>COUNTIFS(Table913[Prodi],$W$130,Table913[G3],Y$133)/$W$132</f>
        <v>0</v>
      </c>
      <c r="Z156" s="169">
        <f>COUNTIFS(Table913[Prodi],$W$130,Table913[G3],Z$133)/$W$132</f>
        <v>0</v>
      </c>
      <c r="AA156" s="62">
        <f t="shared" si="13"/>
        <v>1</v>
      </c>
      <c r="AB156"/>
      <c r="AC156"/>
      <c r="AD156"/>
      <c r="AE156"/>
      <c r="AF156"/>
      <c r="AG156"/>
      <c r="AH156"/>
      <c r="AI156"/>
      <c r="AJ156"/>
      <c r="AK156"/>
      <c r="AL156"/>
      <c r="AM156"/>
      <c r="AN156"/>
      <c r="AO156"/>
      <c r="AP156"/>
      <c r="AQ156"/>
      <c r="AR156"/>
    </row>
    <row r="157" spans="1:44" s="118" customFormat="1" ht="16.5" x14ac:dyDescent="0.3">
      <c r="A157" s="171"/>
      <c r="B157" s="61">
        <f>AVERAGE(B154:B156)</f>
        <v>0.44761904761904764</v>
      </c>
      <c r="C157" s="61">
        <f>AVERAGE(C154:C156)</f>
        <v>0.55238095238095231</v>
      </c>
      <c r="D157" s="61">
        <f>AVERAGE(D154:D156)</f>
        <v>0</v>
      </c>
      <c r="E157" s="61">
        <f>AVERAGE(E154:E156)</f>
        <v>0</v>
      </c>
      <c r="F157" s="62">
        <f t="shared" si="7"/>
        <v>1</v>
      </c>
      <c r="H157" s="171"/>
      <c r="I157" s="61">
        <f>AVERAGE(I154:I156)</f>
        <v>0.5053763440860215</v>
      </c>
      <c r="J157" s="61">
        <f>AVERAGE(J154:J156)</f>
        <v>0.4946236559139785</v>
      </c>
      <c r="K157" s="61">
        <f>AVERAGE(K154:K156)</f>
        <v>0</v>
      </c>
      <c r="L157" s="61">
        <f>AVERAGE(L154:L156)</f>
        <v>0</v>
      </c>
      <c r="M157" s="62">
        <f t="shared" si="11"/>
        <v>1</v>
      </c>
      <c r="O157" s="171"/>
      <c r="P157" s="61">
        <f>AVERAGE(P154:P156)</f>
        <v>0</v>
      </c>
      <c r="Q157" s="61">
        <f>AVERAGE(Q154:Q156)</f>
        <v>1</v>
      </c>
      <c r="R157" s="61">
        <f>AVERAGE(R154:R156)</f>
        <v>0</v>
      </c>
      <c r="S157" s="61">
        <f>AVERAGE(S154:S156)</f>
        <v>0</v>
      </c>
      <c r="T157" s="62">
        <f t="shared" si="12"/>
        <v>1</v>
      </c>
      <c r="U157"/>
      <c r="V157" s="171"/>
      <c r="W157" s="61">
        <f>AVERAGE(W154:W156)</f>
        <v>0</v>
      </c>
      <c r="X157" s="61">
        <f>AVERAGE(X154:X156)</f>
        <v>1</v>
      </c>
      <c r="Y157" s="61">
        <f>AVERAGE(Y154:Y156)</f>
        <v>0</v>
      </c>
      <c r="Z157" s="61">
        <f>AVERAGE(Z154:Z156)</f>
        <v>0</v>
      </c>
      <c r="AA157" s="62">
        <f t="shared" si="13"/>
        <v>1</v>
      </c>
      <c r="AB157"/>
      <c r="AC157"/>
      <c r="AD157"/>
      <c r="AE157"/>
      <c r="AF157"/>
      <c r="AG157"/>
      <c r="AH157"/>
      <c r="AI157"/>
      <c r="AJ157"/>
      <c r="AK157"/>
      <c r="AL157"/>
      <c r="AM157"/>
      <c r="AN157"/>
      <c r="AO157"/>
      <c r="AP157"/>
      <c r="AQ157"/>
      <c r="AR157"/>
    </row>
    <row r="158" spans="1:44" s="118" customFormat="1" ht="16.5" x14ac:dyDescent="0.3">
      <c r="A158" s="168" t="s">
        <v>42</v>
      </c>
      <c r="B158" s="169">
        <f>COUNTIF(Table913[H1],B$133)/$B$132</f>
        <v>0.25714285714285712</v>
      </c>
      <c r="C158" s="169">
        <f>COUNTIF(Table913[H1],C$133)/$B$132</f>
        <v>0.74285714285714288</v>
      </c>
      <c r="D158" s="169">
        <f>COUNTIF(Table913[H1],D$133)/$B$132</f>
        <v>0</v>
      </c>
      <c r="E158" s="169">
        <f>COUNTIF(Table913[H1],E$133)/$B$132</f>
        <v>0</v>
      </c>
      <c r="F158" s="62">
        <f t="shared" si="7"/>
        <v>1</v>
      </c>
      <c r="H158" s="168" t="s">
        <v>42</v>
      </c>
      <c r="I158" s="169">
        <f>COUNTIFS(Table913[Prodi],"S1 Desain Komunikasi Visual",Table913[H1],I$133)/$I$132</f>
        <v>0.29032258064516131</v>
      </c>
      <c r="J158" s="169">
        <f>COUNTIFS(Table913[Prodi],"S1 Desain Komunikasi Visual",Table913[H1],J$133)/$I$132</f>
        <v>0.70967741935483875</v>
      </c>
      <c r="K158" s="169">
        <f>COUNTIFS(Table913[Prodi],"S1 Desain Komunikasi Visual",Table913[H1],K$133)/$I$132</f>
        <v>0</v>
      </c>
      <c r="L158" s="169">
        <f>COUNTIFS(Table913[Prodi],"S1 Desain Komunikasi Visual",Table913[H1],L$133)/$I$132</f>
        <v>0</v>
      </c>
      <c r="M158" s="62">
        <f t="shared" si="11"/>
        <v>1</v>
      </c>
      <c r="O158" s="168" t="s">
        <v>42</v>
      </c>
      <c r="P158" s="169">
        <f>COUNTIFS(Table913[Prodi],$P$130,Table913[H1],P$133)/$P$132</f>
        <v>0</v>
      </c>
      <c r="Q158" s="169">
        <f>COUNTIFS(Table913[Prodi],$P$130,Table913[H1],Q$133)/$P$132</f>
        <v>1</v>
      </c>
      <c r="R158" s="169">
        <f>COUNTIFS(Table913[Prodi],$P$130,Table913[H1],R$133)/$P$132</f>
        <v>0</v>
      </c>
      <c r="S158" s="169">
        <f>COUNTIFS(Table913[Prodi],$P$130,Table913[H1],S$133)/$P$132</f>
        <v>0</v>
      </c>
      <c r="T158" s="62">
        <f t="shared" si="12"/>
        <v>1</v>
      </c>
      <c r="U158"/>
      <c r="V158" s="168" t="s">
        <v>42</v>
      </c>
      <c r="W158" s="169">
        <f>COUNTIFS(Table913[Prodi],$W$130,Table913[H1],W$133)/$W$132</f>
        <v>0</v>
      </c>
      <c r="X158" s="169">
        <f>COUNTIFS(Table913[Prodi],$W$130,Table913[H1],X$133)/$W$132</f>
        <v>1</v>
      </c>
      <c r="Y158" s="169">
        <f>COUNTIFS(Table913[Prodi],$W$130,Table913[H1],Y$133)/$W$132</f>
        <v>0</v>
      </c>
      <c r="Z158" s="169">
        <f>COUNTIFS(Table913[Prodi],$W$130,Table913[H1],Z$133)/$W$132</f>
        <v>0</v>
      </c>
      <c r="AA158" s="62">
        <f t="shared" si="13"/>
        <v>1</v>
      </c>
      <c r="AB158"/>
      <c r="AC158"/>
      <c r="AD158"/>
      <c r="AE158"/>
      <c r="AF158"/>
      <c r="AG158"/>
      <c r="AH158"/>
      <c r="AI158"/>
      <c r="AJ158"/>
      <c r="AK158"/>
      <c r="AL158"/>
      <c r="AM158"/>
      <c r="AN158"/>
      <c r="AO158"/>
      <c r="AP158"/>
      <c r="AQ158"/>
      <c r="AR158"/>
    </row>
    <row r="159" spans="1:44" s="118" customFormat="1" ht="16.5" x14ac:dyDescent="0.3">
      <c r="A159" s="172" t="s">
        <v>43</v>
      </c>
      <c r="B159" s="169">
        <f>COUNTIF(Table913[H2],B$133)/$B$132</f>
        <v>0.31428571428571428</v>
      </c>
      <c r="C159" s="169">
        <f>COUNTIF(Table913[H2],C$133)/$B$132</f>
        <v>0.65714285714285714</v>
      </c>
      <c r="D159" s="169">
        <f>COUNTIF(Table913[H2],D$133)/$B$132</f>
        <v>2.8571428571428571E-2</v>
      </c>
      <c r="E159" s="169">
        <f>COUNTIF(Table913[H2],E$133)/$B$132</f>
        <v>0</v>
      </c>
      <c r="F159" s="62">
        <f t="shared" si="7"/>
        <v>1</v>
      </c>
      <c r="H159" s="172" t="s">
        <v>43</v>
      </c>
      <c r="I159" s="169">
        <f>COUNTIFS(Table913[Prodi],"S1 Desain Komunikasi Visual",Table913[H2],I$133)/$I$132</f>
        <v>0.22580645161290322</v>
      </c>
      <c r="J159" s="169">
        <f>COUNTIFS(Table913[Prodi],"S1 Desain Komunikasi Visual",Table913[H2],J$133)/$I$132</f>
        <v>0.74193548387096775</v>
      </c>
      <c r="K159" s="169">
        <f>COUNTIFS(Table913[Prodi],"S1 Desain Komunikasi Visual",Table913[H2],K$133)/$I$132</f>
        <v>3.2258064516129031E-2</v>
      </c>
      <c r="L159" s="169">
        <f>COUNTIFS(Table913[Prodi],"S1 Desain Komunikasi Visual",Table913[H2],L$133)/$I$132</f>
        <v>0</v>
      </c>
      <c r="M159" s="62">
        <f t="shared" si="11"/>
        <v>1</v>
      </c>
      <c r="O159" s="172" t="s">
        <v>43</v>
      </c>
      <c r="P159" s="169">
        <f>COUNTIFS(Table913[Prodi],$P$130,Table913[H2],P$133)/$P$132</f>
        <v>1</v>
      </c>
      <c r="Q159" s="169">
        <f>COUNTIFS(Table913[Prodi],$P$130,Table913[H2],Q$133)/$P$132</f>
        <v>0</v>
      </c>
      <c r="R159" s="169">
        <f>COUNTIFS(Table913[Prodi],$P$130,Table913[H2],R$133)/$P$132</f>
        <v>0</v>
      </c>
      <c r="S159" s="169">
        <f>COUNTIFS(Table913[Prodi],$P$130,Table913[H2],S$133)/$P$132</f>
        <v>0</v>
      </c>
      <c r="T159" s="62">
        <f t="shared" si="12"/>
        <v>1</v>
      </c>
      <c r="U159"/>
      <c r="V159" s="172" t="s">
        <v>43</v>
      </c>
      <c r="W159" s="169">
        <f>COUNTIFS(Table913[Prodi],$W$130,Table913[H2],W$133)/$W$132</f>
        <v>1</v>
      </c>
      <c r="X159" s="169">
        <f>COUNTIFS(Table913[Prodi],$W$130,Table913[H2],X$133)/$W$132</f>
        <v>0</v>
      </c>
      <c r="Y159" s="169">
        <f>COUNTIFS(Table913[Prodi],$W$130,Table913[H2],Y$133)/$W$132</f>
        <v>0</v>
      </c>
      <c r="Z159" s="169">
        <f>COUNTIFS(Table913[Prodi],$W$130,Table913[H2],Z$133)/$W$132</f>
        <v>0</v>
      </c>
      <c r="AA159" s="62">
        <f t="shared" si="13"/>
        <v>1</v>
      </c>
      <c r="AB159"/>
      <c r="AC159"/>
      <c r="AD159"/>
      <c r="AE159"/>
      <c r="AF159"/>
      <c r="AG159"/>
      <c r="AH159"/>
      <c r="AI159"/>
      <c r="AJ159"/>
      <c r="AK159"/>
      <c r="AL159"/>
      <c r="AM159"/>
      <c r="AN159"/>
      <c r="AO159"/>
      <c r="AP159"/>
      <c r="AQ159"/>
      <c r="AR159"/>
    </row>
    <row r="160" spans="1:44" s="118" customFormat="1" ht="16.5" x14ac:dyDescent="0.3">
      <c r="A160" s="168" t="s">
        <v>44</v>
      </c>
      <c r="B160" s="169">
        <f>COUNTIF(Table913[H3],B$133)/$B$132</f>
        <v>0.51428571428571423</v>
      </c>
      <c r="C160" s="169">
        <f>COUNTIF(Table913[H3],C$133)/$B$132</f>
        <v>0.45714285714285713</v>
      </c>
      <c r="D160" s="169">
        <f>COUNTIF(Table913[H3],D$133)/$B$132</f>
        <v>2.8571428571428571E-2</v>
      </c>
      <c r="E160" s="169">
        <f>COUNTIF(Table913[H3],E$133)/$B$132</f>
        <v>0</v>
      </c>
      <c r="F160" s="62">
        <f t="shared" si="7"/>
        <v>0.99999999999999989</v>
      </c>
      <c r="H160" s="168" t="s">
        <v>44</v>
      </c>
      <c r="I160" s="169">
        <f>COUNTIFS(Table913[Prodi],"S1 Desain Komunikasi Visual",Table913[H3],I$133)/$I$132</f>
        <v>0.45161290322580644</v>
      </c>
      <c r="J160" s="169">
        <f>COUNTIFS(Table913[Prodi],"S1 Desain Komunikasi Visual",Table913[H3],J$133)/$I$132</f>
        <v>0.5161290322580645</v>
      </c>
      <c r="K160" s="169">
        <f>COUNTIFS(Table913[Prodi],"S1 Desain Komunikasi Visual",Table913[H3],K$133)/$I$132</f>
        <v>3.2258064516129031E-2</v>
      </c>
      <c r="L160" s="169">
        <f>COUNTIFS(Table913[Prodi],"S1 Desain Komunikasi Visual",Table913[H3],L$133)/$I$132</f>
        <v>0</v>
      </c>
      <c r="M160" s="62">
        <f t="shared" si="11"/>
        <v>1</v>
      </c>
      <c r="O160" s="168" t="s">
        <v>44</v>
      </c>
      <c r="P160" s="169">
        <f>COUNTIFS(Table913[Prodi],$P$130,Table913[H3],P$133)/$P$132</f>
        <v>1</v>
      </c>
      <c r="Q160" s="169">
        <f>COUNTIFS(Table913[Prodi],$P$130,Table913[H3],Q$133)/$P$132</f>
        <v>0</v>
      </c>
      <c r="R160" s="169">
        <f>COUNTIFS(Table913[Prodi],$P$130,Table913[H3],R$133)/$P$132</f>
        <v>0</v>
      </c>
      <c r="S160" s="169">
        <f>COUNTIFS(Table913[Prodi],$P$130,Table913[H3],S$133)/$P$132</f>
        <v>0</v>
      </c>
      <c r="T160" s="62">
        <f t="shared" si="12"/>
        <v>1</v>
      </c>
      <c r="U160"/>
      <c r="V160" s="168" t="s">
        <v>44</v>
      </c>
      <c r="W160" s="169">
        <f>COUNTIFS(Table913[Prodi],$W$130,Table913[H3],W$133)/$W$132</f>
        <v>1</v>
      </c>
      <c r="X160" s="169">
        <f>COUNTIFS(Table913[Prodi],$W$130,Table913[H3],X$133)/$W$132</f>
        <v>0</v>
      </c>
      <c r="Y160" s="169">
        <f>COUNTIFS(Table913[Prodi],$W$130,Table913[H3],Y$133)/$W$132</f>
        <v>0</v>
      </c>
      <c r="Z160" s="169">
        <f>COUNTIFS(Table913[Prodi],$W$130,Table913[H3],Z$133)/$W$132</f>
        <v>0</v>
      </c>
      <c r="AA160" s="62">
        <f t="shared" si="13"/>
        <v>1</v>
      </c>
      <c r="AB160"/>
      <c r="AC160"/>
      <c r="AD160"/>
      <c r="AE160"/>
      <c r="AF160"/>
      <c r="AG160"/>
      <c r="AH160"/>
      <c r="AI160"/>
      <c r="AJ160"/>
      <c r="AK160"/>
      <c r="AL160"/>
      <c r="AM160"/>
      <c r="AN160"/>
      <c r="AO160"/>
      <c r="AP160"/>
      <c r="AQ160"/>
      <c r="AR160"/>
    </row>
    <row r="161" spans="1:44" s="118" customFormat="1" ht="16.5" x14ac:dyDescent="0.3">
      <c r="A161" s="168" t="s">
        <v>45</v>
      </c>
      <c r="B161" s="169">
        <f>COUNTIF(Table913[H4],B$133)/$B$132</f>
        <v>0.45714285714285713</v>
      </c>
      <c r="C161" s="169">
        <f>COUNTIF(Table913[H4],C$133)/$B$132</f>
        <v>0.37142857142857144</v>
      </c>
      <c r="D161" s="169">
        <f>COUNTIF(Table913[H4],D$133)/$B$132</f>
        <v>0.17142857142857143</v>
      </c>
      <c r="E161" s="169">
        <f>COUNTIF(Table913[H4],E$133)/$B$132</f>
        <v>0</v>
      </c>
      <c r="F161" s="62">
        <f t="shared" si="7"/>
        <v>1</v>
      </c>
      <c r="H161" s="168" t="s">
        <v>45</v>
      </c>
      <c r="I161" s="169">
        <f>COUNTIFS(Table913[Prodi],"S1 Desain Komunikasi Visual",Table913[H4],I$133)/$I$132</f>
        <v>0.5161290322580645</v>
      </c>
      <c r="J161" s="169">
        <f>COUNTIFS(Table913[Prodi],"S1 Desain Komunikasi Visual",Table913[H4],J$133)/$I$132</f>
        <v>0.38709677419354838</v>
      </c>
      <c r="K161" s="169">
        <f>COUNTIFS(Table913[Prodi],"S1 Desain Komunikasi Visual",Table913[H4],K$133)/$I$132</f>
        <v>9.6774193548387094E-2</v>
      </c>
      <c r="L161" s="169">
        <f>COUNTIFS(Table913[Prodi],"S1 Desain Komunikasi Visual",Table913[H4],L$133)/$I$132</f>
        <v>0</v>
      </c>
      <c r="M161" s="62">
        <f t="shared" si="11"/>
        <v>1</v>
      </c>
      <c r="O161" s="168" t="s">
        <v>45</v>
      </c>
      <c r="P161" s="169">
        <f>COUNTIFS(Table913[Prodi],$P$130,Table913[H4],P$133)/$P$132</f>
        <v>0</v>
      </c>
      <c r="Q161" s="169">
        <f>COUNTIFS(Table913[Prodi],$P$130,Table913[H4],Q$133)/$P$132</f>
        <v>0.33333333333333331</v>
      </c>
      <c r="R161" s="169">
        <f>COUNTIFS(Table913[Prodi],$P$130,Table913[H4],R$133)/$P$132</f>
        <v>0.66666666666666663</v>
      </c>
      <c r="S161" s="169">
        <f>COUNTIFS(Table913[Prodi],$P$130,Table913[H4],S$133)/$P$132</f>
        <v>0</v>
      </c>
      <c r="T161" s="62">
        <f t="shared" si="12"/>
        <v>1</v>
      </c>
      <c r="U161"/>
      <c r="V161" s="168" t="s">
        <v>45</v>
      </c>
      <c r="W161" s="169">
        <f>COUNTIFS(Table913[Prodi],$W$130,Table913[H4],W$133)/$W$132</f>
        <v>0</v>
      </c>
      <c r="X161" s="169">
        <f>COUNTIFS(Table913[Prodi],$W$130,Table913[H4],X$133)/$W$132</f>
        <v>0</v>
      </c>
      <c r="Y161" s="169">
        <f>COUNTIFS(Table913[Prodi],$W$130,Table913[H4],Y$133)/$W$132</f>
        <v>1</v>
      </c>
      <c r="Z161" s="169">
        <f>COUNTIFS(Table913[Prodi],$W$130,Table913[H4],Z$133)/$W$132</f>
        <v>0</v>
      </c>
      <c r="AA161" s="62">
        <f t="shared" si="13"/>
        <v>1</v>
      </c>
      <c r="AB161"/>
      <c r="AC161"/>
      <c r="AD161"/>
      <c r="AE161"/>
      <c r="AF161"/>
      <c r="AG161"/>
      <c r="AH161"/>
      <c r="AI161"/>
      <c r="AJ161"/>
      <c r="AK161"/>
      <c r="AL161"/>
      <c r="AM161"/>
      <c r="AN161"/>
      <c r="AO161"/>
      <c r="AP161"/>
      <c r="AQ161"/>
      <c r="AR161"/>
    </row>
    <row r="162" spans="1:44" s="118" customFormat="1" ht="16.5" x14ac:dyDescent="0.3">
      <c r="A162" s="171"/>
      <c r="B162" s="61">
        <f>AVERAGE(B158:B161)</f>
        <v>0.38571428571428568</v>
      </c>
      <c r="C162" s="61">
        <f>AVERAGE(C158:C161)</f>
        <v>0.55714285714285716</v>
      </c>
      <c r="D162" s="61">
        <f>AVERAGE(D158:D161)</f>
        <v>5.7142857142857141E-2</v>
      </c>
      <c r="E162" s="61">
        <f>AVERAGE(E158:E161)</f>
        <v>0</v>
      </c>
      <c r="F162" s="62">
        <f t="shared" si="7"/>
        <v>1</v>
      </c>
      <c r="H162" s="171"/>
      <c r="I162" s="61">
        <f>AVERAGE(I158:I161)</f>
        <v>0.37096774193548387</v>
      </c>
      <c r="J162" s="61">
        <f>AVERAGE(J158:J161)</f>
        <v>0.58870967741935487</v>
      </c>
      <c r="K162" s="61">
        <f>AVERAGE(K158:K161)</f>
        <v>4.0322580645161289E-2</v>
      </c>
      <c r="L162" s="61">
        <f>AVERAGE(L158:L161)</f>
        <v>0</v>
      </c>
      <c r="M162" s="62">
        <f t="shared" si="11"/>
        <v>1</v>
      </c>
      <c r="O162" s="171"/>
      <c r="P162" s="61">
        <f>AVERAGE(P158:P161)</f>
        <v>0.5</v>
      </c>
      <c r="Q162" s="61">
        <f>AVERAGE(Q158:Q161)</f>
        <v>0.33333333333333331</v>
      </c>
      <c r="R162" s="61">
        <f>AVERAGE(R158:R161)</f>
        <v>0.16666666666666666</v>
      </c>
      <c r="S162" s="61">
        <f>AVERAGE(S158:S161)</f>
        <v>0</v>
      </c>
      <c r="T162" s="62">
        <f t="shared" si="12"/>
        <v>0.99999999999999989</v>
      </c>
      <c r="U162"/>
      <c r="V162" s="171"/>
      <c r="W162" s="61">
        <f>AVERAGE(W158:W161)</f>
        <v>0.5</v>
      </c>
      <c r="X162" s="61">
        <f>AVERAGE(X158:X161)</f>
        <v>0.25</v>
      </c>
      <c r="Y162" s="61">
        <f>AVERAGE(Y158:Y161)</f>
        <v>0.25</v>
      </c>
      <c r="Z162" s="61">
        <f>AVERAGE(Z158:Z161)</f>
        <v>0</v>
      </c>
      <c r="AA162" s="62">
        <f t="shared" si="13"/>
        <v>1</v>
      </c>
      <c r="AB162"/>
      <c r="AC162"/>
      <c r="AD162"/>
      <c r="AE162"/>
      <c r="AF162"/>
      <c r="AG162"/>
      <c r="AH162"/>
      <c r="AI162"/>
      <c r="AJ162"/>
      <c r="AK162"/>
      <c r="AL162"/>
      <c r="AM162"/>
      <c r="AN162"/>
      <c r="AO162"/>
      <c r="AP162"/>
      <c r="AQ162"/>
      <c r="AR162"/>
    </row>
    <row r="163" spans="1:44" s="118" customFormat="1" ht="16.5" x14ac:dyDescent="0.3">
      <c r="A163" s="168" t="s">
        <v>1175</v>
      </c>
      <c r="B163" s="169">
        <f>COUNTIF(Table913[I1.1],B$133)/$B$132</f>
        <v>0</v>
      </c>
      <c r="C163" s="169">
        <f>COUNTIF(Table913[I1.1],C$133)/$B$132</f>
        <v>0.97142857142857142</v>
      </c>
      <c r="D163" s="169">
        <f>COUNTIF(Table913[I1.1],D$133)/$B$132</f>
        <v>0</v>
      </c>
      <c r="E163" s="169">
        <f>COUNTIF(Table913[I1.1],E$133)/$B$132</f>
        <v>2.8571428571428571E-2</v>
      </c>
      <c r="F163" s="62">
        <f t="shared" si="7"/>
        <v>1</v>
      </c>
      <c r="H163" s="168" t="s">
        <v>1175</v>
      </c>
      <c r="I163" s="169">
        <f>COUNTIFS(Table913[Prodi],"S1 Desain Komunikasi Visual",Table913[I1.1],I$133)/$I$132</f>
        <v>0</v>
      </c>
      <c r="J163" s="169">
        <f>COUNTIFS(Table913[Prodi],"S1 Desain Komunikasi Visual",Table913[I1.1],J$133)/$I$132</f>
        <v>0.967741935483871</v>
      </c>
      <c r="K163" s="169">
        <f>COUNTIFS(Table913[Prodi],"S1 Desain Komunikasi Visual",Table913[I1.1],K$133)/$I$132</f>
        <v>0</v>
      </c>
      <c r="L163" s="169">
        <f>COUNTIFS(Table913[Prodi],"S1 Desain Komunikasi Visual",Table913[I1.1],L$133)/$I$132</f>
        <v>3.2258064516129031E-2</v>
      </c>
      <c r="M163" s="62">
        <f t="shared" si="11"/>
        <v>1</v>
      </c>
      <c r="O163" s="168" t="s">
        <v>1175</v>
      </c>
      <c r="P163" s="169">
        <f>COUNTIFS(Table913[Prodi],$P$130,Table913[I1.1],P$133)/$P$132</f>
        <v>0</v>
      </c>
      <c r="Q163" s="169">
        <f>COUNTIFS(Table913[Prodi],$P$130,Table913[I1.1],Q$133)/$P$132</f>
        <v>1</v>
      </c>
      <c r="R163" s="169">
        <f>COUNTIFS(Table913[Prodi],$P$130,Table913[I1.1],R$133)/$P$132</f>
        <v>0</v>
      </c>
      <c r="S163" s="169">
        <f>COUNTIFS(Table913[Prodi],$P$130,Table913[I1.1],S$133)/$P$132</f>
        <v>0</v>
      </c>
      <c r="T163" s="62">
        <f t="shared" si="12"/>
        <v>1</v>
      </c>
      <c r="U163"/>
      <c r="V163" s="168" t="s">
        <v>1175</v>
      </c>
      <c r="W163" s="169">
        <f>COUNTIFS(Table913[Prodi],$W$130,Table913[I1.1],W$133)/$W$132</f>
        <v>0</v>
      </c>
      <c r="X163" s="169">
        <f>COUNTIFS(Table913[Prodi],$W$130,Table913[I1.1],X$133)/$W$132</f>
        <v>1</v>
      </c>
      <c r="Y163" s="169">
        <f>COUNTIFS(Table913[Prodi],$W$130,Table913[I1.1],Y$133)/$W$132</f>
        <v>0</v>
      </c>
      <c r="Z163" s="169">
        <f>COUNTIFS(Table913[Prodi],$W$130,Table913[I1.1],Z$133)/$W$132</f>
        <v>0</v>
      </c>
      <c r="AA163" s="62">
        <f t="shared" si="13"/>
        <v>1</v>
      </c>
      <c r="AB163"/>
      <c r="AC163"/>
      <c r="AD163"/>
      <c r="AE163"/>
      <c r="AF163"/>
      <c r="AG163"/>
      <c r="AH163"/>
      <c r="AI163"/>
      <c r="AJ163"/>
      <c r="AK163"/>
      <c r="AL163"/>
      <c r="AM163"/>
      <c r="AN163"/>
      <c r="AO163"/>
      <c r="AP163"/>
      <c r="AQ163"/>
      <c r="AR163"/>
    </row>
    <row r="164" spans="1:44" s="118" customFormat="1" ht="16.5" x14ac:dyDescent="0.3">
      <c r="A164" s="172" t="s">
        <v>1176</v>
      </c>
      <c r="B164" s="169">
        <f>COUNTIF(Table913[I1.2],B$133)/$B$132</f>
        <v>0</v>
      </c>
      <c r="C164" s="169">
        <f>COUNTIF(Table913[I1.2],C$133)/$B$132</f>
        <v>0.97142857142857142</v>
      </c>
      <c r="D164" s="169">
        <f>COUNTIF(Table913[I1.2],D$133)/$B$132</f>
        <v>0</v>
      </c>
      <c r="E164" s="169">
        <f>COUNTIF(Table913[I1.2],E$133)/$B$132</f>
        <v>2.8571428571428571E-2</v>
      </c>
      <c r="F164" s="62">
        <f t="shared" si="7"/>
        <v>1</v>
      </c>
      <c r="H164" s="172" t="s">
        <v>1176</v>
      </c>
      <c r="I164" s="169">
        <f>COUNTIFS(Table913[Prodi],"S1 Desain Komunikasi Visual",Table913[I1.2],I$133)/$I$132</f>
        <v>0</v>
      </c>
      <c r="J164" s="169">
        <f>COUNTIFS(Table913[Prodi],"S1 Desain Komunikasi Visual",Table913[I1.2],J$133)/$I$132</f>
        <v>0.967741935483871</v>
      </c>
      <c r="K164" s="169">
        <f>COUNTIFS(Table913[Prodi],"S1 Desain Komunikasi Visual",Table913[I1.2],K$133)/$I$132</f>
        <v>0</v>
      </c>
      <c r="L164" s="169">
        <f>COUNTIFS(Table913[Prodi],"S1 Desain Komunikasi Visual",Table913[I1.2],L$133)/$I$132</f>
        <v>3.2258064516129031E-2</v>
      </c>
      <c r="M164" s="62">
        <f t="shared" si="11"/>
        <v>1</v>
      </c>
      <c r="O164" s="172" t="s">
        <v>1176</v>
      </c>
      <c r="P164" s="169">
        <f>COUNTIFS(Table913[Prodi],$P$130,Table913[I1.2],P$133)/$P$132</f>
        <v>0</v>
      </c>
      <c r="Q164" s="169">
        <f>COUNTIFS(Table913[Prodi],$P$130,Table913[I1.2],Q$133)/$P$132</f>
        <v>1</v>
      </c>
      <c r="R164" s="169">
        <f>COUNTIFS(Table913[Prodi],$P$130,Table913[I1.2],R$133)/$P$132</f>
        <v>0</v>
      </c>
      <c r="S164" s="169">
        <f>COUNTIFS(Table913[Prodi],$P$130,Table913[I1.2],S$133)/$P$132</f>
        <v>0</v>
      </c>
      <c r="T164" s="62">
        <f t="shared" si="12"/>
        <v>1</v>
      </c>
      <c r="U164"/>
      <c r="V164" s="172" t="s">
        <v>1176</v>
      </c>
      <c r="W164" s="169">
        <f>COUNTIFS(Table913[Prodi],$W$130,Table913[I1.2],W$133)/$W$132</f>
        <v>0</v>
      </c>
      <c r="X164" s="169">
        <f>COUNTIFS(Table913[Prodi],$W$130,Table913[I1.2],X$133)/$W$132</f>
        <v>1</v>
      </c>
      <c r="Y164" s="169">
        <f>COUNTIFS(Table913[Prodi],$W$130,Table913[I1.2],Y$133)/$W$132</f>
        <v>0</v>
      </c>
      <c r="Z164" s="169">
        <f>COUNTIFS(Table913[Prodi],$W$130,Table913[I1.2],Z$133)/$W$132</f>
        <v>0</v>
      </c>
      <c r="AA164" s="62">
        <f t="shared" si="13"/>
        <v>1</v>
      </c>
      <c r="AB164"/>
      <c r="AC164"/>
      <c r="AD164"/>
      <c r="AE164"/>
      <c r="AF164"/>
      <c r="AG164"/>
      <c r="AH164"/>
      <c r="AI164"/>
      <c r="AJ164"/>
      <c r="AK164"/>
      <c r="AL164"/>
      <c r="AM164"/>
      <c r="AN164"/>
      <c r="AO164"/>
      <c r="AP164"/>
      <c r="AQ164"/>
      <c r="AR164"/>
    </row>
    <row r="165" spans="1:44" s="118" customFormat="1" ht="16.5" x14ac:dyDescent="0.3">
      <c r="A165" s="168" t="s">
        <v>1177</v>
      </c>
      <c r="B165" s="169">
        <f>COUNTIF(Table913[I1.3],B$133)/$B$132</f>
        <v>0.74285714285714288</v>
      </c>
      <c r="C165" s="169">
        <f>COUNTIF(Table913[I1.3],C$133)/$B$132</f>
        <v>0.17142857142857143</v>
      </c>
      <c r="D165" s="169">
        <f>COUNTIF(Table913[I1.3],D$133)/$B$132</f>
        <v>5.7142857142857141E-2</v>
      </c>
      <c r="E165" s="169">
        <f>COUNTIF(Table913[I1.3],E$133)/$B$132</f>
        <v>2.8571428571428571E-2</v>
      </c>
      <c r="F165" s="62">
        <f t="shared" si="7"/>
        <v>1</v>
      </c>
      <c r="H165" s="168" t="s">
        <v>1177</v>
      </c>
      <c r="I165" s="169">
        <f>COUNTIFS(Table913[Prodi],"S1 Desain Komunikasi Visual",Table913[I1.3],I$133)/$I$132</f>
        <v>0.70967741935483875</v>
      </c>
      <c r="J165" s="169">
        <f>COUNTIFS(Table913[Prodi],"S1 Desain Komunikasi Visual",Table913[I1.3],J$133)/$I$132</f>
        <v>0.19354838709677419</v>
      </c>
      <c r="K165" s="169">
        <f>COUNTIFS(Table913[Prodi],"S1 Desain Komunikasi Visual",Table913[I1.3],K$133)/$I$132</f>
        <v>6.4516129032258063E-2</v>
      </c>
      <c r="L165" s="169">
        <f>COUNTIFS(Table913[Prodi],"S1 Desain Komunikasi Visual",Table913[I1.3],L$133)/$I$132</f>
        <v>3.2258064516129031E-2</v>
      </c>
      <c r="M165" s="62">
        <f t="shared" si="11"/>
        <v>1</v>
      </c>
      <c r="O165" s="168" t="s">
        <v>1177</v>
      </c>
      <c r="P165" s="169">
        <f>COUNTIFS(Table913[Prodi],$P$130,Table913[I1.3],P$133)/$P$132</f>
        <v>1</v>
      </c>
      <c r="Q165" s="169">
        <f>COUNTIFS(Table913[Prodi],$P$130,Table913[I1.3],Q$133)/$P$132</f>
        <v>0</v>
      </c>
      <c r="R165" s="169">
        <f>COUNTIFS(Table913[Prodi],$P$130,Table913[I1.3],R$133)/$P$132</f>
        <v>0</v>
      </c>
      <c r="S165" s="169">
        <f>COUNTIFS(Table913[Prodi],$P$130,Table913[I1.3],S$133)/$P$132</f>
        <v>0</v>
      </c>
      <c r="T165" s="62">
        <f t="shared" si="12"/>
        <v>1</v>
      </c>
      <c r="U165"/>
      <c r="V165" s="168" t="s">
        <v>1177</v>
      </c>
      <c r="W165" s="169">
        <f>COUNTIFS(Table913[Prodi],$W$130,Table913[I1.3],W$133)/$W$132</f>
        <v>1</v>
      </c>
      <c r="X165" s="169">
        <f>COUNTIFS(Table913[Prodi],$W$130,Table913[I1.3],X$133)/$W$132</f>
        <v>0</v>
      </c>
      <c r="Y165" s="169">
        <f>COUNTIFS(Table913[Prodi],$W$130,Table913[I1.3],Y$133)/$W$132</f>
        <v>0</v>
      </c>
      <c r="Z165" s="169">
        <f>COUNTIFS(Table913[Prodi],$W$130,Table913[I1.3],Z$133)/$W$132</f>
        <v>0</v>
      </c>
      <c r="AA165" s="62">
        <f t="shared" si="13"/>
        <v>1</v>
      </c>
      <c r="AB165"/>
      <c r="AC165"/>
      <c r="AD165"/>
      <c r="AE165"/>
      <c r="AF165"/>
      <c r="AG165"/>
      <c r="AH165"/>
      <c r="AI165"/>
      <c r="AJ165"/>
      <c r="AK165"/>
      <c r="AL165"/>
      <c r="AM165"/>
      <c r="AN165"/>
      <c r="AO165"/>
      <c r="AP165"/>
      <c r="AQ165"/>
      <c r="AR165"/>
    </row>
    <row r="166" spans="1:44" s="118" customFormat="1" ht="16.5" x14ac:dyDescent="0.3">
      <c r="A166" s="168" t="s">
        <v>1178</v>
      </c>
      <c r="B166" s="169">
        <f>COUNTIF(Table913[I1.4],B$133)/$B$132</f>
        <v>0.8571428571428571</v>
      </c>
      <c r="C166" s="169">
        <f>COUNTIF(Table913[I1.4],C$133)/$B$132</f>
        <v>0.11428571428571428</v>
      </c>
      <c r="D166" s="169">
        <f>COUNTIF(Table913[I1.4],D$133)/$B$132</f>
        <v>2.8571428571428571E-2</v>
      </c>
      <c r="E166" s="169">
        <f>COUNTIF(Table913[I1.4],E$133)/$B$132</f>
        <v>0</v>
      </c>
      <c r="F166" s="62">
        <f t="shared" si="7"/>
        <v>1</v>
      </c>
      <c r="H166" s="168" t="s">
        <v>1178</v>
      </c>
      <c r="I166" s="169">
        <f>COUNTIFS(Table913[Prodi],"S1 Desain Komunikasi Visual",Table913[I1.4],I$133)/$I$132</f>
        <v>0.83870967741935487</v>
      </c>
      <c r="J166" s="169">
        <f>COUNTIFS(Table913[Prodi],"S1 Desain Komunikasi Visual",Table913[I1.4],J$133)/$I$132</f>
        <v>0.12903225806451613</v>
      </c>
      <c r="K166" s="169">
        <f>COUNTIFS(Table913[Prodi],"S1 Desain Komunikasi Visual",Table913[I1.4],K$133)/$I$132</f>
        <v>3.2258064516129031E-2</v>
      </c>
      <c r="L166" s="169">
        <f>COUNTIFS(Table913[Prodi],"S1 Desain Komunikasi Visual",Table913[I1.4],L$133)/$I$132</f>
        <v>0</v>
      </c>
      <c r="M166" s="62">
        <f t="shared" si="11"/>
        <v>1</v>
      </c>
      <c r="O166" s="168" t="s">
        <v>1178</v>
      </c>
      <c r="P166" s="169">
        <f>COUNTIFS(Table913[Prodi],$P$130,Table913[I1.4],P$133)/$P$132</f>
        <v>1</v>
      </c>
      <c r="Q166" s="169">
        <f>COUNTIFS(Table913[Prodi],$P$130,Table913[I1.4],Q$133)/$P$132</f>
        <v>0</v>
      </c>
      <c r="R166" s="169">
        <f>COUNTIFS(Table913[Prodi],$P$130,Table913[I1.4],R$133)/$P$132</f>
        <v>0</v>
      </c>
      <c r="S166" s="169">
        <f>COUNTIFS(Table913[Prodi],$P$130,Table913[I1.4],S$133)/$P$132</f>
        <v>0</v>
      </c>
      <c r="T166" s="62">
        <f t="shared" si="12"/>
        <v>1</v>
      </c>
      <c r="U166"/>
      <c r="V166" s="168" t="s">
        <v>1178</v>
      </c>
      <c r="W166" s="169">
        <f>COUNTIFS(Table913[Prodi],$W$130,Table913[I1.4],W$133)/$W$132</f>
        <v>1</v>
      </c>
      <c r="X166" s="169">
        <f>COUNTIFS(Table913[Prodi],$W$130,Table913[I1.4],X$133)/$W$132</f>
        <v>0</v>
      </c>
      <c r="Y166" s="169">
        <f>COUNTIFS(Table913[Prodi],$W$130,Table913[I1.4],Y$133)/$W$132</f>
        <v>0</v>
      </c>
      <c r="Z166" s="169">
        <f>COUNTIFS(Table913[Prodi],$W$130,Table913[I1.4],Z$133)/$W$132</f>
        <v>0</v>
      </c>
      <c r="AA166" s="62">
        <f t="shared" si="13"/>
        <v>1</v>
      </c>
      <c r="AB166"/>
      <c r="AC166"/>
      <c r="AD166"/>
      <c r="AE166"/>
      <c r="AF166"/>
      <c r="AG166"/>
      <c r="AH166"/>
      <c r="AI166"/>
      <c r="AJ166"/>
      <c r="AK166"/>
      <c r="AL166"/>
      <c r="AM166"/>
      <c r="AN166"/>
      <c r="AO166"/>
      <c r="AP166"/>
      <c r="AQ166"/>
      <c r="AR166"/>
    </row>
    <row r="167" spans="1:44" s="118" customFormat="1" ht="16.5" x14ac:dyDescent="0.3">
      <c r="A167" s="168" t="s">
        <v>1179</v>
      </c>
      <c r="B167" s="169">
        <f>COUNTIF(Table913[I1.5],B$133)/$B$132</f>
        <v>0.8571428571428571</v>
      </c>
      <c r="C167" s="169">
        <f>COUNTIF(Table913[I1.5],C$133)/$B$132</f>
        <v>8.5714285714285715E-2</v>
      </c>
      <c r="D167" s="169">
        <f>COUNTIF(Table913[I1.5],D$133)/$B$132</f>
        <v>5.7142857142857141E-2</v>
      </c>
      <c r="E167" s="169">
        <f>COUNTIF(Table913[I1.5],E$133)/$B$132</f>
        <v>0</v>
      </c>
      <c r="F167" s="62">
        <f t="shared" si="7"/>
        <v>1</v>
      </c>
      <c r="H167" s="168" t="s">
        <v>1179</v>
      </c>
      <c r="I167" s="169">
        <f>COUNTIFS(Table913[Prodi],"S1 Desain Komunikasi Visual",Table913[I1.5],I$133)/$I$132</f>
        <v>0.83870967741935487</v>
      </c>
      <c r="J167" s="169">
        <f>COUNTIFS(Table913[Prodi],"S1 Desain Komunikasi Visual",Table913[I1.5],J$133)/$I$132</f>
        <v>9.6774193548387094E-2</v>
      </c>
      <c r="K167" s="169">
        <f>COUNTIFS(Table913[Prodi],"S1 Desain Komunikasi Visual",Table913[I1.5],K$133)/$I$132</f>
        <v>6.4516129032258063E-2</v>
      </c>
      <c r="L167" s="169">
        <f>COUNTIFS(Table913[Prodi],"S1 Desain Komunikasi Visual",Table913[I1.5],L$133)/$I$132</f>
        <v>0</v>
      </c>
      <c r="M167" s="62">
        <f t="shared" si="11"/>
        <v>1</v>
      </c>
      <c r="O167" s="168" t="s">
        <v>1179</v>
      </c>
      <c r="P167" s="169">
        <f>COUNTIFS(Table913[Prodi],$P$130,Table913[I1.5],P$133)/$P$132</f>
        <v>1</v>
      </c>
      <c r="Q167" s="169">
        <f>COUNTIFS(Table913[Prodi],$P$130,Table913[I1.5],Q$133)/$P$132</f>
        <v>0</v>
      </c>
      <c r="R167" s="169">
        <f>COUNTIFS(Table913[Prodi],$P$130,Table913[I1.5],R$133)/$P$132</f>
        <v>0</v>
      </c>
      <c r="S167" s="169">
        <f>COUNTIFS(Table913[Prodi],$P$130,Table913[I1.5],S$133)/$P$132</f>
        <v>0</v>
      </c>
      <c r="T167" s="62">
        <f t="shared" si="12"/>
        <v>1</v>
      </c>
      <c r="U167"/>
      <c r="V167" s="168" t="s">
        <v>1179</v>
      </c>
      <c r="W167" s="169">
        <f>COUNTIFS(Table913[Prodi],$W$130,Table913[I1.5],W$133)/$W$132</f>
        <v>1</v>
      </c>
      <c r="X167" s="169">
        <f>COUNTIFS(Table913[Prodi],$W$130,Table913[I1.5],X$133)/$W$132</f>
        <v>0</v>
      </c>
      <c r="Y167" s="169">
        <f>COUNTIFS(Table913[Prodi],$W$130,Table913[I1.5],Y$133)/$W$132</f>
        <v>0</v>
      </c>
      <c r="Z167" s="169">
        <f>COUNTIFS(Table913[Prodi],$W$130,Table913[I1.5],Z$133)/$W$132</f>
        <v>0</v>
      </c>
      <c r="AA167" s="62">
        <f t="shared" si="13"/>
        <v>1</v>
      </c>
      <c r="AB167"/>
      <c r="AC167"/>
      <c r="AD167"/>
      <c r="AE167"/>
      <c r="AF167"/>
      <c r="AG167"/>
      <c r="AH167"/>
      <c r="AI167"/>
      <c r="AJ167"/>
      <c r="AK167"/>
      <c r="AL167"/>
      <c r="AM167"/>
      <c r="AN167"/>
      <c r="AO167"/>
      <c r="AP167"/>
      <c r="AQ167"/>
      <c r="AR167"/>
    </row>
    <row r="168" spans="1:44" s="118" customFormat="1" ht="16.5" x14ac:dyDescent="0.3">
      <c r="A168" s="171"/>
      <c r="B168" s="61">
        <f>AVERAGE(B163:B167)</f>
        <v>0.49142857142857144</v>
      </c>
      <c r="C168" s="61">
        <f>AVERAGE(C163:C167)</f>
        <v>0.46285714285714291</v>
      </c>
      <c r="D168" s="61">
        <f>AVERAGE(D163:D167)</f>
        <v>2.8571428571428571E-2</v>
      </c>
      <c r="E168" s="61">
        <f>AVERAGE(E163:E167)</f>
        <v>1.7142857142857144E-2</v>
      </c>
      <c r="F168" s="62">
        <f t="shared" si="7"/>
        <v>1.0000000000000002</v>
      </c>
      <c r="H168" s="171"/>
      <c r="I168" s="61">
        <f>AVERAGE(I163:I167)</f>
        <v>0.47741935483870968</v>
      </c>
      <c r="J168" s="61">
        <f>AVERAGE(J163:J167)</f>
        <v>0.4709677419354838</v>
      </c>
      <c r="K168" s="61">
        <f>AVERAGE(K163:K167)</f>
        <v>3.2258064516129031E-2</v>
      </c>
      <c r="L168" s="61">
        <f>AVERAGE(L163:L167)</f>
        <v>1.935483870967742E-2</v>
      </c>
      <c r="M168" s="62">
        <f t="shared" si="11"/>
        <v>0.99999999999999989</v>
      </c>
      <c r="O168" s="171"/>
      <c r="P168" s="61">
        <f>AVERAGE(P163:P167)</f>
        <v>0.6</v>
      </c>
      <c r="Q168" s="61">
        <f>AVERAGE(Q163:Q167)</f>
        <v>0.4</v>
      </c>
      <c r="R168" s="61">
        <f>AVERAGE(R163:R167)</f>
        <v>0</v>
      </c>
      <c r="S168" s="61">
        <f>AVERAGE(S163:S167)</f>
        <v>0</v>
      </c>
      <c r="T168" s="62">
        <f t="shared" si="12"/>
        <v>1</v>
      </c>
      <c r="U168"/>
      <c r="V168" s="171"/>
      <c r="W168" s="61">
        <f>AVERAGE(W163:W167)</f>
        <v>0.6</v>
      </c>
      <c r="X168" s="61">
        <f>AVERAGE(X163:X167)</f>
        <v>0.4</v>
      </c>
      <c r="Y168" s="61">
        <f>AVERAGE(Y163:Y167)</f>
        <v>0</v>
      </c>
      <c r="Z168" s="61">
        <f>AVERAGE(Z163:Z167)</f>
        <v>0</v>
      </c>
      <c r="AA168" s="62">
        <f t="shared" si="13"/>
        <v>1</v>
      </c>
      <c r="AB168"/>
      <c r="AC168"/>
      <c r="AD168"/>
      <c r="AE168"/>
      <c r="AF168"/>
      <c r="AG168"/>
      <c r="AH168"/>
      <c r="AI168"/>
      <c r="AJ168"/>
      <c r="AK168"/>
      <c r="AL168"/>
      <c r="AM168"/>
      <c r="AN168"/>
      <c r="AO168"/>
      <c r="AP168"/>
      <c r="AQ168"/>
      <c r="AR168"/>
    </row>
    <row r="169" spans="1:44" s="118" customFormat="1" ht="16.5" x14ac:dyDescent="0.3">
      <c r="A169" s="168" t="s">
        <v>1181</v>
      </c>
      <c r="B169" s="169">
        <f>COUNTIF(Table913[I2.1],B$133)/$B$132</f>
        <v>0.17142857142857143</v>
      </c>
      <c r="C169" s="169">
        <f>COUNTIF(Table913[I2.1],C$133)/$B$132</f>
        <v>0.31428571428571428</v>
      </c>
      <c r="D169" s="169">
        <f>COUNTIF(Table913[I2.1],D$133)/$B$132</f>
        <v>0.48571428571428571</v>
      </c>
      <c r="E169" s="169">
        <f>COUNTIF(Table913[I2.1],E$133)/$B$132</f>
        <v>2.8571428571428571E-2</v>
      </c>
      <c r="F169" s="62">
        <f t="shared" si="7"/>
        <v>1</v>
      </c>
      <c r="H169" s="168" t="s">
        <v>1181</v>
      </c>
      <c r="I169" s="169">
        <f>COUNTIFS(Table913[Prodi],"S1 Desain Komunikasi Visual",Table913[I2.1],I$133)/$I$132</f>
        <v>0.19354838709677419</v>
      </c>
      <c r="J169" s="169">
        <f>COUNTIFS(Table913[Prodi],"S1 Desain Komunikasi Visual",Table913[I2.1],J$133)/$I$132</f>
        <v>0.32258064516129031</v>
      </c>
      <c r="K169" s="169">
        <f>COUNTIFS(Table913[Prodi],"S1 Desain Komunikasi Visual",Table913[I2.1],K$133)/$I$132</f>
        <v>0.45161290322580644</v>
      </c>
      <c r="L169" s="169">
        <f>COUNTIFS(Table913[Prodi],"S1 Desain Komunikasi Visual",Table913[I2.1],L$133)/$I$132</f>
        <v>3.2258064516129031E-2</v>
      </c>
      <c r="M169" s="62">
        <f t="shared" si="11"/>
        <v>1</v>
      </c>
      <c r="O169" s="168" t="s">
        <v>1181</v>
      </c>
      <c r="P169" s="169">
        <f>COUNTIFS(Table913[Prodi],$P$130,Table913[I2.1],P$133)/$P$132</f>
        <v>0</v>
      </c>
      <c r="Q169" s="169">
        <f>COUNTIFS(Table913[Prodi],$P$130,Table913[I2.1],Q$133)/$P$132</f>
        <v>0</v>
      </c>
      <c r="R169" s="169">
        <f>COUNTIFS(Table913[Prodi],$P$130,Table913[I2.1],R$133)/$P$132</f>
        <v>1</v>
      </c>
      <c r="S169" s="169">
        <f>COUNTIFS(Table913[Prodi],$P$130,Table913[I2.1],S$133)/$P$132</f>
        <v>0</v>
      </c>
      <c r="T169" s="62">
        <f t="shared" si="12"/>
        <v>1</v>
      </c>
      <c r="U169"/>
      <c r="V169" s="168" t="s">
        <v>1181</v>
      </c>
      <c r="W169" s="169">
        <f>COUNTIFS(Table913[Prodi],$W$130,Table913[I2.1],W$133)/$W$132</f>
        <v>0</v>
      </c>
      <c r="X169" s="169">
        <f>COUNTIFS(Table913[Prodi],$W$130,Table913[I2.1],X$133)/$W$132</f>
        <v>1</v>
      </c>
      <c r="Y169" s="169">
        <f>COUNTIFS(Table913[Prodi],$W$130,Table913[I2.1],Y$133)/$W$132</f>
        <v>0</v>
      </c>
      <c r="Z169" s="169">
        <f>COUNTIFS(Table913[Prodi],$W$130,Table913[I2.1],Z$133)/$W$132</f>
        <v>0</v>
      </c>
      <c r="AA169" s="62">
        <f t="shared" si="13"/>
        <v>1</v>
      </c>
      <c r="AB169"/>
      <c r="AC169"/>
      <c r="AD169"/>
      <c r="AE169"/>
      <c r="AF169"/>
      <c r="AG169"/>
      <c r="AH169"/>
      <c r="AI169"/>
      <c r="AJ169"/>
      <c r="AK169"/>
      <c r="AL169"/>
      <c r="AM169"/>
      <c r="AN169"/>
      <c r="AO169"/>
      <c r="AP169"/>
      <c r="AQ169"/>
      <c r="AR169"/>
    </row>
    <row r="170" spans="1:44" s="118" customFormat="1" ht="16.5" x14ac:dyDescent="0.3">
      <c r="A170" s="172" t="s">
        <v>1182</v>
      </c>
      <c r="B170" s="169">
        <f>COUNTIF(Table913[I2.2],B$133)/$B$132</f>
        <v>0.25714285714285712</v>
      </c>
      <c r="C170" s="169">
        <f>COUNTIF(Table913[I2.2],C$133)/$B$132</f>
        <v>0.74285714285714288</v>
      </c>
      <c r="D170" s="169">
        <f>COUNTIF(Table913[I2.2],D$133)/$B$132</f>
        <v>0</v>
      </c>
      <c r="E170" s="169">
        <f>COUNTIF(Table913[I2.2],E$133)/$B$132</f>
        <v>0</v>
      </c>
      <c r="F170" s="62">
        <f t="shared" si="7"/>
        <v>1</v>
      </c>
      <c r="H170" s="172" t="s">
        <v>1182</v>
      </c>
      <c r="I170" s="169">
        <f>COUNTIFS(Table913[Prodi],"S1 Desain Komunikasi Visual",Table913[I2.2],I$133)/$I$132</f>
        <v>0.29032258064516131</v>
      </c>
      <c r="J170" s="169">
        <f>COUNTIFS(Table913[Prodi],"S1 Desain Komunikasi Visual",Table913[I2.2],J$133)/$I$132</f>
        <v>0.70967741935483875</v>
      </c>
      <c r="K170" s="169">
        <f>COUNTIFS(Table913[Prodi],"S1 Desain Komunikasi Visual",Table913[I2.2],K$133)/$I$132</f>
        <v>0</v>
      </c>
      <c r="L170" s="169">
        <f>COUNTIFS(Table913[Prodi],"S1 Desain Komunikasi Visual",Table913[I2.2],L$133)/$I$132</f>
        <v>0</v>
      </c>
      <c r="M170" s="62">
        <f t="shared" si="11"/>
        <v>1</v>
      </c>
      <c r="O170" s="172" t="s">
        <v>1182</v>
      </c>
      <c r="P170" s="169">
        <f>COUNTIFS(Table913[Prodi],$P$130,Table913[I2.2],P$133)/$P$132</f>
        <v>0</v>
      </c>
      <c r="Q170" s="169">
        <f>COUNTIFS(Table913[Prodi],$P$130,Table913[I2.2],Q$133)/$P$132</f>
        <v>1</v>
      </c>
      <c r="R170" s="169">
        <f>COUNTIFS(Table913[Prodi],$P$130,Table913[I2.2],R$133)/$P$132</f>
        <v>0</v>
      </c>
      <c r="S170" s="169">
        <f>COUNTIFS(Table913[Prodi],$P$130,Table913[I2.2],S$133)/$P$132</f>
        <v>0</v>
      </c>
      <c r="T170" s="62">
        <f t="shared" si="12"/>
        <v>1</v>
      </c>
      <c r="U170"/>
      <c r="V170" s="172" t="s">
        <v>1182</v>
      </c>
      <c r="W170" s="169">
        <f>COUNTIFS(Table913[Prodi],$W$130,Table913[I2.2],W$133)/$W$132</f>
        <v>0</v>
      </c>
      <c r="X170" s="169">
        <f>COUNTIFS(Table913[Prodi],$W$130,Table913[I2.2],X$133)/$W$132</f>
        <v>1</v>
      </c>
      <c r="Y170" s="169">
        <f>COUNTIFS(Table913[Prodi],$W$130,Table913[I2.2],Y$133)/$W$132</f>
        <v>0</v>
      </c>
      <c r="Z170" s="169">
        <f>COUNTIFS(Table913[Prodi],$W$130,Table913[I2.2],Z$133)/$W$132</f>
        <v>0</v>
      </c>
      <c r="AA170" s="62">
        <f t="shared" si="13"/>
        <v>1</v>
      </c>
      <c r="AB170"/>
      <c r="AC170"/>
      <c r="AD170"/>
      <c r="AE170"/>
      <c r="AF170"/>
      <c r="AG170"/>
      <c r="AH170"/>
      <c r="AI170"/>
      <c r="AJ170"/>
      <c r="AK170"/>
      <c r="AL170"/>
      <c r="AM170"/>
      <c r="AN170"/>
      <c r="AO170"/>
      <c r="AP170"/>
      <c r="AQ170"/>
      <c r="AR170"/>
    </row>
    <row r="171" spans="1:44" s="118" customFormat="1" ht="16.5" x14ac:dyDescent="0.3">
      <c r="A171" s="168" t="s">
        <v>1183</v>
      </c>
      <c r="B171" s="169">
        <f>COUNTIF(Table913[I2.3],B$133)/$B$132</f>
        <v>0.2</v>
      </c>
      <c r="C171" s="169">
        <f>COUNTIF(Table913[I2.3],C$133)/$B$132</f>
        <v>0.77142857142857146</v>
      </c>
      <c r="D171" s="169">
        <f>COUNTIF(Table913[I2.3],D$133)/$B$132</f>
        <v>0</v>
      </c>
      <c r="E171" s="169">
        <f>COUNTIF(Table913[I2.3],E$133)/$B$132</f>
        <v>2.8571428571428571E-2</v>
      </c>
      <c r="F171" s="62">
        <f t="shared" si="7"/>
        <v>1</v>
      </c>
      <c r="H171" s="168" t="s">
        <v>1183</v>
      </c>
      <c r="I171" s="169">
        <f>COUNTIFS(Table913[Prodi],"S1 Desain Komunikasi Visual",Table913[I2.3],I$133)/$I$132</f>
        <v>0.19354838709677419</v>
      </c>
      <c r="J171" s="169">
        <f>COUNTIFS(Table913[Prodi],"S1 Desain Komunikasi Visual",Table913[I2.3],J$133)/$I$132</f>
        <v>0.77419354838709675</v>
      </c>
      <c r="K171" s="169">
        <f>COUNTIFS(Table913[Prodi],"S1 Desain Komunikasi Visual",Table913[I2.3],K$133)/$I$132</f>
        <v>0</v>
      </c>
      <c r="L171" s="169">
        <f>COUNTIFS(Table913[Prodi],"S1 Desain Komunikasi Visual",Table913[I2.3],L$133)/$I$132</f>
        <v>3.2258064516129031E-2</v>
      </c>
      <c r="M171" s="62">
        <f t="shared" si="11"/>
        <v>1</v>
      </c>
      <c r="O171" s="168" t="s">
        <v>1183</v>
      </c>
      <c r="P171" s="169">
        <f>COUNTIFS(Table913[Prodi],$P$130,Table913[I2.3],P$133)/$P$132</f>
        <v>0.33333333333333331</v>
      </c>
      <c r="Q171" s="169">
        <f>COUNTIFS(Table913[Prodi],$P$130,Table913[I2.3],Q$133)/$P$132</f>
        <v>0.66666666666666663</v>
      </c>
      <c r="R171" s="169">
        <f>COUNTIFS(Table913[Prodi],$P$130,Table913[I2.3],R$133)/$P$132</f>
        <v>0</v>
      </c>
      <c r="S171" s="169">
        <f>COUNTIFS(Table913[Prodi],$P$130,Table913[I2.3],S$133)/$P$132</f>
        <v>0</v>
      </c>
      <c r="T171" s="62">
        <f t="shared" si="12"/>
        <v>1</v>
      </c>
      <c r="U171"/>
      <c r="V171" s="168" t="s">
        <v>1183</v>
      </c>
      <c r="W171" s="169">
        <f>COUNTIFS(Table913[Prodi],$W$130,Table913[I2.3],W$133)/$W$132</f>
        <v>0</v>
      </c>
      <c r="X171" s="169">
        <f>COUNTIFS(Table913[Prodi],$W$130,Table913[I2.3],X$133)/$W$132</f>
        <v>1</v>
      </c>
      <c r="Y171" s="169">
        <f>COUNTIFS(Table913[Prodi],$W$130,Table913[I2.3],Y$133)/$W$132</f>
        <v>0</v>
      </c>
      <c r="Z171" s="169">
        <f>COUNTIFS(Table913[Prodi],$W$130,Table913[I2.3],Z$133)/$W$132</f>
        <v>0</v>
      </c>
      <c r="AA171" s="62">
        <f t="shared" si="13"/>
        <v>1</v>
      </c>
      <c r="AB171"/>
      <c r="AC171"/>
      <c r="AD171"/>
      <c r="AE171"/>
      <c r="AF171"/>
      <c r="AG171"/>
      <c r="AH171"/>
      <c r="AI171"/>
      <c r="AJ171"/>
      <c r="AK171"/>
      <c r="AL171"/>
      <c r="AM171"/>
      <c r="AN171"/>
      <c r="AO171"/>
      <c r="AP171"/>
      <c r="AQ171"/>
      <c r="AR171"/>
    </row>
    <row r="172" spans="1:44" s="118" customFormat="1" ht="16.5" x14ac:dyDescent="0.3">
      <c r="A172" s="168" t="s">
        <v>1184</v>
      </c>
      <c r="B172" s="169">
        <f>COUNTIF(Table913[I2.4],B$133)/$B$132</f>
        <v>0.4</v>
      </c>
      <c r="C172" s="169">
        <f>COUNTIF(Table913[I2.4],C$133)/$B$132</f>
        <v>0.5714285714285714</v>
      </c>
      <c r="D172" s="169">
        <f>COUNTIF(Table913[I2.4],D$133)/$B$132</f>
        <v>0</v>
      </c>
      <c r="E172" s="169">
        <f>COUNTIF(Table913[I2.4],E$133)/$B$132</f>
        <v>2.8571428571428571E-2</v>
      </c>
      <c r="F172" s="62">
        <f t="shared" si="7"/>
        <v>1</v>
      </c>
      <c r="H172" s="168" t="s">
        <v>1184</v>
      </c>
      <c r="I172" s="169">
        <f>COUNTIFS(Table913[Prodi],"S1 Desain Komunikasi Visual",Table913[I2.4],I$133)/$I$132</f>
        <v>0.45161290322580644</v>
      </c>
      <c r="J172" s="169">
        <f>COUNTIFS(Table913[Prodi],"S1 Desain Komunikasi Visual",Table913[I2.4],J$133)/$I$132</f>
        <v>0.5161290322580645</v>
      </c>
      <c r="K172" s="169">
        <f>COUNTIFS(Table913[Prodi],"S1 Desain Komunikasi Visual",Table913[I2.4],K$133)/$I$132</f>
        <v>0</v>
      </c>
      <c r="L172" s="169">
        <f>COUNTIFS(Table913[Prodi],"S1 Desain Komunikasi Visual",Table913[I2.4],L$133)/$I$132</f>
        <v>3.2258064516129031E-2</v>
      </c>
      <c r="M172" s="62">
        <f t="shared" si="11"/>
        <v>1</v>
      </c>
      <c r="O172" s="168" t="s">
        <v>1184</v>
      </c>
      <c r="P172" s="169">
        <f>COUNTIFS(Table913[Prodi],$P$130,Table913[I2.4],P$133)/$P$132</f>
        <v>0</v>
      </c>
      <c r="Q172" s="169">
        <f>COUNTIFS(Table913[Prodi],$P$130,Table913[I2.4],Q$133)/$P$132</f>
        <v>1</v>
      </c>
      <c r="R172" s="169">
        <f>COUNTIFS(Table913[Prodi],$P$130,Table913[I2.4],R$133)/$P$132</f>
        <v>0</v>
      </c>
      <c r="S172" s="169">
        <f>COUNTIFS(Table913[Prodi],$P$130,Table913[I2.4],S$133)/$P$132</f>
        <v>0</v>
      </c>
      <c r="T172" s="62">
        <f t="shared" si="12"/>
        <v>1</v>
      </c>
      <c r="U172"/>
      <c r="V172" s="168" t="s">
        <v>1184</v>
      </c>
      <c r="W172" s="169">
        <f>COUNTIFS(Table913[Prodi],$W$130,Table913[I2.4],W$133)/$W$132</f>
        <v>0</v>
      </c>
      <c r="X172" s="169">
        <f>COUNTIFS(Table913[Prodi],$W$130,Table913[I2.4],X$133)/$W$132</f>
        <v>1</v>
      </c>
      <c r="Y172" s="169">
        <f>COUNTIFS(Table913[Prodi],$W$130,Table913[I2.4],Y$133)/$W$132</f>
        <v>0</v>
      </c>
      <c r="Z172" s="169">
        <f>COUNTIFS(Table913[Prodi],$W$130,Table913[I2.4],Z$133)/$W$132</f>
        <v>0</v>
      </c>
      <c r="AA172" s="62">
        <f t="shared" si="13"/>
        <v>1</v>
      </c>
      <c r="AB172"/>
      <c r="AC172"/>
      <c r="AD172"/>
      <c r="AE172"/>
      <c r="AF172"/>
      <c r="AG172"/>
      <c r="AH172"/>
      <c r="AI172"/>
      <c r="AJ172"/>
      <c r="AK172"/>
      <c r="AL172"/>
      <c r="AM172"/>
      <c r="AN172"/>
      <c r="AO172"/>
      <c r="AP172"/>
      <c r="AQ172"/>
      <c r="AR172"/>
    </row>
    <row r="173" spans="1:44" s="118" customFormat="1" ht="17.25" thickBot="1" x14ac:dyDescent="0.35">
      <c r="A173" s="173"/>
      <c r="B173" s="68">
        <f>AVERAGE(B169:B172)</f>
        <v>0.25714285714285712</v>
      </c>
      <c r="C173" s="68">
        <f>AVERAGE(C169:C172)</f>
        <v>0.60000000000000009</v>
      </c>
      <c r="D173" s="68">
        <f>AVERAGE(D169:D172)</f>
        <v>0.12142857142857143</v>
      </c>
      <c r="E173" s="68">
        <f>AVERAGE(E169:E172)</f>
        <v>2.1428571428571429E-2</v>
      </c>
      <c r="F173" s="174">
        <f t="shared" si="7"/>
        <v>1</v>
      </c>
      <c r="H173" s="173"/>
      <c r="I173" s="68">
        <f>AVERAGE(I169:I172)</f>
        <v>0.28225806451612906</v>
      </c>
      <c r="J173" s="68">
        <f>AVERAGE(J169:J172)</f>
        <v>0.58064516129032251</v>
      </c>
      <c r="K173" s="68">
        <f>AVERAGE(K169:K172)</f>
        <v>0.11290322580645161</v>
      </c>
      <c r="L173" s="68">
        <f>AVERAGE(L169:L172)</f>
        <v>2.4193548387096774E-2</v>
      </c>
      <c r="M173" s="174">
        <f t="shared" si="11"/>
        <v>0.99999999999999989</v>
      </c>
      <c r="O173" s="173"/>
      <c r="P173" s="68">
        <f>AVERAGE(P169:P172)</f>
        <v>8.3333333333333329E-2</v>
      </c>
      <c r="Q173" s="68">
        <f>AVERAGE(Q169:Q172)</f>
        <v>0.66666666666666663</v>
      </c>
      <c r="R173" s="68">
        <f>AVERAGE(R169:R172)</f>
        <v>0.25</v>
      </c>
      <c r="S173" s="68">
        <f>AVERAGE(S169:S172)</f>
        <v>0</v>
      </c>
      <c r="T173" s="174">
        <f t="shared" si="12"/>
        <v>1</v>
      </c>
      <c r="U173"/>
      <c r="V173" s="173"/>
      <c r="W173" s="68">
        <f>AVERAGE(W169:W172)</f>
        <v>0</v>
      </c>
      <c r="X173" s="68">
        <f>AVERAGE(X169:X172)</f>
        <v>1</v>
      </c>
      <c r="Y173" s="68">
        <f>AVERAGE(Y169:Y172)</f>
        <v>0</v>
      </c>
      <c r="Z173" s="68">
        <f>AVERAGE(Z169:Z172)</f>
        <v>0</v>
      </c>
      <c r="AA173" s="174">
        <f t="shared" si="13"/>
        <v>1</v>
      </c>
      <c r="AB173"/>
      <c r="AC173"/>
      <c r="AD173"/>
      <c r="AE173"/>
      <c r="AF173"/>
      <c r="AG173"/>
      <c r="AH173"/>
      <c r="AI173"/>
      <c r="AJ173"/>
      <c r="AK173"/>
      <c r="AL173"/>
      <c r="AM173"/>
      <c r="AN173"/>
      <c r="AO173"/>
      <c r="AP173"/>
      <c r="AQ173"/>
      <c r="AR173"/>
    </row>
    <row r="174" spans="1:44" s="118" customFormat="1" ht="15.75" thickBot="1" x14ac:dyDescent="0.3">
      <c r="A174" s="119"/>
      <c r="B174" s="119"/>
      <c r="C174"/>
      <c r="O174"/>
      <c r="P174"/>
      <c r="Q174"/>
      <c r="R174"/>
      <c r="S174"/>
      <c r="T174"/>
      <c r="U174"/>
      <c r="V174"/>
      <c r="W174"/>
      <c r="X174"/>
      <c r="Y174"/>
      <c r="Z174"/>
      <c r="AA174"/>
      <c r="AB174"/>
      <c r="AC174"/>
      <c r="AD174"/>
      <c r="AE174"/>
      <c r="AF174"/>
      <c r="AG174"/>
      <c r="AH174"/>
      <c r="AI174"/>
      <c r="AJ174"/>
      <c r="AK174"/>
      <c r="AL174"/>
      <c r="AM174"/>
      <c r="AN174"/>
      <c r="AO174"/>
      <c r="AP174"/>
      <c r="AQ174"/>
      <c r="AR174"/>
    </row>
    <row r="175" spans="1:44" s="118" customFormat="1" ht="17.25" thickBot="1" x14ac:dyDescent="0.3">
      <c r="A175" s="64" t="s">
        <v>14</v>
      </c>
      <c r="B175" s="65" t="s">
        <v>1185</v>
      </c>
      <c r="C175"/>
      <c r="D175"/>
      <c r="E175"/>
      <c r="F175"/>
      <c r="H175" s="64" t="s">
        <v>14</v>
      </c>
      <c r="I175" s="65" t="s">
        <v>1357</v>
      </c>
      <c r="J175"/>
      <c r="K175"/>
      <c r="L175"/>
      <c r="M175"/>
      <c r="N175"/>
      <c r="O175" s="64" t="s">
        <v>14</v>
      </c>
      <c r="P175" s="65" t="s">
        <v>1577</v>
      </c>
      <c r="Q175"/>
      <c r="R175"/>
      <c r="S175"/>
      <c r="T175"/>
      <c r="U175"/>
      <c r="V175" s="64" t="s">
        <v>14</v>
      </c>
      <c r="W175" s="65" t="s">
        <v>67</v>
      </c>
      <c r="X175"/>
      <c r="Y175"/>
      <c r="Z175"/>
      <c r="AA175"/>
      <c r="AB175"/>
      <c r="AC175"/>
      <c r="AD175"/>
      <c r="AE175"/>
      <c r="AF175"/>
      <c r="AG175"/>
      <c r="AH175"/>
      <c r="AI175"/>
      <c r="AJ175"/>
      <c r="AK175"/>
      <c r="AL175"/>
      <c r="AM175"/>
      <c r="AN175"/>
      <c r="AO175"/>
      <c r="AP175"/>
      <c r="AQ175"/>
      <c r="AR175"/>
    </row>
    <row r="176" spans="1:44" s="118" customFormat="1" ht="17.25" thickBot="1" x14ac:dyDescent="0.3">
      <c r="A176" s="64" t="s">
        <v>647</v>
      </c>
      <c r="B176" s="65">
        <v>2022</v>
      </c>
      <c r="C176"/>
      <c r="D176"/>
      <c r="E176"/>
      <c r="F176"/>
      <c r="H176" s="64" t="s">
        <v>647</v>
      </c>
      <c r="I176" s="65">
        <v>2022</v>
      </c>
      <c r="J176"/>
      <c r="K176"/>
      <c r="L176"/>
      <c r="M176"/>
      <c r="N176"/>
      <c r="O176" s="64" t="s">
        <v>647</v>
      </c>
      <c r="P176" s="65">
        <v>2022</v>
      </c>
      <c r="Q176"/>
      <c r="R176"/>
      <c r="S176"/>
      <c r="T176"/>
      <c r="U176"/>
      <c r="V176" s="64" t="s">
        <v>647</v>
      </c>
      <c r="W176" s="65">
        <v>2022</v>
      </c>
      <c r="X176"/>
      <c r="Y176"/>
      <c r="Z176"/>
      <c r="AA176"/>
      <c r="AB176"/>
      <c r="AC176"/>
      <c r="AD176"/>
      <c r="AE176"/>
      <c r="AF176"/>
      <c r="AG176"/>
      <c r="AH176"/>
      <c r="AI176"/>
      <c r="AJ176"/>
      <c r="AK176"/>
      <c r="AL176"/>
      <c r="AM176"/>
      <c r="AN176"/>
      <c r="AO176"/>
      <c r="AP176"/>
      <c r="AQ176"/>
      <c r="AR176"/>
    </row>
    <row r="177" spans="1:44" s="118" customFormat="1" ht="17.25" thickBot="1" x14ac:dyDescent="0.3">
      <c r="A177" s="64" t="s">
        <v>646</v>
      </c>
      <c r="B177" s="65">
        <v>5</v>
      </c>
      <c r="C177"/>
      <c r="D177"/>
      <c r="E177"/>
      <c r="F177"/>
      <c r="H177" s="64" t="s">
        <v>646</v>
      </c>
      <c r="I177" s="65">
        <f>COUNTIF(Table1014[Prodi],I175)</f>
        <v>1</v>
      </c>
      <c r="J177"/>
      <c r="K177"/>
      <c r="L177"/>
      <c r="M177"/>
      <c r="N177"/>
      <c r="O177" s="64" t="s">
        <v>646</v>
      </c>
      <c r="P177" s="65">
        <f>COUNTIF(Table1014[Prodi],P175)</f>
        <v>3</v>
      </c>
      <c r="Q177"/>
      <c r="R177"/>
      <c r="S177"/>
      <c r="T177"/>
      <c r="U177"/>
      <c r="V177" s="64" t="s">
        <v>646</v>
      </c>
      <c r="W177" s="65">
        <f>COUNTIF(Table1014[Prodi],W175)</f>
        <v>1</v>
      </c>
      <c r="X177"/>
      <c r="Y177"/>
      <c r="Z177"/>
      <c r="AA177"/>
      <c r="AB177"/>
      <c r="AC177"/>
      <c r="AD177"/>
      <c r="AE177"/>
      <c r="AF177"/>
      <c r="AG177"/>
      <c r="AH177"/>
      <c r="AI177"/>
      <c r="AJ177"/>
      <c r="AK177"/>
      <c r="AL177"/>
      <c r="AM177"/>
      <c r="AN177"/>
      <c r="AO177"/>
      <c r="AP177"/>
      <c r="AQ177"/>
      <c r="AR177"/>
    </row>
    <row r="178" spans="1:44" s="118" customFormat="1" ht="16.5" x14ac:dyDescent="0.3">
      <c r="A178" s="55"/>
      <c r="B178" s="56" t="s">
        <v>1205</v>
      </c>
      <c r="C178" s="56" t="s">
        <v>1206</v>
      </c>
      <c r="D178" s="56" t="s">
        <v>1229</v>
      </c>
      <c r="E178" s="56" t="s">
        <v>1436</v>
      </c>
      <c r="F178" s="56"/>
      <c r="H178" s="55"/>
      <c r="I178" s="56" t="s">
        <v>1205</v>
      </c>
      <c r="J178" s="56" t="s">
        <v>1206</v>
      </c>
      <c r="K178" s="56" t="s">
        <v>1229</v>
      </c>
      <c r="L178" s="56" t="s">
        <v>1436</v>
      </c>
      <c r="M178" s="56"/>
      <c r="N178"/>
      <c r="O178" s="55"/>
      <c r="P178" s="56" t="s">
        <v>1205</v>
      </c>
      <c r="Q178" s="56" t="s">
        <v>1206</v>
      </c>
      <c r="R178" s="56" t="s">
        <v>1229</v>
      </c>
      <c r="S178" s="56" t="s">
        <v>1436</v>
      </c>
      <c r="T178" s="56"/>
      <c r="U178"/>
      <c r="V178" s="55"/>
      <c r="W178" s="56" t="s">
        <v>1205</v>
      </c>
      <c r="X178" s="56" t="s">
        <v>1206</v>
      </c>
      <c r="Y178" s="56" t="s">
        <v>1229</v>
      </c>
      <c r="Z178" s="56" t="s">
        <v>1436</v>
      </c>
      <c r="AA178" s="56"/>
      <c r="AB178"/>
      <c r="AC178"/>
      <c r="AD178"/>
      <c r="AE178"/>
      <c r="AF178"/>
      <c r="AG178"/>
      <c r="AH178"/>
      <c r="AI178"/>
      <c r="AJ178"/>
      <c r="AK178"/>
      <c r="AL178"/>
      <c r="AM178"/>
      <c r="AN178"/>
      <c r="AO178"/>
      <c r="AP178"/>
      <c r="AQ178"/>
      <c r="AR178"/>
    </row>
    <row r="179" spans="1:44" s="118" customFormat="1" ht="16.5" x14ac:dyDescent="0.3">
      <c r="A179" s="57" t="s">
        <v>26</v>
      </c>
      <c r="B179" s="66">
        <f>COUNTIF(Table1014[B1],B$178)/$B$177</f>
        <v>0.2</v>
      </c>
      <c r="C179" s="66">
        <f>COUNTIF(Table1014[B1],C$178)/$B$177</f>
        <v>0.8</v>
      </c>
      <c r="D179" s="66">
        <f>COUNTIF(Table1014[B1],D$178)/$B$177</f>
        <v>0</v>
      </c>
      <c r="E179" s="66">
        <f>COUNTIF(Table1014[B1],E$178)/$B$177</f>
        <v>0</v>
      </c>
      <c r="F179" s="62">
        <f t="shared" ref="F179:F185" si="14">SUM(B179:E179)</f>
        <v>1</v>
      </c>
      <c r="H179" s="57" t="s">
        <v>26</v>
      </c>
      <c r="I179" s="66">
        <f>COUNTIFS(Table1014[Prodi],$I$175,Table1014[B1],I$178)/$I$177</f>
        <v>0</v>
      </c>
      <c r="J179" s="66">
        <f>COUNTIFS(Table1014[Prodi],$I$175,Table1014[B1],J$178)/$I$177</f>
        <v>1</v>
      </c>
      <c r="K179" s="66">
        <f>COUNTIFS(Table1014[Prodi],$I$175,Table1014[B1],K$178)/$I$177</f>
        <v>0</v>
      </c>
      <c r="L179" s="66">
        <f>COUNTIFS(Table1014[Prodi],$I$175,Table1014[B1],L$178)/$I$177</f>
        <v>0</v>
      </c>
      <c r="M179" s="62">
        <f t="shared" ref="M179:M185" si="15">SUM(I179:L179)</f>
        <v>1</v>
      </c>
      <c r="N179"/>
      <c r="O179" s="57" t="s">
        <v>26</v>
      </c>
      <c r="P179" s="66">
        <f>COUNTIFS(Table1014[Prodi],$P$175,Table1014[B1],P$178)/$P$177</f>
        <v>0.33333333333333331</v>
      </c>
      <c r="Q179" s="66">
        <f>COUNTIFS(Table1014[Prodi],$P$175,Table1014[B1],Q$178)/$P$177</f>
        <v>0.66666666666666663</v>
      </c>
      <c r="R179" s="66">
        <f>COUNTIFS(Table1014[Prodi],$P$175,Table1014[B1],R$178)/$P$177</f>
        <v>0</v>
      </c>
      <c r="S179" s="66">
        <f>COUNTIFS(Table1014[Prodi],$P$175,Table1014[B1],S$178)/$P$177</f>
        <v>0</v>
      </c>
      <c r="T179" s="62">
        <f t="shared" ref="T179:T185" si="16">SUM(P179:S179)</f>
        <v>1</v>
      </c>
      <c r="U179"/>
      <c r="V179" s="57" t="s">
        <v>26</v>
      </c>
      <c r="W179" s="66">
        <f>COUNTIFS(Table1014[Prodi],$W$175,Table1014[B1],W$178)/$W$177</f>
        <v>0</v>
      </c>
      <c r="X179" s="66">
        <f>COUNTIFS(Table1014[Prodi],$W$175,Table1014[B1],X$178)/$W$177</f>
        <v>1</v>
      </c>
      <c r="Y179" s="66">
        <f>COUNTIFS(Table1014[Prodi],$W$175,Table1014[B1],Y$178)/$W$177</f>
        <v>0</v>
      </c>
      <c r="Z179" s="66">
        <f>COUNTIFS(Table1014[Prodi],$W$175,Table1014[B1],Z$178)/$W$177</f>
        <v>0</v>
      </c>
      <c r="AA179" s="62">
        <f t="shared" ref="AA179:AA185" si="17">SUM(W179:Z179)</f>
        <v>1</v>
      </c>
      <c r="AB179"/>
      <c r="AC179"/>
      <c r="AD179"/>
      <c r="AE179"/>
      <c r="AF179"/>
      <c r="AG179"/>
      <c r="AH179"/>
      <c r="AI179"/>
      <c r="AJ179"/>
      <c r="AK179"/>
      <c r="AL179"/>
      <c r="AM179"/>
      <c r="AN179"/>
      <c r="AO179"/>
      <c r="AP179"/>
      <c r="AQ179"/>
      <c r="AR179"/>
    </row>
    <row r="180" spans="1:44" s="118" customFormat="1" ht="16.5" x14ac:dyDescent="0.3">
      <c r="A180" s="57" t="s">
        <v>27</v>
      </c>
      <c r="B180" s="66">
        <f>COUNTIF(Table1014[B2],B$178)/$B$177</f>
        <v>0.8</v>
      </c>
      <c r="C180" s="66">
        <f>COUNTIF(Table1014[B2],C$178)/$B$177</f>
        <v>0.2</v>
      </c>
      <c r="D180" s="66">
        <f>COUNTIF(Table1014[B2],D$178)/$B$177</f>
        <v>0</v>
      </c>
      <c r="E180" s="66">
        <f>COUNTIF(Table1014[B2],E$178)/$B$177</f>
        <v>0</v>
      </c>
      <c r="F180" s="62">
        <f t="shared" si="14"/>
        <v>1</v>
      </c>
      <c r="H180" s="57" t="s">
        <v>27</v>
      </c>
      <c r="I180" s="66">
        <f>COUNTIFS(Table1014[Prodi],$I$175,Table1014[B2],I$178)/$I$177</f>
        <v>1</v>
      </c>
      <c r="J180" s="66">
        <f>COUNTIFS(Table1014[Prodi],$I$175,Table1014[B2],J$178)/$I$177</f>
        <v>0</v>
      </c>
      <c r="K180" s="66">
        <f>COUNTIFS(Table1014[Prodi],$I$175,Table1014[B2],K$178)/$I$177</f>
        <v>0</v>
      </c>
      <c r="L180" s="66">
        <f>COUNTIFS(Table1014[Prodi],$I$175,Table1014[B2],L$178)/$I$177</f>
        <v>0</v>
      </c>
      <c r="M180" s="62">
        <f t="shared" si="15"/>
        <v>1</v>
      </c>
      <c r="N180"/>
      <c r="O180" s="57" t="s">
        <v>27</v>
      </c>
      <c r="P180" s="66">
        <f>COUNTIFS(Table1014[Prodi],$P$175,Table1014[B2],P$178)/$P$177</f>
        <v>1</v>
      </c>
      <c r="Q180" s="66">
        <f>COUNTIFS(Table1014[Prodi],$P$175,Table1014[B2],Q$178)/$P$177</f>
        <v>0</v>
      </c>
      <c r="R180" s="66">
        <f>COUNTIFS(Table1014[Prodi],$P$175,Table1014[B2],R$178)/$P$177</f>
        <v>0</v>
      </c>
      <c r="S180" s="66">
        <f>COUNTIFS(Table1014[Prodi],$P$175,Table1014[B2],S$178)/$P$177</f>
        <v>0</v>
      </c>
      <c r="T180" s="62">
        <f t="shared" si="16"/>
        <v>1</v>
      </c>
      <c r="U180"/>
      <c r="V180" s="57" t="s">
        <v>27</v>
      </c>
      <c r="W180" s="66">
        <f>COUNTIFS(Table1014[Prodi],$W$175,Table1014[B2],W$178)/$W$177</f>
        <v>0</v>
      </c>
      <c r="X180" s="66">
        <f>COUNTIFS(Table1014[Prodi],$W$175,Table1014[B2],X$178)/$W$177</f>
        <v>1</v>
      </c>
      <c r="Y180" s="66">
        <f>COUNTIFS(Table1014[Prodi],$W$175,Table1014[B2],Y$178)/$W$177</f>
        <v>0</v>
      </c>
      <c r="Z180" s="66">
        <f>COUNTIFS(Table1014[Prodi],$W$175,Table1014[B2],Z$178)/$W$177</f>
        <v>0</v>
      </c>
      <c r="AA180" s="62">
        <f t="shared" si="17"/>
        <v>1</v>
      </c>
      <c r="AB180"/>
      <c r="AC180"/>
      <c r="AD180"/>
      <c r="AE180"/>
      <c r="AF180"/>
      <c r="AG180"/>
      <c r="AH180"/>
      <c r="AI180"/>
      <c r="AJ180"/>
      <c r="AK180"/>
      <c r="AL180"/>
      <c r="AM180"/>
      <c r="AN180"/>
      <c r="AO180"/>
      <c r="AP180"/>
      <c r="AQ180"/>
      <c r="AR180"/>
    </row>
    <row r="181" spans="1:44" s="118" customFormat="1" ht="16.5" x14ac:dyDescent="0.3">
      <c r="A181" s="57" t="s">
        <v>28</v>
      </c>
      <c r="B181" s="66">
        <f>COUNTIF(Table1014[B3],B$178)/$B$177</f>
        <v>0.2</v>
      </c>
      <c r="C181" s="66">
        <f>COUNTIF(Table1014[B3],C$178)/$B$177</f>
        <v>0.8</v>
      </c>
      <c r="D181" s="66">
        <f>COUNTIF(Table1014[B3],D$178)/$B$177</f>
        <v>0</v>
      </c>
      <c r="E181" s="66">
        <f>COUNTIF(Table1014[B3],E$178)/$B$177</f>
        <v>0</v>
      </c>
      <c r="F181" s="62">
        <f t="shared" si="14"/>
        <v>1</v>
      </c>
      <c r="H181" s="57" t="s">
        <v>28</v>
      </c>
      <c r="I181" s="66">
        <f>COUNTIFS(Table1014[Prodi],$I$175,Table1014[B3],I$178)/$I$177</f>
        <v>0</v>
      </c>
      <c r="J181" s="66">
        <f>COUNTIFS(Table1014[Prodi],$I$175,Table1014[B3],J$178)/$I$177</f>
        <v>1</v>
      </c>
      <c r="K181" s="66">
        <f>COUNTIFS(Table1014[Prodi],$I$175,Table1014[B3],K$178)/$I$177</f>
        <v>0</v>
      </c>
      <c r="L181" s="66">
        <f>COUNTIFS(Table1014[Prodi],$I$175,Table1014[B3],L$178)/$I$177</f>
        <v>0</v>
      </c>
      <c r="M181" s="62">
        <f t="shared" si="15"/>
        <v>1</v>
      </c>
      <c r="N181"/>
      <c r="O181" s="57" t="s">
        <v>28</v>
      </c>
      <c r="P181" s="66">
        <f>COUNTIFS(Table1014[Prodi],$P$175,Table1014[B3],P$178)/$P$177</f>
        <v>0</v>
      </c>
      <c r="Q181" s="66">
        <f>COUNTIFS(Table1014[Prodi],$P$175,Table1014[B3],Q$178)/$P$177</f>
        <v>1</v>
      </c>
      <c r="R181" s="66">
        <f>COUNTIFS(Table1014[Prodi],$P$175,Table1014[B3],R$178)/$P$177</f>
        <v>0</v>
      </c>
      <c r="S181" s="66">
        <f>COUNTIFS(Table1014[Prodi],$P$175,Table1014[B3],S$178)/$P$177</f>
        <v>0</v>
      </c>
      <c r="T181" s="62">
        <f t="shared" si="16"/>
        <v>1</v>
      </c>
      <c r="U181"/>
      <c r="V181" s="57" t="s">
        <v>28</v>
      </c>
      <c r="W181" s="66">
        <f>COUNTIFS(Table1014[Prodi],$W$175,Table1014[B3],W$178)/$W$177</f>
        <v>1</v>
      </c>
      <c r="X181" s="66">
        <f>COUNTIFS(Table1014[Prodi],$W$175,Table1014[B3],X$178)/$W$177</f>
        <v>0</v>
      </c>
      <c r="Y181" s="66">
        <f>COUNTIFS(Table1014[Prodi],$W$175,Table1014[B3],Y$178)/$W$177</f>
        <v>0</v>
      </c>
      <c r="Z181" s="66">
        <f>COUNTIFS(Table1014[Prodi],$W$175,Table1014[B3],Z$178)/$W$177</f>
        <v>0</v>
      </c>
      <c r="AA181" s="62">
        <f t="shared" si="17"/>
        <v>1</v>
      </c>
      <c r="AB181"/>
      <c r="AC181"/>
      <c r="AD181"/>
      <c r="AE181"/>
      <c r="AF181"/>
      <c r="AG181"/>
      <c r="AH181"/>
      <c r="AI181"/>
      <c r="AJ181"/>
      <c r="AK181"/>
      <c r="AL181"/>
      <c r="AM181"/>
      <c r="AN181"/>
      <c r="AO181"/>
      <c r="AP181"/>
      <c r="AQ181"/>
      <c r="AR181"/>
    </row>
    <row r="182" spans="1:44" s="118" customFormat="1" ht="16.5" x14ac:dyDescent="0.3">
      <c r="A182" s="57" t="s">
        <v>29</v>
      </c>
      <c r="B182" s="66">
        <f>COUNTIF(Table1014[B4],B$178)/$B$177</f>
        <v>0.2</v>
      </c>
      <c r="C182" s="66">
        <f>COUNTIF(Table1014[B4],C$178)/$B$177</f>
        <v>0.8</v>
      </c>
      <c r="D182" s="66">
        <f>COUNTIF(Table1014[B4],D$178)/$B$177</f>
        <v>0</v>
      </c>
      <c r="E182" s="66">
        <f>COUNTIF(Table1014[B4],E$178)/$B$177</f>
        <v>0</v>
      </c>
      <c r="F182" s="62">
        <f t="shared" si="14"/>
        <v>1</v>
      </c>
      <c r="H182" s="57" t="s">
        <v>29</v>
      </c>
      <c r="I182" s="66">
        <f>COUNTIFS(Table1014[Prodi],$I$175,Table1014[B4],I$178)/$I$177</f>
        <v>0</v>
      </c>
      <c r="J182" s="66">
        <f>COUNTIFS(Table1014[Prodi],$I$175,Table1014[B4],J$178)/$I$177</f>
        <v>1</v>
      </c>
      <c r="K182" s="66">
        <f>COUNTIFS(Table1014[Prodi],$I$175,Table1014[B4],K$178)/$I$177</f>
        <v>0</v>
      </c>
      <c r="L182" s="66">
        <f>COUNTIFS(Table1014[Prodi],$I$175,Table1014[B4],L$178)/$I$177</f>
        <v>0</v>
      </c>
      <c r="M182" s="62">
        <f t="shared" si="15"/>
        <v>1</v>
      </c>
      <c r="N182"/>
      <c r="O182" s="57" t="s">
        <v>29</v>
      </c>
      <c r="P182" s="66">
        <f>COUNTIFS(Table1014[Prodi],$P$175,Table1014[B4],P$178)/$P$177</f>
        <v>0.33333333333333331</v>
      </c>
      <c r="Q182" s="66">
        <f>COUNTIFS(Table1014[Prodi],$P$175,Table1014[B4],Q$178)/$P$177</f>
        <v>0.66666666666666663</v>
      </c>
      <c r="R182" s="66">
        <f>COUNTIFS(Table1014[Prodi],$P$175,Table1014[B4],R$178)/$P$177</f>
        <v>0</v>
      </c>
      <c r="S182" s="66">
        <f>COUNTIFS(Table1014[Prodi],$P$175,Table1014[B4],S$178)/$P$177</f>
        <v>0</v>
      </c>
      <c r="T182" s="62">
        <f t="shared" si="16"/>
        <v>1</v>
      </c>
      <c r="U182"/>
      <c r="V182" s="57" t="s">
        <v>29</v>
      </c>
      <c r="W182" s="66">
        <f>COUNTIFS(Table1014[Prodi],$W$175,Table1014[B4],W$178)/$W$177</f>
        <v>0</v>
      </c>
      <c r="X182" s="66">
        <f>COUNTIFS(Table1014[Prodi],$W$175,Table1014[B4],X$178)/$W$177</f>
        <v>1</v>
      </c>
      <c r="Y182" s="66">
        <f>COUNTIFS(Table1014[Prodi],$W$175,Table1014[B4],Y$178)/$W$177</f>
        <v>0</v>
      </c>
      <c r="Z182" s="66">
        <f>COUNTIFS(Table1014[Prodi],$W$175,Table1014[B4],Z$178)/$W$177</f>
        <v>0</v>
      </c>
      <c r="AA182" s="62">
        <f t="shared" si="17"/>
        <v>1</v>
      </c>
      <c r="AB182"/>
      <c r="AC182"/>
      <c r="AD182"/>
      <c r="AE182"/>
      <c r="AF182"/>
      <c r="AG182"/>
      <c r="AH182"/>
      <c r="AI182"/>
      <c r="AJ182"/>
      <c r="AK182"/>
      <c r="AL182"/>
      <c r="AM182"/>
      <c r="AN182"/>
      <c r="AO182"/>
      <c r="AP182"/>
      <c r="AQ182"/>
      <c r="AR182"/>
    </row>
    <row r="183" spans="1:44" s="118" customFormat="1" ht="16.5" x14ac:dyDescent="0.3">
      <c r="A183" s="60"/>
      <c r="B183" s="61">
        <f>AVERAGE(B179:B182)</f>
        <v>0.35</v>
      </c>
      <c r="C183" s="61">
        <f>AVERAGE(C179:C182)</f>
        <v>0.65</v>
      </c>
      <c r="D183" s="61">
        <f>AVERAGE(D179:D182)</f>
        <v>0</v>
      </c>
      <c r="E183" s="61">
        <f>AVERAGE(E179:E182)</f>
        <v>0</v>
      </c>
      <c r="F183" s="62">
        <f t="shared" si="14"/>
        <v>1</v>
      </c>
      <c r="H183" s="60"/>
      <c r="I183" s="61">
        <f>AVERAGE(I179:I182)</f>
        <v>0.25</v>
      </c>
      <c r="J183" s="61">
        <f>AVERAGE(J179:J182)</f>
        <v>0.75</v>
      </c>
      <c r="K183" s="61">
        <f>AVERAGE(K179:K182)</f>
        <v>0</v>
      </c>
      <c r="L183" s="61">
        <f>AVERAGE(L179:L182)</f>
        <v>0</v>
      </c>
      <c r="M183" s="62">
        <f t="shared" si="15"/>
        <v>1</v>
      </c>
      <c r="N183"/>
      <c r="O183" s="60"/>
      <c r="P183" s="61">
        <f>AVERAGE(P179:P182)</f>
        <v>0.41666666666666663</v>
      </c>
      <c r="Q183" s="61">
        <f>AVERAGE(Q179:Q182)</f>
        <v>0.58333333333333326</v>
      </c>
      <c r="R183" s="61">
        <f>AVERAGE(R179:R182)</f>
        <v>0</v>
      </c>
      <c r="S183" s="61">
        <f>AVERAGE(S179:S182)</f>
        <v>0</v>
      </c>
      <c r="T183" s="62">
        <f t="shared" si="16"/>
        <v>0.99999999999999989</v>
      </c>
      <c r="U183"/>
      <c r="V183" s="60"/>
      <c r="W183" s="61">
        <f>AVERAGE(W179:W182)</f>
        <v>0.25</v>
      </c>
      <c r="X183" s="61">
        <f>AVERAGE(X179:X182)</f>
        <v>0.75</v>
      </c>
      <c r="Y183" s="61">
        <f>AVERAGE(Y179:Y182)</f>
        <v>0</v>
      </c>
      <c r="Z183" s="61">
        <f>AVERAGE(Z179:Z182)</f>
        <v>0</v>
      </c>
      <c r="AA183" s="62">
        <f t="shared" si="17"/>
        <v>1</v>
      </c>
      <c r="AB183"/>
      <c r="AC183"/>
      <c r="AD183"/>
      <c r="AE183"/>
      <c r="AF183"/>
      <c r="AG183"/>
      <c r="AH183"/>
      <c r="AI183"/>
      <c r="AJ183"/>
      <c r="AK183"/>
      <c r="AL183"/>
      <c r="AM183"/>
      <c r="AN183"/>
      <c r="AO183"/>
      <c r="AP183"/>
      <c r="AQ183"/>
      <c r="AR183"/>
    </row>
    <row r="184" spans="1:44" s="118" customFormat="1" ht="16.5" x14ac:dyDescent="0.3">
      <c r="A184" s="57" t="s">
        <v>31</v>
      </c>
      <c r="B184" s="66">
        <f>COUNTIF(Table1014[C1],B$178)/$B$177</f>
        <v>0.2</v>
      </c>
      <c r="C184" s="66">
        <f>COUNTIF(Table1014[C1],C$178)/$B$177</f>
        <v>0.8</v>
      </c>
      <c r="D184" s="66">
        <f>COUNTIF(Table1014[C1],D$178)/$B$177</f>
        <v>0</v>
      </c>
      <c r="E184" s="66">
        <f>COUNTIF(Table1014[C1],E$178)/$B$177</f>
        <v>0</v>
      </c>
      <c r="F184" s="62">
        <f t="shared" si="14"/>
        <v>1</v>
      </c>
      <c r="H184" s="57" t="s">
        <v>31</v>
      </c>
      <c r="I184" s="66">
        <f>COUNTIFS(Table1014[Prodi],$I$175,Table1014[C1],I$178)/$I$177</f>
        <v>0</v>
      </c>
      <c r="J184" s="66">
        <f>COUNTIFS(Table1014[Prodi],$I$175,Table1014[C1],J$178)/$I$177</f>
        <v>1</v>
      </c>
      <c r="K184" s="66">
        <f>COUNTIFS(Table1014[Prodi],$I$175,Table1014[C1],K$178)/$I$177</f>
        <v>0</v>
      </c>
      <c r="L184" s="66">
        <f>COUNTIFS(Table1014[Prodi],$I$175,Table1014[C1],L$178)/$I$177</f>
        <v>0</v>
      </c>
      <c r="M184" s="62">
        <f t="shared" si="15"/>
        <v>1</v>
      </c>
      <c r="N184"/>
      <c r="O184" s="57" t="s">
        <v>31</v>
      </c>
      <c r="P184" s="66">
        <f>COUNTIFS(Table1014[Prodi],$P$175,Table1014[C1],P$178)/$P$177</f>
        <v>0</v>
      </c>
      <c r="Q184" s="66">
        <f>COUNTIFS(Table1014[Prodi],$P$175,Table1014[C1],Q$178)/$P$177</f>
        <v>1</v>
      </c>
      <c r="R184" s="66">
        <f>COUNTIFS(Table1014[Prodi],$P$175,Table1014[C1],R$178)/$P$177</f>
        <v>0</v>
      </c>
      <c r="S184" s="66">
        <f>COUNTIFS(Table1014[Prodi],$P$175,Table1014[C1],S$178)/$P$177</f>
        <v>0</v>
      </c>
      <c r="T184" s="62">
        <f t="shared" si="16"/>
        <v>1</v>
      </c>
      <c r="U184"/>
      <c r="V184" s="57" t="s">
        <v>31</v>
      </c>
      <c r="W184" s="66">
        <f>COUNTIFS(Table1014[Prodi],$W$175,Table1014[C1],W$178)/$W$177</f>
        <v>1</v>
      </c>
      <c r="X184" s="66">
        <f>COUNTIFS(Table1014[Prodi],$W$175,Table1014[C1],X$178)/$W$177</f>
        <v>0</v>
      </c>
      <c r="Y184" s="66">
        <f>COUNTIFS(Table1014[Prodi],$W$175,Table1014[C1],Y$178)/$W$177</f>
        <v>0</v>
      </c>
      <c r="Z184" s="66">
        <f>COUNTIFS(Table1014[Prodi],$W$175,Table1014[C1],Z$178)/$W$177</f>
        <v>0</v>
      </c>
      <c r="AA184" s="62">
        <f t="shared" si="17"/>
        <v>1</v>
      </c>
      <c r="AB184"/>
      <c r="AC184"/>
      <c r="AD184"/>
      <c r="AE184"/>
      <c r="AF184"/>
      <c r="AG184"/>
      <c r="AH184"/>
      <c r="AI184"/>
      <c r="AJ184"/>
      <c r="AK184"/>
      <c r="AL184"/>
      <c r="AM184"/>
      <c r="AN184"/>
      <c r="AO184"/>
      <c r="AP184"/>
      <c r="AQ184"/>
      <c r="AR184"/>
    </row>
    <row r="185" spans="1:44" s="118" customFormat="1" ht="16.5" x14ac:dyDescent="0.3">
      <c r="A185" s="57" t="s">
        <v>32</v>
      </c>
      <c r="B185" s="66">
        <f>COUNTIF(Table1014[C2],B$178)/$B$177</f>
        <v>0.8</v>
      </c>
      <c r="C185" s="66">
        <f>COUNTIF(Table1014[C2],C$178)/$B$177</f>
        <v>0.2</v>
      </c>
      <c r="D185" s="66">
        <f>COUNTIF(Table1014[C2],D$178)/$B$177</f>
        <v>0</v>
      </c>
      <c r="E185" s="66">
        <f>COUNTIF(Table1014[C2],E$178)/$B$177</f>
        <v>0</v>
      </c>
      <c r="F185" s="62">
        <f t="shared" si="14"/>
        <v>1</v>
      </c>
      <c r="H185" s="57" t="s">
        <v>32</v>
      </c>
      <c r="I185" s="66">
        <f>COUNTIFS(Table1014[Prodi],$I$175,Table1014[C2],I$178)/$I$177</f>
        <v>1</v>
      </c>
      <c r="J185" s="66">
        <f>COUNTIFS(Table1014[Prodi],$I$175,Table1014[C2],J$178)/$I$177</f>
        <v>0</v>
      </c>
      <c r="K185" s="66">
        <f>COUNTIFS(Table1014[Prodi],$I$175,Table1014[C2],K$178)/$I$177</f>
        <v>0</v>
      </c>
      <c r="L185" s="66">
        <f>COUNTIFS(Table1014[Prodi],$I$175,Table1014[C2],L$178)/$I$177</f>
        <v>0</v>
      </c>
      <c r="M185" s="62">
        <f t="shared" si="15"/>
        <v>1</v>
      </c>
      <c r="N185"/>
      <c r="O185" s="57" t="s">
        <v>32</v>
      </c>
      <c r="P185" s="66">
        <f>COUNTIFS(Table1014[Prodi],$P$175,Table1014[C2],P$178)/$P$177</f>
        <v>0.66666666666666663</v>
      </c>
      <c r="Q185" s="66">
        <f>COUNTIFS(Table1014[Prodi],$P$175,Table1014[C2],Q$178)/$P$177</f>
        <v>0.33333333333333331</v>
      </c>
      <c r="R185" s="66">
        <f>COUNTIFS(Table1014[Prodi],$P$175,Table1014[C2],R$178)/$P$177</f>
        <v>0</v>
      </c>
      <c r="S185" s="66">
        <f>COUNTIFS(Table1014[Prodi],$P$175,Table1014[C2],S$178)/$P$177</f>
        <v>0</v>
      </c>
      <c r="T185" s="62">
        <f t="shared" si="16"/>
        <v>1</v>
      </c>
      <c r="U185"/>
      <c r="V185" s="57" t="s">
        <v>32</v>
      </c>
      <c r="W185" s="66">
        <f>COUNTIFS(Table1014[Prodi],$W$175,Table1014[C2],W$178)/$W$177</f>
        <v>1</v>
      </c>
      <c r="X185" s="66">
        <f>COUNTIFS(Table1014[Prodi],$W$175,Table1014[C2],X$178)/$W$177</f>
        <v>0</v>
      </c>
      <c r="Y185" s="66">
        <f>COUNTIFS(Table1014[Prodi],$W$175,Table1014[C2],Y$178)/$W$177</f>
        <v>0</v>
      </c>
      <c r="Z185" s="66">
        <f>COUNTIFS(Table1014[Prodi],$W$175,Table1014[C2],Z$178)/$W$177</f>
        <v>0</v>
      </c>
      <c r="AA185" s="62">
        <f t="shared" si="17"/>
        <v>1</v>
      </c>
      <c r="AB185"/>
      <c r="AC185"/>
      <c r="AD185"/>
      <c r="AE185"/>
      <c r="AF185"/>
      <c r="AG185"/>
      <c r="AH185"/>
      <c r="AI185"/>
      <c r="AJ185"/>
      <c r="AK185"/>
      <c r="AL185"/>
      <c r="AM185"/>
      <c r="AN185"/>
      <c r="AO185"/>
      <c r="AP185"/>
      <c r="AQ185"/>
      <c r="AR185"/>
    </row>
    <row r="186" spans="1:44" s="118" customFormat="1" ht="16.5" x14ac:dyDescent="0.3">
      <c r="A186" s="60"/>
      <c r="B186" s="61">
        <f>AVERAGE(B184:B185)</f>
        <v>0.5</v>
      </c>
      <c r="C186" s="61">
        <f>AVERAGE(C184:C185)</f>
        <v>0.5</v>
      </c>
      <c r="D186" s="61">
        <f>AVERAGE(D184:D185)</f>
        <v>0</v>
      </c>
      <c r="E186" s="61">
        <f>AVERAGE(E184:E185)</f>
        <v>0</v>
      </c>
      <c r="F186" s="62">
        <f>SUM(B186:E186)</f>
        <v>1</v>
      </c>
      <c r="H186" s="60"/>
      <c r="I186" s="61">
        <f>AVERAGE(I184:I185)</f>
        <v>0.5</v>
      </c>
      <c r="J186" s="61">
        <f>AVERAGE(J184:J185)</f>
        <v>0.5</v>
      </c>
      <c r="K186" s="61">
        <f>AVERAGE(K184:K185)</f>
        <v>0</v>
      </c>
      <c r="L186" s="61">
        <f>AVERAGE(L184:L185)</f>
        <v>0</v>
      </c>
      <c r="M186" s="62">
        <f>SUM(I186:L186)</f>
        <v>1</v>
      </c>
      <c r="N186"/>
      <c r="O186" s="60"/>
      <c r="P186" s="61">
        <f>AVERAGE(P184:P185)</f>
        <v>0.33333333333333331</v>
      </c>
      <c r="Q186" s="61">
        <f>AVERAGE(Q184:Q185)</f>
        <v>0.66666666666666663</v>
      </c>
      <c r="R186" s="61">
        <f>AVERAGE(R184:R185)</f>
        <v>0</v>
      </c>
      <c r="S186" s="61">
        <f>AVERAGE(S184:S185)</f>
        <v>0</v>
      </c>
      <c r="T186" s="62">
        <f>SUM(P186:S186)</f>
        <v>1</v>
      </c>
      <c r="U186"/>
      <c r="V186" s="60"/>
      <c r="W186" s="61">
        <f>AVERAGE(W184:W185)</f>
        <v>1</v>
      </c>
      <c r="X186" s="61">
        <f>AVERAGE(X184:X185)</f>
        <v>0</v>
      </c>
      <c r="Y186" s="61">
        <f>AVERAGE(Y184:Y185)</f>
        <v>0</v>
      </c>
      <c r="Z186" s="61">
        <f>AVERAGE(Z184:Z185)</f>
        <v>0</v>
      </c>
      <c r="AA186" s="62">
        <f>SUM(W186:Z186)</f>
        <v>1</v>
      </c>
      <c r="AB186"/>
      <c r="AC186"/>
      <c r="AD186"/>
      <c r="AE186"/>
      <c r="AF186"/>
      <c r="AG186"/>
      <c r="AH186"/>
      <c r="AI186"/>
      <c r="AJ186"/>
      <c r="AK186"/>
      <c r="AL186"/>
      <c r="AM186"/>
      <c r="AN186"/>
      <c r="AO186"/>
      <c r="AP186"/>
      <c r="AQ186"/>
      <c r="AR186"/>
    </row>
    <row r="187" spans="1:44" s="118" customFormat="1" ht="16.5" x14ac:dyDescent="0.3">
      <c r="A187" s="57" t="s">
        <v>33</v>
      </c>
      <c r="B187" s="66">
        <f>COUNTIF(Table1014[D1],B$178)/$B$177</f>
        <v>0.6</v>
      </c>
      <c r="C187" s="66">
        <f>COUNTIF(Table1014[D1],C$178)/$B$177</f>
        <v>0.4</v>
      </c>
      <c r="D187" s="66">
        <f>COUNTIF(Table1014[D1],D$178)/$B$177</f>
        <v>0</v>
      </c>
      <c r="E187" s="66">
        <f>COUNTIF(Table1014[D1],E$178)/$B$177</f>
        <v>0</v>
      </c>
      <c r="F187" s="62">
        <f t="shared" ref="F187:F217" si="18">SUM(B187:E187)</f>
        <v>1</v>
      </c>
      <c r="H187" s="57" t="s">
        <v>33</v>
      </c>
      <c r="I187" s="66">
        <f>COUNTIFS(Table1014[Prodi],$I$175,Table1014[D1],I$178)/$I$177</f>
        <v>0</v>
      </c>
      <c r="J187" s="66">
        <f>COUNTIFS(Table1014[Prodi],$I$175,Table1014[D1],J$178)/$I$177</f>
        <v>1</v>
      </c>
      <c r="K187" s="66">
        <f>COUNTIFS(Table1014[Prodi],$I$175,Table1014[D1],K$178)/$I$177</f>
        <v>0</v>
      </c>
      <c r="L187" s="66">
        <f>COUNTIFS(Table1014[Prodi],$I$175,Table1014[D1],L$178)/$I$177</f>
        <v>0</v>
      </c>
      <c r="M187" s="62">
        <f t="shared" ref="M187:M217" si="19">SUM(I187:L187)</f>
        <v>1</v>
      </c>
      <c r="N187"/>
      <c r="O187" s="57" t="s">
        <v>33</v>
      </c>
      <c r="P187" s="66">
        <f>COUNTIFS(Table1014[Prodi],$P$175,Table1014[D1],P$178)/$P$177</f>
        <v>0.66666666666666663</v>
      </c>
      <c r="Q187" s="66">
        <f>COUNTIFS(Table1014[Prodi],$P$175,Table1014[D1],Q$178)/$P$177</f>
        <v>0.33333333333333331</v>
      </c>
      <c r="R187" s="66">
        <f>COUNTIFS(Table1014[Prodi],$P$175,Table1014[D1],R$178)/$P$177</f>
        <v>0</v>
      </c>
      <c r="S187" s="66">
        <f>COUNTIFS(Table1014[Prodi],$P$175,Table1014[D1],S$178)/$P$177</f>
        <v>0</v>
      </c>
      <c r="T187" s="62">
        <f t="shared" ref="T187:T217" si="20">SUM(P187:S187)</f>
        <v>1</v>
      </c>
      <c r="U187"/>
      <c r="V187" s="57" t="s">
        <v>33</v>
      </c>
      <c r="W187" s="66">
        <f>COUNTIFS(Table1014[Prodi],$W$175,Table1014[D1],W$178)/$W$177</f>
        <v>1</v>
      </c>
      <c r="X187" s="66">
        <f>COUNTIFS(Table1014[Prodi],$W$175,Table1014[D1],X$178)/$W$177</f>
        <v>0</v>
      </c>
      <c r="Y187" s="66">
        <f>COUNTIFS(Table1014[Prodi],$W$175,Table1014[D1],Y$178)/$W$177</f>
        <v>0</v>
      </c>
      <c r="Z187" s="66">
        <f>COUNTIFS(Table1014[Prodi],$W$175,Table1014[D1],Z$178)/$W$177</f>
        <v>0</v>
      </c>
      <c r="AA187" s="62">
        <f t="shared" ref="AA187:AA217" si="21">SUM(W187:Z187)</f>
        <v>1</v>
      </c>
      <c r="AB187"/>
      <c r="AC187"/>
      <c r="AD187"/>
      <c r="AE187"/>
      <c r="AF187"/>
      <c r="AG187"/>
      <c r="AH187"/>
      <c r="AI187"/>
      <c r="AJ187"/>
      <c r="AK187"/>
      <c r="AL187"/>
      <c r="AM187"/>
      <c r="AN187"/>
      <c r="AO187"/>
      <c r="AP187"/>
      <c r="AQ187"/>
      <c r="AR187"/>
    </row>
    <row r="188" spans="1:44" s="118" customFormat="1" ht="16.5" x14ac:dyDescent="0.3">
      <c r="A188" s="57" t="s">
        <v>34</v>
      </c>
      <c r="B188" s="66">
        <f>COUNTIF(Table1014[D2],B$178)/$B$177</f>
        <v>0.6</v>
      </c>
      <c r="C188" s="66">
        <f>COUNTIF(Table1014[D2],C$178)/$B$177</f>
        <v>0.4</v>
      </c>
      <c r="D188" s="66">
        <f>COUNTIF(Table1014[D2],D$178)/$B$177</f>
        <v>0</v>
      </c>
      <c r="E188" s="66">
        <f>COUNTIF(Table1014[D2],E$178)/$B$177</f>
        <v>0</v>
      </c>
      <c r="F188" s="62">
        <f t="shared" si="18"/>
        <v>1</v>
      </c>
      <c r="H188" s="57" t="s">
        <v>34</v>
      </c>
      <c r="I188" s="66">
        <f>COUNTIFS(Table1014[Prodi],$I$175,Table1014[D2],I$178)/$I$177</f>
        <v>1</v>
      </c>
      <c r="J188" s="66">
        <f>COUNTIFS(Table1014[Prodi],$I$175,Table1014[D2],J$178)/$I$177</f>
        <v>0</v>
      </c>
      <c r="K188" s="66">
        <f>COUNTIFS(Table1014[Prodi],$I$175,Table1014[D2],K$178)/$I$177</f>
        <v>0</v>
      </c>
      <c r="L188" s="66">
        <f>COUNTIFS(Table1014[Prodi],$I$175,Table1014[D2],L$178)/$I$177</f>
        <v>0</v>
      </c>
      <c r="M188" s="62">
        <f t="shared" si="19"/>
        <v>1</v>
      </c>
      <c r="N188"/>
      <c r="O188" s="57" t="s">
        <v>34</v>
      </c>
      <c r="P188" s="66">
        <f>COUNTIFS(Table1014[Prodi],$P$175,Table1014[D2],P$178)/$P$177</f>
        <v>0.33333333333333331</v>
      </c>
      <c r="Q188" s="66">
        <f>COUNTIFS(Table1014[Prodi],$P$175,Table1014[D2],Q$178)/$P$177</f>
        <v>0.66666666666666663</v>
      </c>
      <c r="R188" s="66">
        <f>COUNTIFS(Table1014[Prodi],$P$175,Table1014[D2],R$178)/$P$177</f>
        <v>0</v>
      </c>
      <c r="S188" s="66">
        <f>COUNTIFS(Table1014[Prodi],$P$175,Table1014[D2],S$178)/$P$177</f>
        <v>0</v>
      </c>
      <c r="T188" s="62">
        <f t="shared" si="20"/>
        <v>1</v>
      </c>
      <c r="U188"/>
      <c r="V188" s="57" t="s">
        <v>34</v>
      </c>
      <c r="W188" s="66">
        <f>COUNTIFS(Table1014[Prodi],$W$175,Table1014[D2],W$178)/$W$177</f>
        <v>1</v>
      </c>
      <c r="X188" s="66">
        <f>COUNTIFS(Table1014[Prodi],$W$175,Table1014[D2],X$178)/$W$177</f>
        <v>0</v>
      </c>
      <c r="Y188" s="66">
        <f>COUNTIFS(Table1014[Prodi],$W$175,Table1014[D2],Y$178)/$W$177</f>
        <v>0</v>
      </c>
      <c r="Z188" s="66">
        <f>COUNTIFS(Table1014[Prodi],$W$175,Table1014[D2],Z$178)/$W$177</f>
        <v>0</v>
      </c>
      <c r="AA188" s="62">
        <f t="shared" si="21"/>
        <v>1</v>
      </c>
      <c r="AB188"/>
      <c r="AC188"/>
      <c r="AD188"/>
      <c r="AE188"/>
      <c r="AF188"/>
      <c r="AG188"/>
      <c r="AH188"/>
      <c r="AI188"/>
      <c r="AJ188"/>
      <c r="AK188"/>
      <c r="AL188"/>
      <c r="AM188"/>
      <c r="AN188"/>
      <c r="AO188"/>
      <c r="AP188"/>
      <c r="AQ188"/>
      <c r="AR188"/>
    </row>
    <row r="189" spans="1:44" s="118" customFormat="1" ht="16.5" x14ac:dyDescent="0.3">
      <c r="A189" s="60"/>
      <c r="B189" s="61">
        <f>AVERAGE(B187:B188)</f>
        <v>0.6</v>
      </c>
      <c r="C189" s="61">
        <f>AVERAGE(C187:C188)</f>
        <v>0.4</v>
      </c>
      <c r="D189" s="61">
        <f>AVERAGE(D187:D188)</f>
        <v>0</v>
      </c>
      <c r="E189" s="61">
        <f>AVERAGE(E187:E188)</f>
        <v>0</v>
      </c>
      <c r="F189" s="62">
        <f t="shared" si="18"/>
        <v>1</v>
      </c>
      <c r="H189" s="60"/>
      <c r="I189" s="61">
        <f>AVERAGE(I187:I188)</f>
        <v>0.5</v>
      </c>
      <c r="J189" s="61">
        <f>AVERAGE(J187:J188)</f>
        <v>0.5</v>
      </c>
      <c r="K189" s="61">
        <f>AVERAGE(K187:K188)</f>
        <v>0</v>
      </c>
      <c r="L189" s="61">
        <f>AVERAGE(L187:L188)</f>
        <v>0</v>
      </c>
      <c r="M189" s="62">
        <f t="shared" si="19"/>
        <v>1</v>
      </c>
      <c r="N189"/>
      <c r="O189" s="60"/>
      <c r="P189" s="61">
        <f>AVERAGE(P187:P188)</f>
        <v>0.5</v>
      </c>
      <c r="Q189" s="61">
        <f>AVERAGE(Q187:Q188)</f>
        <v>0.5</v>
      </c>
      <c r="R189" s="61">
        <f>AVERAGE(R187:R188)</f>
        <v>0</v>
      </c>
      <c r="S189" s="61">
        <f>AVERAGE(S187:S188)</f>
        <v>0</v>
      </c>
      <c r="T189" s="62">
        <f t="shared" si="20"/>
        <v>1</v>
      </c>
      <c r="U189"/>
      <c r="V189" s="60"/>
      <c r="W189" s="61">
        <f>AVERAGE(W187:W188)</f>
        <v>1</v>
      </c>
      <c r="X189" s="61">
        <f>AVERAGE(X187:X188)</f>
        <v>0</v>
      </c>
      <c r="Y189" s="61">
        <f>AVERAGE(Y187:Y188)</f>
        <v>0</v>
      </c>
      <c r="Z189" s="61">
        <f>AVERAGE(Z187:Z188)</f>
        <v>0</v>
      </c>
      <c r="AA189" s="62">
        <f t="shared" si="21"/>
        <v>1</v>
      </c>
      <c r="AB189"/>
      <c r="AC189"/>
      <c r="AD189"/>
      <c r="AE189"/>
      <c r="AF189"/>
      <c r="AG189"/>
      <c r="AH189"/>
      <c r="AI189"/>
      <c r="AJ189"/>
      <c r="AK189"/>
      <c r="AL189"/>
      <c r="AM189"/>
      <c r="AN189"/>
      <c r="AO189"/>
      <c r="AP189"/>
      <c r="AQ189"/>
      <c r="AR189"/>
    </row>
    <row r="190" spans="1:44" s="118" customFormat="1" ht="16.5" x14ac:dyDescent="0.3">
      <c r="A190" s="57" t="s">
        <v>35</v>
      </c>
      <c r="B190" s="66">
        <f>COUNTIF(Table1014[E1],B$178)/$B$177</f>
        <v>0.6</v>
      </c>
      <c r="C190" s="66">
        <f>COUNTIF(Table1014[E1],C$178)/$B$177</f>
        <v>0.4</v>
      </c>
      <c r="D190" s="66">
        <f>COUNTIF(Table1014[E1],D$178)/$B$177</f>
        <v>0</v>
      </c>
      <c r="E190" s="66">
        <f>COUNTIF(Table1014[E1],E$178)/$B$177</f>
        <v>0</v>
      </c>
      <c r="F190" s="62">
        <f t="shared" si="18"/>
        <v>1</v>
      </c>
      <c r="H190" s="57" t="s">
        <v>35</v>
      </c>
      <c r="I190" s="66">
        <f>COUNTIFS(Table1014[Prodi],$I$175,Table1014[E1],I$178)/$I$177</f>
        <v>0</v>
      </c>
      <c r="J190" s="66">
        <f>COUNTIFS(Table1014[Prodi],$I$175,Table1014[E1],J$178)/$I$177</f>
        <v>1</v>
      </c>
      <c r="K190" s="66">
        <f>COUNTIFS(Table1014[Prodi],$I$175,Table1014[E1],K$178)/$I$177</f>
        <v>0</v>
      </c>
      <c r="L190" s="66">
        <f>COUNTIFS(Table1014[Prodi],$I$175,Table1014[E1],L$178)/$I$177</f>
        <v>0</v>
      </c>
      <c r="M190" s="62">
        <f t="shared" si="19"/>
        <v>1</v>
      </c>
      <c r="N190"/>
      <c r="O190" s="57" t="s">
        <v>35</v>
      </c>
      <c r="P190" s="66">
        <f>COUNTIFS(Table1014[Prodi],$P$175,Table1014[E1],P$178)/$P$177</f>
        <v>0.66666666666666663</v>
      </c>
      <c r="Q190" s="66">
        <f>COUNTIFS(Table1014[Prodi],$P$175,Table1014[E1],Q$178)/$P$177</f>
        <v>0.33333333333333331</v>
      </c>
      <c r="R190" s="66">
        <f>COUNTIFS(Table1014[Prodi],$P$175,Table1014[E1],R$178)/$P$177</f>
        <v>0</v>
      </c>
      <c r="S190" s="66">
        <f>COUNTIFS(Table1014[Prodi],$P$175,Table1014[E1],S$178)/$P$177</f>
        <v>0</v>
      </c>
      <c r="T190" s="62">
        <f t="shared" si="20"/>
        <v>1</v>
      </c>
      <c r="U190"/>
      <c r="V190" s="57" t="s">
        <v>35</v>
      </c>
      <c r="W190" s="66">
        <f>COUNTIFS(Table1014[Prodi],$W$175,Table1014[E1],W$178)/$W$177</f>
        <v>1</v>
      </c>
      <c r="X190" s="66">
        <f>COUNTIFS(Table1014[Prodi],$W$175,Table1014[E1],X$178)/$W$177</f>
        <v>0</v>
      </c>
      <c r="Y190" s="66">
        <f>COUNTIFS(Table1014[Prodi],$W$175,Table1014[E1],Y$178)/$W$177</f>
        <v>0</v>
      </c>
      <c r="Z190" s="66">
        <f>COUNTIFS(Table1014[Prodi],$W$175,Table1014[E1],Z$178)/$W$177</f>
        <v>0</v>
      </c>
      <c r="AA190" s="62">
        <f t="shared" si="21"/>
        <v>1</v>
      </c>
      <c r="AB190"/>
      <c r="AC190"/>
      <c r="AD190"/>
      <c r="AE190"/>
      <c r="AF190"/>
      <c r="AG190"/>
      <c r="AH190"/>
      <c r="AI190"/>
      <c r="AJ190"/>
      <c r="AK190"/>
      <c r="AL190"/>
      <c r="AM190"/>
      <c r="AN190"/>
      <c r="AO190"/>
      <c r="AP190"/>
      <c r="AQ190"/>
      <c r="AR190"/>
    </row>
    <row r="191" spans="1:44" s="118" customFormat="1" ht="16.5" x14ac:dyDescent="0.3">
      <c r="A191" s="57" t="s">
        <v>36</v>
      </c>
      <c r="B191" s="66">
        <f>COUNTIF(Table1014[E2],B$178)/$B$177</f>
        <v>0.6</v>
      </c>
      <c r="C191" s="66">
        <f>COUNTIF(Table1014[E2],C$178)/$B$177</f>
        <v>0.4</v>
      </c>
      <c r="D191" s="66">
        <f>COUNTIF(Table1014[E2],D$178)/$B$177</f>
        <v>0</v>
      </c>
      <c r="E191" s="66">
        <f>COUNTIF(Table1014[E2],E$178)/$B$177</f>
        <v>0</v>
      </c>
      <c r="F191" s="62">
        <f t="shared" si="18"/>
        <v>1</v>
      </c>
      <c r="H191" s="57" t="s">
        <v>36</v>
      </c>
      <c r="I191" s="66">
        <f>COUNTIFS(Table1014[Prodi],$I$175,Table1014[E2],I$178)/$I$177</f>
        <v>1</v>
      </c>
      <c r="J191" s="66">
        <f>COUNTIFS(Table1014[Prodi],$I$175,Table1014[E2],J$178)/$I$177</f>
        <v>0</v>
      </c>
      <c r="K191" s="66">
        <f>COUNTIFS(Table1014[Prodi],$I$175,Table1014[E2],K$178)/$I$177</f>
        <v>0</v>
      </c>
      <c r="L191" s="66">
        <f>COUNTIFS(Table1014[Prodi],$I$175,Table1014[E2],L$178)/$I$177</f>
        <v>0</v>
      </c>
      <c r="M191" s="62">
        <f t="shared" si="19"/>
        <v>1</v>
      </c>
      <c r="N191"/>
      <c r="O191" s="57" t="s">
        <v>36</v>
      </c>
      <c r="P191" s="66">
        <f>COUNTIFS(Table1014[Prodi],$P$175,Table1014[E2],P$178)/$P$177</f>
        <v>0.33333333333333331</v>
      </c>
      <c r="Q191" s="66">
        <f>COUNTIFS(Table1014[Prodi],$P$175,Table1014[E2],Q$178)/$P$177</f>
        <v>0.66666666666666663</v>
      </c>
      <c r="R191" s="66">
        <f>COUNTIFS(Table1014[Prodi],$P$175,Table1014[E2],R$178)/$P$177</f>
        <v>0</v>
      </c>
      <c r="S191" s="66">
        <f>COUNTIFS(Table1014[Prodi],$P$175,Table1014[E2],S$178)/$P$177</f>
        <v>0</v>
      </c>
      <c r="T191" s="62">
        <f t="shared" si="20"/>
        <v>1</v>
      </c>
      <c r="U191"/>
      <c r="V191" s="57" t="s">
        <v>36</v>
      </c>
      <c r="W191" s="66">
        <f>COUNTIFS(Table1014[Prodi],$W$175,Table1014[E2],W$178)/$W$177</f>
        <v>1</v>
      </c>
      <c r="X191" s="66">
        <f>COUNTIFS(Table1014[Prodi],$W$175,Table1014[E2],X$178)/$W$177</f>
        <v>0</v>
      </c>
      <c r="Y191" s="66">
        <f>COUNTIFS(Table1014[Prodi],$W$175,Table1014[E2],Y$178)/$W$177</f>
        <v>0</v>
      </c>
      <c r="Z191" s="66">
        <f>COUNTIFS(Table1014[Prodi],$W$175,Table1014[E2],Z$178)/$W$177</f>
        <v>0</v>
      </c>
      <c r="AA191" s="62">
        <f t="shared" si="21"/>
        <v>1</v>
      </c>
      <c r="AB191"/>
      <c r="AC191"/>
      <c r="AD191"/>
      <c r="AE191"/>
      <c r="AF191"/>
      <c r="AG191"/>
      <c r="AH191"/>
      <c r="AI191"/>
      <c r="AJ191"/>
      <c r="AK191"/>
      <c r="AL191"/>
      <c r="AM191"/>
      <c r="AN191"/>
      <c r="AO191"/>
      <c r="AP191"/>
      <c r="AQ191"/>
      <c r="AR191"/>
    </row>
    <row r="192" spans="1:44" s="118" customFormat="1" ht="16.5" x14ac:dyDescent="0.3">
      <c r="A192" s="60"/>
      <c r="B192" s="61">
        <f>AVERAGE(B190:B191)</f>
        <v>0.6</v>
      </c>
      <c r="C192" s="61">
        <f>AVERAGE(C190:C191)</f>
        <v>0.4</v>
      </c>
      <c r="D192" s="61">
        <f>AVERAGE(D190:D191)</f>
        <v>0</v>
      </c>
      <c r="E192" s="61">
        <f>AVERAGE(E190:E191)</f>
        <v>0</v>
      </c>
      <c r="F192" s="62">
        <f t="shared" si="18"/>
        <v>1</v>
      </c>
      <c r="H192" s="60"/>
      <c r="I192" s="61">
        <f>AVERAGE(I190:I191)</f>
        <v>0.5</v>
      </c>
      <c r="J192" s="61">
        <f>AVERAGE(J190:J191)</f>
        <v>0.5</v>
      </c>
      <c r="K192" s="61">
        <f>AVERAGE(K190:K191)</f>
        <v>0</v>
      </c>
      <c r="L192" s="61">
        <f>AVERAGE(L190:L191)</f>
        <v>0</v>
      </c>
      <c r="M192" s="62">
        <f t="shared" si="19"/>
        <v>1</v>
      </c>
      <c r="N192"/>
      <c r="O192" s="60"/>
      <c r="P192" s="61">
        <f>AVERAGE(P190:P191)</f>
        <v>0.5</v>
      </c>
      <c r="Q192" s="61">
        <f>AVERAGE(Q190:Q191)</f>
        <v>0.5</v>
      </c>
      <c r="R192" s="61">
        <f>AVERAGE(R190:R191)</f>
        <v>0</v>
      </c>
      <c r="S192" s="61">
        <f>AVERAGE(S190:S191)</f>
        <v>0</v>
      </c>
      <c r="T192" s="62">
        <f t="shared" si="20"/>
        <v>1</v>
      </c>
      <c r="U192"/>
      <c r="V192" s="60"/>
      <c r="W192" s="61">
        <f>AVERAGE(W190:W191)</f>
        <v>1</v>
      </c>
      <c r="X192" s="61">
        <f>AVERAGE(X190:X191)</f>
        <v>0</v>
      </c>
      <c r="Y192" s="61">
        <f>AVERAGE(Y190:Y191)</f>
        <v>0</v>
      </c>
      <c r="Z192" s="61">
        <f>AVERAGE(Z190:Z191)</f>
        <v>0</v>
      </c>
      <c r="AA192" s="62">
        <f t="shared" si="21"/>
        <v>1</v>
      </c>
      <c r="AB192"/>
      <c r="AC192"/>
      <c r="AD192"/>
      <c r="AE192"/>
      <c r="AF192"/>
      <c r="AG192"/>
      <c r="AH192"/>
      <c r="AI192"/>
      <c r="AJ192"/>
      <c r="AK192"/>
      <c r="AL192"/>
      <c r="AM192"/>
      <c r="AN192"/>
      <c r="AO192"/>
      <c r="AP192"/>
      <c r="AQ192"/>
      <c r="AR192"/>
    </row>
    <row r="193" spans="1:44" s="118" customFormat="1" ht="16.5" x14ac:dyDescent="0.3">
      <c r="A193" s="57" t="s">
        <v>37</v>
      </c>
      <c r="B193" s="66">
        <f>COUNTIF(Table1014[F1],B$178)/$B$177</f>
        <v>0.6</v>
      </c>
      <c r="C193" s="66">
        <f>COUNTIF(Table1014[F1],C$178)/$B$177</f>
        <v>0.4</v>
      </c>
      <c r="D193" s="66">
        <f>COUNTIF(Table1014[F1],D$178)/$B$177</f>
        <v>0</v>
      </c>
      <c r="E193" s="66">
        <f>COUNTIF(Table1014[F1],E$178)/$B$177</f>
        <v>0</v>
      </c>
      <c r="F193" s="62">
        <f t="shared" si="18"/>
        <v>1</v>
      </c>
      <c r="H193" s="57" t="s">
        <v>37</v>
      </c>
      <c r="I193" s="66">
        <f>COUNTIFS(Table1014[Prodi],$I$175,Table1014[F1],I$178)/$I$177</f>
        <v>1</v>
      </c>
      <c r="J193" s="66">
        <f>COUNTIFS(Table1014[Prodi],$I$175,Table1014[F1],J$178)/$I$177</f>
        <v>0</v>
      </c>
      <c r="K193" s="66">
        <f>COUNTIFS(Table1014[Prodi],$I$175,Table1014[F1],K$178)/$I$177</f>
        <v>0</v>
      </c>
      <c r="L193" s="66">
        <f>COUNTIFS(Table1014[Prodi],$I$175,Table1014[F1],L$178)/$I$177</f>
        <v>0</v>
      </c>
      <c r="M193" s="62">
        <f t="shared" si="19"/>
        <v>1</v>
      </c>
      <c r="N193"/>
      <c r="O193" s="57" t="s">
        <v>37</v>
      </c>
      <c r="P193" s="66">
        <f>COUNTIFS(Table1014[Prodi],$P$175,Table1014[F1],P$178)/$P$177</f>
        <v>0.33333333333333331</v>
      </c>
      <c r="Q193" s="66">
        <f>COUNTIFS(Table1014[Prodi],$P$175,Table1014[F1],Q$178)/$P$177</f>
        <v>0.66666666666666663</v>
      </c>
      <c r="R193" s="66">
        <f>COUNTIFS(Table1014[Prodi],$P$175,Table1014[F1],R$178)/$P$177</f>
        <v>0</v>
      </c>
      <c r="S193" s="66">
        <f>COUNTIFS(Table1014[Prodi],$P$175,Table1014[F1],S$178)/$P$177</f>
        <v>0</v>
      </c>
      <c r="T193" s="62">
        <f t="shared" si="20"/>
        <v>1</v>
      </c>
      <c r="U193"/>
      <c r="V193" s="57" t="s">
        <v>37</v>
      </c>
      <c r="W193" s="66">
        <f>COUNTIFS(Table1014[Prodi],$W$175,Table1014[F1],W$178)/$W$177</f>
        <v>1</v>
      </c>
      <c r="X193" s="66">
        <f>COUNTIFS(Table1014[Prodi],$W$175,Table1014[F1],X$178)/$W$177</f>
        <v>0</v>
      </c>
      <c r="Y193" s="66">
        <f>COUNTIFS(Table1014[Prodi],$W$175,Table1014[F1],Y$178)/$W$177</f>
        <v>0</v>
      </c>
      <c r="Z193" s="66">
        <f>COUNTIFS(Table1014[Prodi],$W$175,Table1014[F1],Z$178)/$W$177</f>
        <v>0</v>
      </c>
      <c r="AA193" s="62">
        <f t="shared" si="21"/>
        <v>1</v>
      </c>
      <c r="AB193"/>
      <c r="AC193"/>
      <c r="AD193"/>
      <c r="AE193"/>
      <c r="AF193"/>
      <c r="AG193"/>
      <c r="AH193"/>
      <c r="AI193"/>
      <c r="AJ193"/>
      <c r="AK193"/>
      <c r="AL193"/>
      <c r="AM193"/>
      <c r="AN193"/>
      <c r="AO193"/>
      <c r="AP193"/>
      <c r="AQ193"/>
      <c r="AR193"/>
    </row>
    <row r="194" spans="1:44" s="118" customFormat="1" ht="16.5" x14ac:dyDescent="0.3">
      <c r="A194" s="57" t="s">
        <v>38</v>
      </c>
      <c r="B194" s="66">
        <f>COUNTIF(Table1014[F2],B$178)/$B$177</f>
        <v>0.6</v>
      </c>
      <c r="C194" s="66">
        <f>COUNTIF(Table1014[F2],C$178)/$B$177</f>
        <v>0.4</v>
      </c>
      <c r="D194" s="66">
        <f>COUNTIF(Table1014[F2],D$178)/$B$177</f>
        <v>0</v>
      </c>
      <c r="E194" s="66">
        <f>COUNTIF(Table1014[F2],E$178)/$B$177</f>
        <v>0</v>
      </c>
      <c r="F194" s="62">
        <f t="shared" si="18"/>
        <v>1</v>
      </c>
      <c r="H194" s="57" t="s">
        <v>38</v>
      </c>
      <c r="I194" s="66">
        <f>COUNTIFS(Table1014[Prodi],$I$175,Table1014[F2],I$178)/$I$177</f>
        <v>0</v>
      </c>
      <c r="J194" s="66">
        <f>COUNTIFS(Table1014[Prodi],$I$175,Table1014[F2],J$178)/$I$177</f>
        <v>1</v>
      </c>
      <c r="K194" s="66">
        <f>COUNTIFS(Table1014[Prodi],$I$175,Table1014[F2],K$178)/$I$177</f>
        <v>0</v>
      </c>
      <c r="L194" s="66">
        <f>COUNTIFS(Table1014[Prodi],$I$175,Table1014[F2],L$178)/$I$177</f>
        <v>0</v>
      </c>
      <c r="M194" s="62">
        <f t="shared" si="19"/>
        <v>1</v>
      </c>
      <c r="N194"/>
      <c r="O194" s="57" t="s">
        <v>38</v>
      </c>
      <c r="P194" s="66">
        <f>COUNTIFS(Table1014[Prodi],$P$175,Table1014[F2],P$178)/$P$177</f>
        <v>0.66666666666666663</v>
      </c>
      <c r="Q194" s="66">
        <f>COUNTIFS(Table1014[Prodi],$P$175,Table1014[F2],Q$178)/$P$177</f>
        <v>0.33333333333333331</v>
      </c>
      <c r="R194" s="66">
        <f>COUNTIFS(Table1014[Prodi],$P$175,Table1014[F2],R$178)/$P$177</f>
        <v>0</v>
      </c>
      <c r="S194" s="66">
        <f>COUNTIFS(Table1014[Prodi],$P$175,Table1014[F2],S$178)/$P$177</f>
        <v>0</v>
      </c>
      <c r="T194" s="62">
        <f t="shared" si="20"/>
        <v>1</v>
      </c>
      <c r="U194"/>
      <c r="V194" s="57" t="s">
        <v>38</v>
      </c>
      <c r="W194" s="66">
        <f>COUNTIFS(Table1014[Prodi],$W$175,Table1014[F2],W$178)/$W$177</f>
        <v>1</v>
      </c>
      <c r="X194" s="66">
        <f>COUNTIFS(Table1014[Prodi],$W$175,Table1014[F2],X$178)/$W$177</f>
        <v>0</v>
      </c>
      <c r="Y194" s="66">
        <f>COUNTIFS(Table1014[Prodi],$W$175,Table1014[F2],Y$178)/$W$177</f>
        <v>0</v>
      </c>
      <c r="Z194" s="66">
        <f>COUNTIFS(Table1014[Prodi],$W$175,Table1014[F2],Z$178)/$W$177</f>
        <v>0</v>
      </c>
      <c r="AA194" s="62">
        <f t="shared" si="21"/>
        <v>1</v>
      </c>
      <c r="AB194"/>
      <c r="AC194"/>
      <c r="AD194"/>
      <c r="AE194"/>
      <c r="AF194"/>
      <c r="AG194"/>
      <c r="AH194"/>
      <c r="AI194"/>
      <c r="AJ194"/>
      <c r="AK194"/>
      <c r="AL194"/>
      <c r="AM194"/>
      <c r="AN194"/>
      <c r="AO194"/>
      <c r="AP194"/>
      <c r="AQ194"/>
      <c r="AR194"/>
    </row>
    <row r="195" spans="1:44" s="118" customFormat="1" ht="16.5" x14ac:dyDescent="0.3">
      <c r="A195" s="57" t="s">
        <v>39</v>
      </c>
      <c r="B195" s="66">
        <f>COUNTIF(Table1014[F3],B$178)/$B$177</f>
        <v>0.6</v>
      </c>
      <c r="C195" s="66">
        <f>COUNTIF(Table1014[F3],C$178)/$B$177</f>
        <v>0.4</v>
      </c>
      <c r="D195" s="66">
        <f>COUNTIF(Table1014[F3],D$178)/$B$177</f>
        <v>0</v>
      </c>
      <c r="E195" s="66">
        <f>COUNTIF(Table1014[F3],E$178)/$B$177</f>
        <v>0</v>
      </c>
      <c r="F195" s="62">
        <f t="shared" si="18"/>
        <v>1</v>
      </c>
      <c r="H195" s="57" t="s">
        <v>39</v>
      </c>
      <c r="I195" s="66">
        <f>COUNTIFS(Table1014[Prodi],$I$175,Table1014[F3],I$178)/$I$177</f>
        <v>1</v>
      </c>
      <c r="J195" s="66">
        <f>COUNTIFS(Table1014[Prodi],$I$175,Table1014[F3],J$178)/$I$177</f>
        <v>0</v>
      </c>
      <c r="K195" s="66">
        <f>COUNTIFS(Table1014[Prodi],$I$175,Table1014[F3],K$178)/$I$177</f>
        <v>0</v>
      </c>
      <c r="L195" s="66">
        <f>COUNTIFS(Table1014[Prodi],$I$175,Table1014[F3],L$178)/$I$177</f>
        <v>0</v>
      </c>
      <c r="M195" s="62">
        <f t="shared" si="19"/>
        <v>1</v>
      </c>
      <c r="N195"/>
      <c r="O195" s="57" t="s">
        <v>39</v>
      </c>
      <c r="P195" s="66">
        <f>COUNTIFS(Table1014[Prodi],$P$175,Table1014[F3],P$178)/$P$177</f>
        <v>0.33333333333333331</v>
      </c>
      <c r="Q195" s="66">
        <f>COUNTIFS(Table1014[Prodi],$P$175,Table1014[F3],Q$178)/$P$177</f>
        <v>0.66666666666666663</v>
      </c>
      <c r="R195" s="66">
        <f>COUNTIFS(Table1014[Prodi],$P$175,Table1014[F3],R$178)/$P$177</f>
        <v>0</v>
      </c>
      <c r="S195" s="66">
        <f>COUNTIFS(Table1014[Prodi],$P$175,Table1014[F3],S$178)/$P$177</f>
        <v>0</v>
      </c>
      <c r="T195" s="62">
        <f t="shared" si="20"/>
        <v>1</v>
      </c>
      <c r="U195"/>
      <c r="V195" s="57" t="s">
        <v>39</v>
      </c>
      <c r="W195" s="66">
        <f>COUNTIFS(Table1014[Prodi],$W$175,Table1014[F3],W$178)/$W$177</f>
        <v>1</v>
      </c>
      <c r="X195" s="66">
        <f>COUNTIFS(Table1014[Prodi],$W$175,Table1014[F3],X$178)/$W$177</f>
        <v>0</v>
      </c>
      <c r="Y195" s="66">
        <f>COUNTIFS(Table1014[Prodi],$W$175,Table1014[F3],Y$178)/$W$177</f>
        <v>0</v>
      </c>
      <c r="Z195" s="66">
        <f>COUNTIFS(Table1014[Prodi],$W$175,Table1014[F3],Z$178)/$W$177</f>
        <v>0</v>
      </c>
      <c r="AA195" s="62">
        <f t="shared" si="21"/>
        <v>1</v>
      </c>
      <c r="AB195"/>
      <c r="AC195"/>
      <c r="AD195"/>
      <c r="AE195"/>
      <c r="AF195"/>
      <c r="AG195"/>
      <c r="AH195"/>
      <c r="AI195"/>
      <c r="AJ195"/>
      <c r="AK195"/>
      <c r="AL195"/>
      <c r="AM195"/>
      <c r="AN195"/>
      <c r="AO195"/>
      <c r="AP195"/>
      <c r="AQ195"/>
      <c r="AR195"/>
    </row>
    <row r="196" spans="1:44" s="118" customFormat="1" ht="16.5" x14ac:dyDescent="0.3">
      <c r="A196" s="57" t="s">
        <v>1170</v>
      </c>
      <c r="B196" s="66">
        <f>COUNTIF(Table1014[F4],B$178)/$B$177</f>
        <v>0.6</v>
      </c>
      <c r="C196" s="66">
        <f>COUNTIF(Table1014[F4],C$178)/$B$177</f>
        <v>0.4</v>
      </c>
      <c r="D196" s="66">
        <f>COUNTIF(Table1014[F4],D$178)/$B$177</f>
        <v>0</v>
      </c>
      <c r="E196" s="66">
        <f>COUNTIF(Table1014[F4],E$178)/$B$177</f>
        <v>0</v>
      </c>
      <c r="F196" s="62">
        <f t="shared" si="18"/>
        <v>1</v>
      </c>
      <c r="H196" s="57" t="s">
        <v>1170</v>
      </c>
      <c r="I196" s="66">
        <f>COUNTIFS(Table1014[Prodi],$I$175,Table1014[F4],I$178)/$I$177</f>
        <v>1</v>
      </c>
      <c r="J196" s="66">
        <f>COUNTIFS(Table1014[Prodi],$I$175,Table1014[F4],J$178)/$I$177</f>
        <v>0</v>
      </c>
      <c r="K196" s="66">
        <f>COUNTIFS(Table1014[Prodi],$I$175,Table1014[F4],K$178)/$I$177</f>
        <v>0</v>
      </c>
      <c r="L196" s="66">
        <f>COUNTIFS(Table1014[Prodi],$I$175,Table1014[F4],L$178)/$I$177</f>
        <v>0</v>
      </c>
      <c r="M196" s="62">
        <f t="shared" si="19"/>
        <v>1</v>
      </c>
      <c r="N196"/>
      <c r="O196" s="57" t="s">
        <v>1170</v>
      </c>
      <c r="P196" s="66">
        <f>COUNTIFS(Table1014[Prodi],$P$175,Table1014[F4],P$178)/$P$177</f>
        <v>0.33333333333333331</v>
      </c>
      <c r="Q196" s="66">
        <f>COUNTIFS(Table1014[Prodi],$P$175,Table1014[F4],Q$178)/$P$177</f>
        <v>0.66666666666666663</v>
      </c>
      <c r="R196" s="66">
        <f>COUNTIFS(Table1014[Prodi],$P$175,Table1014[F4],R$178)/$P$177</f>
        <v>0</v>
      </c>
      <c r="S196" s="66">
        <f>COUNTIFS(Table1014[Prodi],$P$175,Table1014[F4],S$178)/$P$177</f>
        <v>0</v>
      </c>
      <c r="T196" s="62">
        <f t="shared" si="20"/>
        <v>1</v>
      </c>
      <c r="U196"/>
      <c r="V196" s="57" t="s">
        <v>1170</v>
      </c>
      <c r="W196" s="66">
        <f>COUNTIFS(Table1014[Prodi],$W$175,Table1014[F4],W$178)/$W$177</f>
        <v>1</v>
      </c>
      <c r="X196" s="66">
        <f>COUNTIFS(Table1014[Prodi],$W$175,Table1014[F4],X$178)/$W$177</f>
        <v>0</v>
      </c>
      <c r="Y196" s="66">
        <f>COUNTIFS(Table1014[Prodi],$W$175,Table1014[F4],Y$178)/$W$177</f>
        <v>0</v>
      </c>
      <c r="Z196" s="66">
        <f>COUNTIFS(Table1014[Prodi],$W$175,Table1014[F4],Z$178)/$W$177</f>
        <v>0</v>
      </c>
      <c r="AA196" s="62">
        <f t="shared" si="21"/>
        <v>1</v>
      </c>
      <c r="AB196"/>
      <c r="AC196"/>
      <c r="AD196"/>
      <c r="AE196"/>
      <c r="AF196"/>
      <c r="AG196"/>
      <c r="AH196"/>
      <c r="AI196"/>
      <c r="AJ196"/>
      <c r="AK196"/>
      <c r="AL196"/>
      <c r="AM196"/>
      <c r="AN196"/>
      <c r="AO196"/>
      <c r="AP196"/>
      <c r="AQ196"/>
      <c r="AR196"/>
    </row>
    <row r="197" spans="1:44" s="118" customFormat="1" ht="16.5" x14ac:dyDescent="0.3">
      <c r="A197" s="60"/>
      <c r="B197" s="61">
        <f>AVERAGE(B193:B196)</f>
        <v>0.6</v>
      </c>
      <c r="C197" s="61">
        <f>AVERAGE(C193:C196)</f>
        <v>0.4</v>
      </c>
      <c r="D197" s="61">
        <f>AVERAGE(D193:D196)</f>
        <v>0</v>
      </c>
      <c r="E197" s="61">
        <f>AVERAGE(E193:E196)</f>
        <v>0</v>
      </c>
      <c r="F197" s="62">
        <f t="shared" si="18"/>
        <v>1</v>
      </c>
      <c r="H197" s="60"/>
      <c r="I197" s="61">
        <f>AVERAGE(I193:I196)</f>
        <v>0.75</v>
      </c>
      <c r="J197" s="61">
        <f>AVERAGE(J193:J196)</f>
        <v>0.25</v>
      </c>
      <c r="K197" s="61">
        <f>AVERAGE(K193:K196)</f>
        <v>0</v>
      </c>
      <c r="L197" s="61">
        <f>AVERAGE(L193:L196)</f>
        <v>0</v>
      </c>
      <c r="M197" s="62">
        <f t="shared" si="19"/>
        <v>1</v>
      </c>
      <c r="N197"/>
      <c r="O197" s="60"/>
      <c r="P197" s="61">
        <f>AVERAGE(P193:P196)</f>
        <v>0.41666666666666663</v>
      </c>
      <c r="Q197" s="61">
        <f>AVERAGE(Q193:Q196)</f>
        <v>0.58333333333333326</v>
      </c>
      <c r="R197" s="61">
        <f>AVERAGE(R193:R196)</f>
        <v>0</v>
      </c>
      <c r="S197" s="61">
        <f>AVERAGE(S193:S196)</f>
        <v>0</v>
      </c>
      <c r="T197" s="62">
        <f t="shared" si="20"/>
        <v>0.99999999999999989</v>
      </c>
      <c r="U197"/>
      <c r="V197" s="60"/>
      <c r="W197" s="61">
        <f>AVERAGE(W193:W196)</f>
        <v>1</v>
      </c>
      <c r="X197" s="61">
        <f>AVERAGE(X193:X196)</f>
        <v>0</v>
      </c>
      <c r="Y197" s="61">
        <f>AVERAGE(Y193:Y196)</f>
        <v>0</v>
      </c>
      <c r="Z197" s="61">
        <f>AVERAGE(Z193:Z196)</f>
        <v>0</v>
      </c>
      <c r="AA197" s="62">
        <f t="shared" si="21"/>
        <v>1</v>
      </c>
      <c r="AB197"/>
      <c r="AC197"/>
      <c r="AD197"/>
      <c r="AE197"/>
      <c r="AF197"/>
      <c r="AG197"/>
      <c r="AH197"/>
      <c r="AI197"/>
      <c r="AJ197"/>
      <c r="AK197"/>
      <c r="AL197"/>
      <c r="AM197"/>
      <c r="AN197"/>
      <c r="AO197"/>
      <c r="AP197"/>
      <c r="AQ197"/>
      <c r="AR197"/>
    </row>
    <row r="198" spans="1:44" s="118" customFormat="1" ht="16.5" x14ac:dyDescent="0.3">
      <c r="A198" s="57" t="s">
        <v>40</v>
      </c>
      <c r="B198" s="66">
        <f>COUNTIF(Table1014[G1],B$178)/$B$177</f>
        <v>0.6</v>
      </c>
      <c r="C198" s="66">
        <f>COUNTIF(Table1014[G1],C$178)/$B$177</f>
        <v>0.4</v>
      </c>
      <c r="D198" s="66">
        <f>COUNTIF(Table1014[G1],D$178)/$B$177</f>
        <v>0</v>
      </c>
      <c r="E198" s="66">
        <f>COUNTIF(Table1014[G1],E$178)/$B$177</f>
        <v>0</v>
      </c>
      <c r="F198" s="62">
        <f t="shared" si="18"/>
        <v>1</v>
      </c>
      <c r="H198" s="57" t="s">
        <v>40</v>
      </c>
      <c r="I198" s="66">
        <f>COUNTIFS(Table1014[Prodi],$I$175,Table1014[G1],I$178)/$I$177</f>
        <v>1</v>
      </c>
      <c r="J198" s="66">
        <f>COUNTIFS(Table1014[Prodi],$I$175,Table1014[G1],J$178)/$I$177</f>
        <v>0</v>
      </c>
      <c r="K198" s="66">
        <f>COUNTIFS(Table1014[Prodi],$I$175,Table1014[G1],K$178)/$I$177</f>
        <v>0</v>
      </c>
      <c r="L198" s="66">
        <f>COUNTIFS(Table1014[Prodi],$I$175,Table1014[G1],L$178)/$I$177</f>
        <v>0</v>
      </c>
      <c r="M198" s="62">
        <f t="shared" si="19"/>
        <v>1</v>
      </c>
      <c r="N198"/>
      <c r="O198" s="57" t="s">
        <v>40</v>
      </c>
      <c r="P198" s="66">
        <f>COUNTIFS(Table1014[Prodi],$P$175,Table1014[G1],P$178)/$P$177</f>
        <v>0.33333333333333331</v>
      </c>
      <c r="Q198" s="66">
        <f>COUNTIFS(Table1014[Prodi],$P$175,Table1014[G1],Q$178)/$P$177</f>
        <v>0.66666666666666663</v>
      </c>
      <c r="R198" s="66">
        <f>COUNTIFS(Table1014[Prodi],$P$175,Table1014[G1],R$178)/$P$177</f>
        <v>0</v>
      </c>
      <c r="S198" s="66">
        <f>COUNTIFS(Table1014[Prodi],$P$175,Table1014[G1],S$178)/$P$177</f>
        <v>0</v>
      </c>
      <c r="T198" s="62">
        <f t="shared" si="20"/>
        <v>1</v>
      </c>
      <c r="U198"/>
      <c r="V198" s="57" t="s">
        <v>40</v>
      </c>
      <c r="W198" s="66">
        <f>COUNTIFS(Table1014[Prodi],$W$175,Table1014[G1],W$178)/$W$177</f>
        <v>1</v>
      </c>
      <c r="X198" s="66">
        <f>COUNTIFS(Table1014[Prodi],$W$175,Table1014[G1],X$178)/$W$177</f>
        <v>0</v>
      </c>
      <c r="Y198" s="66">
        <f>COUNTIFS(Table1014[Prodi],$W$175,Table1014[G1],Y$178)/$W$177</f>
        <v>0</v>
      </c>
      <c r="Z198" s="66">
        <f>COUNTIFS(Table1014[Prodi],$W$175,Table1014[G1],Z$178)/$W$177</f>
        <v>0</v>
      </c>
      <c r="AA198" s="62">
        <f t="shared" si="21"/>
        <v>1</v>
      </c>
      <c r="AB198"/>
      <c r="AC198"/>
      <c r="AD198"/>
      <c r="AE198"/>
      <c r="AF198"/>
      <c r="AG198"/>
      <c r="AH198"/>
      <c r="AI198"/>
      <c r="AJ198"/>
      <c r="AK198"/>
      <c r="AL198"/>
      <c r="AM198"/>
      <c r="AN198"/>
      <c r="AO198"/>
      <c r="AP198"/>
      <c r="AQ198"/>
      <c r="AR198"/>
    </row>
    <row r="199" spans="1:44" s="118" customFormat="1" ht="16.5" x14ac:dyDescent="0.3">
      <c r="A199" s="57" t="s">
        <v>41</v>
      </c>
      <c r="B199" s="66">
        <f>COUNTIF(Table1014[G2],B$178)/$B$177</f>
        <v>0.6</v>
      </c>
      <c r="C199" s="66">
        <f>COUNTIF(Table1014[G2],C$178)/$B$177</f>
        <v>0.4</v>
      </c>
      <c r="D199" s="66">
        <f>COUNTIF(Table1014[G2],D$178)/$B$177</f>
        <v>0</v>
      </c>
      <c r="E199" s="66">
        <f>COUNTIF(Table1014[G2],E$178)/$B$177</f>
        <v>0</v>
      </c>
      <c r="F199" s="62">
        <f t="shared" si="18"/>
        <v>1</v>
      </c>
      <c r="H199" s="57" t="s">
        <v>41</v>
      </c>
      <c r="I199" s="66">
        <f>COUNTIFS(Table1014[Prodi],$I$175,Table1014[G2],I$178)/$I$177</f>
        <v>0</v>
      </c>
      <c r="J199" s="66">
        <f>COUNTIFS(Table1014[Prodi],$I$175,Table1014[G2],J$178)/$I$177</f>
        <v>1</v>
      </c>
      <c r="K199" s="66">
        <f>COUNTIFS(Table1014[Prodi],$I$175,Table1014[G2],K$178)/$I$177</f>
        <v>0</v>
      </c>
      <c r="L199" s="66">
        <f>COUNTIFS(Table1014[Prodi],$I$175,Table1014[G2],L$178)/$I$177</f>
        <v>0</v>
      </c>
      <c r="M199" s="62">
        <f t="shared" si="19"/>
        <v>1</v>
      </c>
      <c r="N199"/>
      <c r="O199" s="57" t="s">
        <v>41</v>
      </c>
      <c r="P199" s="66">
        <f>COUNTIFS(Table1014[Prodi],$P$175,Table1014[G2],P$178)/$P$177</f>
        <v>0.66666666666666663</v>
      </c>
      <c r="Q199" s="66">
        <f>COUNTIFS(Table1014[Prodi],$P$175,Table1014[G2],Q$178)/$P$177</f>
        <v>0.33333333333333331</v>
      </c>
      <c r="R199" s="66">
        <f>COUNTIFS(Table1014[Prodi],$P$175,Table1014[G2],R$178)/$P$177</f>
        <v>0</v>
      </c>
      <c r="S199" s="66">
        <f>COUNTIFS(Table1014[Prodi],$P$175,Table1014[G2],S$178)/$P$177</f>
        <v>0</v>
      </c>
      <c r="T199" s="62">
        <f t="shared" si="20"/>
        <v>1</v>
      </c>
      <c r="U199"/>
      <c r="V199" s="57" t="s">
        <v>41</v>
      </c>
      <c r="W199" s="66">
        <f>COUNTIFS(Table1014[Prodi],$W$175,Table1014[G2],W$178)/$W$177</f>
        <v>1</v>
      </c>
      <c r="X199" s="66">
        <f>COUNTIFS(Table1014[Prodi],$W$175,Table1014[G2],X$178)/$W$177</f>
        <v>0</v>
      </c>
      <c r="Y199" s="66">
        <f>COUNTIFS(Table1014[Prodi],$W$175,Table1014[G2],Y$178)/$W$177</f>
        <v>0</v>
      </c>
      <c r="Z199" s="66">
        <f>COUNTIFS(Table1014[Prodi],$W$175,Table1014[G2],Z$178)/$W$177</f>
        <v>0</v>
      </c>
      <c r="AA199" s="62">
        <f t="shared" si="21"/>
        <v>1</v>
      </c>
      <c r="AB199"/>
      <c r="AC199"/>
      <c r="AD199"/>
      <c r="AE199"/>
      <c r="AF199"/>
      <c r="AG199"/>
      <c r="AH199"/>
      <c r="AI199"/>
      <c r="AJ199"/>
      <c r="AK199"/>
      <c r="AL199"/>
      <c r="AM199"/>
      <c r="AN199"/>
      <c r="AO199"/>
      <c r="AP199"/>
      <c r="AQ199"/>
      <c r="AR199"/>
    </row>
    <row r="200" spans="1:44" s="118" customFormat="1" ht="16.5" x14ac:dyDescent="0.3">
      <c r="A200" s="57" t="s">
        <v>1172</v>
      </c>
      <c r="B200" s="66">
        <f>COUNTIF(Table1014[G3],B$178)/$B$177</f>
        <v>0.6</v>
      </c>
      <c r="C200" s="66">
        <f>COUNTIF(Table1014[G3],C$178)/$B$177</f>
        <v>0.4</v>
      </c>
      <c r="D200" s="66">
        <f>COUNTIF(Table1014[G3],D$178)/$B$177</f>
        <v>0</v>
      </c>
      <c r="E200" s="66">
        <f>COUNTIF(Table1014[G3],E$178)/$B$177</f>
        <v>0</v>
      </c>
      <c r="F200" s="62">
        <f t="shared" si="18"/>
        <v>1</v>
      </c>
      <c r="H200" s="57" t="s">
        <v>1172</v>
      </c>
      <c r="I200" s="66">
        <f>COUNTIFS(Table1014[Prodi],$I$175,Table1014[G3],I$178)/$I$177</f>
        <v>1</v>
      </c>
      <c r="J200" s="66">
        <f>COUNTIFS(Table1014[Prodi],$I$175,Table1014[G3],J$178)/$I$177</f>
        <v>0</v>
      </c>
      <c r="K200" s="66">
        <f>COUNTIFS(Table1014[Prodi],$I$175,Table1014[G3],K$178)/$I$177</f>
        <v>0</v>
      </c>
      <c r="L200" s="66">
        <f>COUNTIFS(Table1014[Prodi],$I$175,Table1014[G3],L$178)/$I$177</f>
        <v>0</v>
      </c>
      <c r="M200" s="62">
        <f t="shared" si="19"/>
        <v>1</v>
      </c>
      <c r="N200"/>
      <c r="O200" s="57" t="s">
        <v>1172</v>
      </c>
      <c r="P200" s="66">
        <f>COUNTIFS(Table1014[Prodi],$P$175,Table1014[G3],P$178)/$P$177</f>
        <v>0.33333333333333331</v>
      </c>
      <c r="Q200" s="66">
        <f>COUNTIFS(Table1014[Prodi],$P$175,Table1014[G3],Q$178)/$P$177</f>
        <v>0.66666666666666663</v>
      </c>
      <c r="R200" s="66">
        <f>COUNTIFS(Table1014[Prodi],$P$175,Table1014[G3],R$178)/$P$177</f>
        <v>0</v>
      </c>
      <c r="S200" s="66">
        <f>COUNTIFS(Table1014[Prodi],$P$175,Table1014[G3],S$178)/$P$177</f>
        <v>0</v>
      </c>
      <c r="T200" s="62">
        <f t="shared" si="20"/>
        <v>1</v>
      </c>
      <c r="U200"/>
      <c r="V200" s="57" t="s">
        <v>1172</v>
      </c>
      <c r="W200" s="66">
        <f>COUNTIFS(Table1014[Prodi],$W$175,Table1014[G3],W$178)/$W$177</f>
        <v>1</v>
      </c>
      <c r="X200" s="66">
        <f>COUNTIFS(Table1014[Prodi],$W$175,Table1014[G3],X$178)/$W$177</f>
        <v>0</v>
      </c>
      <c r="Y200" s="66">
        <f>COUNTIFS(Table1014[Prodi],$W$175,Table1014[G3],Y$178)/$W$177</f>
        <v>0</v>
      </c>
      <c r="Z200" s="66">
        <f>COUNTIFS(Table1014[Prodi],$W$175,Table1014[G3],Z$178)/$W$177</f>
        <v>0</v>
      </c>
      <c r="AA200" s="62">
        <f t="shared" si="21"/>
        <v>1</v>
      </c>
      <c r="AB200"/>
      <c r="AC200"/>
      <c r="AD200"/>
      <c r="AE200"/>
      <c r="AF200"/>
      <c r="AG200"/>
      <c r="AH200"/>
      <c r="AI200"/>
      <c r="AJ200"/>
      <c r="AK200"/>
      <c r="AL200"/>
      <c r="AM200"/>
      <c r="AN200"/>
      <c r="AO200"/>
      <c r="AP200"/>
      <c r="AQ200"/>
      <c r="AR200"/>
    </row>
    <row r="201" spans="1:44" s="118" customFormat="1" ht="16.5" x14ac:dyDescent="0.3">
      <c r="A201" s="60"/>
      <c r="B201" s="61">
        <f>AVERAGE(B198:B200)</f>
        <v>0.6</v>
      </c>
      <c r="C201" s="61">
        <f>AVERAGE(C198:C200)</f>
        <v>0.40000000000000008</v>
      </c>
      <c r="D201" s="61">
        <f>AVERAGE(D198:D200)</f>
        <v>0</v>
      </c>
      <c r="E201" s="61">
        <f>AVERAGE(E198:E200)</f>
        <v>0</v>
      </c>
      <c r="F201" s="62">
        <f t="shared" si="18"/>
        <v>1</v>
      </c>
      <c r="H201" s="60"/>
      <c r="I201" s="61">
        <f>AVERAGE(I198:I200)</f>
        <v>0.66666666666666663</v>
      </c>
      <c r="J201" s="61">
        <f>AVERAGE(J198:J200)</f>
        <v>0.33333333333333331</v>
      </c>
      <c r="K201" s="61">
        <f>AVERAGE(K198:K200)</f>
        <v>0</v>
      </c>
      <c r="L201" s="61">
        <f>AVERAGE(L198:L200)</f>
        <v>0</v>
      </c>
      <c r="M201" s="62">
        <f t="shared" si="19"/>
        <v>1</v>
      </c>
      <c r="N201"/>
      <c r="O201" s="60"/>
      <c r="P201" s="61">
        <f>AVERAGE(P198:P200)</f>
        <v>0.44444444444444442</v>
      </c>
      <c r="Q201" s="61">
        <f>AVERAGE(Q198:Q200)</f>
        <v>0.55555555555555547</v>
      </c>
      <c r="R201" s="61">
        <f>AVERAGE(R198:R200)</f>
        <v>0</v>
      </c>
      <c r="S201" s="61">
        <f>AVERAGE(S198:S200)</f>
        <v>0</v>
      </c>
      <c r="T201" s="62">
        <f t="shared" si="20"/>
        <v>0.99999999999999989</v>
      </c>
      <c r="U201"/>
      <c r="V201" s="60"/>
      <c r="W201" s="61">
        <f>AVERAGE(W198:W200)</f>
        <v>1</v>
      </c>
      <c r="X201" s="61">
        <f>AVERAGE(X198:X200)</f>
        <v>0</v>
      </c>
      <c r="Y201" s="61">
        <f>AVERAGE(Y198:Y200)</f>
        <v>0</v>
      </c>
      <c r="Z201" s="61">
        <f>AVERAGE(Z198:Z200)</f>
        <v>0</v>
      </c>
      <c r="AA201" s="62">
        <f t="shared" si="21"/>
        <v>1</v>
      </c>
      <c r="AB201"/>
      <c r="AC201"/>
      <c r="AD201"/>
      <c r="AE201"/>
      <c r="AF201"/>
      <c r="AG201"/>
      <c r="AH201"/>
      <c r="AI201"/>
      <c r="AJ201"/>
      <c r="AK201"/>
      <c r="AL201"/>
      <c r="AM201"/>
      <c r="AN201"/>
      <c r="AO201"/>
      <c r="AP201"/>
      <c r="AQ201"/>
      <c r="AR201"/>
    </row>
    <row r="202" spans="1:44" s="118" customFormat="1" ht="16.5" x14ac:dyDescent="0.3">
      <c r="A202" s="57" t="s">
        <v>42</v>
      </c>
      <c r="B202" s="66">
        <f>COUNTIF(Table1014[H1],B$178)/$B$177</f>
        <v>0.6</v>
      </c>
      <c r="C202" s="66">
        <f>COUNTIF(Table1014[H1],C$178)/$B$177</f>
        <v>0.4</v>
      </c>
      <c r="D202" s="66">
        <f>COUNTIF(Table1014[H1],D$178)/$B$177</f>
        <v>0</v>
      </c>
      <c r="E202" s="66">
        <f>COUNTIF(Table1014[H1],E$178)/$B$177</f>
        <v>0</v>
      </c>
      <c r="F202" s="62">
        <f t="shared" si="18"/>
        <v>1</v>
      </c>
      <c r="H202" s="57" t="s">
        <v>42</v>
      </c>
      <c r="I202" s="66">
        <f>COUNTIFS(Table1014[Prodi],$I$175,Table1014[H1],I$178)/$I$177</f>
        <v>0</v>
      </c>
      <c r="J202" s="66">
        <f>COUNTIFS(Table1014[Prodi],$I$175,Table1014[H1],J$178)/$I$177</f>
        <v>1</v>
      </c>
      <c r="K202" s="66">
        <f>COUNTIFS(Table1014[Prodi],$I$175,Table1014[H1],K$178)/$I$177</f>
        <v>0</v>
      </c>
      <c r="L202" s="66">
        <f>COUNTIFS(Table1014[Prodi],$I$175,Table1014[H1],L$178)/$I$177</f>
        <v>0</v>
      </c>
      <c r="M202" s="62">
        <f t="shared" si="19"/>
        <v>1</v>
      </c>
      <c r="N202"/>
      <c r="O202" s="57" t="s">
        <v>42</v>
      </c>
      <c r="P202" s="66">
        <f>COUNTIFS(Table1014[Prodi],$P$175,Table1014[H1],P$178)/$P$177</f>
        <v>0.66666666666666663</v>
      </c>
      <c r="Q202" s="66">
        <f>COUNTIFS(Table1014[Prodi],$P$175,Table1014[H1],Q$178)/$P$177</f>
        <v>0.33333333333333331</v>
      </c>
      <c r="R202" s="66">
        <f>COUNTIFS(Table1014[Prodi],$P$175,Table1014[H1],R$178)/$P$177</f>
        <v>0</v>
      </c>
      <c r="S202" s="66">
        <f>COUNTIFS(Table1014[Prodi],$P$175,Table1014[H1],S$178)/$P$177</f>
        <v>0</v>
      </c>
      <c r="T202" s="62">
        <f t="shared" si="20"/>
        <v>1</v>
      </c>
      <c r="U202"/>
      <c r="V202" s="57" t="s">
        <v>42</v>
      </c>
      <c r="W202" s="66">
        <f>COUNTIFS(Table1014[Prodi],$W$175,Table1014[H1],W$178)/$W$177</f>
        <v>1</v>
      </c>
      <c r="X202" s="66">
        <f>COUNTIFS(Table1014[Prodi],$W$175,Table1014[H1],X$178)/$W$177</f>
        <v>0</v>
      </c>
      <c r="Y202" s="66">
        <f>COUNTIFS(Table1014[Prodi],$W$175,Table1014[H1],Y$178)/$W$177</f>
        <v>0</v>
      </c>
      <c r="Z202" s="66">
        <f>COUNTIFS(Table1014[Prodi],$W$175,Table1014[H1],Z$178)/$W$177</f>
        <v>0</v>
      </c>
      <c r="AA202" s="62">
        <f t="shared" si="21"/>
        <v>1</v>
      </c>
      <c r="AB202"/>
      <c r="AC202"/>
      <c r="AD202"/>
      <c r="AE202"/>
      <c r="AF202"/>
      <c r="AG202"/>
      <c r="AH202"/>
      <c r="AI202"/>
      <c r="AJ202"/>
      <c r="AK202"/>
      <c r="AL202"/>
      <c r="AM202"/>
      <c r="AN202"/>
      <c r="AO202"/>
      <c r="AP202"/>
      <c r="AQ202"/>
      <c r="AR202"/>
    </row>
    <row r="203" spans="1:44" s="118" customFormat="1" ht="16.5" x14ac:dyDescent="0.3">
      <c r="A203" s="57" t="s">
        <v>43</v>
      </c>
      <c r="B203" s="66">
        <f>COUNTIF(Table1014[H2],B$178)/$B$177</f>
        <v>0.6</v>
      </c>
      <c r="C203" s="66">
        <f>COUNTIF(Table1014[H2],C$178)/$B$177</f>
        <v>0.4</v>
      </c>
      <c r="D203" s="66">
        <f>COUNTIF(Table1014[H2],D$178)/$B$177</f>
        <v>0</v>
      </c>
      <c r="E203" s="66">
        <f>COUNTIF(Table1014[H2],E$178)/$B$177</f>
        <v>0</v>
      </c>
      <c r="F203" s="62">
        <f t="shared" si="18"/>
        <v>1</v>
      </c>
      <c r="H203" s="57" t="s">
        <v>43</v>
      </c>
      <c r="I203" s="66">
        <f>COUNTIFS(Table1014[Prodi],$I$175,Table1014[H2],I$178)/$I$177</f>
        <v>1</v>
      </c>
      <c r="J203" s="66">
        <f>COUNTIFS(Table1014[Prodi],$I$175,Table1014[H2],J$178)/$I$177</f>
        <v>0</v>
      </c>
      <c r="K203" s="66">
        <f>COUNTIFS(Table1014[Prodi],$I$175,Table1014[H2],K$178)/$I$177</f>
        <v>0</v>
      </c>
      <c r="L203" s="66">
        <f>COUNTIFS(Table1014[Prodi],$I$175,Table1014[H2],L$178)/$I$177</f>
        <v>0</v>
      </c>
      <c r="M203" s="62">
        <f t="shared" si="19"/>
        <v>1</v>
      </c>
      <c r="N203"/>
      <c r="O203" s="57" t="s">
        <v>43</v>
      </c>
      <c r="P203" s="66">
        <f>COUNTIFS(Table1014[Prodi],$P$175,Table1014[H2],P$178)/$P$177</f>
        <v>0.33333333333333331</v>
      </c>
      <c r="Q203" s="66">
        <f>COUNTIFS(Table1014[Prodi],$P$175,Table1014[H2],Q$178)/$P$177</f>
        <v>0.66666666666666663</v>
      </c>
      <c r="R203" s="66">
        <f>COUNTIFS(Table1014[Prodi],$P$175,Table1014[H2],R$178)/$P$177</f>
        <v>0</v>
      </c>
      <c r="S203" s="66">
        <f>COUNTIFS(Table1014[Prodi],$P$175,Table1014[H2],S$178)/$P$177</f>
        <v>0</v>
      </c>
      <c r="T203" s="62">
        <f t="shared" si="20"/>
        <v>1</v>
      </c>
      <c r="U203"/>
      <c r="V203" s="57" t="s">
        <v>43</v>
      </c>
      <c r="W203" s="66">
        <f>COUNTIFS(Table1014[Prodi],$W$175,Table1014[H2],W$178)/$W$177</f>
        <v>1</v>
      </c>
      <c r="X203" s="66">
        <f>COUNTIFS(Table1014[Prodi],$W$175,Table1014[H2],X$178)/$W$177</f>
        <v>0</v>
      </c>
      <c r="Y203" s="66">
        <f>COUNTIFS(Table1014[Prodi],$W$175,Table1014[H2],Y$178)/$W$177</f>
        <v>0</v>
      </c>
      <c r="Z203" s="66">
        <f>COUNTIFS(Table1014[Prodi],$W$175,Table1014[H2],Z$178)/$W$177</f>
        <v>0</v>
      </c>
      <c r="AA203" s="62">
        <f t="shared" si="21"/>
        <v>1</v>
      </c>
      <c r="AB203"/>
      <c r="AC203"/>
      <c r="AD203"/>
      <c r="AE203"/>
      <c r="AF203"/>
      <c r="AG203"/>
      <c r="AH203"/>
      <c r="AI203"/>
      <c r="AJ203"/>
      <c r="AK203"/>
      <c r="AL203"/>
      <c r="AM203"/>
      <c r="AN203"/>
      <c r="AO203"/>
      <c r="AP203"/>
      <c r="AQ203"/>
      <c r="AR203"/>
    </row>
    <row r="204" spans="1:44" s="118" customFormat="1" ht="16.5" x14ac:dyDescent="0.3">
      <c r="A204" s="57" t="s">
        <v>44</v>
      </c>
      <c r="B204" s="66">
        <f>COUNTIF(Table1014[H3],B$178)/$B$177</f>
        <v>0.6</v>
      </c>
      <c r="C204" s="66">
        <f>COUNTIF(Table1014[H3],C$178)/$B$177</f>
        <v>0.4</v>
      </c>
      <c r="D204" s="66">
        <f>COUNTIF(Table1014[H3],D$178)/$B$177</f>
        <v>0</v>
      </c>
      <c r="E204" s="66">
        <f>COUNTIF(Table1014[H3],E$178)/$B$177</f>
        <v>0</v>
      </c>
      <c r="F204" s="62">
        <f t="shared" si="18"/>
        <v>1</v>
      </c>
      <c r="H204" s="57" t="s">
        <v>44</v>
      </c>
      <c r="I204" s="66">
        <f>COUNTIFS(Table1014[Prodi],$I$175,Table1014[H3],I$178)/$I$177</f>
        <v>0</v>
      </c>
      <c r="J204" s="66">
        <f>COUNTIFS(Table1014[Prodi],$I$175,Table1014[H3],J$178)/$I$177</f>
        <v>1</v>
      </c>
      <c r="K204" s="66">
        <f>COUNTIFS(Table1014[Prodi],$I$175,Table1014[H3],K$178)/$I$177</f>
        <v>0</v>
      </c>
      <c r="L204" s="66">
        <f>COUNTIFS(Table1014[Prodi],$I$175,Table1014[H3],L$178)/$I$177</f>
        <v>0</v>
      </c>
      <c r="M204" s="62">
        <f t="shared" si="19"/>
        <v>1</v>
      </c>
      <c r="N204"/>
      <c r="O204" s="57" t="s">
        <v>44</v>
      </c>
      <c r="P204" s="66">
        <f>COUNTIFS(Table1014[Prodi],$P$175,Table1014[H3],P$178)/$P$177</f>
        <v>0.66666666666666663</v>
      </c>
      <c r="Q204" s="66">
        <f>COUNTIFS(Table1014[Prodi],$P$175,Table1014[H3],Q$178)/$P$177</f>
        <v>0.33333333333333331</v>
      </c>
      <c r="R204" s="66">
        <f>COUNTIFS(Table1014[Prodi],$P$175,Table1014[H3],R$178)/$P$177</f>
        <v>0</v>
      </c>
      <c r="S204" s="66">
        <f>COUNTIFS(Table1014[Prodi],$P$175,Table1014[H3],S$178)/$P$177</f>
        <v>0</v>
      </c>
      <c r="T204" s="62">
        <f t="shared" si="20"/>
        <v>1</v>
      </c>
      <c r="U204"/>
      <c r="V204" s="57" t="s">
        <v>44</v>
      </c>
      <c r="W204" s="66">
        <f>COUNTIFS(Table1014[Prodi],$W$175,Table1014[H3],W$178)/$W$177</f>
        <v>1</v>
      </c>
      <c r="X204" s="66">
        <f>COUNTIFS(Table1014[Prodi],$W$175,Table1014[H3],X$178)/$W$177</f>
        <v>0</v>
      </c>
      <c r="Y204" s="66">
        <f>COUNTIFS(Table1014[Prodi],$W$175,Table1014[H3],Y$178)/$W$177</f>
        <v>0</v>
      </c>
      <c r="Z204" s="66">
        <f>COUNTIFS(Table1014[Prodi],$W$175,Table1014[H3],Z$178)/$W$177</f>
        <v>0</v>
      </c>
      <c r="AA204" s="62">
        <f t="shared" si="21"/>
        <v>1</v>
      </c>
      <c r="AB204"/>
      <c r="AC204"/>
      <c r="AD204"/>
      <c r="AE204"/>
      <c r="AF204"/>
      <c r="AG204"/>
      <c r="AH204"/>
      <c r="AI204"/>
      <c r="AJ204"/>
      <c r="AK204"/>
      <c r="AL204"/>
      <c r="AM204"/>
      <c r="AN204"/>
      <c r="AO204"/>
      <c r="AP204"/>
      <c r="AQ204"/>
      <c r="AR204"/>
    </row>
    <row r="205" spans="1:44" s="118" customFormat="1" ht="16.5" x14ac:dyDescent="0.3">
      <c r="A205" s="57" t="s">
        <v>45</v>
      </c>
      <c r="B205" s="66">
        <f>COUNTIF(Table1014[H4],B$178)/$B$177</f>
        <v>0.6</v>
      </c>
      <c r="C205" s="66">
        <f>COUNTIF(Table1014[H4],C$178)/$B$177</f>
        <v>0.4</v>
      </c>
      <c r="D205" s="66">
        <f>COUNTIF(Table1014[H4],D$178)/$B$177</f>
        <v>0</v>
      </c>
      <c r="E205" s="66">
        <f>COUNTIF(Table1014[H4],E$178)/$B$177</f>
        <v>0</v>
      </c>
      <c r="F205" s="62">
        <f t="shared" si="18"/>
        <v>1</v>
      </c>
      <c r="H205" s="57" t="s">
        <v>45</v>
      </c>
      <c r="I205" s="66">
        <f>COUNTIFS(Table1014[Prodi],$I$175,Table1014[H4],I$178)/$I$177</f>
        <v>1</v>
      </c>
      <c r="J205" s="66">
        <f>COUNTIFS(Table1014[Prodi],$I$175,Table1014[H4],J$178)/$I$177</f>
        <v>0</v>
      </c>
      <c r="K205" s="66">
        <f>COUNTIFS(Table1014[Prodi],$I$175,Table1014[H4],K$178)/$I$177</f>
        <v>0</v>
      </c>
      <c r="L205" s="66">
        <f>COUNTIFS(Table1014[Prodi],$I$175,Table1014[H4],L$178)/$I$177</f>
        <v>0</v>
      </c>
      <c r="M205" s="62">
        <f t="shared" si="19"/>
        <v>1</v>
      </c>
      <c r="N205"/>
      <c r="O205" s="57" t="s">
        <v>45</v>
      </c>
      <c r="P205" s="66">
        <f>COUNTIFS(Table1014[Prodi],$P$175,Table1014[H4],P$178)/$P$177</f>
        <v>0.33333333333333331</v>
      </c>
      <c r="Q205" s="66">
        <f>COUNTIFS(Table1014[Prodi],$P$175,Table1014[H4],Q$178)/$P$177</f>
        <v>0.66666666666666663</v>
      </c>
      <c r="R205" s="66">
        <f>COUNTIFS(Table1014[Prodi],$P$175,Table1014[H4],R$178)/$P$177</f>
        <v>0</v>
      </c>
      <c r="S205" s="66">
        <f>COUNTIFS(Table1014[Prodi],$P$175,Table1014[H4],S$178)/$P$177</f>
        <v>0</v>
      </c>
      <c r="T205" s="62">
        <f t="shared" si="20"/>
        <v>1</v>
      </c>
      <c r="U205"/>
      <c r="V205" s="57" t="s">
        <v>45</v>
      </c>
      <c r="W205" s="66">
        <f>COUNTIFS(Table1014[Prodi],$W$175,Table1014[H4],W$178)/$W$177</f>
        <v>1</v>
      </c>
      <c r="X205" s="66">
        <f>COUNTIFS(Table1014[Prodi],$W$175,Table1014[H4],X$178)/$W$177</f>
        <v>0</v>
      </c>
      <c r="Y205" s="66">
        <f>COUNTIFS(Table1014[Prodi],$W$175,Table1014[H4],Y$178)/$W$177</f>
        <v>0</v>
      </c>
      <c r="Z205" s="66">
        <f>COUNTIFS(Table1014[Prodi],$W$175,Table1014[H4],Z$178)/$W$177</f>
        <v>0</v>
      </c>
      <c r="AA205" s="62">
        <f t="shared" si="21"/>
        <v>1</v>
      </c>
      <c r="AB205"/>
      <c r="AC205"/>
      <c r="AD205"/>
      <c r="AE205"/>
      <c r="AF205"/>
      <c r="AG205"/>
      <c r="AH205"/>
      <c r="AI205"/>
      <c r="AJ205"/>
      <c r="AK205"/>
      <c r="AL205"/>
      <c r="AM205"/>
      <c r="AN205"/>
      <c r="AO205"/>
      <c r="AP205"/>
      <c r="AQ205"/>
      <c r="AR205"/>
    </row>
    <row r="206" spans="1:44" s="118" customFormat="1" ht="16.5" x14ac:dyDescent="0.3">
      <c r="A206" s="60"/>
      <c r="B206" s="61">
        <f>AVERAGE(B202:B205)</f>
        <v>0.6</v>
      </c>
      <c r="C206" s="61">
        <f>AVERAGE(C202:C205)</f>
        <v>0.4</v>
      </c>
      <c r="D206" s="61">
        <f>AVERAGE(D202:D205)</f>
        <v>0</v>
      </c>
      <c r="E206" s="61">
        <f>AVERAGE(E202:E205)</f>
        <v>0</v>
      </c>
      <c r="F206" s="62">
        <f t="shared" si="18"/>
        <v>1</v>
      </c>
      <c r="H206" s="60"/>
      <c r="I206" s="61">
        <f>AVERAGE(I202:I205)</f>
        <v>0.5</v>
      </c>
      <c r="J206" s="61">
        <f>AVERAGE(J202:J205)</f>
        <v>0.5</v>
      </c>
      <c r="K206" s="61">
        <f>AVERAGE(K202:K205)</f>
        <v>0</v>
      </c>
      <c r="L206" s="61">
        <f>AVERAGE(L202:L205)</f>
        <v>0</v>
      </c>
      <c r="M206" s="62">
        <f t="shared" si="19"/>
        <v>1</v>
      </c>
      <c r="N206"/>
      <c r="O206" s="60"/>
      <c r="P206" s="61">
        <f>AVERAGE(P202:P205)</f>
        <v>0.49999999999999994</v>
      </c>
      <c r="Q206" s="61">
        <f>AVERAGE(Q202:Q205)</f>
        <v>0.5</v>
      </c>
      <c r="R206" s="61">
        <f>AVERAGE(R202:R205)</f>
        <v>0</v>
      </c>
      <c r="S206" s="61">
        <f>AVERAGE(S202:S205)</f>
        <v>0</v>
      </c>
      <c r="T206" s="62">
        <f t="shared" si="20"/>
        <v>1</v>
      </c>
      <c r="U206"/>
      <c r="V206" s="60"/>
      <c r="W206" s="61">
        <f>AVERAGE(W202:W205)</f>
        <v>1</v>
      </c>
      <c r="X206" s="61">
        <f>AVERAGE(X202:X205)</f>
        <v>0</v>
      </c>
      <c r="Y206" s="61">
        <f>AVERAGE(Y202:Y205)</f>
        <v>0</v>
      </c>
      <c r="Z206" s="61">
        <f>AVERAGE(Z202:Z205)</f>
        <v>0</v>
      </c>
      <c r="AA206" s="62">
        <f t="shared" si="21"/>
        <v>1</v>
      </c>
      <c r="AB206"/>
      <c r="AC206"/>
      <c r="AD206"/>
      <c r="AE206"/>
      <c r="AF206"/>
      <c r="AG206"/>
      <c r="AH206"/>
      <c r="AI206"/>
      <c r="AJ206"/>
      <c r="AK206"/>
      <c r="AL206"/>
      <c r="AM206"/>
      <c r="AN206"/>
      <c r="AO206"/>
      <c r="AP206"/>
      <c r="AQ206"/>
      <c r="AR206"/>
    </row>
    <row r="207" spans="1:44" s="118" customFormat="1" ht="16.5" x14ac:dyDescent="0.3">
      <c r="A207" s="57" t="s">
        <v>648</v>
      </c>
      <c r="B207" s="66">
        <f>COUNTIF(Table1014[I1.1],B$178)/$B$177</f>
        <v>0.6</v>
      </c>
      <c r="C207" s="66">
        <f>COUNTIF(Table1014[I1.1],C$178)/$B$177</f>
        <v>0.4</v>
      </c>
      <c r="D207" s="66">
        <f>COUNTIF(Table1014[I1.1],D$178)/$B$177</f>
        <v>0</v>
      </c>
      <c r="E207" s="66">
        <f>COUNTIF(Table1014[I1.1],E$178)/$B$177</f>
        <v>0</v>
      </c>
      <c r="F207" s="62">
        <f t="shared" si="18"/>
        <v>1</v>
      </c>
      <c r="H207" s="57" t="s">
        <v>648</v>
      </c>
      <c r="I207" s="66">
        <f>COUNTIFS(Table1014[Prodi],$I$175,Table1014[I1.1],I$178)/$I$177</f>
        <v>0</v>
      </c>
      <c r="J207" s="66">
        <f>COUNTIFS(Table1014[Prodi],$I$175,Table1014[I1.1],J$178)/$I$177</f>
        <v>1</v>
      </c>
      <c r="K207" s="66">
        <f>COUNTIFS(Table1014[Prodi],$I$175,Table1014[I1.1],K$178)/$I$177</f>
        <v>0</v>
      </c>
      <c r="L207" s="66">
        <f>COUNTIFS(Table1014[Prodi],$I$175,Table1014[I1.1],L$178)/$I$177</f>
        <v>0</v>
      </c>
      <c r="M207" s="62">
        <f t="shared" si="19"/>
        <v>1</v>
      </c>
      <c r="N207"/>
      <c r="O207" s="57" t="s">
        <v>648</v>
      </c>
      <c r="P207" s="66">
        <f>COUNTIFS(Table1014[Prodi],$P$175,Table1014[I1.1],P$178)/$P$177</f>
        <v>0.66666666666666663</v>
      </c>
      <c r="Q207" s="66">
        <f>COUNTIFS(Table1014[Prodi],$P$175,Table1014[I1.1],Q$178)/$P$177</f>
        <v>0.33333333333333331</v>
      </c>
      <c r="R207" s="66">
        <f>COUNTIFS(Table1014[Prodi],$P$175,Table1014[I1.1],R$178)/$P$177</f>
        <v>0</v>
      </c>
      <c r="S207" s="66">
        <f>COUNTIFS(Table1014[Prodi],$P$175,Table1014[I1.1],S$178)/$P$177</f>
        <v>0</v>
      </c>
      <c r="T207" s="62">
        <f t="shared" si="20"/>
        <v>1</v>
      </c>
      <c r="U207"/>
      <c r="V207" s="57" t="s">
        <v>648</v>
      </c>
      <c r="W207" s="66">
        <f>COUNTIFS(Table1014[Prodi],$W$175,Table1014[I1.1],W$178)/$W$177</f>
        <v>1</v>
      </c>
      <c r="X207" s="66">
        <f>COUNTIFS(Table1014[Prodi],$W$175,Table1014[I1.1],X$178)/$W$177</f>
        <v>0</v>
      </c>
      <c r="Y207" s="66">
        <f>COUNTIFS(Table1014[Prodi],$W$175,Table1014[I1.1],Y$178)/$W$177</f>
        <v>0</v>
      </c>
      <c r="Z207" s="66">
        <f>COUNTIFS(Table1014[Prodi],$W$175,Table1014[I1.1],Z$178)/$W$177</f>
        <v>0</v>
      </c>
      <c r="AA207" s="62">
        <f t="shared" si="21"/>
        <v>1</v>
      </c>
      <c r="AB207"/>
      <c r="AC207"/>
      <c r="AD207"/>
      <c r="AE207"/>
      <c r="AF207"/>
      <c r="AG207"/>
      <c r="AH207"/>
      <c r="AI207"/>
      <c r="AJ207"/>
      <c r="AK207"/>
      <c r="AL207"/>
      <c r="AM207"/>
      <c r="AN207"/>
      <c r="AO207"/>
      <c r="AP207"/>
      <c r="AQ207"/>
      <c r="AR207"/>
    </row>
    <row r="208" spans="1:44" s="118" customFormat="1" ht="16.5" x14ac:dyDescent="0.3">
      <c r="A208" s="57" t="s">
        <v>649</v>
      </c>
      <c r="B208" s="66">
        <f>COUNTIF(Table1014[I1.2],B$178)/$B$177</f>
        <v>0.6</v>
      </c>
      <c r="C208" s="66">
        <f>COUNTIF(Table1014[I1.2],C$178)/$B$177</f>
        <v>0.4</v>
      </c>
      <c r="D208" s="66">
        <f>COUNTIF(Table1014[I1.2],D$178)/$B$177</f>
        <v>0</v>
      </c>
      <c r="E208" s="66">
        <f>COUNTIF(Table1014[I1.2],E$178)/$B$177</f>
        <v>0</v>
      </c>
      <c r="F208" s="62">
        <f t="shared" si="18"/>
        <v>1</v>
      </c>
      <c r="H208" s="57" t="s">
        <v>649</v>
      </c>
      <c r="I208" s="66">
        <f>COUNTIFS(Table1014[Prodi],$I$175,Table1014[I1.2],I$178)/$I$177</f>
        <v>1</v>
      </c>
      <c r="J208" s="66">
        <f>COUNTIFS(Table1014[Prodi],$I$175,Table1014[I1.2],J$178)/$I$177</f>
        <v>0</v>
      </c>
      <c r="K208" s="66">
        <f>COUNTIFS(Table1014[Prodi],$I$175,Table1014[I1.2],K$178)/$I$177</f>
        <v>0</v>
      </c>
      <c r="L208" s="66">
        <f>COUNTIFS(Table1014[Prodi],$I$175,Table1014[I1.2],L$178)/$I$177</f>
        <v>0</v>
      </c>
      <c r="M208" s="62">
        <f t="shared" si="19"/>
        <v>1</v>
      </c>
      <c r="N208"/>
      <c r="O208" s="57" t="s">
        <v>649</v>
      </c>
      <c r="P208" s="66">
        <f>COUNTIFS(Table1014[Prodi],$P$175,Table1014[I1.2],P$178)/$P$177</f>
        <v>0.33333333333333331</v>
      </c>
      <c r="Q208" s="66">
        <f>COUNTIFS(Table1014[Prodi],$P$175,Table1014[I1.2],Q$178)/$P$177</f>
        <v>0.66666666666666663</v>
      </c>
      <c r="R208" s="66">
        <f>COUNTIFS(Table1014[Prodi],$P$175,Table1014[I1.2],R$178)/$P$177</f>
        <v>0</v>
      </c>
      <c r="S208" s="66">
        <f>COUNTIFS(Table1014[Prodi],$P$175,Table1014[I1.2],S$178)/$P$177</f>
        <v>0</v>
      </c>
      <c r="T208" s="62">
        <f t="shared" si="20"/>
        <v>1</v>
      </c>
      <c r="U208"/>
      <c r="V208" s="57" t="s">
        <v>649</v>
      </c>
      <c r="W208" s="66">
        <f>COUNTIFS(Table1014[Prodi],$W$175,Table1014[I1.2],W$178)/$W$177</f>
        <v>1</v>
      </c>
      <c r="X208" s="66">
        <f>COUNTIFS(Table1014[Prodi],$W$175,Table1014[I1.2],X$178)/$W$177</f>
        <v>0</v>
      </c>
      <c r="Y208" s="66">
        <f>COUNTIFS(Table1014[Prodi],$W$175,Table1014[I1.2],Y$178)/$W$177</f>
        <v>0</v>
      </c>
      <c r="Z208" s="66">
        <f>COUNTIFS(Table1014[Prodi],$W$175,Table1014[I1.2],Z$178)/$W$177</f>
        <v>0</v>
      </c>
      <c r="AA208" s="62">
        <f t="shared" si="21"/>
        <v>1</v>
      </c>
      <c r="AB208"/>
      <c r="AC208"/>
      <c r="AD208"/>
      <c r="AE208"/>
      <c r="AF208"/>
      <c r="AG208"/>
      <c r="AH208"/>
      <c r="AI208"/>
      <c r="AJ208"/>
      <c r="AK208"/>
      <c r="AL208"/>
      <c r="AM208"/>
      <c r="AN208"/>
      <c r="AO208"/>
      <c r="AP208"/>
      <c r="AQ208"/>
      <c r="AR208"/>
    </row>
    <row r="209" spans="1:44" s="118" customFormat="1" ht="16.5" x14ac:dyDescent="0.3">
      <c r="A209" s="57" t="s">
        <v>650</v>
      </c>
      <c r="B209" s="66">
        <f>COUNTIF(Table1014[I1.3],B$178)/$B$177</f>
        <v>0.6</v>
      </c>
      <c r="C209" s="66">
        <f>COUNTIF(Table1014[I1.3],C$178)/$B$177</f>
        <v>0.4</v>
      </c>
      <c r="D209" s="66">
        <f>COUNTIF(Table1014[I1.3],D$178)/$B$177</f>
        <v>0</v>
      </c>
      <c r="E209" s="66">
        <f>COUNTIF(Table1014[I1.3],E$178)/$B$177</f>
        <v>0</v>
      </c>
      <c r="F209" s="62">
        <f t="shared" si="18"/>
        <v>1</v>
      </c>
      <c r="H209" s="57" t="s">
        <v>650</v>
      </c>
      <c r="I209" s="66">
        <f>COUNTIFS(Table1014[Prodi],$I$175,Table1014[I1.3],I$178)/$I$177</f>
        <v>0</v>
      </c>
      <c r="J209" s="66">
        <f>COUNTIFS(Table1014[Prodi],$I$175,Table1014[I1.3],J$178)/$I$177</f>
        <v>1</v>
      </c>
      <c r="K209" s="66">
        <f>COUNTIFS(Table1014[Prodi],$I$175,Table1014[I1.3],K$178)/$I$177</f>
        <v>0</v>
      </c>
      <c r="L209" s="66">
        <f>COUNTIFS(Table1014[Prodi],$I$175,Table1014[I1.3],L$178)/$I$177</f>
        <v>0</v>
      </c>
      <c r="M209" s="62">
        <f t="shared" si="19"/>
        <v>1</v>
      </c>
      <c r="N209"/>
      <c r="O209" s="57" t="s">
        <v>650</v>
      </c>
      <c r="P209" s="66">
        <f>COUNTIFS(Table1014[Prodi],$P$175,Table1014[I1.3],P$178)/$P$177</f>
        <v>0.66666666666666663</v>
      </c>
      <c r="Q209" s="66">
        <f>COUNTIFS(Table1014[Prodi],$P$175,Table1014[I1.3],Q$178)/$P$177</f>
        <v>0.33333333333333331</v>
      </c>
      <c r="R209" s="66">
        <f>COUNTIFS(Table1014[Prodi],$P$175,Table1014[I1.3],R$178)/$P$177</f>
        <v>0</v>
      </c>
      <c r="S209" s="66">
        <f>COUNTIFS(Table1014[Prodi],$P$175,Table1014[I1.3],S$178)/$P$177</f>
        <v>0</v>
      </c>
      <c r="T209" s="62">
        <f t="shared" si="20"/>
        <v>1</v>
      </c>
      <c r="U209"/>
      <c r="V209" s="57" t="s">
        <v>650</v>
      </c>
      <c r="W209" s="66">
        <f>COUNTIFS(Table1014[Prodi],$W$175,Table1014[I1.3],W$178)/$W$177</f>
        <v>1</v>
      </c>
      <c r="X209" s="66">
        <f>COUNTIFS(Table1014[Prodi],$W$175,Table1014[I1.3],X$178)/$W$177</f>
        <v>0</v>
      </c>
      <c r="Y209" s="66">
        <f>COUNTIFS(Table1014[Prodi],$W$175,Table1014[I1.3],Y$178)/$W$177</f>
        <v>0</v>
      </c>
      <c r="Z209" s="66">
        <f>COUNTIFS(Table1014[Prodi],$W$175,Table1014[I1.3],Z$178)/$W$177</f>
        <v>0</v>
      </c>
      <c r="AA209" s="62">
        <f t="shared" si="21"/>
        <v>1</v>
      </c>
      <c r="AB209"/>
      <c r="AC209"/>
      <c r="AD209"/>
      <c r="AE209"/>
      <c r="AF209"/>
      <c r="AG209"/>
      <c r="AH209"/>
      <c r="AI209"/>
      <c r="AJ209"/>
      <c r="AK209"/>
      <c r="AL209"/>
      <c r="AM209"/>
      <c r="AN209"/>
      <c r="AO209"/>
      <c r="AP209"/>
      <c r="AQ209"/>
      <c r="AR209"/>
    </row>
    <row r="210" spans="1:44" s="118" customFormat="1" ht="16.5" x14ac:dyDescent="0.3">
      <c r="A210" s="57" t="s">
        <v>651</v>
      </c>
      <c r="B210" s="66">
        <f>COUNTIF(Table1014[I1.4],B$178)/$B$177</f>
        <v>0.6</v>
      </c>
      <c r="C210" s="66">
        <f>COUNTIF(Table1014[I1.4],C$178)/$B$177</f>
        <v>0.4</v>
      </c>
      <c r="D210" s="66">
        <f>COUNTIF(Table1014[I1.4],D$178)/$B$177</f>
        <v>0</v>
      </c>
      <c r="E210" s="66">
        <f>COUNTIF(Table1014[I1.4],E$178)/$B$177</f>
        <v>0</v>
      </c>
      <c r="F210" s="62">
        <f t="shared" si="18"/>
        <v>1</v>
      </c>
      <c r="H210" s="57" t="s">
        <v>651</v>
      </c>
      <c r="I210" s="66">
        <f>COUNTIFS(Table1014[Prodi],$I$175,Table1014[I1.4],I$178)/$I$177</f>
        <v>1</v>
      </c>
      <c r="J210" s="66">
        <f>COUNTIFS(Table1014[Prodi],$I$175,Table1014[I1.4],J$178)/$I$177</f>
        <v>0</v>
      </c>
      <c r="K210" s="66">
        <f>COUNTIFS(Table1014[Prodi],$I$175,Table1014[I1.4],K$178)/$I$177</f>
        <v>0</v>
      </c>
      <c r="L210" s="66">
        <f>COUNTIFS(Table1014[Prodi],$I$175,Table1014[I1.4],L$178)/$I$177</f>
        <v>0</v>
      </c>
      <c r="M210" s="62">
        <f t="shared" si="19"/>
        <v>1</v>
      </c>
      <c r="N210"/>
      <c r="O210" s="57" t="s">
        <v>651</v>
      </c>
      <c r="P210" s="66">
        <f>COUNTIFS(Table1014[Prodi],$P$175,Table1014[I1.4],P$178)/$P$177</f>
        <v>0.33333333333333331</v>
      </c>
      <c r="Q210" s="66">
        <f>COUNTIFS(Table1014[Prodi],$P$175,Table1014[I1.4],Q$178)/$P$177</f>
        <v>0.66666666666666663</v>
      </c>
      <c r="R210" s="66">
        <f>COUNTIFS(Table1014[Prodi],$P$175,Table1014[I1.4],R$178)/$P$177</f>
        <v>0</v>
      </c>
      <c r="S210" s="66">
        <f>COUNTIFS(Table1014[Prodi],$P$175,Table1014[I1.4],S$178)/$P$177</f>
        <v>0</v>
      </c>
      <c r="T210" s="62">
        <f t="shared" si="20"/>
        <v>1</v>
      </c>
      <c r="U210"/>
      <c r="V210" s="57" t="s">
        <v>651</v>
      </c>
      <c r="W210" s="66">
        <f>COUNTIFS(Table1014[Prodi],$W$175,Table1014[I1.4],W$178)/$W$177</f>
        <v>1</v>
      </c>
      <c r="X210" s="66">
        <f>COUNTIFS(Table1014[Prodi],$W$175,Table1014[I1.4],X$178)/$W$177</f>
        <v>0</v>
      </c>
      <c r="Y210" s="66">
        <f>COUNTIFS(Table1014[Prodi],$W$175,Table1014[I1.4],Y$178)/$W$177</f>
        <v>0</v>
      </c>
      <c r="Z210" s="66">
        <f>COUNTIFS(Table1014[Prodi],$W$175,Table1014[I1.4],Z$178)/$W$177</f>
        <v>0</v>
      </c>
      <c r="AA210" s="62">
        <f t="shared" si="21"/>
        <v>1</v>
      </c>
      <c r="AB210"/>
      <c r="AC210"/>
      <c r="AD210"/>
      <c r="AE210"/>
      <c r="AF210"/>
      <c r="AG210"/>
      <c r="AH210"/>
      <c r="AI210"/>
      <c r="AJ210"/>
      <c r="AK210"/>
      <c r="AL210"/>
      <c r="AM210"/>
      <c r="AN210"/>
      <c r="AO210"/>
      <c r="AP210"/>
      <c r="AQ210"/>
      <c r="AR210"/>
    </row>
    <row r="211" spans="1:44" s="118" customFormat="1" ht="16.5" x14ac:dyDescent="0.3">
      <c r="A211" s="57" t="s">
        <v>652</v>
      </c>
      <c r="B211" s="66">
        <f>COUNTIF(Table1014[I1.5],B$178)/$B$177</f>
        <v>0.6</v>
      </c>
      <c r="C211" s="66">
        <f>COUNTIF(Table1014[I1.5],C$178)/$B$177</f>
        <v>0.4</v>
      </c>
      <c r="D211" s="66">
        <f>COUNTIF(Table1014[I1.5],D$178)/$B$177</f>
        <v>0</v>
      </c>
      <c r="E211" s="66">
        <f>COUNTIF(Table1014[I1.5],E$178)/$B$177</f>
        <v>0</v>
      </c>
      <c r="F211" s="62">
        <f t="shared" si="18"/>
        <v>1</v>
      </c>
      <c r="H211" s="57" t="s">
        <v>652</v>
      </c>
      <c r="I211" s="66">
        <f>COUNTIFS(Table1014[Prodi],$I$175,Table1014[I1.5],I$178)/$I$177</f>
        <v>0</v>
      </c>
      <c r="J211" s="66">
        <f>COUNTIFS(Table1014[Prodi],$I$175,Table1014[I1.5],J$178)/$I$177</f>
        <v>1</v>
      </c>
      <c r="K211" s="66">
        <f>COUNTIFS(Table1014[Prodi],$I$175,Table1014[I1.5],K$178)/$I$177</f>
        <v>0</v>
      </c>
      <c r="L211" s="66">
        <f>COUNTIFS(Table1014[Prodi],$I$175,Table1014[I1.5],L$178)/$I$177</f>
        <v>0</v>
      </c>
      <c r="M211" s="62">
        <f t="shared" si="19"/>
        <v>1</v>
      </c>
      <c r="N211"/>
      <c r="O211" s="57" t="s">
        <v>652</v>
      </c>
      <c r="P211" s="66">
        <f>COUNTIFS(Table1014[Prodi],$P$175,Table1014[I1.5],P$178)/$P$177</f>
        <v>0.66666666666666663</v>
      </c>
      <c r="Q211" s="66">
        <f>COUNTIFS(Table1014[Prodi],$P$175,Table1014[I1.5],Q$178)/$P$177</f>
        <v>0.33333333333333331</v>
      </c>
      <c r="R211" s="66">
        <f>COUNTIFS(Table1014[Prodi],$P$175,Table1014[I1.5],R$178)/$P$177</f>
        <v>0</v>
      </c>
      <c r="S211" s="66">
        <f>COUNTIFS(Table1014[Prodi],$P$175,Table1014[I1.5],S$178)/$P$177</f>
        <v>0</v>
      </c>
      <c r="T211" s="62">
        <f t="shared" si="20"/>
        <v>1</v>
      </c>
      <c r="U211"/>
      <c r="V211" s="57" t="s">
        <v>652</v>
      </c>
      <c r="W211" s="66">
        <f>COUNTIFS(Table1014[Prodi],$W$175,Table1014[I1.5],W$178)/$W$177</f>
        <v>1</v>
      </c>
      <c r="X211" s="66">
        <f>COUNTIFS(Table1014[Prodi],$W$175,Table1014[I1.5],X$178)/$W$177</f>
        <v>0</v>
      </c>
      <c r="Y211" s="66">
        <f>COUNTIFS(Table1014[Prodi],$W$175,Table1014[I1.5],Y$178)/$W$177</f>
        <v>0</v>
      </c>
      <c r="Z211" s="66">
        <f>COUNTIFS(Table1014[Prodi],$W$175,Table1014[I1.5],Z$178)/$W$177</f>
        <v>0</v>
      </c>
      <c r="AA211" s="62">
        <f t="shared" si="21"/>
        <v>1</v>
      </c>
      <c r="AB211"/>
      <c r="AC211"/>
      <c r="AD211"/>
      <c r="AE211"/>
      <c r="AF211"/>
      <c r="AG211"/>
      <c r="AH211"/>
      <c r="AI211"/>
      <c r="AJ211"/>
      <c r="AK211"/>
      <c r="AL211"/>
      <c r="AM211"/>
      <c r="AN211"/>
      <c r="AO211"/>
      <c r="AP211"/>
      <c r="AQ211"/>
      <c r="AR211"/>
    </row>
    <row r="212" spans="1:44" s="118" customFormat="1" ht="16.5" x14ac:dyDescent="0.3">
      <c r="A212" s="60"/>
      <c r="B212" s="61">
        <f>AVERAGE(B208:B211)</f>
        <v>0.6</v>
      </c>
      <c r="C212" s="61">
        <f>AVERAGE(C208:C211)</f>
        <v>0.4</v>
      </c>
      <c r="D212" s="61">
        <f>AVERAGE(D208:D211)</f>
        <v>0</v>
      </c>
      <c r="E212" s="61">
        <f>AVERAGE(E208:E211)</f>
        <v>0</v>
      </c>
      <c r="F212" s="62">
        <f t="shared" si="18"/>
        <v>1</v>
      </c>
      <c r="H212" s="60"/>
      <c r="I212" s="61">
        <f>AVERAGE(I208:I211)</f>
        <v>0.5</v>
      </c>
      <c r="J212" s="61">
        <f>AVERAGE(J208:J211)</f>
        <v>0.5</v>
      </c>
      <c r="K212" s="61">
        <f>AVERAGE(K208:K211)</f>
        <v>0</v>
      </c>
      <c r="L212" s="61">
        <f>AVERAGE(L208:L211)</f>
        <v>0</v>
      </c>
      <c r="M212" s="62">
        <f t="shared" si="19"/>
        <v>1</v>
      </c>
      <c r="N212"/>
      <c r="O212" s="60"/>
      <c r="P212" s="61">
        <f>AVERAGE(P208:P211)</f>
        <v>0.5</v>
      </c>
      <c r="Q212" s="61">
        <f>AVERAGE(Q208:Q211)</f>
        <v>0.49999999999999994</v>
      </c>
      <c r="R212" s="61">
        <f>AVERAGE(R208:R211)</f>
        <v>0</v>
      </c>
      <c r="S212" s="61">
        <f>AVERAGE(S208:S211)</f>
        <v>0</v>
      </c>
      <c r="T212" s="62">
        <f t="shared" si="20"/>
        <v>1</v>
      </c>
      <c r="U212"/>
      <c r="V212" s="60"/>
      <c r="W212" s="61">
        <f>AVERAGE(W208:W211)</f>
        <v>1</v>
      </c>
      <c r="X212" s="61">
        <f>AVERAGE(X208:X211)</f>
        <v>0</v>
      </c>
      <c r="Y212" s="61">
        <f>AVERAGE(Y208:Y211)</f>
        <v>0</v>
      </c>
      <c r="Z212" s="61">
        <f>AVERAGE(Z208:Z211)</f>
        <v>0</v>
      </c>
      <c r="AA212" s="62">
        <f t="shared" si="21"/>
        <v>1</v>
      </c>
      <c r="AB212"/>
      <c r="AC212"/>
      <c r="AD212"/>
      <c r="AE212"/>
      <c r="AF212"/>
      <c r="AG212"/>
      <c r="AH212"/>
      <c r="AI212"/>
      <c r="AJ212"/>
      <c r="AK212"/>
      <c r="AL212"/>
      <c r="AM212"/>
      <c r="AN212"/>
      <c r="AO212"/>
      <c r="AP212"/>
      <c r="AQ212"/>
      <c r="AR212"/>
    </row>
    <row r="213" spans="1:44" ht="16.5" x14ac:dyDescent="0.3">
      <c r="A213" s="57" t="s">
        <v>653</v>
      </c>
      <c r="B213" s="66">
        <f>COUNTIF(Table1014[I2.1],B$178)/$B$177</f>
        <v>0.6</v>
      </c>
      <c r="C213" s="66">
        <f>COUNTIF(Table1014[I2.1],C$178)/$B$177</f>
        <v>0.4</v>
      </c>
      <c r="D213" s="66">
        <f>COUNTIF(Table1014[I2.1],D$178)/$B$177</f>
        <v>0</v>
      </c>
      <c r="E213" s="66">
        <f>COUNTIF(Table1014[I2.1],E$178)/$B$177</f>
        <v>0</v>
      </c>
      <c r="F213" s="62">
        <f t="shared" si="18"/>
        <v>1</v>
      </c>
      <c r="H213" s="57" t="s">
        <v>653</v>
      </c>
      <c r="I213" s="66">
        <f>COUNTIFS(Table1014[Prodi],$I$175,Table1014[I2.1],I$178)/$I$177</f>
        <v>1</v>
      </c>
      <c r="J213" s="66">
        <f>COUNTIFS(Table1014[Prodi],$I$175,Table1014[I2.1],J$178)/$I$177</f>
        <v>0</v>
      </c>
      <c r="K213" s="66">
        <f>COUNTIFS(Table1014[Prodi],$I$175,Table1014[I2.1],K$178)/$I$177</f>
        <v>0</v>
      </c>
      <c r="L213" s="66">
        <f>COUNTIFS(Table1014[Prodi],$I$175,Table1014[I2.1],L$178)/$I$177</f>
        <v>0</v>
      </c>
      <c r="M213" s="62">
        <f t="shared" si="19"/>
        <v>1</v>
      </c>
      <c r="O213" s="57" t="s">
        <v>653</v>
      </c>
      <c r="P213" s="66">
        <f>COUNTIFS(Table1014[Prodi],$P$175,Table1014[I2.1],P$178)/$P$177</f>
        <v>0.33333333333333331</v>
      </c>
      <c r="Q213" s="66">
        <f>COUNTIFS(Table1014[Prodi],$P$175,Table1014[I2.1],Q$178)/$P$177</f>
        <v>0.66666666666666663</v>
      </c>
      <c r="R213" s="66">
        <f>COUNTIFS(Table1014[Prodi],$P$175,Table1014[I2.1],R$178)/$P$177</f>
        <v>0</v>
      </c>
      <c r="S213" s="66">
        <f>COUNTIFS(Table1014[Prodi],$P$175,Table1014[I2.1],S$178)/$P$177</f>
        <v>0</v>
      </c>
      <c r="T213" s="62">
        <f t="shared" si="20"/>
        <v>1</v>
      </c>
      <c r="V213" s="57" t="s">
        <v>653</v>
      </c>
      <c r="W213" s="66">
        <f>COUNTIFS(Table1014[Prodi],$W$175,Table1014[I2.1],W$178)/$W$177</f>
        <v>1</v>
      </c>
      <c r="X213" s="66">
        <f>COUNTIFS(Table1014[Prodi],$W$175,Table1014[I2.1],X$178)/$W$177</f>
        <v>0</v>
      </c>
      <c r="Y213" s="66">
        <f>COUNTIFS(Table1014[Prodi],$W$175,Table1014[I2.1],Y$178)/$W$177</f>
        <v>0</v>
      </c>
      <c r="Z213" s="66">
        <f>COUNTIFS(Table1014[Prodi],$W$175,Table1014[I2.1],Z$178)/$W$177</f>
        <v>0</v>
      </c>
      <c r="AA213" s="62">
        <f t="shared" si="21"/>
        <v>1</v>
      </c>
    </row>
    <row r="214" spans="1:44" ht="16.5" x14ac:dyDescent="0.3">
      <c r="A214" s="57" t="s">
        <v>654</v>
      </c>
      <c r="B214" s="66">
        <f>COUNTIF(Table1014[I2.2],B$178)/$B$177</f>
        <v>0.6</v>
      </c>
      <c r="C214" s="66">
        <f>COUNTIF(Table1014[I2.2],C$178)/$B$177</f>
        <v>0.4</v>
      </c>
      <c r="D214" s="66">
        <f>COUNTIF(Table1014[I2.2],D$178)/$B$177</f>
        <v>0</v>
      </c>
      <c r="E214" s="66">
        <f>COUNTIF(Table1014[I2.2],E$178)/$B$177</f>
        <v>0</v>
      </c>
      <c r="F214" s="62">
        <f t="shared" si="18"/>
        <v>1</v>
      </c>
      <c r="H214" s="57" t="s">
        <v>654</v>
      </c>
      <c r="I214" s="66">
        <f>COUNTIFS(Table1014[Prodi],$I$175,Table1014[I2.2],I$178)/$I$177</f>
        <v>0</v>
      </c>
      <c r="J214" s="66">
        <f>COUNTIFS(Table1014[Prodi],$I$175,Table1014[I2.2],J$178)/$I$177</f>
        <v>1</v>
      </c>
      <c r="K214" s="66">
        <f>COUNTIFS(Table1014[Prodi],$I$175,Table1014[I2.2],K$178)/$I$177</f>
        <v>0</v>
      </c>
      <c r="L214" s="66">
        <f>COUNTIFS(Table1014[Prodi],$I$175,Table1014[I2.2],L$178)/$I$177</f>
        <v>0</v>
      </c>
      <c r="M214" s="62">
        <f t="shared" si="19"/>
        <v>1</v>
      </c>
      <c r="O214" s="57" t="s">
        <v>654</v>
      </c>
      <c r="P214" s="66">
        <f>COUNTIFS(Table1014[Prodi],$P$175,Table1014[I2.2],P$178)/$P$177</f>
        <v>0.66666666666666663</v>
      </c>
      <c r="Q214" s="66">
        <f>COUNTIFS(Table1014[Prodi],$P$175,Table1014[I2.2],Q$178)/$P$177</f>
        <v>0.33333333333333331</v>
      </c>
      <c r="R214" s="66">
        <f>COUNTIFS(Table1014[Prodi],$P$175,Table1014[I2.2],R$178)/$P$177</f>
        <v>0</v>
      </c>
      <c r="S214" s="66">
        <f>COUNTIFS(Table1014[Prodi],$P$175,Table1014[I2.2],S$178)/$P$177</f>
        <v>0</v>
      </c>
      <c r="T214" s="62">
        <f t="shared" si="20"/>
        <v>1</v>
      </c>
      <c r="V214" s="57" t="s">
        <v>654</v>
      </c>
      <c r="W214" s="66">
        <f>COUNTIFS(Table1014[Prodi],$W$175,Table1014[I2.2],W$178)/$W$177</f>
        <v>1</v>
      </c>
      <c r="X214" s="66">
        <f>COUNTIFS(Table1014[Prodi],$W$175,Table1014[I2.2],X$178)/$W$177</f>
        <v>0</v>
      </c>
      <c r="Y214" s="66">
        <f>COUNTIFS(Table1014[Prodi],$W$175,Table1014[I2.2],Y$178)/$W$177</f>
        <v>0</v>
      </c>
      <c r="Z214" s="66">
        <f>COUNTIFS(Table1014[Prodi],$W$175,Table1014[I2.2],Z$178)/$W$177</f>
        <v>0</v>
      </c>
      <c r="AA214" s="62">
        <f t="shared" si="21"/>
        <v>1</v>
      </c>
    </row>
    <row r="215" spans="1:44" ht="16.5" x14ac:dyDescent="0.3">
      <c r="A215" s="57" t="s">
        <v>655</v>
      </c>
      <c r="B215" s="66">
        <f>COUNTIF(Table1014[I2.3],B$178)/$B$177</f>
        <v>0.6</v>
      </c>
      <c r="C215" s="66">
        <f>COUNTIF(Table1014[I2.3],C$178)/$B$177</f>
        <v>0.4</v>
      </c>
      <c r="D215" s="66">
        <f>COUNTIF(Table1014[I2.3],D$178)/$B$177</f>
        <v>0</v>
      </c>
      <c r="E215" s="66">
        <f>COUNTIF(Table1014[I2.3],E$178)/$B$177</f>
        <v>0</v>
      </c>
      <c r="F215" s="62">
        <f t="shared" si="18"/>
        <v>1</v>
      </c>
      <c r="H215" s="57" t="s">
        <v>655</v>
      </c>
      <c r="I215" s="66">
        <f>COUNTIFS(Table1014[Prodi],$I$175,Table1014[I2.3],I$178)/$I$177</f>
        <v>1</v>
      </c>
      <c r="J215" s="66">
        <f>COUNTIFS(Table1014[Prodi],$I$175,Table1014[I2.3],J$178)/$I$177</f>
        <v>0</v>
      </c>
      <c r="K215" s="66">
        <f>COUNTIFS(Table1014[Prodi],$I$175,Table1014[I2.3],K$178)/$I$177</f>
        <v>0</v>
      </c>
      <c r="L215" s="66">
        <f>COUNTIFS(Table1014[Prodi],$I$175,Table1014[I2.3],L$178)/$I$177</f>
        <v>0</v>
      </c>
      <c r="M215" s="62">
        <f t="shared" si="19"/>
        <v>1</v>
      </c>
      <c r="O215" s="57" t="s">
        <v>655</v>
      </c>
      <c r="P215" s="66">
        <f>COUNTIFS(Table1014[Prodi],$P$175,Table1014[I2.3],P$178)/$P$177</f>
        <v>0.33333333333333331</v>
      </c>
      <c r="Q215" s="66">
        <f>COUNTIFS(Table1014[Prodi],$P$175,Table1014[I2.3],Q$178)/$P$177</f>
        <v>0.66666666666666663</v>
      </c>
      <c r="R215" s="66">
        <f>COUNTIFS(Table1014[Prodi],$P$175,Table1014[I2.3],R$178)/$P$177</f>
        <v>0</v>
      </c>
      <c r="S215" s="66">
        <f>COUNTIFS(Table1014[Prodi],$P$175,Table1014[I2.3],S$178)/$P$177</f>
        <v>0</v>
      </c>
      <c r="T215" s="62">
        <f t="shared" si="20"/>
        <v>1</v>
      </c>
      <c r="V215" s="57" t="s">
        <v>655</v>
      </c>
      <c r="W215" s="66">
        <f>COUNTIFS(Table1014[Prodi],$W$175,Table1014[I2.3],W$178)/$W$177</f>
        <v>1</v>
      </c>
      <c r="X215" s="66">
        <f>COUNTIFS(Table1014[Prodi],$W$175,Table1014[I2.3],X$178)/$W$177</f>
        <v>0</v>
      </c>
      <c r="Y215" s="66">
        <f>COUNTIFS(Table1014[Prodi],$W$175,Table1014[I2.3],Y$178)/$W$177</f>
        <v>0</v>
      </c>
      <c r="Z215" s="66">
        <f>COUNTIFS(Table1014[Prodi],$W$175,Table1014[I2.3],Z$178)/$W$177</f>
        <v>0</v>
      </c>
      <c r="AA215" s="62">
        <f t="shared" si="21"/>
        <v>1</v>
      </c>
    </row>
    <row r="216" spans="1:44" ht="16.5" x14ac:dyDescent="0.3">
      <c r="A216" s="57" t="s">
        <v>656</v>
      </c>
      <c r="B216" s="66">
        <f>COUNTIF(Table1014[I2.4],B$178)/$B$177</f>
        <v>0.6</v>
      </c>
      <c r="C216" s="66">
        <f>COUNTIF(Table1014[I2.4],C$178)/$B$177</f>
        <v>0.4</v>
      </c>
      <c r="D216" s="66">
        <f>COUNTIF(Table1014[I2.4],D$178)/$B$177</f>
        <v>0</v>
      </c>
      <c r="E216" s="66">
        <f>COUNTIF(Table1014[I2.4],E$178)/$B$177</f>
        <v>0</v>
      </c>
      <c r="F216" s="62">
        <f t="shared" si="18"/>
        <v>1</v>
      </c>
      <c r="H216" s="57" t="s">
        <v>656</v>
      </c>
      <c r="I216" s="66">
        <f>COUNTIFS(Table1014[Prodi],$I$175,Table1014[I2.4],I$178)/$I$177</f>
        <v>0</v>
      </c>
      <c r="J216" s="66">
        <f>COUNTIFS(Table1014[Prodi],$I$175,Table1014[I2.4],J$178)/$I$177</f>
        <v>1</v>
      </c>
      <c r="K216" s="66">
        <f>COUNTIFS(Table1014[Prodi],$I$175,Table1014[I2.4],K$178)/$I$177</f>
        <v>0</v>
      </c>
      <c r="L216" s="66">
        <f>COUNTIFS(Table1014[Prodi],$I$175,Table1014[I2.4],L$178)/$I$177</f>
        <v>0</v>
      </c>
      <c r="M216" s="62">
        <f t="shared" si="19"/>
        <v>1</v>
      </c>
      <c r="O216" s="57" t="s">
        <v>656</v>
      </c>
      <c r="P216" s="66">
        <f>COUNTIFS(Table1014[Prodi],$P$175,Table1014[I2.4],P$178)/$P$177</f>
        <v>0.66666666666666663</v>
      </c>
      <c r="Q216" s="66">
        <f>COUNTIFS(Table1014[Prodi],$P$175,Table1014[I2.4],Q$178)/$P$177</f>
        <v>0.33333333333333331</v>
      </c>
      <c r="R216" s="66">
        <f>COUNTIFS(Table1014[Prodi],$P$175,Table1014[I2.4],R$178)/$P$177</f>
        <v>0</v>
      </c>
      <c r="S216" s="66">
        <f>COUNTIFS(Table1014[Prodi],$P$175,Table1014[I2.4],S$178)/$P$177</f>
        <v>0</v>
      </c>
      <c r="T216" s="62">
        <f t="shared" si="20"/>
        <v>1</v>
      </c>
      <c r="V216" s="57" t="s">
        <v>656</v>
      </c>
      <c r="W216" s="66">
        <f>COUNTIFS(Table1014[Prodi],$W$175,Table1014[I2.4],W$178)/$W$177</f>
        <v>1</v>
      </c>
      <c r="X216" s="66">
        <f>COUNTIFS(Table1014[Prodi],$W$175,Table1014[I2.4],X$178)/$W$177</f>
        <v>0</v>
      </c>
      <c r="Y216" s="66">
        <f>COUNTIFS(Table1014[Prodi],$W$175,Table1014[I2.4],Y$178)/$W$177</f>
        <v>0</v>
      </c>
      <c r="Z216" s="66">
        <f>COUNTIFS(Table1014[Prodi],$W$175,Table1014[I2.4],Z$178)/$W$177</f>
        <v>0</v>
      </c>
      <c r="AA216" s="62">
        <f t="shared" si="21"/>
        <v>1</v>
      </c>
    </row>
    <row r="217" spans="1:44" ht="17.25" thickBot="1" x14ac:dyDescent="0.35">
      <c r="A217" s="67"/>
      <c r="B217" s="61">
        <f>AVERAGE(B213:B216)</f>
        <v>0.6</v>
      </c>
      <c r="C217" s="61">
        <f>AVERAGE(C213:C216)</f>
        <v>0.4</v>
      </c>
      <c r="D217" s="61">
        <f>AVERAGE(D213:D216)</f>
        <v>0</v>
      </c>
      <c r="E217" s="61">
        <f>AVERAGE(E213:E216)</f>
        <v>0</v>
      </c>
      <c r="F217" s="62">
        <f t="shared" si="18"/>
        <v>1</v>
      </c>
      <c r="H217" s="67"/>
      <c r="I217" s="61">
        <f>AVERAGE(I213:I216)</f>
        <v>0.5</v>
      </c>
      <c r="J217" s="61">
        <f>AVERAGE(J213:J216)</f>
        <v>0.5</v>
      </c>
      <c r="K217" s="61">
        <f>AVERAGE(K213:K216)</f>
        <v>0</v>
      </c>
      <c r="L217" s="61">
        <f>AVERAGE(L213:L216)</f>
        <v>0</v>
      </c>
      <c r="M217" s="62">
        <f t="shared" si="19"/>
        <v>1</v>
      </c>
      <c r="O217" s="67"/>
      <c r="P217" s="61">
        <f>AVERAGE(P213:P216)</f>
        <v>0.5</v>
      </c>
      <c r="Q217" s="61">
        <f>AVERAGE(Q213:Q216)</f>
        <v>0.49999999999999994</v>
      </c>
      <c r="R217" s="61">
        <f>AVERAGE(R213:R216)</f>
        <v>0</v>
      </c>
      <c r="S217" s="61">
        <f>AVERAGE(S213:S216)</f>
        <v>0</v>
      </c>
      <c r="T217" s="62">
        <f t="shared" si="20"/>
        <v>1</v>
      </c>
      <c r="V217" s="67"/>
      <c r="W217" s="61">
        <f>AVERAGE(W213:W216)</f>
        <v>1</v>
      </c>
      <c r="X217" s="61">
        <f>AVERAGE(X213:X216)</f>
        <v>0</v>
      </c>
      <c r="Y217" s="61">
        <f>AVERAGE(Y213:Y216)</f>
        <v>0</v>
      </c>
      <c r="Z217" s="61">
        <f>AVERAGE(Z213:Z216)</f>
        <v>0</v>
      </c>
      <c r="AA217" s="62">
        <f t="shared" si="21"/>
        <v>1</v>
      </c>
    </row>
    <row r="219" spans="1:44" s="176" customFormat="1" x14ac:dyDescent="0.25">
      <c r="A219" s="175"/>
      <c r="B219" s="175"/>
      <c r="D219" s="177"/>
      <c r="E219" s="177"/>
      <c r="F219" s="177"/>
      <c r="G219" s="177"/>
      <c r="H219" s="177"/>
      <c r="I219" s="177"/>
    </row>
    <row r="220" spans="1:44" ht="15.75" thickBot="1" x14ac:dyDescent="0.3"/>
    <row r="221" spans="1:44" ht="17.25" customHeight="1" thickBot="1" x14ac:dyDescent="0.3">
      <c r="A221" s="64" t="s">
        <v>647</v>
      </c>
      <c r="B221" s="65">
        <f>B85</f>
        <v>2022</v>
      </c>
      <c r="C221" s="237" t="str">
        <f>B84</f>
        <v>FTI</v>
      </c>
      <c r="D221" s="238"/>
      <c r="E221" s="239"/>
      <c r="H221" s="64" t="s">
        <v>647</v>
      </c>
      <c r="I221" s="65">
        <f>I85</f>
        <v>2022</v>
      </c>
      <c r="J221" s="237" t="str">
        <f>I84</f>
        <v>S1 Sistem Informasi</v>
      </c>
      <c r="K221" s="238"/>
      <c r="L221" s="239"/>
      <c r="O221" s="64" t="s">
        <v>647</v>
      </c>
      <c r="P221" s="65">
        <f>P85</f>
        <v>2022</v>
      </c>
      <c r="Q221" s="237" t="str">
        <f>P84</f>
        <v>S1 Teknik Komputer</v>
      </c>
      <c r="R221" s="238"/>
      <c r="S221" s="239"/>
      <c r="V221" s="64" t="s">
        <v>647</v>
      </c>
      <c r="W221" s="65">
        <f>W85</f>
        <v>2022</v>
      </c>
      <c r="X221" s="237" t="str">
        <f>W84</f>
        <v>D3 Sistem Informasi</v>
      </c>
      <c r="Y221" s="238"/>
      <c r="Z221" s="239"/>
    </row>
    <row r="222" spans="1:44" ht="17.25" customHeight="1" thickBot="1" x14ac:dyDescent="0.3">
      <c r="A222" s="69" t="s">
        <v>646</v>
      </c>
      <c r="B222" s="70">
        <f>B86</f>
        <v>22</v>
      </c>
      <c r="C222" s="240"/>
      <c r="D222" s="241"/>
      <c r="E222" s="242"/>
      <c r="H222" s="69" t="s">
        <v>646</v>
      </c>
      <c r="I222" s="70">
        <f>I86</f>
        <v>8</v>
      </c>
      <c r="J222" s="240"/>
      <c r="K222" s="241"/>
      <c r="L222" s="242"/>
      <c r="O222" s="69" t="s">
        <v>646</v>
      </c>
      <c r="P222" s="70">
        <f>P86</f>
        <v>5</v>
      </c>
      <c r="Q222" s="240"/>
      <c r="R222" s="241"/>
      <c r="S222" s="242"/>
      <c r="V222" s="69" t="s">
        <v>646</v>
      </c>
      <c r="W222" s="70">
        <f>W86</f>
        <v>9</v>
      </c>
      <c r="X222" s="240"/>
      <c r="Y222" s="241"/>
      <c r="Z222" s="242"/>
    </row>
    <row r="223" spans="1:44" ht="33" customHeight="1" thickBot="1" x14ac:dyDescent="0.3">
      <c r="A223" s="222" t="s">
        <v>658</v>
      </c>
      <c r="B223" s="223" t="s">
        <v>664</v>
      </c>
      <c r="C223" s="223"/>
      <c r="D223" s="223"/>
      <c r="E223" s="223"/>
      <c r="H223" s="222" t="s">
        <v>658</v>
      </c>
      <c r="I223" s="223" t="s">
        <v>664</v>
      </c>
      <c r="J223" s="223"/>
      <c r="K223" s="223"/>
      <c r="L223" s="223"/>
      <c r="O223" s="222" t="s">
        <v>658</v>
      </c>
      <c r="P223" s="223" t="s">
        <v>664</v>
      </c>
      <c r="Q223" s="223"/>
      <c r="R223" s="223"/>
      <c r="S223" s="223"/>
      <c r="V223" s="222" t="s">
        <v>658</v>
      </c>
      <c r="W223" s="223" t="s">
        <v>664</v>
      </c>
      <c r="X223" s="223"/>
      <c r="Y223" s="223"/>
      <c r="Z223" s="223"/>
    </row>
    <row r="224" spans="1:44" ht="15.75" thickBot="1" x14ac:dyDescent="0.3">
      <c r="A224" s="222"/>
      <c r="B224" s="72" t="s">
        <v>645</v>
      </c>
      <c r="C224" s="72" t="s">
        <v>665</v>
      </c>
      <c r="D224" s="72" t="s">
        <v>666</v>
      </c>
      <c r="E224" s="72" t="s">
        <v>667</v>
      </c>
      <c r="H224" s="222"/>
      <c r="I224" s="72" t="s">
        <v>645</v>
      </c>
      <c r="J224" s="72" t="s">
        <v>665</v>
      </c>
      <c r="K224" s="72" t="s">
        <v>666</v>
      </c>
      <c r="L224" s="72" t="s">
        <v>667</v>
      </c>
      <c r="O224" s="222"/>
      <c r="P224" s="72" t="s">
        <v>645</v>
      </c>
      <c r="Q224" s="72" t="s">
        <v>665</v>
      </c>
      <c r="R224" s="72" t="s">
        <v>666</v>
      </c>
      <c r="S224" s="72" t="s">
        <v>667</v>
      </c>
      <c r="V224" s="222"/>
      <c r="W224" s="72" t="s">
        <v>645</v>
      </c>
      <c r="X224" s="72" t="s">
        <v>665</v>
      </c>
      <c r="Y224" s="72" t="s">
        <v>666</v>
      </c>
      <c r="Z224" s="72" t="s">
        <v>667</v>
      </c>
    </row>
    <row r="225" spans="1:44" x14ac:dyDescent="0.25">
      <c r="A225" s="73">
        <v>2</v>
      </c>
      <c r="B225" s="71">
        <v>3</v>
      </c>
      <c r="C225" s="71">
        <v>4</v>
      </c>
      <c r="D225" s="71">
        <v>5</v>
      </c>
      <c r="E225" s="74"/>
      <c r="H225" s="73">
        <v>2</v>
      </c>
      <c r="I225" s="71">
        <v>3</v>
      </c>
      <c r="J225" s="71">
        <v>4</v>
      </c>
      <c r="K225" s="71">
        <v>5</v>
      </c>
      <c r="L225" s="74"/>
      <c r="O225" s="73">
        <v>2</v>
      </c>
      <c r="P225" s="71">
        <v>3</v>
      </c>
      <c r="Q225" s="71">
        <v>4</v>
      </c>
      <c r="R225" s="71">
        <v>5</v>
      </c>
      <c r="S225" s="74"/>
      <c r="V225" s="73">
        <v>2</v>
      </c>
      <c r="W225" s="71">
        <v>3</v>
      </c>
      <c r="X225" s="71">
        <v>4</v>
      </c>
      <c r="Y225" s="71">
        <v>5</v>
      </c>
      <c r="Z225" s="74"/>
    </row>
    <row r="226" spans="1:44" x14ac:dyDescent="0.25">
      <c r="A226" s="75" t="s">
        <v>1441</v>
      </c>
      <c r="B226" s="58">
        <f>B92</f>
        <v>0.5</v>
      </c>
      <c r="C226" s="58">
        <f>C92</f>
        <v>0.5</v>
      </c>
      <c r="D226" s="58">
        <f>D92</f>
        <v>0</v>
      </c>
      <c r="E226" s="58">
        <f>E92</f>
        <v>0</v>
      </c>
      <c r="H226" s="75" t="s">
        <v>1441</v>
      </c>
      <c r="I226" s="58">
        <f>I92</f>
        <v>0.71875</v>
      </c>
      <c r="J226" s="58">
        <f>J92</f>
        <v>0.28125</v>
      </c>
      <c r="K226" s="58">
        <f>K92</f>
        <v>0</v>
      </c>
      <c r="L226" s="58">
        <f>L92</f>
        <v>0</v>
      </c>
      <c r="O226" s="75" t="s">
        <v>1441</v>
      </c>
      <c r="P226" s="58">
        <f>P92</f>
        <v>0.75</v>
      </c>
      <c r="Q226" s="58">
        <f>Q92</f>
        <v>0.25</v>
      </c>
      <c r="R226" s="58">
        <f>R92</f>
        <v>0</v>
      </c>
      <c r="S226" s="58">
        <f>S92</f>
        <v>0</v>
      </c>
      <c r="V226" s="75" t="s">
        <v>1441</v>
      </c>
      <c r="W226" s="58">
        <f>W92</f>
        <v>0.52777777777777779</v>
      </c>
      <c r="X226" s="58">
        <f>X92</f>
        <v>0.47222222222222221</v>
      </c>
      <c r="Y226" s="58">
        <f>Y92</f>
        <v>0</v>
      </c>
      <c r="Z226" s="58">
        <f>Z92</f>
        <v>0</v>
      </c>
    </row>
    <row r="227" spans="1:44" x14ac:dyDescent="0.25">
      <c r="A227" s="75" t="s">
        <v>1582</v>
      </c>
      <c r="B227" s="58">
        <f>B96</f>
        <v>0.69696969696969691</v>
      </c>
      <c r="C227" s="58">
        <f>C96</f>
        <v>0.2878787878787879</v>
      </c>
      <c r="D227" s="58">
        <f>D96</f>
        <v>1.5151515151515152E-2</v>
      </c>
      <c r="E227" s="58">
        <f>E96</f>
        <v>0</v>
      </c>
      <c r="H227" s="75" t="s">
        <v>1582</v>
      </c>
      <c r="I227" s="58">
        <f>I96</f>
        <v>0.79166666666666663</v>
      </c>
      <c r="J227" s="58">
        <f>J96</f>
        <v>0.20833333333333334</v>
      </c>
      <c r="K227" s="58">
        <f>K96</f>
        <v>0</v>
      </c>
      <c r="L227" s="58">
        <f>L96</f>
        <v>0</v>
      </c>
      <c r="O227" s="75" t="s">
        <v>1582</v>
      </c>
      <c r="P227" s="58">
        <f>P96</f>
        <v>0.66666666666666663</v>
      </c>
      <c r="Q227" s="58">
        <f>Q96</f>
        <v>0.33333333333333331</v>
      </c>
      <c r="R227" s="58">
        <f>R96</f>
        <v>0</v>
      </c>
      <c r="S227" s="58">
        <f>S96</f>
        <v>0</v>
      </c>
      <c r="V227" s="75" t="s">
        <v>1582</v>
      </c>
      <c r="W227" s="58">
        <f>W96</f>
        <v>0.62962962962962965</v>
      </c>
      <c r="X227" s="58">
        <f>X96</f>
        <v>0.33333333333333331</v>
      </c>
      <c r="Y227" s="58">
        <f>Y96</f>
        <v>3.7037037037037035E-2</v>
      </c>
      <c r="Z227" s="58">
        <f>Z96</f>
        <v>0</v>
      </c>
    </row>
    <row r="228" spans="1:44" x14ac:dyDescent="0.25">
      <c r="A228" s="75" t="s">
        <v>1583</v>
      </c>
      <c r="B228" s="58">
        <f>B99</f>
        <v>0.34090909090909088</v>
      </c>
      <c r="C228" s="58">
        <f>C99</f>
        <v>0.5</v>
      </c>
      <c r="D228" s="58">
        <f>D99</f>
        <v>0.15909090909090909</v>
      </c>
      <c r="E228" s="58">
        <f>E99</f>
        <v>0</v>
      </c>
      <c r="H228" s="75" t="s">
        <v>1583</v>
      </c>
      <c r="I228" s="58">
        <f>I99</f>
        <v>0.3125</v>
      </c>
      <c r="J228" s="58">
        <f>J99</f>
        <v>0.625</v>
      </c>
      <c r="K228" s="58">
        <f>K99</f>
        <v>6.25E-2</v>
      </c>
      <c r="L228" s="58">
        <f>L99</f>
        <v>0</v>
      </c>
      <c r="O228" s="75" t="s">
        <v>1583</v>
      </c>
      <c r="P228" s="58">
        <f>P99</f>
        <v>0.4</v>
      </c>
      <c r="Q228" s="58">
        <f>Q99</f>
        <v>0.30000000000000004</v>
      </c>
      <c r="R228" s="58">
        <f>R99</f>
        <v>0.3</v>
      </c>
      <c r="S228" s="58">
        <f>S99</f>
        <v>0</v>
      </c>
      <c r="V228" s="75" t="s">
        <v>1583</v>
      </c>
      <c r="W228" s="58">
        <f>W99</f>
        <v>0.33333333333333331</v>
      </c>
      <c r="X228" s="58">
        <f>X99</f>
        <v>0.5</v>
      </c>
      <c r="Y228" s="58">
        <f>Y99</f>
        <v>0.16666666666666666</v>
      </c>
      <c r="Z228" s="58">
        <f>Z99</f>
        <v>0</v>
      </c>
    </row>
    <row r="229" spans="1:44" s="118" customFormat="1" x14ac:dyDescent="0.25">
      <c r="A229" s="75" t="s">
        <v>663</v>
      </c>
      <c r="B229" s="58">
        <f>B103</f>
        <v>0.75757575757575746</v>
      </c>
      <c r="C229" s="58">
        <f>C103</f>
        <v>0.24242424242424243</v>
      </c>
      <c r="D229" s="58">
        <f>D103</f>
        <v>0</v>
      </c>
      <c r="E229" s="58">
        <f>E103</f>
        <v>0</v>
      </c>
      <c r="H229" s="75" t="s">
        <v>663</v>
      </c>
      <c r="I229" s="58">
        <f>I103</f>
        <v>0.95833333333333337</v>
      </c>
      <c r="J229" s="58">
        <f>J103</f>
        <v>4.1666666666666664E-2</v>
      </c>
      <c r="K229" s="58">
        <f>K103</f>
        <v>0</v>
      </c>
      <c r="L229" s="58">
        <f>L103</f>
        <v>0</v>
      </c>
      <c r="M229"/>
      <c r="N229"/>
      <c r="O229" s="75" t="s">
        <v>663</v>
      </c>
      <c r="P229" s="58">
        <f>P103</f>
        <v>0.66666666666666663</v>
      </c>
      <c r="Q229" s="58">
        <f>Q103</f>
        <v>0.33333333333333331</v>
      </c>
      <c r="R229" s="58">
        <f>R103</f>
        <v>0</v>
      </c>
      <c r="S229" s="58">
        <f>S103</f>
        <v>0</v>
      </c>
      <c r="T229"/>
      <c r="U229"/>
      <c r="V229" s="75" t="s">
        <v>663</v>
      </c>
      <c r="W229" s="58">
        <f>W103</f>
        <v>0.62962962962962965</v>
      </c>
      <c r="X229" s="58">
        <f>X103</f>
        <v>0.37037037037037041</v>
      </c>
      <c r="Y229" s="58">
        <f>Y103</f>
        <v>0</v>
      </c>
      <c r="Z229" s="58">
        <f>Z103</f>
        <v>0</v>
      </c>
      <c r="AA229"/>
      <c r="AB229"/>
      <c r="AC229"/>
      <c r="AD229"/>
      <c r="AE229"/>
      <c r="AF229"/>
      <c r="AG229"/>
      <c r="AH229"/>
      <c r="AI229"/>
      <c r="AJ229"/>
      <c r="AK229"/>
      <c r="AL229"/>
      <c r="AM229"/>
      <c r="AN229"/>
      <c r="AO229"/>
      <c r="AP229"/>
      <c r="AQ229"/>
      <c r="AR229"/>
    </row>
    <row r="230" spans="1:44" s="118" customFormat="1" x14ac:dyDescent="0.25">
      <c r="A230" s="75" t="s">
        <v>330</v>
      </c>
      <c r="B230" s="58">
        <f>B108</f>
        <v>0.5</v>
      </c>
      <c r="C230" s="58">
        <f>C108</f>
        <v>0.45454545454545459</v>
      </c>
      <c r="D230" s="58">
        <f>D108</f>
        <v>4.5454545454545456E-2</v>
      </c>
      <c r="E230" s="58">
        <f>E108</f>
        <v>0</v>
      </c>
      <c r="H230" s="75" t="s">
        <v>330</v>
      </c>
      <c r="I230" s="58">
        <f>I108</f>
        <v>0.65625</v>
      </c>
      <c r="J230" s="58">
        <f>J108</f>
        <v>0.21875</v>
      </c>
      <c r="K230" s="58">
        <f>K108</f>
        <v>0.125</v>
      </c>
      <c r="L230" s="58">
        <f>L108</f>
        <v>0</v>
      </c>
      <c r="M230"/>
      <c r="N230"/>
      <c r="O230" s="75" t="s">
        <v>330</v>
      </c>
      <c r="P230" s="58">
        <f>P108</f>
        <v>0.55000000000000004</v>
      </c>
      <c r="Q230" s="58">
        <f>Q108</f>
        <v>0.45</v>
      </c>
      <c r="R230" s="58">
        <f>R108</f>
        <v>0</v>
      </c>
      <c r="S230" s="58">
        <f>S108</f>
        <v>0</v>
      </c>
      <c r="T230"/>
      <c r="U230"/>
      <c r="V230" s="75" t="s">
        <v>330</v>
      </c>
      <c r="W230" s="58">
        <f>W108</f>
        <v>0.33333333333333331</v>
      </c>
      <c r="X230" s="58">
        <f>X108</f>
        <v>0.66666666666666663</v>
      </c>
      <c r="Y230" s="58">
        <f>Y108</f>
        <v>0</v>
      </c>
      <c r="Z230" s="58">
        <f>Z108</f>
        <v>0</v>
      </c>
      <c r="AA230"/>
      <c r="AB230"/>
      <c r="AC230"/>
      <c r="AD230"/>
      <c r="AE230"/>
      <c r="AF230"/>
      <c r="AG230"/>
      <c r="AH230"/>
      <c r="AI230"/>
      <c r="AJ230"/>
      <c r="AK230"/>
      <c r="AL230"/>
      <c r="AM230"/>
      <c r="AN230"/>
      <c r="AO230"/>
      <c r="AP230"/>
      <c r="AQ230"/>
      <c r="AR230"/>
    </row>
    <row r="231" spans="1:44" s="118" customFormat="1" x14ac:dyDescent="0.25">
      <c r="A231" s="75" t="s">
        <v>1228</v>
      </c>
      <c r="B231" s="58">
        <f>B112</f>
        <v>0.74242424242424232</v>
      </c>
      <c r="C231" s="58">
        <f>C112</f>
        <v>0.22727272727272727</v>
      </c>
      <c r="D231" s="58">
        <f>D112</f>
        <v>0</v>
      </c>
      <c r="E231" s="58">
        <f>E112</f>
        <v>3.0303030303030304E-2</v>
      </c>
      <c r="H231" s="75" t="s">
        <v>1228</v>
      </c>
      <c r="I231" s="58">
        <f>I112</f>
        <v>0.875</v>
      </c>
      <c r="J231" s="58">
        <f>J112</f>
        <v>4.1666666666666664E-2</v>
      </c>
      <c r="K231" s="58">
        <f>K112</f>
        <v>0</v>
      </c>
      <c r="L231" s="58">
        <f>L112</f>
        <v>8.3333333333333329E-2</v>
      </c>
      <c r="M231"/>
      <c r="N231"/>
      <c r="O231" s="75" t="s">
        <v>1228</v>
      </c>
      <c r="P231" s="58">
        <f>P112</f>
        <v>0.73333333333333339</v>
      </c>
      <c r="Q231" s="58">
        <f>Q112</f>
        <v>0.26666666666666666</v>
      </c>
      <c r="R231" s="58">
        <f>R112</f>
        <v>0</v>
      </c>
      <c r="S231" s="58">
        <f>S112</f>
        <v>0</v>
      </c>
      <c r="T231"/>
      <c r="U231"/>
      <c r="V231" s="75" t="s">
        <v>1228</v>
      </c>
      <c r="W231" s="58">
        <f>W112</f>
        <v>0.62962962962962965</v>
      </c>
      <c r="X231" s="58">
        <f>X112</f>
        <v>0.37037037037037029</v>
      </c>
      <c r="Y231" s="58">
        <f>Y112</f>
        <v>0</v>
      </c>
      <c r="Z231" s="58">
        <f>Z112</f>
        <v>0</v>
      </c>
      <c r="AA231"/>
      <c r="AB231"/>
      <c r="AC231"/>
      <c r="AD231"/>
      <c r="AE231"/>
      <c r="AF231"/>
      <c r="AG231"/>
      <c r="AH231"/>
      <c r="AI231"/>
      <c r="AJ231"/>
      <c r="AK231"/>
      <c r="AL231"/>
      <c r="AM231"/>
      <c r="AN231"/>
      <c r="AO231"/>
      <c r="AP231"/>
      <c r="AQ231"/>
      <c r="AR231"/>
    </row>
    <row r="232" spans="1:44" s="118" customFormat="1" x14ac:dyDescent="0.25">
      <c r="A232" s="75" t="s">
        <v>1440</v>
      </c>
      <c r="B232" s="58">
        <f>B117</f>
        <v>0.63636363636363635</v>
      </c>
      <c r="C232" s="58">
        <f>C117</f>
        <v>0.36363636363636365</v>
      </c>
      <c r="D232" s="58">
        <f>D117</f>
        <v>0</v>
      </c>
      <c r="E232" s="58">
        <f>E117</f>
        <v>0</v>
      </c>
      <c r="H232" s="75" t="s">
        <v>1440</v>
      </c>
      <c r="I232" s="58">
        <f>I117</f>
        <v>0.625</v>
      </c>
      <c r="J232" s="58">
        <f>J117</f>
        <v>0.375</v>
      </c>
      <c r="K232" s="58">
        <f>K117</f>
        <v>0</v>
      </c>
      <c r="L232" s="58">
        <f>L117</f>
        <v>0</v>
      </c>
      <c r="M232"/>
      <c r="N232"/>
      <c r="O232" s="75" t="s">
        <v>1440</v>
      </c>
      <c r="P232" s="58">
        <f>P117</f>
        <v>0.70000000000000007</v>
      </c>
      <c r="Q232" s="58">
        <f>Q117</f>
        <v>0.30000000000000004</v>
      </c>
      <c r="R232" s="58">
        <f>R117</f>
        <v>0</v>
      </c>
      <c r="S232" s="58">
        <f>S117</f>
        <v>0</v>
      </c>
      <c r="T232"/>
      <c r="U232"/>
      <c r="V232" s="75" t="s">
        <v>1440</v>
      </c>
      <c r="W232" s="58">
        <f>W117</f>
        <v>0.61111111111111116</v>
      </c>
      <c r="X232" s="58">
        <f>X117</f>
        <v>0.3888888888888889</v>
      </c>
      <c r="Y232" s="58">
        <f>Y117</f>
        <v>0</v>
      </c>
      <c r="Z232" s="58">
        <f>Z117</f>
        <v>0</v>
      </c>
      <c r="AA232"/>
      <c r="AB232"/>
      <c r="AC232"/>
      <c r="AD232"/>
      <c r="AE232"/>
      <c r="AF232"/>
      <c r="AG232"/>
      <c r="AH232"/>
      <c r="AI232"/>
      <c r="AJ232"/>
      <c r="AK232"/>
      <c r="AL232"/>
      <c r="AM232"/>
      <c r="AN232"/>
      <c r="AO232"/>
      <c r="AP232"/>
      <c r="AQ232"/>
      <c r="AR232"/>
    </row>
    <row r="233" spans="1:44" s="118" customFormat="1" x14ac:dyDescent="0.25">
      <c r="A233" s="75" t="s">
        <v>1431</v>
      </c>
      <c r="B233" s="58">
        <f>B123</f>
        <v>0.35227272727272724</v>
      </c>
      <c r="C233" s="58">
        <f>C123</f>
        <v>0.60227272727272729</v>
      </c>
      <c r="D233" s="58">
        <f>D123</f>
        <v>2.2727272727272728E-2</v>
      </c>
      <c r="E233" s="58">
        <f>E123</f>
        <v>2.2727272727272728E-2</v>
      </c>
      <c r="H233" s="75" t="s">
        <v>1431</v>
      </c>
      <c r="I233" s="58">
        <f>I123</f>
        <v>0.1875</v>
      </c>
      <c r="J233" s="58">
        <f>J123</f>
        <v>0.6875</v>
      </c>
      <c r="K233" s="58">
        <f>K123</f>
        <v>6.25E-2</v>
      </c>
      <c r="L233" s="58">
        <f>L123</f>
        <v>6.25E-2</v>
      </c>
      <c r="M233"/>
      <c r="N233"/>
      <c r="O233" s="75" t="s">
        <v>1431</v>
      </c>
      <c r="P233" s="58">
        <f>P123</f>
        <v>0.45</v>
      </c>
      <c r="Q233" s="58">
        <f>Q123</f>
        <v>0.55000000000000004</v>
      </c>
      <c r="R233" s="58">
        <f>R123</f>
        <v>0</v>
      </c>
      <c r="S233" s="58">
        <f>S123</f>
        <v>0</v>
      </c>
      <c r="T233"/>
      <c r="U233"/>
      <c r="V233" s="75" t="s">
        <v>1431</v>
      </c>
      <c r="W233" s="58">
        <f>W123</f>
        <v>0.44444444444444448</v>
      </c>
      <c r="X233" s="58">
        <f>X123</f>
        <v>0.55555555555555558</v>
      </c>
      <c r="Y233" s="58">
        <f>Y123</f>
        <v>0</v>
      </c>
      <c r="Z233" s="58">
        <f>Z123</f>
        <v>0</v>
      </c>
      <c r="AA233"/>
      <c r="AB233"/>
      <c r="AC233"/>
      <c r="AD233"/>
      <c r="AE233"/>
      <c r="AF233"/>
      <c r="AG233"/>
      <c r="AH233"/>
      <c r="AI233"/>
      <c r="AJ233"/>
      <c r="AK233"/>
      <c r="AL233"/>
      <c r="AM233"/>
      <c r="AN233"/>
      <c r="AO233"/>
      <c r="AP233"/>
      <c r="AQ233"/>
      <c r="AR233"/>
    </row>
    <row r="234" spans="1:44" s="118" customFormat="1" ht="15.75" thickBot="1" x14ac:dyDescent="0.3">
      <c r="A234" s="76" t="s">
        <v>1432</v>
      </c>
      <c r="B234" s="77">
        <f>B128</f>
        <v>0.55681818181818177</v>
      </c>
      <c r="C234" s="77">
        <f>C128</f>
        <v>0.31818181818181818</v>
      </c>
      <c r="D234" s="77">
        <f>D128</f>
        <v>7.9545454545454544E-2</v>
      </c>
      <c r="E234" s="77">
        <f>E128</f>
        <v>4.5454545454545456E-2</v>
      </c>
      <c r="H234" s="76" t="s">
        <v>1432</v>
      </c>
      <c r="I234" s="77">
        <f>I128</f>
        <v>0.34375</v>
      </c>
      <c r="J234" s="77">
        <f>J128</f>
        <v>0.375</v>
      </c>
      <c r="K234" s="77">
        <f>K128</f>
        <v>0.15625</v>
      </c>
      <c r="L234" s="77">
        <f>L128</f>
        <v>0.125</v>
      </c>
      <c r="M234"/>
      <c r="N234"/>
      <c r="O234" s="76" t="s">
        <v>1432</v>
      </c>
      <c r="P234" s="77">
        <f>P128</f>
        <v>0.75</v>
      </c>
      <c r="Q234" s="77">
        <f>Q128</f>
        <v>0.25</v>
      </c>
      <c r="R234" s="77">
        <f>R128</f>
        <v>0</v>
      </c>
      <c r="S234" s="77">
        <f>S128</f>
        <v>0</v>
      </c>
      <c r="T234"/>
      <c r="U234"/>
      <c r="V234" s="76" t="s">
        <v>1432</v>
      </c>
      <c r="W234" s="77">
        <f>W128</f>
        <v>0.63888888888888884</v>
      </c>
      <c r="X234" s="77">
        <f>X128</f>
        <v>0.30555555555555552</v>
      </c>
      <c r="Y234" s="77">
        <f>Y128</f>
        <v>5.5555555555555552E-2</v>
      </c>
      <c r="Z234" s="77">
        <f>Z128</f>
        <v>0</v>
      </c>
      <c r="AA234"/>
      <c r="AB234"/>
      <c r="AC234"/>
      <c r="AD234"/>
      <c r="AE234"/>
      <c r="AF234"/>
      <c r="AG234"/>
      <c r="AH234"/>
      <c r="AI234"/>
      <c r="AJ234"/>
      <c r="AK234"/>
      <c r="AL234"/>
      <c r="AM234"/>
      <c r="AN234"/>
      <c r="AO234"/>
      <c r="AP234"/>
      <c r="AQ234"/>
      <c r="AR234"/>
    </row>
    <row r="235" spans="1:44" s="118" customFormat="1" x14ac:dyDescent="0.25">
      <c r="A235" s="79" t="s">
        <v>669</v>
      </c>
      <c r="B235" s="81">
        <f>SUM(B226:B234)</f>
        <v>5.083333333333333</v>
      </c>
      <c r="C235" s="81">
        <f>SUM(C226:C234)</f>
        <v>3.4962121212121211</v>
      </c>
      <c r="D235" s="81">
        <f>SUM(D226:D234)</f>
        <v>0.32196969696969702</v>
      </c>
      <c r="E235" s="84">
        <f>SUM(E226:E234)</f>
        <v>9.8484848484848481E-2</v>
      </c>
      <c r="H235" s="79" t="s">
        <v>669</v>
      </c>
      <c r="I235" s="81">
        <f>SUM(I226:I234)</f>
        <v>5.46875</v>
      </c>
      <c r="J235" s="81">
        <f>SUM(J226:J234)</f>
        <v>2.854166666666667</v>
      </c>
      <c r="K235" s="81">
        <f>SUM(K226:K234)</f>
        <v>0.40625</v>
      </c>
      <c r="L235" s="84">
        <f>SUM(L226:L234)</f>
        <v>0.27083333333333331</v>
      </c>
      <c r="M235"/>
      <c r="N235"/>
      <c r="O235" s="79" t="s">
        <v>669</v>
      </c>
      <c r="P235" s="81">
        <f>SUM(P226:P234)</f>
        <v>5.666666666666667</v>
      </c>
      <c r="Q235" s="81">
        <f>SUM(Q226:Q234)</f>
        <v>3.0333333333333332</v>
      </c>
      <c r="R235" s="81">
        <f>SUM(R226:R234)</f>
        <v>0.3</v>
      </c>
      <c r="S235" s="84">
        <f>SUM(S226:S234)</f>
        <v>0</v>
      </c>
      <c r="T235"/>
      <c r="U235"/>
      <c r="V235" s="79" t="s">
        <v>669</v>
      </c>
      <c r="W235" s="81">
        <f>SUM(W226:W234)</f>
        <v>4.7777777777777786</v>
      </c>
      <c r="X235" s="81">
        <f>SUM(X226:X234)</f>
        <v>3.9629629629629628</v>
      </c>
      <c r="Y235" s="81">
        <f>SUM(Y226:Y234)</f>
        <v>0.25925925925925924</v>
      </c>
      <c r="Z235" s="84">
        <f>SUM(Z226:Z234)</f>
        <v>0</v>
      </c>
      <c r="AA235"/>
      <c r="AB235"/>
      <c r="AC235"/>
      <c r="AD235"/>
      <c r="AE235"/>
      <c r="AF235"/>
      <c r="AG235"/>
      <c r="AH235"/>
      <c r="AI235"/>
      <c r="AJ235"/>
      <c r="AK235"/>
      <c r="AL235"/>
      <c r="AM235"/>
      <c r="AN235"/>
      <c r="AO235"/>
      <c r="AP235"/>
      <c r="AQ235"/>
      <c r="AR235"/>
    </row>
    <row r="236" spans="1:44" s="118" customFormat="1" ht="15.75" thickBot="1" x14ac:dyDescent="0.3">
      <c r="A236" s="80" t="s">
        <v>670</v>
      </c>
      <c r="B236" s="82">
        <f>AVERAGE(B226:B234)</f>
        <v>0.56481481481481477</v>
      </c>
      <c r="C236" s="82">
        <f>AVERAGE(C226:C234)</f>
        <v>0.38846801346801346</v>
      </c>
      <c r="D236" s="82">
        <f>AVERAGE(D226:D234)</f>
        <v>3.5774410774410778E-2</v>
      </c>
      <c r="E236" s="85">
        <f>AVERAGE(E226:E234)</f>
        <v>1.0942760942760942E-2</v>
      </c>
      <c r="H236" s="80" t="s">
        <v>670</v>
      </c>
      <c r="I236" s="82">
        <f>AVERAGE(I226:I234)</f>
        <v>0.60763888888888884</v>
      </c>
      <c r="J236" s="82">
        <f>AVERAGE(J226:J234)</f>
        <v>0.31712962962962965</v>
      </c>
      <c r="K236" s="82">
        <f>AVERAGE(K226:K234)</f>
        <v>4.5138888888888888E-2</v>
      </c>
      <c r="L236" s="82">
        <f>AVERAGE(L226:L234)</f>
        <v>3.0092592592592591E-2</v>
      </c>
      <c r="M236"/>
      <c r="N236"/>
      <c r="O236" s="80" t="s">
        <v>670</v>
      </c>
      <c r="P236" s="82">
        <f>AVERAGE(P226:P234)</f>
        <v>0.62962962962962965</v>
      </c>
      <c r="Q236" s="82">
        <f>AVERAGE(Q226:Q234)</f>
        <v>0.33703703703703702</v>
      </c>
      <c r="R236" s="82">
        <f>AVERAGE(R226:R234)</f>
        <v>3.3333333333333333E-2</v>
      </c>
      <c r="S236" s="85">
        <f>AVERAGE(S226:S234)</f>
        <v>0</v>
      </c>
      <c r="T236"/>
      <c r="U236"/>
      <c r="V236" s="80" t="s">
        <v>670</v>
      </c>
      <c r="W236" s="82">
        <f>AVERAGE(W226:W234)</f>
        <v>0.53086419753086433</v>
      </c>
      <c r="X236" s="82">
        <f>AVERAGE(X226:X234)</f>
        <v>0.44032921810699588</v>
      </c>
      <c r="Y236" s="82">
        <f>AVERAGE(Y226:Y234)</f>
        <v>2.8806584362139915E-2</v>
      </c>
      <c r="Z236" s="85">
        <f>AVERAGE(Z226:Z234)</f>
        <v>0</v>
      </c>
      <c r="AA236"/>
      <c r="AB236"/>
      <c r="AC236"/>
      <c r="AD236"/>
      <c r="AE236"/>
      <c r="AF236"/>
      <c r="AG236"/>
      <c r="AH236"/>
      <c r="AI236"/>
      <c r="AJ236"/>
      <c r="AK236"/>
      <c r="AL236"/>
      <c r="AM236"/>
      <c r="AN236"/>
      <c r="AO236"/>
      <c r="AP236"/>
      <c r="AQ236"/>
      <c r="AR236"/>
    </row>
    <row r="237" spans="1:44" s="118" customFormat="1" ht="15.75" thickBot="1" x14ac:dyDescent="0.3">
      <c r="A237" s="119"/>
      <c r="B237" s="119"/>
      <c r="C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row>
    <row r="238" spans="1:44" s="118" customFormat="1" ht="17.25" thickBot="1" x14ac:dyDescent="0.3">
      <c r="A238" s="64" t="s">
        <v>647</v>
      </c>
      <c r="B238" s="65">
        <v>2022</v>
      </c>
      <c r="C238" s="237" t="s">
        <v>1161</v>
      </c>
      <c r="D238" s="238"/>
      <c r="E238" s="239"/>
      <c r="H238" s="64" t="s">
        <v>647</v>
      </c>
      <c r="I238" s="65">
        <v>2022</v>
      </c>
      <c r="J238" s="237" t="s">
        <v>1576</v>
      </c>
      <c r="K238" s="238"/>
      <c r="L238" s="239"/>
      <c r="M238"/>
      <c r="N238"/>
      <c r="O238" s="64" t="s">
        <v>647</v>
      </c>
      <c r="P238" s="65">
        <v>2022</v>
      </c>
      <c r="Q238" s="237" t="s">
        <v>1578</v>
      </c>
      <c r="R238" s="238"/>
      <c r="S238" s="239"/>
      <c r="T238"/>
      <c r="U238"/>
      <c r="V238" s="64" t="s">
        <v>647</v>
      </c>
      <c r="W238" s="65">
        <v>2022</v>
      </c>
      <c r="X238" s="237" t="s">
        <v>1579</v>
      </c>
      <c r="Y238" s="238"/>
      <c r="Z238" s="239"/>
      <c r="AA238"/>
      <c r="AB238"/>
      <c r="AC238"/>
      <c r="AD238"/>
      <c r="AE238"/>
      <c r="AF238"/>
      <c r="AG238"/>
      <c r="AH238"/>
      <c r="AI238"/>
      <c r="AJ238"/>
      <c r="AK238"/>
      <c r="AL238"/>
      <c r="AM238"/>
      <c r="AN238"/>
      <c r="AO238"/>
      <c r="AP238"/>
      <c r="AQ238"/>
      <c r="AR238"/>
    </row>
    <row r="239" spans="1:44" s="118" customFormat="1" ht="17.25" thickBot="1" x14ac:dyDescent="0.3">
      <c r="A239" s="69" t="s">
        <v>646</v>
      </c>
      <c r="B239" s="70">
        <f>B132</f>
        <v>35</v>
      </c>
      <c r="C239" s="240"/>
      <c r="D239" s="241"/>
      <c r="E239" s="242"/>
      <c r="H239" s="69" t="s">
        <v>646</v>
      </c>
      <c r="I239" s="70">
        <f>I132</f>
        <v>31</v>
      </c>
      <c r="J239" s="240"/>
      <c r="K239" s="241"/>
      <c r="L239" s="242"/>
      <c r="M239"/>
      <c r="N239"/>
      <c r="O239" s="69" t="s">
        <v>646</v>
      </c>
      <c r="P239" s="70">
        <f>P132</f>
        <v>3</v>
      </c>
      <c r="Q239" s="240"/>
      <c r="R239" s="241"/>
      <c r="S239" s="242"/>
      <c r="T239"/>
      <c r="U239"/>
      <c r="V239" s="69" t="s">
        <v>646</v>
      </c>
      <c r="W239" s="70">
        <f>W132</f>
        <v>1</v>
      </c>
      <c r="X239" s="240"/>
      <c r="Y239" s="241"/>
      <c r="Z239" s="242"/>
      <c r="AA239"/>
      <c r="AB239"/>
      <c r="AC239"/>
      <c r="AD239"/>
      <c r="AE239"/>
      <c r="AF239"/>
      <c r="AG239"/>
      <c r="AH239"/>
      <c r="AI239"/>
      <c r="AJ239"/>
      <c r="AK239"/>
      <c r="AL239"/>
      <c r="AM239"/>
      <c r="AN239"/>
      <c r="AO239"/>
      <c r="AP239"/>
      <c r="AQ239"/>
      <c r="AR239"/>
    </row>
    <row r="240" spans="1:44" s="118" customFormat="1" ht="27.75" customHeight="1" thickBot="1" x14ac:dyDescent="0.3">
      <c r="A240" s="222" t="s">
        <v>658</v>
      </c>
      <c r="B240" s="243" t="s">
        <v>664</v>
      </c>
      <c r="C240" s="243"/>
      <c r="D240" s="243"/>
      <c r="E240" s="243"/>
      <c r="H240" s="222" t="s">
        <v>658</v>
      </c>
      <c r="I240" s="243" t="s">
        <v>664</v>
      </c>
      <c r="J240" s="243"/>
      <c r="K240" s="243"/>
      <c r="L240" s="243"/>
      <c r="M240"/>
      <c r="N240"/>
      <c r="O240" s="222" t="s">
        <v>658</v>
      </c>
      <c r="P240" s="243" t="s">
        <v>664</v>
      </c>
      <c r="Q240" s="243"/>
      <c r="R240" s="243"/>
      <c r="S240" s="243"/>
      <c r="T240"/>
      <c r="U240"/>
      <c r="V240" s="222" t="s">
        <v>658</v>
      </c>
      <c r="W240" s="243" t="s">
        <v>664</v>
      </c>
      <c r="X240" s="243"/>
      <c r="Y240" s="243"/>
      <c r="Z240" s="243"/>
      <c r="AA240"/>
      <c r="AB240"/>
      <c r="AC240"/>
      <c r="AD240"/>
      <c r="AE240"/>
      <c r="AF240"/>
      <c r="AG240"/>
      <c r="AH240"/>
      <c r="AI240"/>
      <c r="AJ240"/>
      <c r="AK240"/>
      <c r="AL240"/>
      <c r="AM240"/>
      <c r="AN240"/>
      <c r="AO240"/>
      <c r="AP240"/>
      <c r="AQ240"/>
      <c r="AR240"/>
    </row>
    <row r="241" spans="1:44" s="118" customFormat="1" ht="15.75" thickBot="1" x14ac:dyDescent="0.3">
      <c r="A241" s="222"/>
      <c r="B241" s="72" t="s">
        <v>645</v>
      </c>
      <c r="C241" s="72" t="s">
        <v>665</v>
      </c>
      <c r="D241" s="72" t="s">
        <v>666</v>
      </c>
      <c r="E241" s="72" t="s">
        <v>667</v>
      </c>
      <c r="H241" s="222"/>
      <c r="I241" s="72" t="s">
        <v>645</v>
      </c>
      <c r="J241" s="72" t="s">
        <v>665</v>
      </c>
      <c r="K241" s="72" t="s">
        <v>666</v>
      </c>
      <c r="L241" s="72" t="s">
        <v>667</v>
      </c>
      <c r="M241"/>
      <c r="N241"/>
      <c r="O241" s="222"/>
      <c r="P241" s="72" t="s">
        <v>645</v>
      </c>
      <c r="Q241" s="72" t="s">
        <v>665</v>
      </c>
      <c r="R241" s="72" t="s">
        <v>666</v>
      </c>
      <c r="S241" s="72" t="s">
        <v>667</v>
      </c>
      <c r="T241"/>
      <c r="U241"/>
      <c r="V241" s="222"/>
      <c r="W241" s="72" t="s">
        <v>645</v>
      </c>
      <c r="X241" s="72" t="s">
        <v>665</v>
      </c>
      <c r="Y241" s="72" t="s">
        <v>666</v>
      </c>
      <c r="Z241" s="72" t="s">
        <v>667</v>
      </c>
      <c r="AA241"/>
      <c r="AB241"/>
      <c r="AC241"/>
      <c r="AD241"/>
      <c r="AE241"/>
      <c r="AF241"/>
      <c r="AG241"/>
      <c r="AH241"/>
      <c r="AI241"/>
      <c r="AJ241"/>
      <c r="AK241"/>
      <c r="AL241"/>
      <c r="AM241"/>
      <c r="AN241"/>
      <c r="AO241"/>
      <c r="AP241"/>
      <c r="AQ241"/>
      <c r="AR241"/>
    </row>
    <row r="242" spans="1:44" s="118" customFormat="1" x14ac:dyDescent="0.25">
      <c r="A242" s="73">
        <v>2</v>
      </c>
      <c r="B242" s="71">
        <v>3</v>
      </c>
      <c r="C242" s="71">
        <v>4</v>
      </c>
      <c r="D242" s="71">
        <v>5</v>
      </c>
      <c r="E242" s="74">
        <v>6</v>
      </c>
      <c r="H242" s="73">
        <v>2</v>
      </c>
      <c r="I242" s="71">
        <v>3</v>
      </c>
      <c r="J242" s="71">
        <v>4</v>
      </c>
      <c r="K242" s="71">
        <v>5</v>
      </c>
      <c r="L242" s="74">
        <v>6</v>
      </c>
      <c r="M242"/>
      <c r="N242"/>
      <c r="O242" s="73">
        <v>2</v>
      </c>
      <c r="P242" s="71">
        <v>3</v>
      </c>
      <c r="Q242" s="71">
        <v>4</v>
      </c>
      <c r="R242" s="71">
        <v>5</v>
      </c>
      <c r="S242" s="74">
        <v>6</v>
      </c>
      <c r="T242"/>
      <c r="U242"/>
      <c r="V242" s="73">
        <v>2</v>
      </c>
      <c r="W242" s="71">
        <v>3</v>
      </c>
      <c r="X242" s="71">
        <v>4</v>
      </c>
      <c r="Y242" s="71">
        <v>5</v>
      </c>
      <c r="Z242" s="74">
        <v>6</v>
      </c>
      <c r="AA242"/>
      <c r="AB242"/>
      <c r="AC242"/>
      <c r="AD242"/>
      <c r="AE242"/>
      <c r="AF242"/>
      <c r="AG242"/>
      <c r="AH242"/>
      <c r="AI242"/>
      <c r="AJ242"/>
      <c r="AK242"/>
      <c r="AL242"/>
      <c r="AM242"/>
      <c r="AN242"/>
      <c r="AO242"/>
      <c r="AP242"/>
      <c r="AQ242"/>
      <c r="AR242"/>
    </row>
    <row r="243" spans="1:44" s="118" customFormat="1" x14ac:dyDescent="0.25">
      <c r="A243" s="75" t="s">
        <v>1442</v>
      </c>
      <c r="B243" s="58">
        <f>B139</f>
        <v>0.51428571428571435</v>
      </c>
      <c r="C243" s="58">
        <f>C139</f>
        <v>0.46857142857142858</v>
      </c>
      <c r="D243" s="58">
        <f>D139</f>
        <v>1.7142857142857144E-2</v>
      </c>
      <c r="E243" s="58">
        <f>E139</f>
        <v>0</v>
      </c>
      <c r="H243" s="75" t="s">
        <v>1442</v>
      </c>
      <c r="I243" s="58">
        <f>I139</f>
        <v>0.50322580645161286</v>
      </c>
      <c r="J243" s="58">
        <f>J139</f>
        <v>0.47741935483870968</v>
      </c>
      <c r="K243" s="58">
        <f>K139</f>
        <v>1.935483870967742E-2</v>
      </c>
      <c r="L243" s="58">
        <f>L139</f>
        <v>0</v>
      </c>
      <c r="M243"/>
      <c r="N243"/>
      <c r="O243" s="75" t="s">
        <v>1442</v>
      </c>
      <c r="P243" s="58">
        <f>P139</f>
        <v>0.66666666666666663</v>
      </c>
      <c r="Q243" s="58">
        <f>Q139</f>
        <v>0.33333333333333331</v>
      </c>
      <c r="R243" s="58">
        <f>R139</f>
        <v>0</v>
      </c>
      <c r="S243" s="58">
        <f>S139</f>
        <v>0</v>
      </c>
      <c r="T243"/>
      <c r="U243"/>
      <c r="V243" s="75" t="s">
        <v>1442</v>
      </c>
      <c r="W243" s="58">
        <f>W139</f>
        <v>0.4</v>
      </c>
      <c r="X243" s="58">
        <f>X139</f>
        <v>0.6</v>
      </c>
      <c r="Y243" s="58">
        <f>Y139</f>
        <v>0</v>
      </c>
      <c r="Z243" s="58">
        <f>Z139</f>
        <v>0</v>
      </c>
      <c r="AA243"/>
      <c r="AB243"/>
      <c r="AC243"/>
      <c r="AD243"/>
      <c r="AE243"/>
      <c r="AF243"/>
      <c r="AG243"/>
      <c r="AH243"/>
      <c r="AI243"/>
      <c r="AJ243"/>
      <c r="AK243"/>
      <c r="AL243"/>
      <c r="AM243"/>
      <c r="AN243"/>
      <c r="AO243"/>
      <c r="AP243"/>
      <c r="AQ243"/>
      <c r="AR243"/>
    </row>
    <row r="244" spans="1:44" s="118" customFormat="1" x14ac:dyDescent="0.25">
      <c r="A244" s="75" t="s">
        <v>1443</v>
      </c>
      <c r="B244" s="58">
        <f>B142</f>
        <v>0.64285714285714279</v>
      </c>
      <c r="C244" s="58">
        <f>C142</f>
        <v>0.3571428571428571</v>
      </c>
      <c r="D244" s="58">
        <f>D142</f>
        <v>0</v>
      </c>
      <c r="E244" s="58">
        <f>E142</f>
        <v>0</v>
      </c>
      <c r="H244" s="75" t="s">
        <v>1443</v>
      </c>
      <c r="I244" s="58">
        <f>I142</f>
        <v>0.64516129032258074</v>
      </c>
      <c r="J244" s="58">
        <f>J142</f>
        <v>0.35483870967741937</v>
      </c>
      <c r="K244" s="58">
        <f>K142</f>
        <v>0</v>
      </c>
      <c r="L244" s="58">
        <f>L142</f>
        <v>0</v>
      </c>
      <c r="M244"/>
      <c r="N244"/>
      <c r="O244" s="75" t="s">
        <v>1443</v>
      </c>
      <c r="P244" s="58">
        <f>P142</f>
        <v>0.66666666666666663</v>
      </c>
      <c r="Q244" s="58">
        <f>Q142</f>
        <v>0.33333333333333331</v>
      </c>
      <c r="R244" s="58">
        <f>R142</f>
        <v>0</v>
      </c>
      <c r="S244" s="58">
        <f>S142</f>
        <v>0</v>
      </c>
      <c r="T244"/>
      <c r="U244"/>
      <c r="V244" s="75" t="s">
        <v>1443</v>
      </c>
      <c r="W244" s="58">
        <f>W142</f>
        <v>0.5</v>
      </c>
      <c r="X244" s="58">
        <f>X142</f>
        <v>0.5</v>
      </c>
      <c r="Y244" s="58">
        <f>Y142</f>
        <v>0</v>
      </c>
      <c r="Z244" s="58">
        <f>Z142</f>
        <v>0</v>
      </c>
      <c r="AA244"/>
      <c r="AB244"/>
      <c r="AC244"/>
      <c r="AD244"/>
      <c r="AE244"/>
      <c r="AF244"/>
      <c r="AG244"/>
      <c r="AH244"/>
      <c r="AI244"/>
      <c r="AJ244"/>
      <c r="AK244"/>
      <c r="AL244"/>
      <c r="AM244"/>
      <c r="AN244"/>
      <c r="AO244"/>
      <c r="AP244"/>
      <c r="AQ244"/>
      <c r="AR244"/>
    </row>
    <row r="245" spans="1:44" s="118" customFormat="1" x14ac:dyDescent="0.25">
      <c r="A245" s="75" t="s">
        <v>661</v>
      </c>
      <c r="B245" s="58">
        <f>B145</f>
        <v>0.32857142857142857</v>
      </c>
      <c r="C245" s="58">
        <f>C145</f>
        <v>0.55714285714285716</v>
      </c>
      <c r="D245" s="58">
        <f>D145</f>
        <v>0.11428571428571428</v>
      </c>
      <c r="E245" s="58">
        <f>E145</f>
        <v>0</v>
      </c>
      <c r="H245" s="75" t="s">
        <v>661</v>
      </c>
      <c r="I245" s="58">
        <f>I145</f>
        <v>0.32258064516129031</v>
      </c>
      <c r="J245" s="58">
        <f>J145</f>
        <v>0.56451612903225801</v>
      </c>
      <c r="K245" s="58">
        <f>K145</f>
        <v>0.11290322580645161</v>
      </c>
      <c r="L245" s="58">
        <f>L145</f>
        <v>0</v>
      </c>
      <c r="M245"/>
      <c r="N245"/>
      <c r="O245" s="75" t="s">
        <v>661</v>
      </c>
      <c r="P245" s="58">
        <f>P145</f>
        <v>0.16666666666666666</v>
      </c>
      <c r="Q245" s="58">
        <f>Q145</f>
        <v>0.66666666666666663</v>
      </c>
      <c r="R245" s="58">
        <f>R145</f>
        <v>0.16666666666666666</v>
      </c>
      <c r="S245" s="58">
        <f>S145</f>
        <v>0</v>
      </c>
      <c r="T245"/>
      <c r="U245"/>
      <c r="V245" s="75" t="s">
        <v>661</v>
      </c>
      <c r="W245" s="58">
        <f>W145</f>
        <v>1</v>
      </c>
      <c r="X245" s="58">
        <f>X145</f>
        <v>0</v>
      </c>
      <c r="Y245" s="58">
        <f>Y145</f>
        <v>0</v>
      </c>
      <c r="Z245" s="58">
        <f>Z145</f>
        <v>0</v>
      </c>
      <c r="AA245"/>
      <c r="AB245"/>
      <c r="AC245"/>
      <c r="AD245"/>
      <c r="AE245"/>
      <c r="AF245"/>
      <c r="AG245"/>
      <c r="AH245"/>
      <c r="AI245"/>
      <c r="AJ245"/>
      <c r="AK245"/>
      <c r="AL245"/>
      <c r="AM245"/>
      <c r="AN245"/>
      <c r="AO245"/>
      <c r="AP245"/>
      <c r="AQ245"/>
      <c r="AR245"/>
    </row>
    <row r="246" spans="1:44" s="118" customFormat="1" x14ac:dyDescent="0.25">
      <c r="A246" s="75" t="s">
        <v>1444</v>
      </c>
      <c r="B246" s="58">
        <f>B149</f>
        <v>0.6</v>
      </c>
      <c r="C246" s="58">
        <f>C149</f>
        <v>0.40000000000000008</v>
      </c>
      <c r="D246" s="58">
        <f>D149</f>
        <v>0</v>
      </c>
      <c r="E246" s="58">
        <f>E149</f>
        <v>0</v>
      </c>
      <c r="H246" s="75" t="s">
        <v>1444</v>
      </c>
      <c r="I246" s="58">
        <f>I149</f>
        <v>0.60215053763440862</v>
      </c>
      <c r="J246" s="58">
        <f>J149</f>
        <v>0.39784946236559143</v>
      </c>
      <c r="K246" s="58">
        <f>K149</f>
        <v>0</v>
      </c>
      <c r="L246" s="58">
        <f>L149</f>
        <v>0</v>
      </c>
      <c r="M246"/>
      <c r="N246"/>
      <c r="O246" s="75" t="s">
        <v>1444</v>
      </c>
      <c r="P246" s="58">
        <f>P149</f>
        <v>0.66666666666666663</v>
      </c>
      <c r="Q246" s="58">
        <f>Q149</f>
        <v>0.33333333333333331</v>
      </c>
      <c r="R246" s="58">
        <f>R149</f>
        <v>0</v>
      </c>
      <c r="S246" s="58">
        <f>S149</f>
        <v>0</v>
      </c>
      <c r="T246"/>
      <c r="U246"/>
      <c r="V246" s="75" t="s">
        <v>1444</v>
      </c>
      <c r="W246" s="58">
        <f>W149</f>
        <v>0.33333333333333331</v>
      </c>
      <c r="X246" s="58">
        <f>X149</f>
        <v>0.66666666666666663</v>
      </c>
      <c r="Y246" s="58">
        <f>Y149</f>
        <v>0</v>
      </c>
      <c r="Z246" s="58">
        <f>Z149</f>
        <v>0</v>
      </c>
      <c r="AA246"/>
      <c r="AB246"/>
      <c r="AC246"/>
      <c r="AD246"/>
      <c r="AE246"/>
      <c r="AF246"/>
      <c r="AG246"/>
      <c r="AH246"/>
      <c r="AI246"/>
      <c r="AJ246"/>
      <c r="AK246"/>
      <c r="AL246"/>
      <c r="AM246"/>
      <c r="AN246"/>
      <c r="AO246"/>
      <c r="AP246"/>
      <c r="AQ246"/>
      <c r="AR246"/>
    </row>
    <row r="247" spans="1:44" s="118" customFormat="1" x14ac:dyDescent="0.25">
      <c r="A247" s="75" t="s">
        <v>663</v>
      </c>
      <c r="B247" s="58">
        <f>B153</f>
        <v>0.37142857142857144</v>
      </c>
      <c r="C247" s="58">
        <f>C153</f>
        <v>0.49523809523809526</v>
      </c>
      <c r="D247" s="58">
        <f>D153</f>
        <v>0.13333333333333333</v>
      </c>
      <c r="E247" s="58">
        <f>E153</f>
        <v>0</v>
      </c>
      <c r="H247" s="75" t="s">
        <v>663</v>
      </c>
      <c r="I247" s="58">
        <f>I153</f>
        <v>0.39784946236559132</v>
      </c>
      <c r="J247" s="58">
        <f>J153</f>
        <v>0.4838709677419355</v>
      </c>
      <c r="K247" s="58">
        <f>K153</f>
        <v>0.11827956989247312</v>
      </c>
      <c r="L247" s="58">
        <f>L153</f>
        <v>0</v>
      </c>
      <c r="M247"/>
      <c r="N247"/>
      <c r="O247" s="75" t="s">
        <v>663</v>
      </c>
      <c r="P247" s="58">
        <f>P153</f>
        <v>0.22222222222222221</v>
      </c>
      <c r="Q247" s="58">
        <f>Q153</f>
        <v>0.55555555555555547</v>
      </c>
      <c r="R247" s="58">
        <f>R153</f>
        <v>0.22222222222222221</v>
      </c>
      <c r="S247" s="58">
        <f>S153</f>
        <v>0</v>
      </c>
      <c r="T247"/>
      <c r="U247"/>
      <c r="V247" s="75" t="s">
        <v>663</v>
      </c>
      <c r="W247" s="58">
        <f>W153</f>
        <v>0</v>
      </c>
      <c r="X247" s="58">
        <f>X153</f>
        <v>0.66666666666666663</v>
      </c>
      <c r="Y247" s="58">
        <f>Y153</f>
        <v>0.33333333333333331</v>
      </c>
      <c r="Z247" s="58">
        <f>Z153</f>
        <v>0</v>
      </c>
      <c r="AA247"/>
      <c r="AB247"/>
      <c r="AC247"/>
      <c r="AD247"/>
      <c r="AE247"/>
      <c r="AF247"/>
      <c r="AG247"/>
      <c r="AH247"/>
      <c r="AI247"/>
      <c r="AJ247"/>
      <c r="AK247"/>
      <c r="AL247"/>
      <c r="AM247"/>
      <c r="AN247"/>
      <c r="AO247"/>
      <c r="AP247"/>
      <c r="AQ247"/>
      <c r="AR247"/>
    </row>
    <row r="248" spans="1:44" s="118" customFormat="1" x14ac:dyDescent="0.25">
      <c r="A248" s="75" t="s">
        <v>1441</v>
      </c>
      <c r="B248" s="58">
        <f>B157</f>
        <v>0.44761904761904764</v>
      </c>
      <c r="C248" s="58">
        <f>C157</f>
        <v>0.55238095238095231</v>
      </c>
      <c r="D248" s="58">
        <f>D157</f>
        <v>0</v>
      </c>
      <c r="E248" s="58">
        <f>E157</f>
        <v>0</v>
      </c>
      <c r="H248" s="75" t="s">
        <v>1441</v>
      </c>
      <c r="I248" s="58">
        <f>I157</f>
        <v>0.5053763440860215</v>
      </c>
      <c r="J248" s="58">
        <f>J157</f>
        <v>0.4946236559139785</v>
      </c>
      <c r="K248" s="58">
        <f>K157</f>
        <v>0</v>
      </c>
      <c r="L248" s="58">
        <f>L157</f>
        <v>0</v>
      </c>
      <c r="M248"/>
      <c r="N248"/>
      <c r="O248" s="75" t="s">
        <v>1441</v>
      </c>
      <c r="P248" s="58">
        <f>P157</f>
        <v>0</v>
      </c>
      <c r="Q248" s="58">
        <f>Q157</f>
        <v>1</v>
      </c>
      <c r="R248" s="58">
        <f>R157</f>
        <v>0</v>
      </c>
      <c r="S248" s="58">
        <f>S157</f>
        <v>0</v>
      </c>
      <c r="T248"/>
      <c r="U248"/>
      <c r="V248" s="75" t="s">
        <v>1441</v>
      </c>
      <c r="W248" s="58">
        <f>W157</f>
        <v>0</v>
      </c>
      <c r="X248" s="58">
        <f>X157</f>
        <v>1</v>
      </c>
      <c r="Y248" s="58">
        <f>Y157</f>
        <v>0</v>
      </c>
      <c r="Z248" s="58">
        <f>Z157</f>
        <v>0</v>
      </c>
      <c r="AA248"/>
      <c r="AB248"/>
      <c r="AC248"/>
      <c r="AD248"/>
      <c r="AE248"/>
      <c r="AF248"/>
      <c r="AG248"/>
      <c r="AH248"/>
      <c r="AI248"/>
      <c r="AJ248"/>
      <c r="AK248"/>
      <c r="AL248"/>
      <c r="AM248"/>
      <c r="AN248"/>
      <c r="AO248"/>
      <c r="AP248"/>
      <c r="AQ248"/>
      <c r="AR248"/>
    </row>
    <row r="249" spans="1:44" s="118" customFormat="1" x14ac:dyDescent="0.25">
      <c r="A249" s="75" t="s">
        <v>91</v>
      </c>
      <c r="B249" s="58">
        <f>B162</f>
        <v>0.38571428571428568</v>
      </c>
      <c r="C249" s="58">
        <f>C162</f>
        <v>0.55714285714285716</v>
      </c>
      <c r="D249" s="58">
        <f>D162</f>
        <v>5.7142857142857141E-2</v>
      </c>
      <c r="E249" s="58">
        <f>E162</f>
        <v>0</v>
      </c>
      <c r="H249" s="75" t="s">
        <v>91</v>
      </c>
      <c r="I249" s="58">
        <f>I162</f>
        <v>0.37096774193548387</v>
      </c>
      <c r="J249" s="58">
        <f>J162</f>
        <v>0.58870967741935487</v>
      </c>
      <c r="K249" s="58">
        <f>K162</f>
        <v>4.0322580645161289E-2</v>
      </c>
      <c r="L249" s="58">
        <f>L162</f>
        <v>0</v>
      </c>
      <c r="M249"/>
      <c r="N249"/>
      <c r="O249" s="75" t="s">
        <v>91</v>
      </c>
      <c r="P249" s="58">
        <f>P162</f>
        <v>0.5</v>
      </c>
      <c r="Q249" s="58">
        <f>Q162</f>
        <v>0.33333333333333331</v>
      </c>
      <c r="R249" s="58">
        <f>R162</f>
        <v>0.16666666666666666</v>
      </c>
      <c r="S249" s="58">
        <f>S162</f>
        <v>0</v>
      </c>
      <c r="T249"/>
      <c r="U249"/>
      <c r="V249" s="75" t="s">
        <v>91</v>
      </c>
      <c r="W249" s="58">
        <f>W162</f>
        <v>0.5</v>
      </c>
      <c r="X249" s="58">
        <f>X162</f>
        <v>0.25</v>
      </c>
      <c r="Y249" s="58">
        <f>Y162</f>
        <v>0.25</v>
      </c>
      <c r="Z249" s="58">
        <f>Z162</f>
        <v>0</v>
      </c>
      <c r="AA249"/>
      <c r="AB249"/>
      <c r="AC249"/>
      <c r="AD249"/>
      <c r="AE249"/>
      <c r="AF249"/>
      <c r="AG249"/>
      <c r="AH249"/>
      <c r="AI249"/>
      <c r="AJ249"/>
      <c r="AK249"/>
      <c r="AL249"/>
      <c r="AM249"/>
      <c r="AN249"/>
      <c r="AO249"/>
      <c r="AP249"/>
      <c r="AQ249"/>
      <c r="AR249"/>
    </row>
    <row r="250" spans="1:44" s="118" customFormat="1" x14ac:dyDescent="0.25">
      <c r="A250" s="75" t="s">
        <v>1431</v>
      </c>
      <c r="B250" s="58">
        <f>B168</f>
        <v>0.49142857142857144</v>
      </c>
      <c r="C250" s="58">
        <f>C168</f>
        <v>0.46285714285714291</v>
      </c>
      <c r="D250" s="58">
        <f>D168</f>
        <v>2.8571428571428571E-2</v>
      </c>
      <c r="E250" s="58">
        <f>E168</f>
        <v>1.7142857142857144E-2</v>
      </c>
      <c r="H250" s="75" t="s">
        <v>1431</v>
      </c>
      <c r="I250" s="58">
        <f>I168</f>
        <v>0.47741935483870968</v>
      </c>
      <c r="J250" s="58">
        <f>J168</f>
        <v>0.4709677419354838</v>
      </c>
      <c r="K250" s="58">
        <f>K168</f>
        <v>3.2258064516129031E-2</v>
      </c>
      <c r="L250" s="58">
        <f>L168</f>
        <v>1.935483870967742E-2</v>
      </c>
      <c r="M250"/>
      <c r="N250"/>
      <c r="O250" s="75" t="s">
        <v>1431</v>
      </c>
      <c r="P250" s="58">
        <f>P168</f>
        <v>0.6</v>
      </c>
      <c r="Q250" s="58">
        <f>Q168</f>
        <v>0.4</v>
      </c>
      <c r="R250" s="58">
        <f>R168</f>
        <v>0</v>
      </c>
      <c r="S250" s="58">
        <f>S168</f>
        <v>0</v>
      </c>
      <c r="T250"/>
      <c r="U250"/>
      <c r="V250" s="75" t="s">
        <v>1431</v>
      </c>
      <c r="W250" s="58">
        <f>W168</f>
        <v>0.6</v>
      </c>
      <c r="X250" s="58">
        <f>X168</f>
        <v>0.4</v>
      </c>
      <c r="Y250" s="58">
        <f>Y168</f>
        <v>0</v>
      </c>
      <c r="Z250" s="58">
        <f>Z168</f>
        <v>0</v>
      </c>
      <c r="AA250"/>
      <c r="AB250"/>
      <c r="AC250"/>
      <c r="AD250"/>
      <c r="AE250"/>
      <c r="AF250"/>
      <c r="AG250"/>
      <c r="AH250"/>
      <c r="AI250"/>
      <c r="AJ250"/>
      <c r="AK250"/>
      <c r="AL250"/>
      <c r="AM250"/>
      <c r="AN250"/>
      <c r="AO250"/>
      <c r="AP250"/>
      <c r="AQ250"/>
      <c r="AR250"/>
    </row>
    <row r="251" spans="1:44" s="118" customFormat="1" ht="15.75" thickBot="1" x14ac:dyDescent="0.3">
      <c r="A251" s="76" t="s">
        <v>1432</v>
      </c>
      <c r="B251" s="77">
        <f>B173</f>
        <v>0.25714285714285712</v>
      </c>
      <c r="C251" s="77">
        <f>C173</f>
        <v>0.60000000000000009</v>
      </c>
      <c r="D251" s="77">
        <f>D173</f>
        <v>0.12142857142857143</v>
      </c>
      <c r="E251" s="77">
        <f>E173</f>
        <v>2.1428571428571429E-2</v>
      </c>
      <c r="H251" s="76" t="s">
        <v>1432</v>
      </c>
      <c r="I251" s="77">
        <f>I173</f>
        <v>0.28225806451612906</v>
      </c>
      <c r="J251" s="77">
        <f>J173</f>
        <v>0.58064516129032251</v>
      </c>
      <c r="K251" s="77">
        <f>K173</f>
        <v>0.11290322580645161</v>
      </c>
      <c r="L251" s="77">
        <f>L173</f>
        <v>2.4193548387096774E-2</v>
      </c>
      <c r="M251"/>
      <c r="N251"/>
      <c r="O251" s="76" t="s">
        <v>1432</v>
      </c>
      <c r="P251" s="77">
        <f>P173</f>
        <v>8.3333333333333329E-2</v>
      </c>
      <c r="Q251" s="77">
        <f>Q173</f>
        <v>0.66666666666666663</v>
      </c>
      <c r="R251" s="77">
        <f>R173</f>
        <v>0.25</v>
      </c>
      <c r="S251" s="77">
        <f>S173</f>
        <v>0</v>
      </c>
      <c r="T251"/>
      <c r="U251"/>
      <c r="V251" s="76" t="s">
        <v>1432</v>
      </c>
      <c r="W251" s="77">
        <f>W173</f>
        <v>0</v>
      </c>
      <c r="X251" s="77">
        <f>X173</f>
        <v>1</v>
      </c>
      <c r="Y251" s="77">
        <f>Y173</f>
        <v>0</v>
      </c>
      <c r="Z251" s="77">
        <f>Z173</f>
        <v>0</v>
      </c>
      <c r="AA251"/>
      <c r="AB251"/>
      <c r="AC251"/>
      <c r="AD251"/>
      <c r="AE251"/>
      <c r="AF251"/>
      <c r="AG251"/>
      <c r="AH251"/>
      <c r="AI251"/>
      <c r="AJ251"/>
      <c r="AK251"/>
      <c r="AL251"/>
      <c r="AM251"/>
      <c r="AN251"/>
      <c r="AO251"/>
      <c r="AP251"/>
      <c r="AQ251"/>
      <c r="AR251"/>
    </row>
    <row r="252" spans="1:44" s="118" customFormat="1" x14ac:dyDescent="0.25">
      <c r="A252" s="79" t="s">
        <v>669</v>
      </c>
      <c r="B252" s="81">
        <f>SUM(B243:B251)</f>
        <v>4.0390476190476186</v>
      </c>
      <c r="C252" s="81">
        <f>SUM(C243:C251)</f>
        <v>4.4504761904761905</v>
      </c>
      <c r="D252" s="81">
        <f>SUM(D243:D251)</f>
        <v>0.47190476190476194</v>
      </c>
      <c r="E252" s="84">
        <f>SUM(E243:E251)</f>
        <v>3.8571428571428576E-2</v>
      </c>
      <c r="H252" s="79" t="s">
        <v>669</v>
      </c>
      <c r="I252" s="81">
        <f>SUM(I243:I251)</f>
        <v>4.1069892473118284</v>
      </c>
      <c r="J252" s="81">
        <f>SUM(J243:J251)</f>
        <v>4.4134408602150534</v>
      </c>
      <c r="K252" s="81">
        <f>SUM(K243:K251)</f>
        <v>0.4360215053763441</v>
      </c>
      <c r="L252" s="84">
        <f>SUM(L243:L251)</f>
        <v>4.3548387096774194E-2</v>
      </c>
      <c r="M252"/>
      <c r="N252"/>
      <c r="O252" s="79" t="s">
        <v>669</v>
      </c>
      <c r="P252" s="81">
        <f>SUM(P243:P251)</f>
        <v>3.5722222222222224</v>
      </c>
      <c r="Q252" s="81">
        <f>SUM(Q243:Q251)</f>
        <v>4.6222222222222218</v>
      </c>
      <c r="R252" s="81">
        <f>SUM(R243:R251)</f>
        <v>0.80555555555555547</v>
      </c>
      <c r="S252" s="84">
        <f>SUM(S243:S251)</f>
        <v>0</v>
      </c>
      <c r="T252"/>
      <c r="U252"/>
      <c r="V252" s="79" t="s">
        <v>669</v>
      </c>
      <c r="W252" s="81">
        <f>SUM(W243:W251)</f>
        <v>3.3333333333333335</v>
      </c>
      <c r="X252" s="81">
        <f>SUM(X243:X251)</f>
        <v>5.083333333333333</v>
      </c>
      <c r="Y252" s="81">
        <f>SUM(Y243:Y251)</f>
        <v>0.58333333333333326</v>
      </c>
      <c r="Z252" s="84">
        <f>SUM(Z243:Z251)</f>
        <v>0</v>
      </c>
      <c r="AA252"/>
      <c r="AB252"/>
      <c r="AC252"/>
      <c r="AD252"/>
      <c r="AE252"/>
      <c r="AF252"/>
      <c r="AG252"/>
      <c r="AH252"/>
      <c r="AI252"/>
      <c r="AJ252"/>
      <c r="AK252"/>
      <c r="AL252"/>
      <c r="AM252"/>
      <c r="AN252"/>
      <c r="AO252"/>
      <c r="AP252"/>
      <c r="AQ252"/>
      <c r="AR252"/>
    </row>
    <row r="253" spans="1:44" s="118" customFormat="1" ht="15.75" thickBot="1" x14ac:dyDescent="0.3">
      <c r="A253" s="80" t="s">
        <v>670</v>
      </c>
      <c r="B253" s="82">
        <f>AVERAGE(B243:B251)</f>
        <v>0.44878306878306873</v>
      </c>
      <c r="C253" s="82">
        <f>AVERAGE(C243:C251)</f>
        <v>0.49449735449735449</v>
      </c>
      <c r="D253" s="82">
        <f>AVERAGE(D243:D251)</f>
        <v>5.2433862433862437E-2</v>
      </c>
      <c r="E253" s="85">
        <f>AVERAGE(E243:E251)</f>
        <v>4.2857142857142859E-3</v>
      </c>
      <c r="H253" s="80" t="s">
        <v>670</v>
      </c>
      <c r="I253" s="82">
        <f>AVERAGE(I243:I251)</f>
        <v>0.45633213859020316</v>
      </c>
      <c r="J253" s="82">
        <f>AVERAGE(J243:J251)</f>
        <v>0.49038231780167263</v>
      </c>
      <c r="K253" s="82">
        <f>AVERAGE(K243:K251)</f>
        <v>4.8446833930704897E-2</v>
      </c>
      <c r="L253" s="82">
        <f>AVERAGE(L243:L251)</f>
        <v>4.8387096774193551E-3</v>
      </c>
      <c r="M253"/>
      <c r="N253"/>
      <c r="O253" s="80" t="s">
        <v>670</v>
      </c>
      <c r="P253" s="82">
        <f>AVERAGE(P243:P251)</f>
        <v>0.39691358024691359</v>
      </c>
      <c r="Q253" s="82">
        <f>AVERAGE(Q243:Q251)</f>
        <v>0.51358024691358017</v>
      </c>
      <c r="R253" s="82">
        <f>AVERAGE(R243:R251)</f>
        <v>8.9506172839506168E-2</v>
      </c>
      <c r="S253" s="85">
        <f>AVERAGE(S243:S251)</f>
        <v>0</v>
      </c>
      <c r="T253"/>
      <c r="U253"/>
      <c r="V253" s="80" t="s">
        <v>670</v>
      </c>
      <c r="W253" s="82">
        <f>AVERAGE(W243:W251)</f>
        <v>0.37037037037037041</v>
      </c>
      <c r="X253" s="82">
        <f>AVERAGE(X243:X251)</f>
        <v>0.56481481481481477</v>
      </c>
      <c r="Y253" s="82">
        <f>AVERAGE(Y243:Y251)</f>
        <v>6.4814814814814811E-2</v>
      </c>
      <c r="Z253" s="85">
        <f>AVERAGE(Z243:Z251)</f>
        <v>0</v>
      </c>
      <c r="AA253"/>
      <c r="AB253"/>
      <c r="AC253"/>
      <c r="AD253"/>
      <c r="AE253"/>
      <c r="AF253"/>
      <c r="AG253"/>
      <c r="AH253"/>
      <c r="AI253"/>
      <c r="AJ253"/>
      <c r="AK253"/>
      <c r="AL253"/>
      <c r="AM253"/>
      <c r="AN253"/>
      <c r="AO253"/>
      <c r="AP253"/>
      <c r="AQ253"/>
      <c r="AR253"/>
    </row>
    <row r="254" spans="1:44" s="118" customFormat="1" ht="15.75" thickBot="1" x14ac:dyDescent="0.3">
      <c r="A254" s="119"/>
      <c r="B254" s="119"/>
      <c r="C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row>
    <row r="255" spans="1:44" s="118" customFormat="1" ht="17.25" thickBot="1" x14ac:dyDescent="0.3">
      <c r="A255" s="64" t="s">
        <v>647</v>
      </c>
      <c r="B255" s="65">
        <v>2022</v>
      </c>
      <c r="C255" s="237" t="s">
        <v>1185</v>
      </c>
      <c r="D255" s="238"/>
      <c r="E255" s="239"/>
      <c r="H255" s="64" t="s">
        <v>647</v>
      </c>
      <c r="I255" s="65">
        <v>2022</v>
      </c>
      <c r="J255" s="237" t="s">
        <v>1357</v>
      </c>
      <c r="K255" s="238"/>
      <c r="L255" s="239"/>
      <c r="M255"/>
      <c r="N255"/>
      <c r="O255" s="64" t="s">
        <v>647</v>
      </c>
      <c r="P255" s="65">
        <v>2022</v>
      </c>
      <c r="Q255" s="237" t="s">
        <v>1577</v>
      </c>
      <c r="R255" s="238"/>
      <c r="S255" s="239"/>
      <c r="T255"/>
      <c r="U255"/>
      <c r="V255" s="64" t="s">
        <v>647</v>
      </c>
      <c r="W255" s="65">
        <v>2022</v>
      </c>
      <c r="X255" s="237" t="s">
        <v>67</v>
      </c>
      <c r="Y255" s="238"/>
      <c r="Z255" s="239"/>
      <c r="AA255"/>
      <c r="AB255"/>
      <c r="AC255"/>
      <c r="AD255"/>
      <c r="AE255"/>
      <c r="AF255"/>
      <c r="AG255"/>
      <c r="AH255"/>
      <c r="AI255"/>
      <c r="AJ255"/>
      <c r="AK255"/>
      <c r="AL255"/>
      <c r="AM255"/>
      <c r="AN255"/>
      <c r="AO255"/>
      <c r="AP255"/>
      <c r="AQ255"/>
      <c r="AR255"/>
    </row>
    <row r="256" spans="1:44" s="118" customFormat="1" ht="17.25" thickBot="1" x14ac:dyDescent="0.3">
      <c r="A256" s="69" t="s">
        <v>646</v>
      </c>
      <c r="B256" s="70">
        <f>B177</f>
        <v>5</v>
      </c>
      <c r="C256" s="240"/>
      <c r="D256" s="241"/>
      <c r="E256" s="242"/>
      <c r="H256" s="69" t="s">
        <v>646</v>
      </c>
      <c r="I256" s="70">
        <f>I177</f>
        <v>1</v>
      </c>
      <c r="J256" s="240"/>
      <c r="K256" s="241"/>
      <c r="L256" s="242"/>
      <c r="M256"/>
      <c r="N256"/>
      <c r="O256" s="69" t="s">
        <v>646</v>
      </c>
      <c r="P256" s="70">
        <f>P177</f>
        <v>3</v>
      </c>
      <c r="Q256" s="240"/>
      <c r="R256" s="241"/>
      <c r="S256" s="242"/>
      <c r="T256"/>
      <c r="U256"/>
      <c r="V256" s="69" t="s">
        <v>646</v>
      </c>
      <c r="W256" s="70">
        <f>W177</f>
        <v>1</v>
      </c>
      <c r="X256" s="240"/>
      <c r="Y256" s="241"/>
      <c r="Z256" s="242"/>
      <c r="AA256"/>
      <c r="AB256"/>
      <c r="AC256"/>
      <c r="AD256"/>
      <c r="AE256"/>
      <c r="AF256"/>
      <c r="AG256"/>
      <c r="AH256"/>
      <c r="AI256"/>
      <c r="AJ256"/>
      <c r="AK256"/>
      <c r="AL256"/>
      <c r="AM256"/>
      <c r="AN256"/>
      <c r="AO256"/>
      <c r="AP256"/>
      <c r="AQ256"/>
      <c r="AR256"/>
    </row>
    <row r="257" spans="1:44" s="118" customFormat="1" ht="15.75" thickBot="1" x14ac:dyDescent="0.3">
      <c r="A257" s="222" t="s">
        <v>658</v>
      </c>
      <c r="B257" s="243" t="s">
        <v>664</v>
      </c>
      <c r="C257" s="243"/>
      <c r="D257" s="243"/>
      <c r="E257" s="243"/>
      <c r="H257" s="222" t="s">
        <v>658</v>
      </c>
      <c r="I257" s="243" t="s">
        <v>664</v>
      </c>
      <c r="J257" s="243"/>
      <c r="K257" s="243"/>
      <c r="L257" s="243"/>
      <c r="M257"/>
      <c r="N257"/>
      <c r="O257" s="222" t="s">
        <v>658</v>
      </c>
      <c r="P257" s="243" t="s">
        <v>664</v>
      </c>
      <c r="Q257" s="243"/>
      <c r="R257" s="243"/>
      <c r="S257" s="243"/>
      <c r="T257"/>
      <c r="U257"/>
      <c r="V257" s="222" t="s">
        <v>658</v>
      </c>
      <c r="W257" s="243" t="s">
        <v>664</v>
      </c>
      <c r="X257" s="243"/>
      <c r="Y257" s="243"/>
      <c r="Z257" s="243"/>
      <c r="AA257"/>
      <c r="AB257"/>
      <c r="AC257"/>
      <c r="AD257"/>
      <c r="AE257"/>
      <c r="AF257"/>
      <c r="AG257"/>
      <c r="AH257"/>
      <c r="AI257"/>
      <c r="AJ257"/>
      <c r="AK257"/>
      <c r="AL257"/>
      <c r="AM257"/>
      <c r="AN257"/>
      <c r="AO257"/>
      <c r="AP257"/>
      <c r="AQ257"/>
      <c r="AR257"/>
    </row>
    <row r="258" spans="1:44" s="118" customFormat="1" ht="15.75" thickBot="1" x14ac:dyDescent="0.3">
      <c r="A258" s="222"/>
      <c r="B258" s="72" t="s">
        <v>645</v>
      </c>
      <c r="C258" s="72" t="s">
        <v>665</v>
      </c>
      <c r="D258" s="72" t="s">
        <v>666</v>
      </c>
      <c r="E258" s="72" t="s">
        <v>667</v>
      </c>
      <c r="H258" s="222"/>
      <c r="I258" s="72" t="s">
        <v>645</v>
      </c>
      <c r="J258" s="72" t="s">
        <v>665</v>
      </c>
      <c r="K258" s="72" t="s">
        <v>666</v>
      </c>
      <c r="L258" s="72" t="s">
        <v>667</v>
      </c>
      <c r="M258"/>
      <c r="N258"/>
      <c r="O258" s="222"/>
      <c r="P258" s="72" t="s">
        <v>645</v>
      </c>
      <c r="Q258" s="72" t="s">
        <v>665</v>
      </c>
      <c r="R258" s="72" t="s">
        <v>666</v>
      </c>
      <c r="S258" s="72" t="s">
        <v>667</v>
      </c>
      <c r="T258"/>
      <c r="U258"/>
      <c r="V258" s="222"/>
      <c r="W258" s="72" t="s">
        <v>645</v>
      </c>
      <c r="X258" s="72" t="s">
        <v>665</v>
      </c>
      <c r="Y258" s="72" t="s">
        <v>666</v>
      </c>
      <c r="Z258" s="72" t="s">
        <v>667</v>
      </c>
      <c r="AA258"/>
      <c r="AB258"/>
      <c r="AC258"/>
      <c r="AD258"/>
      <c r="AE258"/>
      <c r="AF258"/>
      <c r="AG258"/>
      <c r="AH258"/>
      <c r="AI258"/>
      <c r="AJ258"/>
      <c r="AK258"/>
      <c r="AL258"/>
      <c r="AM258"/>
      <c r="AN258"/>
      <c r="AO258"/>
      <c r="AP258"/>
      <c r="AQ258"/>
      <c r="AR258"/>
    </row>
    <row r="259" spans="1:44" s="118" customFormat="1" x14ac:dyDescent="0.25">
      <c r="A259" s="73">
        <v>2</v>
      </c>
      <c r="B259" s="71">
        <v>3</v>
      </c>
      <c r="C259" s="71">
        <v>4</v>
      </c>
      <c r="D259" s="71">
        <v>5</v>
      </c>
      <c r="E259" s="74">
        <v>6</v>
      </c>
      <c r="H259" s="73">
        <v>2</v>
      </c>
      <c r="I259" s="71">
        <v>3</v>
      </c>
      <c r="J259" s="71">
        <v>4</v>
      </c>
      <c r="K259" s="71">
        <v>5</v>
      </c>
      <c r="L259" s="74">
        <v>6</v>
      </c>
      <c r="M259"/>
      <c r="N259"/>
      <c r="O259" s="73">
        <v>2</v>
      </c>
      <c r="P259" s="71">
        <v>3</v>
      </c>
      <c r="Q259" s="71">
        <v>4</v>
      </c>
      <c r="R259" s="71">
        <v>5</v>
      </c>
      <c r="S259" s="74">
        <v>6</v>
      </c>
      <c r="T259"/>
      <c r="U259"/>
      <c r="V259" s="73">
        <v>2</v>
      </c>
      <c r="W259" s="71">
        <v>3</v>
      </c>
      <c r="X259" s="71">
        <v>4</v>
      </c>
      <c r="Y259" s="71">
        <v>5</v>
      </c>
      <c r="Z259" s="74">
        <v>6</v>
      </c>
      <c r="AA259"/>
      <c r="AB259"/>
      <c r="AC259"/>
      <c r="AD259"/>
      <c r="AE259"/>
      <c r="AF259"/>
      <c r="AG259"/>
      <c r="AH259"/>
      <c r="AI259"/>
      <c r="AJ259"/>
      <c r="AK259"/>
      <c r="AL259"/>
      <c r="AM259"/>
      <c r="AN259"/>
      <c r="AO259"/>
      <c r="AP259"/>
      <c r="AQ259"/>
      <c r="AR259"/>
    </row>
    <row r="260" spans="1:44" s="118" customFormat="1" x14ac:dyDescent="0.25">
      <c r="A260" s="75" t="s">
        <v>1445</v>
      </c>
      <c r="B260" s="58">
        <f>B183</f>
        <v>0.35</v>
      </c>
      <c r="C260" s="58">
        <f>C183</f>
        <v>0.65</v>
      </c>
      <c r="D260" s="58">
        <f>D183</f>
        <v>0</v>
      </c>
      <c r="E260" s="58">
        <f>E183</f>
        <v>0</v>
      </c>
      <c r="H260" s="75" t="s">
        <v>1445</v>
      </c>
      <c r="I260" s="58">
        <f>I183</f>
        <v>0.25</v>
      </c>
      <c r="J260" s="58">
        <f>J183</f>
        <v>0.75</v>
      </c>
      <c r="K260" s="58">
        <f>K183</f>
        <v>0</v>
      </c>
      <c r="L260" s="58">
        <f>L183</f>
        <v>0</v>
      </c>
      <c r="M260"/>
      <c r="N260"/>
      <c r="O260" s="75" t="s">
        <v>1445</v>
      </c>
      <c r="P260" s="58">
        <f>P183</f>
        <v>0.41666666666666663</v>
      </c>
      <c r="Q260" s="58">
        <f>Q183</f>
        <v>0.58333333333333326</v>
      </c>
      <c r="R260" s="58">
        <f>R183</f>
        <v>0</v>
      </c>
      <c r="S260" s="58">
        <f>S183</f>
        <v>0</v>
      </c>
      <c r="T260"/>
      <c r="U260"/>
      <c r="V260" s="75" t="s">
        <v>1445</v>
      </c>
      <c r="W260" s="58">
        <f>W183</f>
        <v>0.25</v>
      </c>
      <c r="X260" s="58">
        <f>X183</f>
        <v>0.75</v>
      </c>
      <c r="Y260" s="58">
        <f>Y183</f>
        <v>0</v>
      </c>
      <c r="Z260" s="58">
        <f>Z183</f>
        <v>0</v>
      </c>
      <c r="AA260"/>
      <c r="AB260"/>
      <c r="AC260"/>
      <c r="AD260"/>
      <c r="AE260"/>
      <c r="AF260"/>
      <c r="AG260"/>
      <c r="AH260"/>
      <c r="AI260"/>
      <c r="AJ260"/>
      <c r="AK260"/>
      <c r="AL260"/>
      <c r="AM260"/>
      <c r="AN260"/>
      <c r="AO260"/>
      <c r="AP260"/>
      <c r="AQ260"/>
      <c r="AR260"/>
    </row>
    <row r="261" spans="1:44" s="118" customFormat="1" x14ac:dyDescent="0.25">
      <c r="A261" s="75" t="s">
        <v>1443</v>
      </c>
      <c r="B261" s="58">
        <f>B186</f>
        <v>0.5</v>
      </c>
      <c r="C261" s="58">
        <f>C186</f>
        <v>0.5</v>
      </c>
      <c r="D261" s="58">
        <f>D186</f>
        <v>0</v>
      </c>
      <c r="E261" s="58">
        <f>E186</f>
        <v>0</v>
      </c>
      <c r="H261" s="75" t="s">
        <v>1443</v>
      </c>
      <c r="I261" s="58">
        <f>I186</f>
        <v>0.5</v>
      </c>
      <c r="J261" s="58">
        <f>J186</f>
        <v>0.5</v>
      </c>
      <c r="K261" s="58">
        <f>K186</f>
        <v>0</v>
      </c>
      <c r="L261" s="58">
        <f>L186</f>
        <v>0</v>
      </c>
      <c r="M261"/>
      <c r="N261"/>
      <c r="O261" s="75" t="s">
        <v>1443</v>
      </c>
      <c r="P261" s="58">
        <f>P186</f>
        <v>0.33333333333333331</v>
      </c>
      <c r="Q261" s="58">
        <f>Q186</f>
        <v>0.66666666666666663</v>
      </c>
      <c r="R261" s="58">
        <f>R186</f>
        <v>0</v>
      </c>
      <c r="S261" s="58">
        <f>S186</f>
        <v>0</v>
      </c>
      <c r="T261"/>
      <c r="U261"/>
      <c r="V261" s="75" t="s">
        <v>1443</v>
      </c>
      <c r="W261" s="58">
        <f>W186</f>
        <v>1</v>
      </c>
      <c r="X261" s="58">
        <f>X186</f>
        <v>0</v>
      </c>
      <c r="Y261" s="58">
        <f>Y186</f>
        <v>0</v>
      </c>
      <c r="Z261" s="58">
        <f>Z186</f>
        <v>0</v>
      </c>
      <c r="AA261"/>
      <c r="AB261"/>
      <c r="AC261"/>
      <c r="AD261"/>
      <c r="AE261"/>
      <c r="AF261"/>
      <c r="AG261"/>
      <c r="AH261"/>
      <c r="AI261"/>
      <c r="AJ261"/>
      <c r="AK261"/>
      <c r="AL261"/>
      <c r="AM261"/>
      <c r="AN261"/>
      <c r="AO261"/>
      <c r="AP261"/>
      <c r="AQ261"/>
      <c r="AR261"/>
    </row>
    <row r="262" spans="1:44" s="118" customFormat="1" x14ac:dyDescent="0.25">
      <c r="A262" s="75" t="s">
        <v>661</v>
      </c>
      <c r="B262" s="58">
        <f>B189</f>
        <v>0.6</v>
      </c>
      <c r="C262" s="58">
        <f>C189</f>
        <v>0.4</v>
      </c>
      <c r="D262" s="58">
        <f>D189</f>
        <v>0</v>
      </c>
      <c r="E262" s="58">
        <f>E189</f>
        <v>0</v>
      </c>
      <c r="H262" s="75" t="s">
        <v>661</v>
      </c>
      <c r="I262" s="58">
        <f>I189</f>
        <v>0.5</v>
      </c>
      <c r="J262" s="58">
        <f>J189</f>
        <v>0.5</v>
      </c>
      <c r="K262" s="58">
        <f>K189</f>
        <v>0</v>
      </c>
      <c r="L262" s="58">
        <f>L189</f>
        <v>0</v>
      </c>
      <c r="M262"/>
      <c r="N262"/>
      <c r="O262" s="75" t="s">
        <v>661</v>
      </c>
      <c r="P262" s="58">
        <f>P189</f>
        <v>0.5</v>
      </c>
      <c r="Q262" s="58">
        <f>Q189</f>
        <v>0.5</v>
      </c>
      <c r="R262" s="58">
        <f>R189</f>
        <v>0</v>
      </c>
      <c r="S262" s="58">
        <f>S189</f>
        <v>0</v>
      </c>
      <c r="T262"/>
      <c r="U262"/>
      <c r="V262" s="75" t="s">
        <v>661</v>
      </c>
      <c r="W262" s="58">
        <f>W189</f>
        <v>1</v>
      </c>
      <c r="X262" s="58">
        <f>X189</f>
        <v>0</v>
      </c>
      <c r="Y262" s="58">
        <f>Y189</f>
        <v>0</v>
      </c>
      <c r="Z262" s="58">
        <f>Z189</f>
        <v>0</v>
      </c>
      <c r="AA262"/>
      <c r="AB262"/>
      <c r="AC262"/>
      <c r="AD262"/>
      <c r="AE262"/>
      <c r="AF262"/>
      <c r="AG262"/>
      <c r="AH262"/>
      <c r="AI262"/>
      <c r="AJ262"/>
      <c r="AK262"/>
      <c r="AL262"/>
      <c r="AM262"/>
      <c r="AN262"/>
      <c r="AO262"/>
      <c r="AP262"/>
      <c r="AQ262"/>
      <c r="AR262"/>
    </row>
    <row r="263" spans="1:44" s="118" customFormat="1" x14ac:dyDescent="0.25">
      <c r="A263" s="75" t="s">
        <v>1444</v>
      </c>
      <c r="B263" s="58">
        <f>B192</f>
        <v>0.6</v>
      </c>
      <c r="C263" s="58">
        <f>C192</f>
        <v>0.4</v>
      </c>
      <c r="D263" s="58">
        <f>D192</f>
        <v>0</v>
      </c>
      <c r="E263" s="58">
        <f>E192</f>
        <v>0</v>
      </c>
      <c r="H263" s="75" t="s">
        <v>1444</v>
      </c>
      <c r="I263" s="58">
        <f>I192</f>
        <v>0.5</v>
      </c>
      <c r="J263" s="58">
        <f>J192</f>
        <v>0.5</v>
      </c>
      <c r="K263" s="58">
        <f>K192</f>
        <v>0</v>
      </c>
      <c r="L263" s="58">
        <f>L192</f>
        <v>0</v>
      </c>
      <c r="M263"/>
      <c r="N263"/>
      <c r="O263" s="75" t="s">
        <v>1444</v>
      </c>
      <c r="P263" s="58">
        <f>P192</f>
        <v>0.5</v>
      </c>
      <c r="Q263" s="58">
        <f>Q192</f>
        <v>0.5</v>
      </c>
      <c r="R263" s="58">
        <f>R192</f>
        <v>0</v>
      </c>
      <c r="S263" s="58">
        <f>S192</f>
        <v>0</v>
      </c>
      <c r="T263"/>
      <c r="U263"/>
      <c r="V263" s="75" t="s">
        <v>1444</v>
      </c>
      <c r="W263" s="58">
        <f>W192</f>
        <v>1</v>
      </c>
      <c r="X263" s="58">
        <f>X192</f>
        <v>0</v>
      </c>
      <c r="Y263" s="58">
        <f>Y192</f>
        <v>0</v>
      </c>
      <c r="Z263" s="58">
        <f>Z192</f>
        <v>0</v>
      </c>
      <c r="AA263"/>
      <c r="AB263"/>
      <c r="AC263"/>
      <c r="AD263"/>
      <c r="AE263"/>
      <c r="AF263"/>
      <c r="AG263"/>
      <c r="AH263"/>
      <c r="AI263"/>
      <c r="AJ263"/>
      <c r="AK263"/>
      <c r="AL263"/>
      <c r="AM263"/>
      <c r="AN263"/>
      <c r="AO263"/>
      <c r="AP263"/>
      <c r="AQ263"/>
      <c r="AR263"/>
    </row>
    <row r="264" spans="1:44" s="118" customFormat="1" x14ac:dyDescent="0.25">
      <c r="A264" s="75" t="s">
        <v>663</v>
      </c>
      <c r="B264" s="58">
        <f>B197</f>
        <v>0.6</v>
      </c>
      <c r="C264" s="58">
        <f>C197</f>
        <v>0.4</v>
      </c>
      <c r="D264" s="58">
        <f>D197</f>
        <v>0</v>
      </c>
      <c r="E264" s="58">
        <f>E197</f>
        <v>0</v>
      </c>
      <c r="H264" s="75" t="s">
        <v>663</v>
      </c>
      <c r="I264" s="58">
        <f>I197</f>
        <v>0.75</v>
      </c>
      <c r="J264" s="58">
        <f>J197</f>
        <v>0.25</v>
      </c>
      <c r="K264" s="58">
        <f>K197</f>
        <v>0</v>
      </c>
      <c r="L264" s="58">
        <f>L197</f>
        <v>0</v>
      </c>
      <c r="M264"/>
      <c r="N264"/>
      <c r="O264" s="75" t="s">
        <v>663</v>
      </c>
      <c r="P264" s="58">
        <f>P197</f>
        <v>0.41666666666666663</v>
      </c>
      <c r="Q264" s="58">
        <f>Q197</f>
        <v>0.58333333333333326</v>
      </c>
      <c r="R264" s="58">
        <f>R197</f>
        <v>0</v>
      </c>
      <c r="S264" s="58">
        <f>S197</f>
        <v>0</v>
      </c>
      <c r="T264"/>
      <c r="U264"/>
      <c r="V264" s="75" t="s">
        <v>663</v>
      </c>
      <c r="W264" s="58">
        <f>W197</f>
        <v>1</v>
      </c>
      <c r="X264" s="58">
        <f>X197</f>
        <v>0</v>
      </c>
      <c r="Y264" s="58">
        <f>Y197</f>
        <v>0</v>
      </c>
      <c r="Z264" s="58">
        <f>Z197</f>
        <v>0</v>
      </c>
      <c r="AA264"/>
      <c r="AB264"/>
      <c r="AC264"/>
      <c r="AD264"/>
      <c r="AE264"/>
      <c r="AF264"/>
      <c r="AG264"/>
      <c r="AH264"/>
      <c r="AI264"/>
      <c r="AJ264"/>
      <c r="AK264"/>
      <c r="AL264"/>
      <c r="AM264"/>
      <c r="AN264"/>
      <c r="AO264"/>
      <c r="AP264"/>
      <c r="AQ264"/>
      <c r="AR264"/>
    </row>
    <row r="265" spans="1:44" s="118" customFormat="1" x14ac:dyDescent="0.25">
      <c r="A265" s="75" t="s">
        <v>1441</v>
      </c>
      <c r="B265" s="58">
        <f>B201</f>
        <v>0.6</v>
      </c>
      <c r="C265" s="58">
        <f>C201</f>
        <v>0.40000000000000008</v>
      </c>
      <c r="D265" s="58">
        <f>D201</f>
        <v>0</v>
      </c>
      <c r="E265" s="58">
        <f>E201</f>
        <v>0</v>
      </c>
      <c r="H265" s="75" t="s">
        <v>1441</v>
      </c>
      <c r="I265" s="58">
        <f>I201</f>
        <v>0.66666666666666663</v>
      </c>
      <c r="J265" s="58">
        <f>J201</f>
        <v>0.33333333333333331</v>
      </c>
      <c r="K265" s="58">
        <f>K201</f>
        <v>0</v>
      </c>
      <c r="L265" s="58">
        <f>L201</f>
        <v>0</v>
      </c>
      <c r="M265"/>
      <c r="N265"/>
      <c r="O265" s="75" t="s">
        <v>1441</v>
      </c>
      <c r="P265" s="58">
        <f>P201</f>
        <v>0.44444444444444442</v>
      </c>
      <c r="Q265" s="58">
        <f>Q201</f>
        <v>0.55555555555555547</v>
      </c>
      <c r="R265" s="58">
        <f>R201</f>
        <v>0</v>
      </c>
      <c r="S265" s="58">
        <f>S201</f>
        <v>0</v>
      </c>
      <c r="T265"/>
      <c r="U265"/>
      <c r="V265" s="75" t="s">
        <v>1441</v>
      </c>
      <c r="W265" s="58">
        <f>W201</f>
        <v>1</v>
      </c>
      <c r="X265" s="58">
        <f>X201</f>
        <v>0</v>
      </c>
      <c r="Y265" s="58">
        <f>Y201</f>
        <v>0</v>
      </c>
      <c r="Z265" s="58">
        <f>Z201</f>
        <v>0</v>
      </c>
      <c r="AA265"/>
      <c r="AB265"/>
      <c r="AC265"/>
      <c r="AD265"/>
      <c r="AE265"/>
      <c r="AF265"/>
      <c r="AG265"/>
      <c r="AH265"/>
      <c r="AI265"/>
      <c r="AJ265"/>
      <c r="AK265"/>
      <c r="AL265"/>
      <c r="AM265"/>
      <c r="AN265"/>
      <c r="AO265"/>
      <c r="AP265"/>
      <c r="AQ265"/>
      <c r="AR265"/>
    </row>
    <row r="266" spans="1:44" s="118" customFormat="1" x14ac:dyDescent="0.25">
      <c r="A266" s="75" t="s">
        <v>91</v>
      </c>
      <c r="B266" s="58">
        <f>B206</f>
        <v>0.6</v>
      </c>
      <c r="C266" s="58">
        <f>C206</f>
        <v>0.4</v>
      </c>
      <c r="D266" s="58">
        <f>D206</f>
        <v>0</v>
      </c>
      <c r="E266" s="58">
        <f>E206</f>
        <v>0</v>
      </c>
      <c r="H266" s="75" t="s">
        <v>91</v>
      </c>
      <c r="I266" s="58">
        <f>I206</f>
        <v>0.5</v>
      </c>
      <c r="J266" s="58">
        <f>J206</f>
        <v>0.5</v>
      </c>
      <c r="K266" s="58">
        <f>K206</f>
        <v>0</v>
      </c>
      <c r="L266" s="58">
        <f>L206</f>
        <v>0</v>
      </c>
      <c r="M266"/>
      <c r="N266"/>
      <c r="O266" s="75" t="s">
        <v>91</v>
      </c>
      <c r="P266" s="58">
        <f>P206</f>
        <v>0.49999999999999994</v>
      </c>
      <c r="Q266" s="58">
        <f>Q206</f>
        <v>0.5</v>
      </c>
      <c r="R266" s="58">
        <f>R206</f>
        <v>0</v>
      </c>
      <c r="S266" s="58">
        <f>S206</f>
        <v>0</v>
      </c>
      <c r="T266"/>
      <c r="U266"/>
      <c r="V266" s="75" t="s">
        <v>91</v>
      </c>
      <c r="W266" s="58">
        <f>W206</f>
        <v>1</v>
      </c>
      <c r="X266" s="58">
        <f>X206</f>
        <v>0</v>
      </c>
      <c r="Y266" s="58">
        <f>Y206</f>
        <v>0</v>
      </c>
      <c r="Z266" s="58">
        <f>Z206</f>
        <v>0</v>
      </c>
      <c r="AA266"/>
      <c r="AB266"/>
      <c r="AC266"/>
      <c r="AD266"/>
      <c r="AE266"/>
      <c r="AF266"/>
      <c r="AG266"/>
      <c r="AH266"/>
      <c r="AI266"/>
      <c r="AJ266"/>
      <c r="AK266"/>
      <c r="AL266"/>
      <c r="AM266"/>
      <c r="AN266"/>
      <c r="AO266"/>
      <c r="AP266"/>
      <c r="AQ266"/>
      <c r="AR266"/>
    </row>
    <row r="267" spans="1:44" s="118" customFormat="1" x14ac:dyDescent="0.25">
      <c r="A267" s="75" t="s">
        <v>1431</v>
      </c>
      <c r="B267" s="58">
        <f>B212</f>
        <v>0.6</v>
      </c>
      <c r="C267" s="58">
        <f>C212</f>
        <v>0.4</v>
      </c>
      <c r="D267" s="58">
        <f>D212</f>
        <v>0</v>
      </c>
      <c r="E267" s="58">
        <f>E212</f>
        <v>0</v>
      </c>
      <c r="H267" s="75" t="s">
        <v>1431</v>
      </c>
      <c r="I267" s="58">
        <f>I212</f>
        <v>0.5</v>
      </c>
      <c r="J267" s="58">
        <f>J212</f>
        <v>0.5</v>
      </c>
      <c r="K267" s="58">
        <f>K212</f>
        <v>0</v>
      </c>
      <c r="L267" s="58">
        <f>L212</f>
        <v>0</v>
      </c>
      <c r="M267"/>
      <c r="N267"/>
      <c r="O267" s="75" t="s">
        <v>1431</v>
      </c>
      <c r="P267" s="58">
        <f>P212</f>
        <v>0.5</v>
      </c>
      <c r="Q267" s="58">
        <f>Q212</f>
        <v>0.49999999999999994</v>
      </c>
      <c r="R267" s="58">
        <f>R212</f>
        <v>0</v>
      </c>
      <c r="S267" s="58">
        <f>S212</f>
        <v>0</v>
      </c>
      <c r="T267"/>
      <c r="U267"/>
      <c r="V267" s="75" t="s">
        <v>1431</v>
      </c>
      <c r="W267" s="58">
        <f>W212</f>
        <v>1</v>
      </c>
      <c r="X267" s="58">
        <f>X212</f>
        <v>0</v>
      </c>
      <c r="Y267" s="58">
        <f>Y212</f>
        <v>0</v>
      </c>
      <c r="Z267" s="58">
        <f>Z212</f>
        <v>0</v>
      </c>
      <c r="AA267"/>
      <c r="AB267"/>
      <c r="AC267"/>
      <c r="AD267"/>
      <c r="AE267"/>
      <c r="AF267"/>
      <c r="AG267"/>
      <c r="AH267"/>
      <c r="AI267"/>
      <c r="AJ267"/>
      <c r="AK267"/>
      <c r="AL267"/>
      <c r="AM267"/>
      <c r="AN267"/>
      <c r="AO267"/>
      <c r="AP267"/>
      <c r="AQ267"/>
      <c r="AR267"/>
    </row>
    <row r="268" spans="1:44" s="118" customFormat="1" ht="15.75" thickBot="1" x14ac:dyDescent="0.3">
      <c r="A268" s="76" t="s">
        <v>1432</v>
      </c>
      <c r="B268" s="77">
        <f>B217</f>
        <v>0.6</v>
      </c>
      <c r="C268" s="77">
        <f>C217</f>
        <v>0.4</v>
      </c>
      <c r="D268" s="77">
        <f>D217</f>
        <v>0</v>
      </c>
      <c r="E268" s="77">
        <f>E217</f>
        <v>0</v>
      </c>
      <c r="H268" s="76" t="s">
        <v>1432</v>
      </c>
      <c r="I268" s="77">
        <f>I217</f>
        <v>0.5</v>
      </c>
      <c r="J268" s="77">
        <f>J217</f>
        <v>0.5</v>
      </c>
      <c r="K268" s="77">
        <f>K217</f>
        <v>0</v>
      </c>
      <c r="L268" s="77">
        <f>L217</f>
        <v>0</v>
      </c>
      <c r="M268"/>
      <c r="N268"/>
      <c r="O268" s="76" t="s">
        <v>1432</v>
      </c>
      <c r="P268" s="77">
        <f>P217</f>
        <v>0.5</v>
      </c>
      <c r="Q268" s="77">
        <f>Q217</f>
        <v>0.49999999999999994</v>
      </c>
      <c r="R268" s="77">
        <f>R217</f>
        <v>0</v>
      </c>
      <c r="S268" s="77">
        <f>S217</f>
        <v>0</v>
      </c>
      <c r="T268"/>
      <c r="U268"/>
      <c r="V268" s="76" t="s">
        <v>1432</v>
      </c>
      <c r="W268" s="77">
        <f>W217</f>
        <v>1</v>
      </c>
      <c r="X268" s="77">
        <f>X217</f>
        <v>0</v>
      </c>
      <c r="Y268" s="77">
        <f>Y217</f>
        <v>0</v>
      </c>
      <c r="Z268" s="77">
        <f>Z217</f>
        <v>0</v>
      </c>
      <c r="AA268"/>
      <c r="AB268"/>
      <c r="AC268"/>
      <c r="AD268"/>
      <c r="AE268"/>
      <c r="AF268"/>
      <c r="AG268"/>
      <c r="AH268"/>
      <c r="AI268"/>
      <c r="AJ268"/>
      <c r="AK268"/>
      <c r="AL268"/>
      <c r="AM268"/>
      <c r="AN268"/>
      <c r="AO268"/>
      <c r="AP268"/>
      <c r="AQ268"/>
      <c r="AR268"/>
    </row>
    <row r="269" spans="1:44" s="118" customFormat="1" x14ac:dyDescent="0.25">
      <c r="A269" s="79" t="s">
        <v>669</v>
      </c>
      <c r="B269" s="81">
        <f>SUM(B260:B268)</f>
        <v>5.05</v>
      </c>
      <c r="C269" s="81">
        <f>SUM(C260:C268)</f>
        <v>3.9499999999999993</v>
      </c>
      <c r="D269" s="81">
        <f>SUM(D260:D268)</f>
        <v>0</v>
      </c>
      <c r="E269" s="84">
        <f>SUM(E260:E268)</f>
        <v>0</v>
      </c>
      <c r="H269" s="79" t="s">
        <v>669</v>
      </c>
      <c r="I269" s="81">
        <f>SUM(I260:I268)</f>
        <v>4.6666666666666661</v>
      </c>
      <c r="J269" s="81">
        <f>SUM(J260:J268)</f>
        <v>4.3333333333333339</v>
      </c>
      <c r="K269" s="81">
        <f>SUM(K260:K268)</f>
        <v>0</v>
      </c>
      <c r="L269" s="84">
        <f>SUM(L260:L268)</f>
        <v>0</v>
      </c>
      <c r="M269"/>
      <c r="N269"/>
      <c r="O269" s="79" t="s">
        <v>669</v>
      </c>
      <c r="P269" s="81">
        <f>SUM(P260:P268)</f>
        <v>4.1111111111111107</v>
      </c>
      <c r="Q269" s="81">
        <f>SUM(Q260:Q268)</f>
        <v>4.8888888888888884</v>
      </c>
      <c r="R269" s="81">
        <f>SUM(R260:R268)</f>
        <v>0</v>
      </c>
      <c r="S269" s="84">
        <f>SUM(S260:S268)</f>
        <v>0</v>
      </c>
      <c r="T269"/>
      <c r="U269"/>
      <c r="V269" s="79" t="s">
        <v>669</v>
      </c>
      <c r="W269" s="81">
        <f>SUM(W260:W268)</f>
        <v>8.25</v>
      </c>
      <c r="X269" s="81">
        <f>SUM(X260:X268)</f>
        <v>0.75</v>
      </c>
      <c r="Y269" s="81">
        <f>SUM(Y260:Y268)</f>
        <v>0</v>
      </c>
      <c r="Z269" s="84">
        <f>SUM(Z260:Z268)</f>
        <v>0</v>
      </c>
      <c r="AA269"/>
      <c r="AB269"/>
      <c r="AC269"/>
      <c r="AD269"/>
      <c r="AE269"/>
      <c r="AF269"/>
      <c r="AG269"/>
      <c r="AH269"/>
      <c r="AI269"/>
      <c r="AJ269"/>
      <c r="AK269"/>
      <c r="AL269"/>
      <c r="AM269"/>
      <c r="AN269"/>
      <c r="AO269"/>
      <c r="AP269"/>
      <c r="AQ269"/>
      <c r="AR269"/>
    </row>
    <row r="270" spans="1:44" s="118" customFormat="1" ht="15.75" thickBot="1" x14ac:dyDescent="0.3">
      <c r="A270" s="80" t="s">
        <v>670</v>
      </c>
      <c r="B270" s="82">
        <f>AVERAGE(B260:B268)</f>
        <v>0.56111111111111112</v>
      </c>
      <c r="C270" s="82">
        <f>AVERAGE(C260:C268)</f>
        <v>0.43888888888888883</v>
      </c>
      <c r="D270" s="82">
        <f>AVERAGE(D260:D268)</f>
        <v>0</v>
      </c>
      <c r="E270" s="85">
        <f>AVERAGE(E260:E268)</f>
        <v>0</v>
      </c>
      <c r="H270" s="80" t="s">
        <v>670</v>
      </c>
      <c r="I270" s="82">
        <f>AVERAGE(I260:I268)</f>
        <v>0.51851851851851849</v>
      </c>
      <c r="J270" s="82">
        <f>AVERAGE(J260:J268)</f>
        <v>0.48148148148148157</v>
      </c>
      <c r="K270" s="82">
        <f>AVERAGE(K260:K268)</f>
        <v>0</v>
      </c>
      <c r="L270" s="85">
        <f>AVERAGE(L260:L268)</f>
        <v>0</v>
      </c>
      <c r="M270"/>
      <c r="N270"/>
      <c r="O270" s="80" t="s">
        <v>670</v>
      </c>
      <c r="P270" s="82">
        <f>AVERAGE(P260:P268)</f>
        <v>0.4567901234567901</v>
      </c>
      <c r="Q270" s="82">
        <f>AVERAGE(Q260:Q268)</f>
        <v>0.54320987654320985</v>
      </c>
      <c r="R270" s="82">
        <f>AVERAGE(R260:R268)</f>
        <v>0</v>
      </c>
      <c r="S270" s="85">
        <f>AVERAGE(S260:S268)</f>
        <v>0</v>
      </c>
      <c r="T270"/>
      <c r="U270"/>
      <c r="V270" s="80" t="s">
        <v>670</v>
      </c>
      <c r="W270" s="82">
        <f>AVERAGE(W260:W268)</f>
        <v>0.91666666666666663</v>
      </c>
      <c r="X270" s="82">
        <f>AVERAGE(X260:X268)</f>
        <v>8.3333333333333329E-2</v>
      </c>
      <c r="Y270" s="82">
        <f>AVERAGE(Y260:Y268)</f>
        <v>0</v>
      </c>
      <c r="Z270" s="85">
        <f>AVERAGE(Z260:Z268)</f>
        <v>0</v>
      </c>
      <c r="AA270"/>
      <c r="AB270"/>
      <c r="AC270"/>
      <c r="AD270"/>
      <c r="AE270"/>
      <c r="AF270"/>
      <c r="AG270"/>
      <c r="AH270"/>
      <c r="AI270"/>
      <c r="AJ270"/>
      <c r="AK270"/>
      <c r="AL270"/>
      <c r="AM270"/>
      <c r="AN270"/>
      <c r="AO270"/>
      <c r="AP270"/>
      <c r="AQ270"/>
      <c r="AR270"/>
    </row>
    <row r="271" spans="1:44" s="118" customFormat="1" ht="15.75" thickBot="1" x14ac:dyDescent="0.3">
      <c r="A271" s="119"/>
      <c r="B271" s="119"/>
      <c r="C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row>
    <row r="272" spans="1:44" s="118" customFormat="1" ht="17.25" thickBot="1" x14ac:dyDescent="0.3">
      <c r="A272" s="64" t="s">
        <v>647</v>
      </c>
      <c r="B272" s="65">
        <v>2022</v>
      </c>
      <c r="C272" s="237" t="s">
        <v>1446</v>
      </c>
      <c r="D272" s="238"/>
      <c r="E272" s="239"/>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row>
    <row r="273" spans="1:44" s="118" customFormat="1" ht="17.25" thickBot="1" x14ac:dyDescent="0.3">
      <c r="A273" s="69" t="s">
        <v>646</v>
      </c>
      <c r="B273" s="70">
        <f>B256+B239+B222</f>
        <v>62</v>
      </c>
      <c r="C273" s="240"/>
      <c r="D273" s="241"/>
      <c r="E273" s="242"/>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row>
    <row r="274" spans="1:44" s="118" customFormat="1" ht="15.75" thickBot="1" x14ac:dyDescent="0.3">
      <c r="A274" s="222" t="s">
        <v>658</v>
      </c>
      <c r="B274" s="243" t="s">
        <v>664</v>
      </c>
      <c r="C274" s="243"/>
      <c r="D274" s="243"/>
      <c r="E274" s="243"/>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row>
    <row r="275" spans="1:44" s="118" customFormat="1" ht="15.75" thickBot="1" x14ac:dyDescent="0.3">
      <c r="A275" s="222"/>
      <c r="B275" s="72" t="s">
        <v>645</v>
      </c>
      <c r="C275" s="72" t="s">
        <v>665</v>
      </c>
      <c r="D275" s="72" t="s">
        <v>666</v>
      </c>
      <c r="E275" s="72" t="s">
        <v>667</v>
      </c>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row>
    <row r="276" spans="1:44" s="118" customFormat="1" x14ac:dyDescent="0.25">
      <c r="A276" s="73">
        <v>2</v>
      </c>
      <c r="B276" s="71">
        <v>3</v>
      </c>
      <c r="C276" s="71">
        <v>4</v>
      </c>
      <c r="D276" s="71">
        <v>5</v>
      </c>
      <c r="E276" s="74">
        <v>6</v>
      </c>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row>
    <row r="277" spans="1:44" s="118" customFormat="1" x14ac:dyDescent="0.25">
      <c r="A277" s="75" t="s">
        <v>1445</v>
      </c>
      <c r="B277" s="66">
        <f>(B260+B243+B226)/3</f>
        <v>0.45476190476190476</v>
      </c>
      <c r="C277" s="66">
        <f t="shared" ref="C277:E278" si="22">(C260+C243+C226)/3</f>
        <v>0.53952380952380952</v>
      </c>
      <c r="D277" s="66">
        <f t="shared" si="22"/>
        <v>5.7142857142857143E-3</v>
      </c>
      <c r="E277" s="66">
        <f t="shared" si="22"/>
        <v>0</v>
      </c>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row>
    <row r="278" spans="1:44" s="118" customFormat="1" x14ac:dyDescent="0.25">
      <c r="A278" s="75" t="s">
        <v>1443</v>
      </c>
      <c r="B278" s="66">
        <f>(B261+B244+B227)/3</f>
        <v>0.6132756132756132</v>
      </c>
      <c r="C278" s="66">
        <f t="shared" si="22"/>
        <v>0.38167388167388167</v>
      </c>
      <c r="D278" s="66">
        <f t="shared" si="22"/>
        <v>5.0505050505050509E-3</v>
      </c>
      <c r="E278" s="66">
        <f t="shared" si="22"/>
        <v>0</v>
      </c>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row>
    <row r="279" spans="1:44" s="118" customFormat="1" x14ac:dyDescent="0.25">
      <c r="A279" s="75" t="s">
        <v>661</v>
      </c>
      <c r="B279" s="66">
        <f t="shared" ref="B279:E285" si="23">(B262+B245+B228)/3</f>
        <v>0.42316017316017313</v>
      </c>
      <c r="C279" s="66">
        <f t="shared" si="23"/>
        <v>0.48571428571428577</v>
      </c>
      <c r="D279" s="66">
        <f t="shared" si="23"/>
        <v>9.1125541125541124E-2</v>
      </c>
      <c r="E279" s="66">
        <f t="shared" si="23"/>
        <v>0</v>
      </c>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row>
    <row r="280" spans="1:44" s="118" customFormat="1" x14ac:dyDescent="0.25">
      <c r="A280" s="75" t="s">
        <v>1444</v>
      </c>
      <c r="B280" s="66">
        <f t="shared" si="23"/>
        <v>0.65252525252525251</v>
      </c>
      <c r="C280" s="66">
        <f t="shared" si="23"/>
        <v>0.34747474747474749</v>
      </c>
      <c r="D280" s="66">
        <f t="shared" si="23"/>
        <v>0</v>
      </c>
      <c r="E280" s="66">
        <f t="shared" si="23"/>
        <v>0</v>
      </c>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row>
    <row r="281" spans="1:44" s="118" customFormat="1" x14ac:dyDescent="0.25">
      <c r="A281" s="75" t="s">
        <v>663</v>
      </c>
      <c r="B281" s="66">
        <f t="shared" si="23"/>
        <v>0.49047619047619051</v>
      </c>
      <c r="C281" s="66">
        <f t="shared" si="23"/>
        <v>0.4499278499278499</v>
      </c>
      <c r="D281" s="66">
        <f t="shared" si="23"/>
        <v>5.9595959595959591E-2</v>
      </c>
      <c r="E281" s="66">
        <f t="shared" si="23"/>
        <v>0</v>
      </c>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row>
    <row r="282" spans="1:44" s="118" customFormat="1" x14ac:dyDescent="0.25">
      <c r="A282" s="75" t="s">
        <v>1441</v>
      </c>
      <c r="B282" s="66">
        <f t="shared" si="23"/>
        <v>0.5966810966810967</v>
      </c>
      <c r="C282" s="66">
        <f t="shared" si="23"/>
        <v>0.39321789321789319</v>
      </c>
      <c r="D282" s="66">
        <f t="shared" si="23"/>
        <v>0</v>
      </c>
      <c r="E282" s="66">
        <f t="shared" si="23"/>
        <v>1.0101010101010102E-2</v>
      </c>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row>
    <row r="283" spans="1:44" s="118" customFormat="1" x14ac:dyDescent="0.25">
      <c r="A283" s="75" t="s">
        <v>91</v>
      </c>
      <c r="B283" s="66">
        <f t="shared" si="23"/>
        <v>0.54069264069264067</v>
      </c>
      <c r="C283" s="66">
        <f t="shared" si="23"/>
        <v>0.4402597402597403</v>
      </c>
      <c r="D283" s="66">
        <f t="shared" si="23"/>
        <v>1.9047619047619046E-2</v>
      </c>
      <c r="E283" s="66">
        <f t="shared" si="23"/>
        <v>0</v>
      </c>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row>
    <row r="284" spans="1:44" s="118" customFormat="1" x14ac:dyDescent="0.25">
      <c r="A284" s="75" t="s">
        <v>1431</v>
      </c>
      <c r="B284" s="66">
        <f t="shared" si="23"/>
        <v>0.48123376623376624</v>
      </c>
      <c r="C284" s="66">
        <f t="shared" si="23"/>
        <v>0.48837662337662341</v>
      </c>
      <c r="D284" s="66">
        <f t="shared" si="23"/>
        <v>1.7099567099567101E-2</v>
      </c>
      <c r="E284" s="66">
        <f t="shared" si="23"/>
        <v>1.3290043290043291E-2</v>
      </c>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row>
    <row r="285" spans="1:44" s="118" customFormat="1" ht="15.75" thickBot="1" x14ac:dyDescent="0.3">
      <c r="A285" s="76" t="s">
        <v>1432</v>
      </c>
      <c r="B285" s="66">
        <f>(B268+B251+B234)/3</f>
        <v>0.47132034632034631</v>
      </c>
      <c r="C285" s="66">
        <f t="shared" si="23"/>
        <v>0.43939393939393939</v>
      </c>
      <c r="D285" s="66">
        <f t="shared" si="23"/>
        <v>6.6991341991341991E-2</v>
      </c>
      <c r="E285" s="66">
        <f>(E268+E251+E234)/3</f>
        <v>2.2294372294372294E-2</v>
      </c>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row>
    <row r="286" spans="1:44" s="118" customFormat="1" x14ac:dyDescent="0.25">
      <c r="A286" s="79" t="s">
        <v>669</v>
      </c>
      <c r="B286" s="81">
        <f>SUM(B277:B285)</f>
        <v>4.7241269841269835</v>
      </c>
      <c r="C286" s="81">
        <f>SUM(C277:C285)</f>
        <v>3.9655627705627707</v>
      </c>
      <c r="D286" s="81">
        <f>SUM(D277:D285)</f>
        <v>0.2646248196248196</v>
      </c>
      <c r="E286" s="84">
        <f>SUM(E277:E285)</f>
        <v>4.568542568542569E-2</v>
      </c>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row>
    <row r="287" spans="1:44" s="118" customFormat="1" ht="15.75" thickBot="1" x14ac:dyDescent="0.3">
      <c r="A287" s="80" t="s">
        <v>670</v>
      </c>
      <c r="B287" s="82">
        <f>AVERAGE(B277:B285)</f>
        <v>0.52490299823633146</v>
      </c>
      <c r="C287" s="82">
        <f>AVERAGE(C277:C285)</f>
        <v>0.44061808561808563</v>
      </c>
      <c r="D287" s="82">
        <f>AVERAGE(D277:D285)</f>
        <v>2.9402757736091065E-2</v>
      </c>
      <c r="E287" s="85">
        <f>AVERAGE(E277:E285)</f>
        <v>5.0761584094917434E-3</v>
      </c>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row>
  </sheetData>
  <mergeCells count="39">
    <mergeCell ref="X255:Z256"/>
    <mergeCell ref="V257:V258"/>
    <mergeCell ref="W257:Z257"/>
    <mergeCell ref="Q238:S239"/>
    <mergeCell ref="O240:O241"/>
    <mergeCell ref="P240:S240"/>
    <mergeCell ref="X238:Z239"/>
    <mergeCell ref="V240:V241"/>
    <mergeCell ref="W240:Z240"/>
    <mergeCell ref="J255:L256"/>
    <mergeCell ref="H257:H258"/>
    <mergeCell ref="I257:L257"/>
    <mergeCell ref="Q255:S256"/>
    <mergeCell ref="O257:O258"/>
    <mergeCell ref="P257:S257"/>
    <mergeCell ref="C255:E256"/>
    <mergeCell ref="A257:A258"/>
    <mergeCell ref="B257:E257"/>
    <mergeCell ref="C272:E273"/>
    <mergeCell ref="A274:A275"/>
    <mergeCell ref="B274:E274"/>
    <mergeCell ref="C221:E222"/>
    <mergeCell ref="A223:A224"/>
    <mergeCell ref="B223:E223"/>
    <mergeCell ref="C238:E239"/>
    <mergeCell ref="A240:A241"/>
    <mergeCell ref="B240:E240"/>
    <mergeCell ref="J238:L239"/>
    <mergeCell ref="H240:H241"/>
    <mergeCell ref="I240:L240"/>
    <mergeCell ref="X221:Z222"/>
    <mergeCell ref="V223:V224"/>
    <mergeCell ref="W223:Z223"/>
    <mergeCell ref="J221:L222"/>
    <mergeCell ref="H223:H224"/>
    <mergeCell ref="I223:L223"/>
    <mergeCell ref="Q221:S222"/>
    <mergeCell ref="O223:O224"/>
    <mergeCell ref="P223:S223"/>
  </mergeCells>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50"/>
  <sheetViews>
    <sheetView topLeftCell="A230" zoomScale="85" zoomScaleNormal="85" workbookViewId="0">
      <selection activeCell="P223" sqref="P223:S229"/>
    </sheetView>
  </sheetViews>
  <sheetFormatPr defaultColWidth="9.140625" defaultRowHeight="15" x14ac:dyDescent="0.25"/>
  <cols>
    <col min="1" max="1" width="37.5703125" style="119" bestFit="1" customWidth="1"/>
    <col min="2" max="2" width="28.7109375" style="119" bestFit="1" customWidth="1"/>
    <col min="3" max="3" width="45.5703125" customWidth="1"/>
    <col min="4" max="4" width="21.5703125" style="118" customWidth="1"/>
    <col min="5" max="5" width="54.42578125" style="118" bestFit="1" customWidth="1"/>
    <col min="6" max="6" width="31" style="118" customWidth="1"/>
    <col min="7" max="7" width="27.85546875" style="118" customWidth="1"/>
    <col min="8" max="8" width="37.85546875" style="118" customWidth="1"/>
    <col min="9" max="9" width="40.140625" style="118" customWidth="1"/>
    <col min="10" max="41" width="14.7109375" customWidth="1"/>
    <col min="42" max="42" width="37.28515625" customWidth="1"/>
    <col min="43" max="43" width="47.7109375" customWidth="1"/>
    <col min="44" max="44" width="88.5703125" customWidth="1"/>
  </cols>
  <sheetData>
    <row r="1" spans="1:43" ht="15.75" thickBot="1" x14ac:dyDescent="0.3"/>
    <row r="2" spans="1:43" s="122" customFormat="1" ht="102.75" thickBot="1" x14ac:dyDescent="0.3">
      <c r="A2" s="119" t="s">
        <v>1166</v>
      </c>
      <c r="B2" s="119" t="s">
        <v>14</v>
      </c>
      <c r="C2" s="125" t="s">
        <v>1208</v>
      </c>
      <c r="D2" s="125" t="s">
        <v>1207</v>
      </c>
      <c r="E2" s="125" t="s">
        <v>1209</v>
      </c>
      <c r="F2" s="125" t="s">
        <v>1212</v>
      </c>
      <c r="G2" s="125" t="s">
        <v>1211</v>
      </c>
      <c r="H2" s="125" t="s">
        <v>1210</v>
      </c>
      <c r="I2" s="123" t="s">
        <v>26</v>
      </c>
      <c r="J2" s="121" t="s">
        <v>27</v>
      </c>
      <c r="K2" s="121" t="s">
        <v>28</v>
      </c>
      <c r="L2" s="121" t="s">
        <v>29</v>
      </c>
      <c r="M2" s="121" t="s">
        <v>31</v>
      </c>
      <c r="N2" s="121" t="s">
        <v>32</v>
      </c>
      <c r="O2" s="121" t="s">
        <v>1164</v>
      </c>
      <c r="P2" s="121" t="s">
        <v>33</v>
      </c>
      <c r="Q2" s="121" t="s">
        <v>34</v>
      </c>
      <c r="R2" s="121" t="s">
        <v>35</v>
      </c>
      <c r="S2" s="121" t="s">
        <v>36</v>
      </c>
      <c r="T2" s="121" t="s">
        <v>1168</v>
      </c>
      <c r="U2" s="121" t="s">
        <v>37</v>
      </c>
      <c r="V2" s="121" t="s">
        <v>38</v>
      </c>
      <c r="W2" s="121" t="s">
        <v>39</v>
      </c>
      <c r="X2" s="121" t="s">
        <v>1170</v>
      </c>
      <c r="Y2" s="121" t="s">
        <v>40</v>
      </c>
      <c r="Z2" s="121" t="s">
        <v>41</v>
      </c>
      <c r="AA2" s="121" t="s">
        <v>1172</v>
      </c>
      <c r="AB2" s="121" t="s">
        <v>42</v>
      </c>
      <c r="AC2" s="121" t="s">
        <v>43</v>
      </c>
      <c r="AD2" s="121" t="s">
        <v>44</v>
      </c>
      <c r="AE2" s="121" t="s">
        <v>45</v>
      </c>
      <c r="AF2" s="121" t="s">
        <v>1175</v>
      </c>
      <c r="AG2" s="121" t="s">
        <v>1176</v>
      </c>
      <c r="AH2" s="121" t="s">
        <v>1177</v>
      </c>
      <c r="AI2" s="121" t="s">
        <v>1178</v>
      </c>
      <c r="AJ2" s="121" t="s">
        <v>1179</v>
      </c>
      <c r="AK2" s="121" t="s">
        <v>1181</v>
      </c>
      <c r="AL2" s="121" t="s">
        <v>1182</v>
      </c>
      <c r="AM2" s="121" t="s">
        <v>1183</v>
      </c>
      <c r="AN2" s="121" t="s">
        <v>1184</v>
      </c>
      <c r="AO2" s="120" t="s">
        <v>1236</v>
      </c>
      <c r="AP2" s="120" t="s">
        <v>1237</v>
      </c>
      <c r="AQ2" s="126" t="s">
        <v>1238</v>
      </c>
    </row>
    <row r="3" spans="1:43" ht="15.75" thickBot="1" x14ac:dyDescent="0.3">
      <c r="B3" s="160" t="s">
        <v>90</v>
      </c>
      <c r="C3" s="160" t="s">
        <v>1470</v>
      </c>
      <c r="D3" s="160" t="s">
        <v>866</v>
      </c>
      <c r="E3" s="160" t="s">
        <v>701</v>
      </c>
      <c r="F3" s="160" t="s">
        <v>74</v>
      </c>
      <c r="G3" s="160" t="s">
        <v>72</v>
      </c>
      <c r="H3" s="160" t="s">
        <v>72</v>
      </c>
      <c r="I3" s="160" t="s">
        <v>1206</v>
      </c>
      <c r="J3" s="160" t="s">
        <v>1206</v>
      </c>
      <c r="K3" s="160" t="s">
        <v>1206</v>
      </c>
      <c r="L3" s="160" t="s">
        <v>1206</v>
      </c>
      <c r="M3" s="160" t="s">
        <v>1205</v>
      </c>
      <c r="N3" s="160" t="s">
        <v>1580</v>
      </c>
      <c r="O3" s="160" t="s">
        <v>1205</v>
      </c>
      <c r="P3" s="160" t="s">
        <v>1206</v>
      </c>
      <c r="Q3" s="160" t="s">
        <v>1206</v>
      </c>
      <c r="R3" s="160" t="s">
        <v>1205</v>
      </c>
      <c r="S3" s="160" t="s">
        <v>1205</v>
      </c>
      <c r="T3" s="160" t="s">
        <v>1206</v>
      </c>
      <c r="U3" s="160" t="s">
        <v>1205</v>
      </c>
      <c r="V3" s="160" t="s">
        <v>1205</v>
      </c>
      <c r="W3" s="160" t="s">
        <v>1205</v>
      </c>
      <c r="X3" s="160" t="s">
        <v>1206</v>
      </c>
      <c r="Y3" s="160" t="s">
        <v>1206</v>
      </c>
      <c r="Z3" s="160" t="s">
        <v>1206</v>
      </c>
      <c r="AA3" s="160" t="s">
        <v>1206</v>
      </c>
      <c r="AB3" s="160" t="s">
        <v>1205</v>
      </c>
      <c r="AC3" s="160" t="s">
        <v>1206</v>
      </c>
      <c r="AD3" s="160" t="s">
        <v>1206</v>
      </c>
      <c r="AE3" s="160" t="s">
        <v>1206</v>
      </c>
      <c r="AF3" s="160" t="s">
        <v>1206</v>
      </c>
      <c r="AG3" s="160" t="s">
        <v>1206</v>
      </c>
      <c r="AH3" s="160" t="s">
        <v>1206</v>
      </c>
      <c r="AI3" s="160" t="s">
        <v>1206</v>
      </c>
      <c r="AJ3" s="160" t="s">
        <v>1206</v>
      </c>
      <c r="AK3" s="160" t="s">
        <v>1206</v>
      </c>
      <c r="AL3" s="160" t="s">
        <v>1206</v>
      </c>
      <c r="AM3" s="160" t="s">
        <v>1580</v>
      </c>
      <c r="AN3" s="160" t="s">
        <v>1206</v>
      </c>
      <c r="AO3" s="160" t="s">
        <v>665</v>
      </c>
      <c r="AP3" s="160" t="s">
        <v>1230</v>
      </c>
      <c r="AQ3" s="160" t="s">
        <v>1533</v>
      </c>
    </row>
    <row r="4" spans="1:43" ht="27" thickBot="1" x14ac:dyDescent="0.3">
      <c r="B4" s="160" t="s">
        <v>90</v>
      </c>
      <c r="C4" s="160" t="s">
        <v>1471</v>
      </c>
      <c r="D4" s="160" t="s">
        <v>1448</v>
      </c>
      <c r="E4" s="160" t="s">
        <v>1494</v>
      </c>
      <c r="F4" s="160" t="s">
        <v>1217</v>
      </c>
      <c r="G4" s="160" t="s">
        <v>72</v>
      </c>
      <c r="H4" s="160" t="s">
        <v>72</v>
      </c>
      <c r="I4" s="160" t="s">
        <v>1206</v>
      </c>
      <c r="J4" s="160" t="s">
        <v>1206</v>
      </c>
      <c r="K4" s="160" t="s">
        <v>1206</v>
      </c>
      <c r="L4" s="160" t="s">
        <v>1205</v>
      </c>
      <c r="M4" s="160" t="s">
        <v>1205</v>
      </c>
      <c r="N4" s="160" t="s">
        <v>1205</v>
      </c>
      <c r="O4" s="160" t="s">
        <v>1205</v>
      </c>
      <c r="P4" s="160" t="s">
        <v>1206</v>
      </c>
      <c r="Q4" s="160" t="s">
        <v>1206</v>
      </c>
      <c r="R4" s="160" t="s">
        <v>1205</v>
      </c>
      <c r="S4" s="160" t="s">
        <v>1205</v>
      </c>
      <c r="T4" s="160" t="s">
        <v>1205</v>
      </c>
      <c r="U4" s="160" t="s">
        <v>1206</v>
      </c>
      <c r="V4" s="160" t="s">
        <v>1206</v>
      </c>
      <c r="W4" s="160" t="s">
        <v>1206</v>
      </c>
      <c r="X4" s="160" t="s">
        <v>1206</v>
      </c>
      <c r="Y4" s="160" t="s">
        <v>1205</v>
      </c>
      <c r="Z4" s="160" t="s">
        <v>1205</v>
      </c>
      <c r="AA4" s="160" t="s">
        <v>1205</v>
      </c>
      <c r="AB4" s="160" t="s">
        <v>1205</v>
      </c>
      <c r="AC4" s="160" t="s">
        <v>1205</v>
      </c>
      <c r="AD4" s="160" t="s">
        <v>1205</v>
      </c>
      <c r="AE4" s="160" t="s">
        <v>1205</v>
      </c>
      <c r="AF4" s="160" t="s">
        <v>1205</v>
      </c>
      <c r="AG4" s="160" t="s">
        <v>1205</v>
      </c>
      <c r="AH4" s="160" t="s">
        <v>1205</v>
      </c>
      <c r="AI4" s="160" t="s">
        <v>1205</v>
      </c>
      <c r="AJ4" s="160" t="s">
        <v>1205</v>
      </c>
      <c r="AK4" s="160" t="s">
        <v>1205</v>
      </c>
      <c r="AL4" s="160" t="s">
        <v>1205</v>
      </c>
      <c r="AM4" s="160" t="s">
        <v>1205</v>
      </c>
      <c r="AN4" s="160" t="s">
        <v>1205</v>
      </c>
      <c r="AO4" s="160" t="s">
        <v>645</v>
      </c>
      <c r="AP4" s="160" t="s">
        <v>1230</v>
      </c>
      <c r="AQ4" s="160" t="s">
        <v>1534</v>
      </c>
    </row>
    <row r="5" spans="1:43" ht="52.5" thickBot="1" x14ac:dyDescent="0.3">
      <c r="B5" s="160" t="s">
        <v>90</v>
      </c>
      <c r="C5" s="160" t="s">
        <v>1472</v>
      </c>
      <c r="D5" s="160" t="s">
        <v>201</v>
      </c>
      <c r="E5" s="160" t="s">
        <v>531</v>
      </c>
      <c r="F5" s="160" t="s">
        <v>534</v>
      </c>
      <c r="G5" s="160" t="s">
        <v>72</v>
      </c>
      <c r="H5" s="160" t="s">
        <v>72</v>
      </c>
      <c r="I5" s="160" t="s">
        <v>1206</v>
      </c>
      <c r="J5" s="160" t="s">
        <v>1206</v>
      </c>
      <c r="K5" s="160" t="s">
        <v>1205</v>
      </c>
      <c r="L5" s="160" t="s">
        <v>1205</v>
      </c>
      <c r="M5" s="160" t="s">
        <v>1205</v>
      </c>
      <c r="N5" s="160" t="s">
        <v>1205</v>
      </c>
      <c r="O5" s="160" t="s">
        <v>1205</v>
      </c>
      <c r="P5" s="160" t="s">
        <v>1580</v>
      </c>
      <c r="Q5" s="160" t="s">
        <v>1206</v>
      </c>
      <c r="R5" s="160" t="s">
        <v>1205</v>
      </c>
      <c r="S5" s="160" t="s">
        <v>1205</v>
      </c>
      <c r="T5" s="160" t="s">
        <v>1205</v>
      </c>
      <c r="U5" s="160" t="s">
        <v>1206</v>
      </c>
      <c r="V5" s="160" t="s">
        <v>1205</v>
      </c>
      <c r="W5" s="160" t="s">
        <v>1205</v>
      </c>
      <c r="X5" s="160" t="s">
        <v>1206</v>
      </c>
      <c r="Y5" s="160" t="s">
        <v>1205</v>
      </c>
      <c r="Z5" s="160" t="s">
        <v>1205</v>
      </c>
      <c r="AA5" s="160" t="s">
        <v>1205</v>
      </c>
      <c r="AB5" s="160" t="s">
        <v>1205</v>
      </c>
      <c r="AC5" s="160" t="s">
        <v>1206</v>
      </c>
      <c r="AD5" s="160" t="s">
        <v>1205</v>
      </c>
      <c r="AE5" s="160" t="s">
        <v>1206</v>
      </c>
      <c r="AF5" s="160" t="s">
        <v>1206</v>
      </c>
      <c r="AG5" s="160" t="s">
        <v>1206</v>
      </c>
      <c r="AH5" s="160" t="s">
        <v>1205</v>
      </c>
      <c r="AI5" s="160" t="s">
        <v>1206</v>
      </c>
      <c r="AJ5" s="160" t="s">
        <v>1205</v>
      </c>
      <c r="AK5" s="160" t="s">
        <v>1206</v>
      </c>
      <c r="AL5" s="160" t="s">
        <v>1206</v>
      </c>
      <c r="AM5" s="160" t="s">
        <v>1206</v>
      </c>
      <c r="AN5" s="160" t="s">
        <v>1205</v>
      </c>
      <c r="AO5" s="160" t="s">
        <v>645</v>
      </c>
      <c r="AP5" s="160" t="s">
        <v>1228</v>
      </c>
      <c r="AQ5" s="160" t="s">
        <v>1535</v>
      </c>
    </row>
    <row r="6" spans="1:43" ht="27" thickBot="1" x14ac:dyDescent="0.3">
      <c r="B6" s="160" t="s">
        <v>90</v>
      </c>
      <c r="C6" s="160" t="s">
        <v>1479</v>
      </c>
      <c r="D6" s="160" t="s">
        <v>1455</v>
      </c>
      <c r="E6" s="160" t="s">
        <v>1501</v>
      </c>
      <c r="F6" s="160" t="s">
        <v>1014</v>
      </c>
      <c r="G6" s="160" t="s">
        <v>72</v>
      </c>
      <c r="H6" s="160" t="s">
        <v>72</v>
      </c>
      <c r="I6" s="160" t="s">
        <v>1206</v>
      </c>
      <c r="J6" s="160" t="s">
        <v>1206</v>
      </c>
      <c r="K6" s="160" t="s">
        <v>1206</v>
      </c>
      <c r="L6" s="160" t="s">
        <v>1205</v>
      </c>
      <c r="M6" s="160" t="s">
        <v>1205</v>
      </c>
      <c r="N6" s="160" t="s">
        <v>1206</v>
      </c>
      <c r="O6" s="160" t="s">
        <v>1206</v>
      </c>
      <c r="P6" s="160" t="s">
        <v>1206</v>
      </c>
      <c r="Q6" s="160" t="s">
        <v>1206</v>
      </c>
      <c r="R6" s="160" t="s">
        <v>1206</v>
      </c>
      <c r="S6" s="160" t="s">
        <v>1206</v>
      </c>
      <c r="T6" s="160" t="s">
        <v>1206</v>
      </c>
      <c r="U6" s="160" t="s">
        <v>1206</v>
      </c>
      <c r="V6" s="160" t="s">
        <v>1206</v>
      </c>
      <c r="W6" s="160" t="s">
        <v>1206</v>
      </c>
      <c r="X6" s="160" t="s">
        <v>1206</v>
      </c>
      <c r="Y6" s="160" t="s">
        <v>1206</v>
      </c>
      <c r="Z6" s="160" t="s">
        <v>1206</v>
      </c>
      <c r="AA6" s="160" t="s">
        <v>1206</v>
      </c>
      <c r="AB6" s="160" t="s">
        <v>1206</v>
      </c>
      <c r="AC6" s="160" t="s">
        <v>1206</v>
      </c>
      <c r="AD6" s="160" t="s">
        <v>1206</v>
      </c>
      <c r="AE6" s="160" t="s">
        <v>1206</v>
      </c>
      <c r="AF6" s="160" t="s">
        <v>1206</v>
      </c>
      <c r="AG6" s="160" t="s">
        <v>1206</v>
      </c>
      <c r="AH6" s="160" t="s">
        <v>1206</v>
      </c>
      <c r="AI6" s="160" t="s">
        <v>1206</v>
      </c>
      <c r="AJ6" s="160" t="s">
        <v>1206</v>
      </c>
      <c r="AK6" s="160" t="s">
        <v>1206</v>
      </c>
      <c r="AL6" s="160" t="s">
        <v>1206</v>
      </c>
      <c r="AM6" s="160" t="s">
        <v>1580</v>
      </c>
      <c r="AN6" s="160" t="s">
        <v>1206</v>
      </c>
      <c r="AO6" s="160" t="s">
        <v>665</v>
      </c>
      <c r="AP6" s="160" t="s">
        <v>1230</v>
      </c>
      <c r="AQ6" s="160" t="s">
        <v>1682</v>
      </c>
    </row>
    <row r="7" spans="1:43" ht="15.75" thickBot="1" x14ac:dyDescent="0.3">
      <c r="B7" s="160" t="s">
        <v>90</v>
      </c>
      <c r="C7" s="160" t="s">
        <v>1483</v>
      </c>
      <c r="D7" s="160" t="s">
        <v>1459</v>
      </c>
      <c r="E7" s="160" t="s">
        <v>1505</v>
      </c>
      <c r="F7" s="160" t="s">
        <v>1521</v>
      </c>
      <c r="G7" s="160" t="s">
        <v>72</v>
      </c>
      <c r="H7" s="160" t="s">
        <v>72</v>
      </c>
      <c r="I7" s="160" t="s">
        <v>1206</v>
      </c>
      <c r="J7" s="160" t="s">
        <v>1206</v>
      </c>
      <c r="K7" s="160" t="s">
        <v>1206</v>
      </c>
      <c r="L7" s="160" t="s">
        <v>1205</v>
      </c>
      <c r="M7" s="160" t="s">
        <v>1205</v>
      </c>
      <c r="N7" s="160" t="s">
        <v>1206</v>
      </c>
      <c r="O7" s="160" t="s">
        <v>1205</v>
      </c>
      <c r="P7" s="160" t="s">
        <v>1206</v>
      </c>
      <c r="Q7" s="160" t="s">
        <v>1205</v>
      </c>
      <c r="R7" s="160" t="s">
        <v>1205</v>
      </c>
      <c r="S7" s="160" t="s">
        <v>1206</v>
      </c>
      <c r="T7" s="160" t="s">
        <v>1205</v>
      </c>
      <c r="U7" s="160" t="s">
        <v>1205</v>
      </c>
      <c r="V7" s="160" t="s">
        <v>1205</v>
      </c>
      <c r="W7" s="160" t="s">
        <v>1206</v>
      </c>
      <c r="X7" s="160" t="s">
        <v>1205</v>
      </c>
      <c r="Y7" s="160" t="s">
        <v>1205</v>
      </c>
      <c r="Z7" s="160" t="s">
        <v>1205</v>
      </c>
      <c r="AA7" s="160" t="s">
        <v>1205</v>
      </c>
      <c r="AB7" s="160" t="s">
        <v>1205</v>
      </c>
      <c r="AC7" s="160" t="s">
        <v>1205</v>
      </c>
      <c r="AD7" s="160" t="s">
        <v>1206</v>
      </c>
      <c r="AE7" s="160" t="s">
        <v>1205</v>
      </c>
      <c r="AF7" s="160" t="s">
        <v>1206</v>
      </c>
      <c r="AG7" s="160" t="s">
        <v>1206</v>
      </c>
      <c r="AH7" s="160" t="s">
        <v>1205</v>
      </c>
      <c r="AI7" s="160" t="s">
        <v>1205</v>
      </c>
      <c r="AJ7" s="160" t="s">
        <v>1206</v>
      </c>
      <c r="AK7" s="160" t="s">
        <v>1205</v>
      </c>
      <c r="AL7" s="160" t="s">
        <v>1205</v>
      </c>
      <c r="AM7" s="160" t="s">
        <v>1205</v>
      </c>
      <c r="AN7" s="160" t="s">
        <v>1205</v>
      </c>
      <c r="AO7" s="160" t="s">
        <v>645</v>
      </c>
      <c r="AP7" s="160" t="s">
        <v>1228</v>
      </c>
      <c r="AQ7" s="160" t="s">
        <v>1683</v>
      </c>
    </row>
    <row r="8" spans="1:43" ht="27" thickBot="1" x14ac:dyDescent="0.3">
      <c r="B8" s="160" t="s">
        <v>197</v>
      </c>
      <c r="C8" s="160" t="s">
        <v>1486</v>
      </c>
      <c r="D8" s="178" t="s">
        <v>1462</v>
      </c>
      <c r="E8" s="160" t="s">
        <v>1508</v>
      </c>
      <c r="F8" s="160" t="s">
        <v>1305</v>
      </c>
      <c r="G8" s="160" t="s">
        <v>71</v>
      </c>
      <c r="H8" s="160" t="s">
        <v>72</v>
      </c>
      <c r="I8" s="160" t="s">
        <v>1581</v>
      </c>
      <c r="J8" s="160" t="s">
        <v>1206</v>
      </c>
      <c r="K8" s="160" t="s">
        <v>1206</v>
      </c>
      <c r="L8" s="160" t="s">
        <v>1206</v>
      </c>
      <c r="M8" s="160" t="s">
        <v>1205</v>
      </c>
      <c r="N8" s="160" t="s">
        <v>1205</v>
      </c>
      <c r="O8" s="160" t="s">
        <v>1205</v>
      </c>
      <c r="P8" s="120" t="s">
        <v>1580</v>
      </c>
      <c r="Q8" s="120" t="s">
        <v>1581</v>
      </c>
      <c r="R8" s="160" t="s">
        <v>1581</v>
      </c>
      <c r="S8" s="160" t="s">
        <v>1581</v>
      </c>
      <c r="T8" s="160" t="s">
        <v>1206</v>
      </c>
      <c r="U8" s="160" t="s">
        <v>1206</v>
      </c>
      <c r="V8" s="160" t="s">
        <v>1205</v>
      </c>
      <c r="W8" s="160" t="s">
        <v>1205</v>
      </c>
      <c r="X8" s="160" t="s">
        <v>1206</v>
      </c>
      <c r="Y8" s="160" t="s">
        <v>1205</v>
      </c>
      <c r="Z8" s="160" t="s">
        <v>1205</v>
      </c>
      <c r="AA8" s="160" t="s">
        <v>1205</v>
      </c>
      <c r="AB8" s="120" t="s">
        <v>1581</v>
      </c>
      <c r="AC8" s="120" t="s">
        <v>1581</v>
      </c>
      <c r="AD8" s="160" t="s">
        <v>1205</v>
      </c>
      <c r="AE8" s="160" t="s">
        <v>1205</v>
      </c>
      <c r="AF8" s="160" t="s">
        <v>1206</v>
      </c>
      <c r="AG8" s="160" t="s">
        <v>1205</v>
      </c>
      <c r="AH8" s="160" t="s">
        <v>1206</v>
      </c>
      <c r="AI8" s="160" t="s">
        <v>1206</v>
      </c>
      <c r="AJ8" s="160" t="s">
        <v>1206</v>
      </c>
      <c r="AK8" s="160" t="s">
        <v>1206</v>
      </c>
      <c r="AL8" s="160" t="s">
        <v>1205</v>
      </c>
      <c r="AM8" s="160" t="s">
        <v>1205</v>
      </c>
      <c r="AN8" s="160" t="s">
        <v>1205</v>
      </c>
      <c r="AO8" s="160" t="s">
        <v>645</v>
      </c>
      <c r="AP8" s="160" t="s">
        <v>1541</v>
      </c>
      <c r="AQ8" s="160" t="s">
        <v>1705</v>
      </c>
    </row>
    <row r="9" spans="1:43" ht="27" thickBot="1" x14ac:dyDescent="0.3">
      <c r="B9" s="160" t="s">
        <v>197</v>
      </c>
      <c r="C9" s="160" t="s">
        <v>1487</v>
      </c>
      <c r="D9" s="160" t="s">
        <v>1463</v>
      </c>
      <c r="E9" s="160" t="s">
        <v>1509</v>
      </c>
      <c r="F9" s="160" t="s">
        <v>1525</v>
      </c>
      <c r="G9" s="160" t="s">
        <v>72</v>
      </c>
      <c r="H9" s="160" t="s">
        <v>72</v>
      </c>
      <c r="I9" s="160" t="s">
        <v>1205</v>
      </c>
      <c r="J9" s="160" t="s">
        <v>1205</v>
      </c>
      <c r="K9" s="160" t="s">
        <v>1205</v>
      </c>
      <c r="L9" s="160" t="s">
        <v>1206</v>
      </c>
      <c r="M9" s="160" t="s">
        <v>1205</v>
      </c>
      <c r="N9" s="120" t="s">
        <v>1206</v>
      </c>
      <c r="O9" s="160" t="s">
        <v>1205</v>
      </c>
      <c r="P9" s="120" t="s">
        <v>1580</v>
      </c>
      <c r="Q9" s="120" t="s">
        <v>1206</v>
      </c>
      <c r="R9" s="160" t="s">
        <v>1205</v>
      </c>
      <c r="S9" s="160" t="s">
        <v>1205</v>
      </c>
      <c r="T9" s="160" t="s">
        <v>1205</v>
      </c>
      <c r="U9" s="160" t="s">
        <v>1205</v>
      </c>
      <c r="V9" s="160" t="s">
        <v>1206</v>
      </c>
      <c r="W9" s="160" t="s">
        <v>1206</v>
      </c>
      <c r="X9" s="160" t="s">
        <v>1206</v>
      </c>
      <c r="Y9" s="160" t="s">
        <v>1205</v>
      </c>
      <c r="Z9" s="160" t="s">
        <v>1205</v>
      </c>
      <c r="AA9" s="160" t="s">
        <v>1205</v>
      </c>
      <c r="AB9" s="160" t="s">
        <v>1205</v>
      </c>
      <c r="AC9" s="160" t="s">
        <v>1205</v>
      </c>
      <c r="AD9" s="160" t="s">
        <v>1205</v>
      </c>
      <c r="AE9" s="160" t="s">
        <v>1205</v>
      </c>
      <c r="AF9" s="160" t="s">
        <v>1206</v>
      </c>
      <c r="AG9" s="160" t="s">
        <v>1206</v>
      </c>
      <c r="AH9" s="160" t="s">
        <v>1205</v>
      </c>
      <c r="AI9" s="160" t="s">
        <v>1205</v>
      </c>
      <c r="AJ9" s="160" t="s">
        <v>1205</v>
      </c>
      <c r="AK9" s="160" t="s">
        <v>1205</v>
      </c>
      <c r="AL9" s="160" t="s">
        <v>1206</v>
      </c>
      <c r="AM9" s="160" t="s">
        <v>1206</v>
      </c>
      <c r="AN9" s="160" t="s">
        <v>1205</v>
      </c>
      <c r="AO9" s="160" t="s">
        <v>645</v>
      </c>
      <c r="AP9" s="160" t="s">
        <v>1440</v>
      </c>
      <c r="AQ9" s="160" t="s">
        <v>1706</v>
      </c>
    </row>
    <row r="10" spans="1:43" ht="27" thickBot="1" x14ac:dyDescent="0.3">
      <c r="B10" s="160" t="s">
        <v>197</v>
      </c>
      <c r="C10" s="160" t="s">
        <v>1492</v>
      </c>
      <c r="D10" s="160" t="s">
        <v>1468</v>
      </c>
      <c r="E10" s="178" t="s">
        <v>1514</v>
      </c>
      <c r="F10" s="160" t="s">
        <v>1529</v>
      </c>
      <c r="G10" s="160" t="s">
        <v>71</v>
      </c>
      <c r="H10" s="160" t="s">
        <v>71</v>
      </c>
      <c r="I10" s="120" t="s">
        <v>1580</v>
      </c>
      <c r="J10" s="160" t="s">
        <v>1206</v>
      </c>
      <c r="K10" s="160" t="s">
        <v>1206</v>
      </c>
      <c r="L10" s="160" t="s">
        <v>1206</v>
      </c>
      <c r="M10" s="120" t="s">
        <v>1206</v>
      </c>
      <c r="N10" s="160" t="s">
        <v>1205</v>
      </c>
      <c r="O10" s="160" t="s">
        <v>1205</v>
      </c>
      <c r="P10" s="120" t="s">
        <v>1580</v>
      </c>
      <c r="Q10" s="120" t="s">
        <v>1206</v>
      </c>
      <c r="R10" s="160" t="s">
        <v>1206</v>
      </c>
      <c r="S10" s="160" t="s">
        <v>1205</v>
      </c>
      <c r="T10" s="160" t="s">
        <v>1205</v>
      </c>
      <c r="U10" s="160" t="s">
        <v>1206</v>
      </c>
      <c r="V10" s="160" t="s">
        <v>1206</v>
      </c>
      <c r="W10" s="160" t="s">
        <v>1206</v>
      </c>
      <c r="X10" s="160" t="s">
        <v>1206</v>
      </c>
      <c r="Y10" s="160" t="s">
        <v>1205</v>
      </c>
      <c r="Z10" s="160" t="s">
        <v>1205</v>
      </c>
      <c r="AA10" s="160" t="s">
        <v>1205</v>
      </c>
      <c r="AB10" s="160" t="s">
        <v>1206</v>
      </c>
      <c r="AC10" s="120" t="s">
        <v>1581</v>
      </c>
      <c r="AD10" s="160" t="s">
        <v>1206</v>
      </c>
      <c r="AE10" s="160" t="s">
        <v>1205</v>
      </c>
      <c r="AF10" s="160" t="s">
        <v>1206</v>
      </c>
      <c r="AG10" s="160" t="s">
        <v>1205</v>
      </c>
      <c r="AH10" s="160" t="s">
        <v>1206</v>
      </c>
      <c r="AI10" s="160" t="s">
        <v>1206</v>
      </c>
      <c r="AJ10" s="160" t="s">
        <v>1206</v>
      </c>
      <c r="AK10" s="160" t="s">
        <v>1206</v>
      </c>
      <c r="AL10" s="160" t="s">
        <v>1205</v>
      </c>
      <c r="AM10" s="160" t="s">
        <v>1205</v>
      </c>
      <c r="AN10" s="160" t="s">
        <v>1205</v>
      </c>
      <c r="AO10" s="160" t="s">
        <v>645</v>
      </c>
      <c r="AP10" s="160" t="s">
        <v>1544</v>
      </c>
      <c r="AQ10" s="160" t="s">
        <v>1707</v>
      </c>
    </row>
    <row r="11" spans="1:43" ht="26.25" thickBot="1" x14ac:dyDescent="0.3">
      <c r="B11" s="160" t="s">
        <v>197</v>
      </c>
      <c r="C11" s="213" t="s">
        <v>1685</v>
      </c>
      <c r="D11" s="213" t="s">
        <v>1456</v>
      </c>
      <c r="E11" s="213" t="s">
        <v>1691</v>
      </c>
      <c r="F11" t="s">
        <v>1693</v>
      </c>
      <c r="G11" s="160" t="s">
        <v>72</v>
      </c>
      <c r="H11" s="160" t="s">
        <v>72</v>
      </c>
      <c r="I11" s="120" t="s">
        <v>1580</v>
      </c>
      <c r="J11" s="120" t="s">
        <v>1205</v>
      </c>
      <c r="K11" s="120" t="s">
        <v>1205</v>
      </c>
      <c r="L11" s="120" t="s">
        <v>1205</v>
      </c>
      <c r="M11" s="160" t="s">
        <v>1205</v>
      </c>
      <c r="N11" s="160" t="s">
        <v>1205</v>
      </c>
      <c r="O11" s="120" t="s">
        <v>1206</v>
      </c>
      <c r="P11" s="120" t="s">
        <v>1580</v>
      </c>
      <c r="Q11" s="120" t="s">
        <v>1206</v>
      </c>
      <c r="R11" s="160" t="s">
        <v>1206</v>
      </c>
      <c r="S11" s="160" t="s">
        <v>1205</v>
      </c>
      <c r="T11" s="120" t="s">
        <v>1205</v>
      </c>
      <c r="U11" s="120" t="s">
        <v>1206</v>
      </c>
      <c r="V11" s="120" t="s">
        <v>1205</v>
      </c>
      <c r="W11" s="120" t="s">
        <v>1206</v>
      </c>
      <c r="X11" s="120" t="s">
        <v>1206</v>
      </c>
      <c r="Y11" s="120" t="s">
        <v>1205</v>
      </c>
      <c r="Z11" s="120" t="s">
        <v>1205</v>
      </c>
      <c r="AA11" s="120" t="s">
        <v>1205</v>
      </c>
      <c r="AB11" s="120" t="s">
        <v>1205</v>
      </c>
      <c r="AC11" s="120" t="s">
        <v>1205</v>
      </c>
      <c r="AD11" s="120" t="s">
        <v>1205</v>
      </c>
      <c r="AE11" s="120" t="s">
        <v>1205</v>
      </c>
      <c r="AF11" s="160" t="s">
        <v>1206</v>
      </c>
      <c r="AG11" s="160" t="s">
        <v>1206</v>
      </c>
      <c r="AH11" s="160" t="s">
        <v>1206</v>
      </c>
      <c r="AI11" s="160" t="s">
        <v>1206</v>
      </c>
      <c r="AJ11" s="160" t="s">
        <v>1206</v>
      </c>
      <c r="AK11" s="160" t="s">
        <v>1206</v>
      </c>
      <c r="AL11" s="160" t="s">
        <v>1206</v>
      </c>
      <c r="AM11" s="160" t="s">
        <v>1580</v>
      </c>
      <c r="AN11" s="160" t="s">
        <v>1206</v>
      </c>
      <c r="AO11" s="160" t="s">
        <v>665</v>
      </c>
      <c r="AP11" s="160" t="s">
        <v>1540</v>
      </c>
      <c r="AQ11" s="126" t="s">
        <v>1708</v>
      </c>
    </row>
    <row r="12" spans="1:43" ht="26.25" thickBot="1" x14ac:dyDescent="0.3">
      <c r="B12" s="160" t="s">
        <v>197</v>
      </c>
      <c r="C12" t="s">
        <v>1686</v>
      </c>
      <c r="D12" s="213" t="s">
        <v>1689</v>
      </c>
      <c r="E12" s="213" t="s">
        <v>1502</v>
      </c>
      <c r="F12" s="120" t="s">
        <v>93</v>
      </c>
      <c r="G12" s="160" t="s">
        <v>71</v>
      </c>
      <c r="H12" s="160" t="s">
        <v>72</v>
      </c>
      <c r="I12" s="120" t="s">
        <v>1580</v>
      </c>
      <c r="J12" s="120" t="s">
        <v>1205</v>
      </c>
      <c r="K12" s="120" t="s">
        <v>1205</v>
      </c>
      <c r="L12" s="120" t="s">
        <v>1205</v>
      </c>
      <c r="M12" s="120" t="s">
        <v>1206</v>
      </c>
      <c r="N12" s="120" t="s">
        <v>1205</v>
      </c>
      <c r="O12" s="120" t="s">
        <v>1205</v>
      </c>
      <c r="P12" s="120" t="s">
        <v>1206</v>
      </c>
      <c r="Q12" s="120" t="s">
        <v>1581</v>
      </c>
      <c r="R12" s="120" t="s">
        <v>1580</v>
      </c>
      <c r="S12" s="160" t="s">
        <v>1206</v>
      </c>
      <c r="T12" s="120" t="s">
        <v>1205</v>
      </c>
      <c r="U12" s="160" t="s">
        <v>1206</v>
      </c>
      <c r="V12" s="160" t="s">
        <v>1206</v>
      </c>
      <c r="W12" s="160" t="s">
        <v>1206</v>
      </c>
      <c r="X12" s="160" t="s">
        <v>1206</v>
      </c>
      <c r="Y12" s="120" t="s">
        <v>1205</v>
      </c>
      <c r="Z12" s="120" t="s">
        <v>1205</v>
      </c>
      <c r="AA12" s="120" t="s">
        <v>1205</v>
      </c>
      <c r="AB12" s="120" t="s">
        <v>1580</v>
      </c>
      <c r="AC12" s="120" t="s">
        <v>1580</v>
      </c>
      <c r="AD12" s="120" t="s">
        <v>1206</v>
      </c>
      <c r="AE12" s="120" t="s">
        <v>1205</v>
      </c>
      <c r="AF12" s="160" t="s">
        <v>1205</v>
      </c>
      <c r="AG12" s="160" t="s">
        <v>1205</v>
      </c>
      <c r="AH12" s="160" t="s">
        <v>1205</v>
      </c>
      <c r="AI12" s="160" t="s">
        <v>1205</v>
      </c>
      <c r="AJ12" s="160" t="s">
        <v>1205</v>
      </c>
      <c r="AK12" s="160" t="s">
        <v>1205</v>
      </c>
      <c r="AL12" s="160" t="s">
        <v>1205</v>
      </c>
      <c r="AM12" s="160" t="s">
        <v>1205</v>
      </c>
      <c r="AN12" s="160" t="s">
        <v>1205</v>
      </c>
      <c r="AO12" s="160" t="s">
        <v>665</v>
      </c>
      <c r="AP12" s="160" t="s">
        <v>1541</v>
      </c>
      <c r="AQ12" s="126" t="s">
        <v>1709</v>
      </c>
    </row>
    <row r="13" spans="1:43" ht="26.25" thickBot="1" x14ac:dyDescent="0.3">
      <c r="B13" s="160" t="s">
        <v>197</v>
      </c>
      <c r="C13" s="213" t="s">
        <v>1687</v>
      </c>
      <c r="D13" s="213" t="s">
        <v>1452</v>
      </c>
      <c r="E13" s="203" t="s">
        <v>1692</v>
      </c>
      <c r="F13" t="s">
        <v>1694</v>
      </c>
      <c r="G13" s="160" t="s">
        <v>72</v>
      </c>
      <c r="H13" s="160" t="s">
        <v>72</v>
      </c>
      <c r="I13" s="160" t="s">
        <v>1581</v>
      </c>
      <c r="J13" s="120" t="s">
        <v>1206</v>
      </c>
      <c r="K13" s="120" t="s">
        <v>1206</v>
      </c>
      <c r="L13" s="120" t="s">
        <v>1205</v>
      </c>
      <c r="M13" s="120" t="s">
        <v>1205</v>
      </c>
      <c r="N13" s="120" t="s">
        <v>1205</v>
      </c>
      <c r="O13" s="120" t="s">
        <v>1205</v>
      </c>
      <c r="P13" s="120" t="s">
        <v>1206</v>
      </c>
      <c r="Q13" s="120" t="s">
        <v>1581</v>
      </c>
      <c r="R13" s="120" t="s">
        <v>1580</v>
      </c>
      <c r="S13" s="160" t="s">
        <v>1206</v>
      </c>
      <c r="T13" s="120" t="s">
        <v>1205</v>
      </c>
      <c r="U13" s="120" t="s">
        <v>1205</v>
      </c>
      <c r="V13" s="120" t="s">
        <v>1205</v>
      </c>
      <c r="W13" s="120" t="s">
        <v>1205</v>
      </c>
      <c r="X13" s="160" t="s">
        <v>1206</v>
      </c>
      <c r="Y13" s="120" t="s">
        <v>1205</v>
      </c>
      <c r="Z13" s="120" t="s">
        <v>1205</v>
      </c>
      <c r="AA13" s="120" t="s">
        <v>1205</v>
      </c>
      <c r="AB13" s="120" t="s">
        <v>1206</v>
      </c>
      <c r="AC13" s="120" t="s">
        <v>1580</v>
      </c>
      <c r="AD13" s="120" t="s">
        <v>1580</v>
      </c>
      <c r="AE13" s="120" t="s">
        <v>1206</v>
      </c>
      <c r="AF13" s="160" t="s">
        <v>1206</v>
      </c>
      <c r="AG13" s="160" t="s">
        <v>1206</v>
      </c>
      <c r="AH13" s="160" t="s">
        <v>1205</v>
      </c>
      <c r="AI13" s="160" t="s">
        <v>1206</v>
      </c>
      <c r="AJ13" s="160" t="s">
        <v>1205</v>
      </c>
      <c r="AK13" s="160" t="s">
        <v>1206</v>
      </c>
      <c r="AL13" s="160" t="s">
        <v>1206</v>
      </c>
      <c r="AM13" s="160" t="s">
        <v>1206</v>
      </c>
      <c r="AN13" s="160" t="s">
        <v>1205</v>
      </c>
      <c r="AO13" s="160" t="s">
        <v>645</v>
      </c>
      <c r="AP13" s="160" t="s">
        <v>1544</v>
      </c>
      <c r="AQ13" s="126" t="s">
        <v>1710</v>
      </c>
    </row>
    <row r="14" spans="1:43" ht="26.25" thickBot="1" x14ac:dyDescent="0.3">
      <c r="B14" s="160" t="s">
        <v>197</v>
      </c>
      <c r="C14" s="213" t="s">
        <v>1688</v>
      </c>
      <c r="D14" s="213" t="s">
        <v>1690</v>
      </c>
      <c r="E14" s="213" t="s">
        <v>1496</v>
      </c>
      <c r="F14" s="120" t="s">
        <v>74</v>
      </c>
      <c r="G14" s="160" t="s">
        <v>71</v>
      </c>
      <c r="H14" s="160" t="s">
        <v>72</v>
      </c>
      <c r="I14" s="120" t="s">
        <v>1205</v>
      </c>
      <c r="J14" s="120" t="s">
        <v>1205</v>
      </c>
      <c r="K14" s="120" t="s">
        <v>1205</v>
      </c>
      <c r="L14" s="120" t="s">
        <v>1205</v>
      </c>
      <c r="M14" s="120" t="s">
        <v>1205</v>
      </c>
      <c r="N14" s="120" t="s">
        <v>1205</v>
      </c>
      <c r="O14" s="120" t="s">
        <v>1205</v>
      </c>
      <c r="P14" s="120" t="s">
        <v>1206</v>
      </c>
      <c r="Q14" s="120" t="s">
        <v>1580</v>
      </c>
      <c r="R14" s="160" t="s">
        <v>1206</v>
      </c>
      <c r="S14" s="120" t="s">
        <v>1206</v>
      </c>
      <c r="T14" s="120" t="s">
        <v>1206</v>
      </c>
      <c r="U14" s="120" t="s">
        <v>1205</v>
      </c>
      <c r="V14" s="120" t="s">
        <v>1205</v>
      </c>
      <c r="W14" s="120" t="s">
        <v>1205</v>
      </c>
      <c r="X14" s="120" t="s">
        <v>1205</v>
      </c>
      <c r="Y14" s="120" t="s">
        <v>1205</v>
      </c>
      <c r="Z14" s="120" t="s">
        <v>1205</v>
      </c>
      <c r="AA14" s="120" t="s">
        <v>1205</v>
      </c>
      <c r="AB14" s="120" t="s">
        <v>1205</v>
      </c>
      <c r="AC14" s="120" t="s">
        <v>1205</v>
      </c>
      <c r="AD14" s="120" t="s">
        <v>1205</v>
      </c>
      <c r="AE14" s="120" t="s">
        <v>1205</v>
      </c>
      <c r="AF14" s="160" t="s">
        <v>1206</v>
      </c>
      <c r="AG14" s="160" t="s">
        <v>1206</v>
      </c>
      <c r="AH14" s="160" t="s">
        <v>1206</v>
      </c>
      <c r="AI14" s="160" t="s">
        <v>1206</v>
      </c>
      <c r="AJ14" s="160" t="s">
        <v>1206</v>
      </c>
      <c r="AK14" s="160" t="s">
        <v>1206</v>
      </c>
      <c r="AL14" s="160" t="s">
        <v>1206</v>
      </c>
      <c r="AM14" s="160" t="s">
        <v>1580</v>
      </c>
      <c r="AN14" s="160" t="s">
        <v>1206</v>
      </c>
      <c r="AO14" s="160" t="s">
        <v>645</v>
      </c>
      <c r="AP14" s="120" t="s">
        <v>1712</v>
      </c>
      <c r="AQ14" s="126" t="s">
        <v>1711</v>
      </c>
    </row>
    <row r="15" spans="1:43" ht="27" thickBot="1" x14ac:dyDescent="0.3">
      <c r="B15" s="160" t="s">
        <v>618</v>
      </c>
      <c r="C15" s="160" t="s">
        <v>1478</v>
      </c>
      <c r="D15" s="160" t="s">
        <v>1454</v>
      </c>
      <c r="E15" s="160" t="s">
        <v>1500</v>
      </c>
      <c r="F15" s="160" t="s">
        <v>1519</v>
      </c>
      <c r="G15" s="160" t="s">
        <v>71</v>
      </c>
      <c r="H15" s="160" t="s">
        <v>72</v>
      </c>
      <c r="I15" s="160" t="s">
        <v>1205</v>
      </c>
      <c r="J15" s="160" t="s">
        <v>1205</v>
      </c>
      <c r="K15" s="160" t="s">
        <v>1205</v>
      </c>
      <c r="L15" s="160" t="s">
        <v>1205</v>
      </c>
      <c r="M15" s="160" t="s">
        <v>1205</v>
      </c>
      <c r="N15" s="160" t="s">
        <v>1205</v>
      </c>
      <c r="O15" s="160" t="s">
        <v>1205</v>
      </c>
      <c r="P15" s="160" t="s">
        <v>1205</v>
      </c>
      <c r="Q15" s="160" t="s">
        <v>1205</v>
      </c>
      <c r="R15" s="160" t="s">
        <v>1205</v>
      </c>
      <c r="S15" s="160" t="s">
        <v>1205</v>
      </c>
      <c r="T15" s="160" t="s">
        <v>1205</v>
      </c>
      <c r="U15" s="160" t="s">
        <v>1205</v>
      </c>
      <c r="V15" s="160" t="s">
        <v>1205</v>
      </c>
      <c r="W15" s="160" t="s">
        <v>1205</v>
      </c>
      <c r="X15" s="160" t="s">
        <v>1205</v>
      </c>
      <c r="Y15" s="160" t="s">
        <v>1205</v>
      </c>
      <c r="Z15" s="160" t="s">
        <v>1205</v>
      </c>
      <c r="AA15" s="160" t="s">
        <v>1205</v>
      </c>
      <c r="AB15" s="160" t="s">
        <v>1205</v>
      </c>
      <c r="AC15" s="160" t="s">
        <v>1205</v>
      </c>
      <c r="AD15" s="160" t="s">
        <v>1205</v>
      </c>
      <c r="AE15" s="160" t="s">
        <v>1205</v>
      </c>
      <c r="AF15" s="160" t="s">
        <v>1205</v>
      </c>
      <c r="AG15" s="160" t="s">
        <v>1205</v>
      </c>
      <c r="AH15" s="160" t="s">
        <v>1205</v>
      </c>
      <c r="AI15" s="160" t="s">
        <v>1206</v>
      </c>
      <c r="AJ15" s="160" t="s">
        <v>1206</v>
      </c>
      <c r="AK15" s="160" t="s">
        <v>1205</v>
      </c>
      <c r="AL15" s="160" t="s">
        <v>1205</v>
      </c>
      <c r="AM15" s="160" t="s">
        <v>1205</v>
      </c>
      <c r="AN15" s="160" t="s">
        <v>1206</v>
      </c>
      <c r="AO15" s="160" t="s">
        <v>645</v>
      </c>
      <c r="AP15" s="160" t="s">
        <v>1539</v>
      </c>
      <c r="AQ15" s="160" t="s">
        <v>1677</v>
      </c>
    </row>
    <row r="16" spans="1:43" ht="27" thickBot="1" x14ac:dyDescent="0.3">
      <c r="B16" s="160" t="s">
        <v>618</v>
      </c>
      <c r="C16" s="160" t="s">
        <v>1482</v>
      </c>
      <c r="D16" s="160" t="s">
        <v>1458</v>
      </c>
      <c r="E16" s="160" t="s">
        <v>1504</v>
      </c>
      <c r="F16" s="160" t="s">
        <v>1519</v>
      </c>
      <c r="G16" s="160" t="s">
        <v>71</v>
      </c>
      <c r="H16" s="160" t="s">
        <v>71</v>
      </c>
      <c r="I16" s="160" t="s">
        <v>1205</v>
      </c>
      <c r="J16" s="160" t="s">
        <v>1205</v>
      </c>
      <c r="K16" s="160" t="s">
        <v>1205</v>
      </c>
      <c r="L16" s="160" t="s">
        <v>1205</v>
      </c>
      <c r="M16" s="160" t="s">
        <v>1205</v>
      </c>
      <c r="N16" s="160" t="s">
        <v>1205</v>
      </c>
      <c r="O16" s="160" t="s">
        <v>1205</v>
      </c>
      <c r="P16" s="160" t="s">
        <v>1205</v>
      </c>
      <c r="Q16" s="160" t="s">
        <v>1205</v>
      </c>
      <c r="R16" s="160" t="s">
        <v>1205</v>
      </c>
      <c r="S16" s="160" t="s">
        <v>1205</v>
      </c>
      <c r="T16" s="160" t="s">
        <v>1205</v>
      </c>
      <c r="U16" s="160" t="s">
        <v>1205</v>
      </c>
      <c r="V16" s="160" t="s">
        <v>1205</v>
      </c>
      <c r="W16" s="160" t="s">
        <v>1205</v>
      </c>
      <c r="X16" s="160" t="s">
        <v>1205</v>
      </c>
      <c r="Y16" s="160" t="s">
        <v>1205</v>
      </c>
      <c r="Z16" s="160" t="s">
        <v>1205</v>
      </c>
      <c r="AA16" s="160" t="s">
        <v>1205</v>
      </c>
      <c r="AB16" s="160" t="s">
        <v>1205</v>
      </c>
      <c r="AC16" s="160" t="s">
        <v>1205</v>
      </c>
      <c r="AD16" s="160" t="s">
        <v>1205</v>
      </c>
      <c r="AE16" s="160" t="s">
        <v>1205</v>
      </c>
      <c r="AF16" s="160" t="s">
        <v>1205</v>
      </c>
      <c r="AG16" s="160" t="s">
        <v>1205</v>
      </c>
      <c r="AH16" s="160" t="s">
        <v>1205</v>
      </c>
      <c r="AI16" s="160" t="s">
        <v>1206</v>
      </c>
      <c r="AJ16" s="160" t="s">
        <v>1205</v>
      </c>
      <c r="AK16" s="160" t="s">
        <v>1205</v>
      </c>
      <c r="AL16" s="160" t="s">
        <v>1205</v>
      </c>
      <c r="AM16" s="160" t="s">
        <v>1205</v>
      </c>
      <c r="AN16" s="160" t="s">
        <v>1206</v>
      </c>
      <c r="AO16" s="160" t="s">
        <v>645</v>
      </c>
      <c r="AP16" s="160" t="s">
        <v>1539</v>
      </c>
      <c r="AQ16" s="160" t="s">
        <v>1678</v>
      </c>
    </row>
    <row r="17" spans="1:43" ht="27" thickBot="1" x14ac:dyDescent="0.3">
      <c r="B17" s="160" t="s">
        <v>618</v>
      </c>
      <c r="C17" s="160" t="s">
        <v>1473</v>
      </c>
      <c r="D17" s="160" t="s">
        <v>1449</v>
      </c>
      <c r="E17" s="160" t="s">
        <v>1495</v>
      </c>
      <c r="F17" s="160" t="s">
        <v>1523</v>
      </c>
      <c r="G17" s="160" t="s">
        <v>72</v>
      </c>
      <c r="H17" s="160" t="s">
        <v>72</v>
      </c>
      <c r="I17" s="160" t="s">
        <v>1205</v>
      </c>
      <c r="J17" s="160" t="s">
        <v>1205</v>
      </c>
      <c r="K17" s="160" t="s">
        <v>1205</v>
      </c>
      <c r="L17" s="160" t="s">
        <v>1205</v>
      </c>
      <c r="M17" s="160" t="s">
        <v>1205</v>
      </c>
      <c r="N17" s="160" t="s">
        <v>1205</v>
      </c>
      <c r="O17" s="160" t="s">
        <v>1205</v>
      </c>
      <c r="P17" s="160" t="s">
        <v>1205</v>
      </c>
      <c r="Q17" s="160" t="s">
        <v>1205</v>
      </c>
      <c r="R17" s="160" t="s">
        <v>1205</v>
      </c>
      <c r="S17" s="160" t="s">
        <v>1205</v>
      </c>
      <c r="T17" s="160" t="s">
        <v>1205</v>
      </c>
      <c r="U17" s="160" t="s">
        <v>1206</v>
      </c>
      <c r="V17" s="160" t="s">
        <v>1205</v>
      </c>
      <c r="W17" s="160" t="s">
        <v>1206</v>
      </c>
      <c r="X17" s="160" t="s">
        <v>1205</v>
      </c>
      <c r="Y17" s="160" t="s">
        <v>1205</v>
      </c>
      <c r="Z17" s="160" t="s">
        <v>1205</v>
      </c>
      <c r="AA17" s="160" t="s">
        <v>1205</v>
      </c>
      <c r="AB17" s="160" t="s">
        <v>1205</v>
      </c>
      <c r="AC17" s="160" t="s">
        <v>1205</v>
      </c>
      <c r="AD17" s="160" t="s">
        <v>1205</v>
      </c>
      <c r="AE17" s="160" t="s">
        <v>1205</v>
      </c>
      <c r="AF17" s="160" t="s">
        <v>1206</v>
      </c>
      <c r="AG17" s="160" t="s">
        <v>1205</v>
      </c>
      <c r="AH17" s="160" t="s">
        <v>1205</v>
      </c>
      <c r="AI17" s="160" t="s">
        <v>1206</v>
      </c>
      <c r="AJ17" s="160" t="s">
        <v>1206</v>
      </c>
      <c r="AK17" s="160" t="s">
        <v>1205</v>
      </c>
      <c r="AL17" s="160" t="s">
        <v>1205</v>
      </c>
      <c r="AM17" s="160" t="s">
        <v>1205</v>
      </c>
      <c r="AN17" s="160" t="s">
        <v>1205</v>
      </c>
      <c r="AO17" s="160" t="s">
        <v>645</v>
      </c>
      <c r="AP17" s="160" t="s">
        <v>1538</v>
      </c>
      <c r="AQ17" t="s">
        <v>1679</v>
      </c>
    </row>
    <row r="18" spans="1:43" ht="15.75" thickBot="1" x14ac:dyDescent="0.3">
      <c r="B18" s="160" t="s">
        <v>618</v>
      </c>
      <c r="C18" s="160" t="s">
        <v>1491</v>
      </c>
      <c r="D18" s="160" t="s">
        <v>1467</v>
      </c>
      <c r="E18" s="160" t="s">
        <v>1513</v>
      </c>
      <c r="F18" s="160" t="s">
        <v>1519</v>
      </c>
      <c r="G18" s="160" t="s">
        <v>72</v>
      </c>
      <c r="H18" s="160" t="s">
        <v>72</v>
      </c>
      <c r="I18" s="160" t="s">
        <v>1205</v>
      </c>
      <c r="J18" s="160" t="s">
        <v>1206</v>
      </c>
      <c r="K18" s="160" t="s">
        <v>1205</v>
      </c>
      <c r="L18" s="160" t="s">
        <v>1205</v>
      </c>
      <c r="M18" s="160" t="s">
        <v>1205</v>
      </c>
      <c r="N18" s="160" t="s">
        <v>1205</v>
      </c>
      <c r="O18" s="160" t="s">
        <v>1206</v>
      </c>
      <c r="P18" s="160" t="s">
        <v>1205</v>
      </c>
      <c r="Q18" s="160" t="s">
        <v>1206</v>
      </c>
      <c r="R18" s="160" t="s">
        <v>1206</v>
      </c>
      <c r="S18" s="160" t="s">
        <v>1205</v>
      </c>
      <c r="T18" s="160" t="s">
        <v>1206</v>
      </c>
      <c r="U18" s="160" t="s">
        <v>1206</v>
      </c>
      <c r="V18" s="160" t="s">
        <v>1206</v>
      </c>
      <c r="W18" s="160" t="s">
        <v>1206</v>
      </c>
      <c r="X18" s="160" t="s">
        <v>1205</v>
      </c>
      <c r="Y18" s="160" t="s">
        <v>1205</v>
      </c>
      <c r="Z18" s="160" t="s">
        <v>1205</v>
      </c>
      <c r="AA18" s="160" t="s">
        <v>1206</v>
      </c>
      <c r="AB18" s="160" t="s">
        <v>1205</v>
      </c>
      <c r="AC18" s="160" t="s">
        <v>1206</v>
      </c>
      <c r="AD18" s="160" t="s">
        <v>1205</v>
      </c>
      <c r="AE18" s="160" t="s">
        <v>1206</v>
      </c>
      <c r="AF18" s="160" t="s">
        <v>1206</v>
      </c>
      <c r="AG18" s="160" t="s">
        <v>1205</v>
      </c>
      <c r="AH18" s="160" t="s">
        <v>1206</v>
      </c>
      <c r="AI18" s="160" t="s">
        <v>1206</v>
      </c>
      <c r="AJ18" s="160" t="s">
        <v>1206</v>
      </c>
      <c r="AK18" s="160" t="s">
        <v>1206</v>
      </c>
      <c r="AL18" s="160" t="s">
        <v>1205</v>
      </c>
      <c r="AM18" s="160" t="s">
        <v>1205</v>
      </c>
      <c r="AN18" s="160" t="s">
        <v>1206</v>
      </c>
      <c r="AO18" s="160" t="s">
        <v>645</v>
      </c>
      <c r="AP18" s="160" t="s">
        <v>1538</v>
      </c>
      <c r="AQ18" t="s">
        <v>1680</v>
      </c>
    </row>
    <row r="25" spans="1:43" ht="15" customHeight="1" x14ac:dyDescent="0.25"/>
    <row r="26" spans="1:43" ht="39" customHeight="1" thickBot="1" x14ac:dyDescent="0.3">
      <c r="A26" s="119" t="s">
        <v>1161</v>
      </c>
      <c r="B26" s="119" t="s">
        <v>14</v>
      </c>
      <c r="C26" s="125" t="s">
        <v>1207</v>
      </c>
      <c r="D26" s="125" t="s">
        <v>1209</v>
      </c>
      <c r="E26" s="125" t="s">
        <v>1212</v>
      </c>
      <c r="F26" s="125" t="s">
        <v>1211</v>
      </c>
      <c r="G26" s="125" t="s">
        <v>1210</v>
      </c>
      <c r="H26" s="124" t="s">
        <v>26</v>
      </c>
      <c r="I26" s="116" t="s">
        <v>27</v>
      </c>
      <c r="J26" s="116" t="s">
        <v>28</v>
      </c>
      <c r="K26" s="116" t="s">
        <v>29</v>
      </c>
      <c r="L26" s="116" t="s">
        <v>30</v>
      </c>
      <c r="M26" s="116" t="s">
        <v>31</v>
      </c>
      <c r="N26" s="116" t="s">
        <v>32</v>
      </c>
      <c r="O26" s="116" t="s">
        <v>33</v>
      </c>
      <c r="P26" s="116" t="s">
        <v>34</v>
      </c>
      <c r="Q26" s="116" t="s">
        <v>35</v>
      </c>
      <c r="R26" s="116" t="s">
        <v>36</v>
      </c>
      <c r="S26" s="161" t="s">
        <v>1168</v>
      </c>
      <c r="T26" s="116" t="s">
        <v>37</v>
      </c>
      <c r="U26" s="116" t="s">
        <v>38</v>
      </c>
      <c r="V26" s="116" t="s">
        <v>39</v>
      </c>
      <c r="W26" s="116" t="s">
        <v>40</v>
      </c>
      <c r="X26" s="116" t="s">
        <v>41</v>
      </c>
      <c r="Y26" s="116" t="s">
        <v>1172</v>
      </c>
      <c r="Z26" s="116" t="s">
        <v>42</v>
      </c>
      <c r="AA26" s="116" t="s">
        <v>43</v>
      </c>
      <c r="AB26" s="116" t="s">
        <v>44</v>
      </c>
      <c r="AC26" s="116" t="s">
        <v>45</v>
      </c>
      <c r="AD26" s="116" t="s">
        <v>1175</v>
      </c>
      <c r="AE26" s="116" t="s">
        <v>1176</v>
      </c>
      <c r="AF26" s="116" t="s">
        <v>1177</v>
      </c>
      <c r="AG26" s="116" t="s">
        <v>1178</v>
      </c>
      <c r="AH26" s="116" t="s">
        <v>1179</v>
      </c>
      <c r="AI26" s="116" t="s">
        <v>1181</v>
      </c>
      <c r="AJ26" s="116" t="s">
        <v>1182</v>
      </c>
      <c r="AK26" s="116" t="s">
        <v>1183</v>
      </c>
      <c r="AL26" s="116" t="s">
        <v>1184</v>
      </c>
    </row>
    <row r="27" spans="1:43" ht="39.75" customHeight="1" thickBot="1" x14ac:dyDescent="0.3">
      <c r="B27" s="127" t="s">
        <v>142</v>
      </c>
      <c r="C27" s="160" t="s">
        <v>1545</v>
      </c>
      <c r="D27" t="s">
        <v>1598</v>
      </c>
      <c r="E27" t="s">
        <v>1217</v>
      </c>
      <c r="F27" s="160" t="s">
        <v>72</v>
      </c>
      <c r="G27" s="160" t="s">
        <v>72</v>
      </c>
      <c r="H27" t="s">
        <v>1205</v>
      </c>
      <c r="I27" t="s">
        <v>1206</v>
      </c>
      <c r="J27" t="s">
        <v>1206</v>
      </c>
      <c r="K27" t="s">
        <v>1206</v>
      </c>
      <c r="L27" t="s">
        <v>1206</v>
      </c>
      <c r="M27" t="s">
        <v>1205</v>
      </c>
      <c r="N27" t="s">
        <v>1206</v>
      </c>
      <c r="O27" t="s">
        <v>1229</v>
      </c>
      <c r="P27" t="s">
        <v>1205</v>
      </c>
      <c r="Q27" t="s">
        <v>1205</v>
      </c>
      <c r="R27" t="s">
        <v>1205</v>
      </c>
      <c r="S27" t="s">
        <v>1205</v>
      </c>
      <c r="T27" t="s">
        <v>1205</v>
      </c>
      <c r="U27" t="s">
        <v>1206</v>
      </c>
      <c r="V27" t="s">
        <v>1205</v>
      </c>
      <c r="W27" t="s">
        <v>1206</v>
      </c>
      <c r="X27" t="s">
        <v>1206</v>
      </c>
      <c r="Y27" t="s">
        <v>1206</v>
      </c>
      <c r="Z27" t="s">
        <v>1206</v>
      </c>
      <c r="AA27" t="s">
        <v>1206</v>
      </c>
      <c r="AB27" t="s">
        <v>1205</v>
      </c>
      <c r="AC27" t="s">
        <v>1205</v>
      </c>
      <c r="AD27" s="160" t="s">
        <v>1436</v>
      </c>
      <c r="AE27" s="160" t="s">
        <v>1436</v>
      </c>
      <c r="AF27" s="160" t="s">
        <v>1436</v>
      </c>
      <c r="AG27" s="160" t="s">
        <v>1205</v>
      </c>
      <c r="AH27" s="160" t="s">
        <v>1205</v>
      </c>
      <c r="AI27" s="160" t="s">
        <v>1436</v>
      </c>
      <c r="AJ27" s="160" t="s">
        <v>1205</v>
      </c>
      <c r="AK27" s="160" t="s">
        <v>1436</v>
      </c>
      <c r="AL27" s="160" t="s">
        <v>1436</v>
      </c>
    </row>
    <row r="28" spans="1:43" ht="15.75" customHeight="1" thickBot="1" x14ac:dyDescent="0.3">
      <c r="B28" s="127" t="s">
        <v>142</v>
      </c>
      <c r="C28" s="179" t="s">
        <v>1548</v>
      </c>
      <c r="D28" t="s">
        <v>1599</v>
      </c>
      <c r="E28" t="s">
        <v>1556</v>
      </c>
      <c r="F28" s="160" t="s">
        <v>72</v>
      </c>
      <c r="G28" s="160" t="s">
        <v>72</v>
      </c>
      <c r="H28" t="s">
        <v>1205</v>
      </c>
      <c r="I28" t="s">
        <v>1205</v>
      </c>
      <c r="J28" t="s">
        <v>1206</v>
      </c>
      <c r="K28" t="s">
        <v>1205</v>
      </c>
      <c r="L28" t="s">
        <v>1206</v>
      </c>
      <c r="M28" t="s">
        <v>1206</v>
      </c>
      <c r="N28" t="s">
        <v>1205</v>
      </c>
      <c r="O28" t="s">
        <v>1206</v>
      </c>
      <c r="P28" t="s">
        <v>1205</v>
      </c>
      <c r="Q28" t="s">
        <v>1205</v>
      </c>
      <c r="R28" t="s">
        <v>1206</v>
      </c>
      <c r="S28" t="s">
        <v>1205</v>
      </c>
      <c r="T28" t="s">
        <v>1205</v>
      </c>
      <c r="U28" t="s">
        <v>1206</v>
      </c>
      <c r="V28" t="s">
        <v>1206</v>
      </c>
      <c r="W28" t="s">
        <v>1205</v>
      </c>
      <c r="X28" t="s">
        <v>1205</v>
      </c>
      <c r="Y28" t="s">
        <v>1205</v>
      </c>
      <c r="Z28" t="s">
        <v>1206</v>
      </c>
      <c r="AA28" t="s">
        <v>1205</v>
      </c>
      <c r="AB28" t="s">
        <v>1206</v>
      </c>
      <c r="AC28" t="s">
        <v>1229</v>
      </c>
      <c r="AD28" s="160" t="s">
        <v>1206</v>
      </c>
      <c r="AE28" s="160" t="s">
        <v>1206</v>
      </c>
      <c r="AF28" s="160" t="s">
        <v>1205</v>
      </c>
      <c r="AG28" s="160" t="s">
        <v>1205</v>
      </c>
      <c r="AH28" s="160" t="s">
        <v>1205</v>
      </c>
      <c r="AI28" s="160" t="s">
        <v>1205</v>
      </c>
      <c r="AJ28" s="160" t="s">
        <v>1206</v>
      </c>
      <c r="AK28" s="160" t="s">
        <v>1206</v>
      </c>
      <c r="AL28" s="160" t="s">
        <v>1206</v>
      </c>
    </row>
    <row r="29" spans="1:43" ht="15.75" customHeight="1" thickBot="1" x14ac:dyDescent="0.3">
      <c r="B29" s="127" t="s">
        <v>142</v>
      </c>
      <c r="C29" s="178" t="s">
        <v>1549</v>
      </c>
      <c r="D29" t="s">
        <v>1600</v>
      </c>
      <c r="E29" t="s">
        <v>93</v>
      </c>
      <c r="F29" s="160" t="s">
        <v>72</v>
      </c>
      <c r="G29" s="160" t="s">
        <v>72</v>
      </c>
      <c r="H29" t="s">
        <v>1206</v>
      </c>
      <c r="I29" t="s">
        <v>1205</v>
      </c>
      <c r="J29" t="s">
        <v>1206</v>
      </c>
      <c r="K29" t="s">
        <v>1205</v>
      </c>
      <c r="L29" t="s">
        <v>1205</v>
      </c>
      <c r="M29" t="s">
        <v>1206</v>
      </c>
      <c r="N29" t="s">
        <v>1205</v>
      </c>
      <c r="O29" t="s">
        <v>1205</v>
      </c>
      <c r="P29" t="s">
        <v>1206</v>
      </c>
      <c r="Q29" t="s">
        <v>1206</v>
      </c>
      <c r="R29" t="s">
        <v>1206</v>
      </c>
      <c r="S29" t="s">
        <v>1205</v>
      </c>
      <c r="T29" t="s">
        <v>1229</v>
      </c>
      <c r="U29" t="s">
        <v>1206</v>
      </c>
      <c r="V29" t="s">
        <v>1206</v>
      </c>
      <c r="W29" t="s">
        <v>1205</v>
      </c>
      <c r="X29" t="s">
        <v>1206</v>
      </c>
      <c r="Y29" t="s">
        <v>1206</v>
      </c>
      <c r="Z29" t="s">
        <v>1205</v>
      </c>
      <c r="AA29" t="s">
        <v>1206</v>
      </c>
      <c r="AB29" t="s">
        <v>1205</v>
      </c>
      <c r="AC29" t="s">
        <v>1206</v>
      </c>
      <c r="AD29" s="160" t="s">
        <v>1206</v>
      </c>
      <c r="AE29" s="160" t="s">
        <v>1206</v>
      </c>
      <c r="AF29" s="160" t="s">
        <v>1205</v>
      </c>
      <c r="AG29" s="160" t="s">
        <v>1205</v>
      </c>
      <c r="AH29" s="160" t="s">
        <v>1206</v>
      </c>
      <c r="AI29" s="160" t="s">
        <v>1205</v>
      </c>
      <c r="AJ29" s="160" t="s">
        <v>1206</v>
      </c>
      <c r="AK29" s="160" t="s">
        <v>1206</v>
      </c>
      <c r="AL29" s="160" t="s">
        <v>1206</v>
      </c>
    </row>
    <row r="30" spans="1:43" ht="15.75" customHeight="1" thickBot="1" x14ac:dyDescent="0.3">
      <c r="B30" s="127" t="s">
        <v>1195</v>
      </c>
      <c r="C30" s="160" t="s">
        <v>1546</v>
      </c>
      <c r="D30" t="s">
        <v>1654</v>
      </c>
      <c r="E30" s="160" t="s">
        <v>74</v>
      </c>
      <c r="F30" s="160" t="s">
        <v>72</v>
      </c>
      <c r="G30" s="160" t="s">
        <v>72</v>
      </c>
      <c r="H30" t="s">
        <v>1205</v>
      </c>
      <c r="I30" t="s">
        <v>1205</v>
      </c>
      <c r="J30" t="s">
        <v>1205</v>
      </c>
      <c r="K30" t="s">
        <v>1206</v>
      </c>
      <c r="L30" t="s">
        <v>1205</v>
      </c>
      <c r="M30" t="s">
        <v>1206</v>
      </c>
      <c r="N30" t="s">
        <v>1205</v>
      </c>
      <c r="O30" t="s">
        <v>1229</v>
      </c>
      <c r="P30" t="s">
        <v>1206</v>
      </c>
      <c r="Q30" t="s">
        <v>1205</v>
      </c>
      <c r="R30" t="s">
        <v>1205</v>
      </c>
      <c r="S30" t="s">
        <v>1205</v>
      </c>
      <c r="T30" t="s">
        <v>1206</v>
      </c>
      <c r="U30" t="s">
        <v>1205</v>
      </c>
      <c r="V30" t="s">
        <v>1205</v>
      </c>
      <c r="W30" t="s">
        <v>1206</v>
      </c>
      <c r="X30" t="s">
        <v>1206</v>
      </c>
      <c r="Y30" t="s">
        <v>1206</v>
      </c>
      <c r="Z30" t="s">
        <v>1206</v>
      </c>
      <c r="AA30" t="s">
        <v>1205</v>
      </c>
      <c r="AB30" t="s">
        <v>1205</v>
      </c>
      <c r="AC30" t="s">
        <v>1206</v>
      </c>
      <c r="AD30" s="160" t="s">
        <v>1206</v>
      </c>
      <c r="AE30" s="160" t="s">
        <v>1206</v>
      </c>
      <c r="AF30" s="160" t="s">
        <v>1205</v>
      </c>
      <c r="AG30" s="160" t="s">
        <v>1205</v>
      </c>
      <c r="AH30" s="160" t="s">
        <v>1205</v>
      </c>
      <c r="AI30" s="160" t="s">
        <v>1229</v>
      </c>
      <c r="AJ30" s="160" t="s">
        <v>1206</v>
      </c>
      <c r="AK30" s="160" t="s">
        <v>1206</v>
      </c>
      <c r="AL30" s="160" t="s">
        <v>1206</v>
      </c>
    </row>
    <row r="31" spans="1:43" ht="15.75" customHeight="1" thickBot="1" x14ac:dyDescent="0.3">
      <c r="B31" s="127" t="s">
        <v>127</v>
      </c>
      <c r="C31" s="178" t="s">
        <v>1547</v>
      </c>
      <c r="D31" s="160" t="s">
        <v>1552</v>
      </c>
      <c r="E31" s="160" t="s">
        <v>1555</v>
      </c>
      <c r="F31" s="160" t="s">
        <v>72</v>
      </c>
      <c r="G31" s="160" t="s">
        <v>72</v>
      </c>
      <c r="H31" s="160" t="s">
        <v>1205</v>
      </c>
      <c r="I31" s="160" t="s">
        <v>1206</v>
      </c>
      <c r="J31" s="160" t="s">
        <v>1206</v>
      </c>
      <c r="K31" s="160" t="s">
        <v>1206</v>
      </c>
      <c r="L31" s="160" t="s">
        <v>1205</v>
      </c>
      <c r="M31" s="160" t="s">
        <v>1205</v>
      </c>
      <c r="N31" s="160" t="s">
        <v>1206</v>
      </c>
      <c r="O31" s="160" t="s">
        <v>1205</v>
      </c>
      <c r="P31" s="160" t="s">
        <v>1205</v>
      </c>
      <c r="Q31" s="160" t="s">
        <v>1206</v>
      </c>
      <c r="R31" s="160" t="s">
        <v>1205</v>
      </c>
      <c r="S31" s="160" t="s">
        <v>1206</v>
      </c>
      <c r="T31" s="160" t="s">
        <v>1229</v>
      </c>
      <c r="U31" s="160" t="s">
        <v>1206</v>
      </c>
      <c r="V31" s="160" t="s">
        <v>1206</v>
      </c>
      <c r="W31" s="160" t="s">
        <v>1206</v>
      </c>
      <c r="X31" s="160" t="s">
        <v>1206</v>
      </c>
      <c r="Y31" s="160" t="s">
        <v>1206</v>
      </c>
      <c r="Z31" s="160" t="s">
        <v>1206</v>
      </c>
      <c r="AA31" s="160" t="s">
        <v>1205</v>
      </c>
      <c r="AB31" s="160" t="s">
        <v>1205</v>
      </c>
      <c r="AC31" s="160" t="s">
        <v>1229</v>
      </c>
      <c r="AD31" s="160" t="s">
        <v>1206</v>
      </c>
      <c r="AE31" s="160" t="s">
        <v>1206</v>
      </c>
      <c r="AF31" s="160" t="s">
        <v>1205</v>
      </c>
      <c r="AG31" s="160" t="s">
        <v>1205</v>
      </c>
      <c r="AH31" s="160" t="s">
        <v>1205</v>
      </c>
      <c r="AI31" s="160" t="s">
        <v>1206</v>
      </c>
      <c r="AJ31" s="160" t="s">
        <v>1206</v>
      </c>
      <c r="AK31" s="160" t="s">
        <v>1206</v>
      </c>
      <c r="AL31" s="160" t="s">
        <v>1206</v>
      </c>
    </row>
    <row r="32" spans="1:43" ht="27.75" customHeight="1" thickBot="1" x14ac:dyDescent="0.3">
      <c r="B32" s="127" t="s">
        <v>1195</v>
      </c>
      <c r="C32" s="178" t="s">
        <v>1550</v>
      </c>
      <c r="D32" s="178" t="s">
        <v>1553</v>
      </c>
      <c r="E32" s="160" t="s">
        <v>1557</v>
      </c>
      <c r="F32" s="160" t="s">
        <v>72</v>
      </c>
      <c r="G32" s="160" t="s">
        <v>72</v>
      </c>
      <c r="H32" s="160" t="s">
        <v>1205</v>
      </c>
      <c r="I32" s="160" t="s">
        <v>1205</v>
      </c>
      <c r="J32" s="160" t="s">
        <v>1205</v>
      </c>
      <c r="K32" s="160" t="s">
        <v>1206</v>
      </c>
      <c r="L32" s="160" t="s">
        <v>1205</v>
      </c>
      <c r="M32" s="160" t="s">
        <v>1205</v>
      </c>
      <c r="N32" s="160" t="s">
        <v>1205</v>
      </c>
      <c r="O32" s="160" t="s">
        <v>1206</v>
      </c>
      <c r="P32" s="160" t="s">
        <v>1206</v>
      </c>
      <c r="Q32" s="160" t="s">
        <v>1206</v>
      </c>
      <c r="R32" s="160" t="s">
        <v>1205</v>
      </c>
      <c r="S32" s="160" t="s">
        <v>1206</v>
      </c>
      <c r="T32" s="160" t="s">
        <v>1229</v>
      </c>
      <c r="U32" s="160" t="s">
        <v>1206</v>
      </c>
      <c r="V32" s="160" t="s">
        <v>1206</v>
      </c>
      <c r="W32" s="160" t="s">
        <v>1206</v>
      </c>
      <c r="X32" s="160" t="s">
        <v>1206</v>
      </c>
      <c r="Y32" s="160" t="s">
        <v>1206</v>
      </c>
      <c r="Z32" s="160" t="s">
        <v>1206</v>
      </c>
      <c r="AA32" s="160" t="s">
        <v>1205</v>
      </c>
      <c r="AB32" s="160" t="s">
        <v>1205</v>
      </c>
      <c r="AC32" s="160" t="s">
        <v>1229</v>
      </c>
      <c r="AD32" s="160" t="s">
        <v>1206</v>
      </c>
      <c r="AE32" s="160" t="s">
        <v>1206</v>
      </c>
      <c r="AF32" s="160" t="s">
        <v>1205</v>
      </c>
      <c r="AG32" s="160" t="s">
        <v>1205</v>
      </c>
      <c r="AH32" s="160" t="s">
        <v>1205</v>
      </c>
      <c r="AI32" s="160" t="s">
        <v>1229</v>
      </c>
      <c r="AJ32" s="160" t="s">
        <v>1206</v>
      </c>
      <c r="AK32" s="160" t="s">
        <v>1206</v>
      </c>
      <c r="AL32" s="160" t="s">
        <v>1206</v>
      </c>
    </row>
    <row r="33" spans="1:44" ht="15.75" customHeight="1" thickBot="1" x14ac:dyDescent="0.3">
      <c r="B33" s="127" t="s">
        <v>1195</v>
      </c>
      <c r="C33" s="178" t="s">
        <v>1551</v>
      </c>
      <c r="D33" s="178" t="s">
        <v>1554</v>
      </c>
      <c r="E33" s="160" t="s">
        <v>74</v>
      </c>
      <c r="F33" s="160" t="s">
        <v>72</v>
      </c>
      <c r="G33" s="160" t="s">
        <v>72</v>
      </c>
      <c r="H33" s="160" t="s">
        <v>1205</v>
      </c>
      <c r="I33" s="160" t="s">
        <v>1206</v>
      </c>
      <c r="J33" s="160" t="s">
        <v>1206</v>
      </c>
      <c r="K33" s="160" t="s">
        <v>1206</v>
      </c>
      <c r="L33" s="160" t="s">
        <v>1205</v>
      </c>
      <c r="M33" s="160" t="s">
        <v>1205</v>
      </c>
      <c r="N33" s="160" t="s">
        <v>1206</v>
      </c>
      <c r="O33" s="160" t="s">
        <v>1206</v>
      </c>
      <c r="P33" s="160" t="s">
        <v>1205</v>
      </c>
      <c r="Q33" s="160" t="s">
        <v>1205</v>
      </c>
      <c r="R33" s="160" t="s">
        <v>1205</v>
      </c>
      <c r="S33" s="160" t="s">
        <v>1206</v>
      </c>
      <c r="T33" s="160" t="s">
        <v>1229</v>
      </c>
      <c r="U33" s="160" t="s">
        <v>1206</v>
      </c>
      <c r="V33" s="160" t="s">
        <v>1206</v>
      </c>
      <c r="W33" s="160" t="s">
        <v>1206</v>
      </c>
      <c r="X33" s="160" t="s">
        <v>1206</v>
      </c>
      <c r="Y33" s="160" t="s">
        <v>1206</v>
      </c>
      <c r="Z33" s="160" t="s">
        <v>1206</v>
      </c>
      <c r="AA33" s="160" t="s">
        <v>1205</v>
      </c>
      <c r="AB33" s="160" t="s">
        <v>1205</v>
      </c>
      <c r="AC33" s="160" t="s">
        <v>1229</v>
      </c>
      <c r="AD33" s="160" t="s">
        <v>1206</v>
      </c>
      <c r="AE33" s="160" t="s">
        <v>1206</v>
      </c>
      <c r="AF33" s="160" t="s">
        <v>1205</v>
      </c>
      <c r="AG33" s="160" t="s">
        <v>1205</v>
      </c>
      <c r="AH33" s="160" t="s">
        <v>1205</v>
      </c>
      <c r="AI33" s="160" t="s">
        <v>1229</v>
      </c>
      <c r="AJ33" s="160" t="s">
        <v>1206</v>
      </c>
      <c r="AK33" s="160" t="s">
        <v>1205</v>
      </c>
      <c r="AL33" s="160" t="s">
        <v>1206</v>
      </c>
    </row>
    <row r="34" spans="1:44" ht="15" customHeight="1" x14ac:dyDescent="0.25"/>
    <row r="35" spans="1:44" ht="15" customHeight="1" x14ac:dyDescent="0.25"/>
    <row r="36" spans="1:44" ht="15" customHeight="1" x14ac:dyDescent="0.25"/>
    <row r="37" spans="1:44" ht="15" customHeight="1" x14ac:dyDescent="0.25"/>
    <row r="38" spans="1:44" ht="39" customHeight="1" thickBot="1" x14ac:dyDescent="0.3">
      <c r="A38" s="119" t="s">
        <v>1185</v>
      </c>
      <c r="B38" s="119" t="s">
        <v>14</v>
      </c>
      <c r="C38" s="122" t="s">
        <v>1239</v>
      </c>
      <c r="D38" s="125" t="s">
        <v>1208</v>
      </c>
      <c r="E38" s="125" t="s">
        <v>1207</v>
      </c>
      <c r="F38" s="125" t="s">
        <v>1209</v>
      </c>
      <c r="G38" s="125" t="s">
        <v>1212</v>
      </c>
      <c r="H38" s="125" t="s">
        <v>1211</v>
      </c>
      <c r="I38" s="125" t="s">
        <v>1210</v>
      </c>
      <c r="J38" s="116" t="s">
        <v>26</v>
      </c>
      <c r="K38" s="116" t="s">
        <v>27</v>
      </c>
      <c r="L38" s="116" t="s">
        <v>28</v>
      </c>
      <c r="M38" s="116" t="s">
        <v>29</v>
      </c>
      <c r="N38" s="116" t="s">
        <v>31</v>
      </c>
      <c r="O38" s="116" t="s">
        <v>32</v>
      </c>
      <c r="P38" s="116" t="s">
        <v>33</v>
      </c>
      <c r="Q38" s="116" t="s">
        <v>34</v>
      </c>
      <c r="R38" s="116" t="s">
        <v>35</v>
      </c>
      <c r="S38" s="116" t="s">
        <v>36</v>
      </c>
      <c r="T38" s="116" t="s">
        <v>37</v>
      </c>
      <c r="U38" s="116" t="s">
        <v>38</v>
      </c>
      <c r="V38" s="116" t="s">
        <v>39</v>
      </c>
      <c r="W38" s="116" t="s">
        <v>1170</v>
      </c>
      <c r="X38" s="116" t="s">
        <v>40</v>
      </c>
      <c r="Y38" s="116" t="s">
        <v>41</v>
      </c>
      <c r="Z38" s="116" t="s">
        <v>1172</v>
      </c>
      <c r="AA38" s="116" t="s">
        <v>42</v>
      </c>
      <c r="AB38" s="116" t="s">
        <v>43</v>
      </c>
      <c r="AC38" s="116" t="s">
        <v>44</v>
      </c>
      <c r="AD38" s="116" t="s">
        <v>45</v>
      </c>
      <c r="AE38" s="116" t="s">
        <v>1175</v>
      </c>
      <c r="AF38" s="116" t="s">
        <v>1176</v>
      </c>
      <c r="AG38" s="116" t="s">
        <v>1177</v>
      </c>
      <c r="AH38" s="116" t="s">
        <v>1178</v>
      </c>
      <c r="AI38" s="116" t="s">
        <v>1179</v>
      </c>
      <c r="AJ38" s="116" t="s">
        <v>1181</v>
      </c>
      <c r="AK38" s="116" t="s">
        <v>1182</v>
      </c>
      <c r="AL38" s="116" t="s">
        <v>1183</v>
      </c>
      <c r="AM38" s="116" t="s">
        <v>1184</v>
      </c>
    </row>
    <row r="39" spans="1:44" ht="15.75" customHeight="1" thickBot="1" x14ac:dyDescent="0.3">
      <c r="B39" s="119" t="s">
        <v>1357</v>
      </c>
      <c r="C39" s="122"/>
      <c r="D39" s="160" t="s">
        <v>1566</v>
      </c>
      <c r="E39" s="160" t="s">
        <v>1561</v>
      </c>
      <c r="F39" s="160" t="s">
        <v>1571</v>
      </c>
      <c r="G39" s="160" t="s">
        <v>1305</v>
      </c>
      <c r="H39" s="160" t="s">
        <v>1574</v>
      </c>
      <c r="I39" s="160" t="s">
        <v>72</v>
      </c>
      <c r="J39" s="160" t="s">
        <v>1206</v>
      </c>
      <c r="K39" s="160" t="s">
        <v>1205</v>
      </c>
      <c r="L39" s="160" t="s">
        <v>1206</v>
      </c>
      <c r="M39" s="160" t="s">
        <v>1206</v>
      </c>
      <c r="N39" s="160" t="s">
        <v>1206</v>
      </c>
      <c r="O39" s="160" t="s">
        <v>1205</v>
      </c>
      <c r="P39" s="160" t="s">
        <v>1206</v>
      </c>
      <c r="Q39" s="160" t="s">
        <v>1205</v>
      </c>
      <c r="R39" s="160" t="s">
        <v>1206</v>
      </c>
      <c r="S39" s="160" t="s">
        <v>1205</v>
      </c>
      <c r="T39" s="160" t="s">
        <v>1205</v>
      </c>
      <c r="U39" s="160" t="s">
        <v>1206</v>
      </c>
      <c r="V39" s="160" t="s">
        <v>1205</v>
      </c>
      <c r="W39" s="160" t="s">
        <v>1205</v>
      </c>
      <c r="X39" s="160" t="s">
        <v>1205</v>
      </c>
      <c r="Y39" s="160" t="s">
        <v>1206</v>
      </c>
      <c r="Z39" s="160" t="s">
        <v>1205</v>
      </c>
      <c r="AA39" s="160" t="s">
        <v>1206</v>
      </c>
      <c r="AB39" s="160" t="s">
        <v>1205</v>
      </c>
      <c r="AC39" s="160" t="s">
        <v>1206</v>
      </c>
      <c r="AD39" s="160" t="s">
        <v>1205</v>
      </c>
      <c r="AE39" s="160" t="s">
        <v>1206</v>
      </c>
      <c r="AF39" s="160" t="s">
        <v>1205</v>
      </c>
      <c r="AG39" s="160" t="s">
        <v>1206</v>
      </c>
      <c r="AH39" s="160" t="s">
        <v>1205</v>
      </c>
      <c r="AI39" s="160" t="s">
        <v>1206</v>
      </c>
      <c r="AJ39" s="160" t="s">
        <v>1205</v>
      </c>
      <c r="AK39" s="160" t="s">
        <v>1206</v>
      </c>
      <c r="AL39" s="160" t="s">
        <v>1205</v>
      </c>
      <c r="AM39" s="160" t="s">
        <v>1206</v>
      </c>
    </row>
    <row r="40" spans="1:44" ht="27" customHeight="1" thickBot="1" x14ac:dyDescent="0.3">
      <c r="B40" s="119" t="s">
        <v>1577</v>
      </c>
      <c r="D40" s="160" t="s">
        <v>1567</v>
      </c>
      <c r="E40" s="160" t="s">
        <v>1562</v>
      </c>
      <c r="F40" s="160" t="s">
        <v>1572</v>
      </c>
      <c r="G40" s="160" t="s">
        <v>199</v>
      </c>
      <c r="H40" s="160" t="s">
        <v>71</v>
      </c>
      <c r="I40" s="160" t="s">
        <v>72</v>
      </c>
      <c r="J40" s="160" t="s">
        <v>1206</v>
      </c>
      <c r="K40" s="160" t="s">
        <v>1205</v>
      </c>
      <c r="L40" s="160" t="s">
        <v>1206</v>
      </c>
      <c r="M40" s="160" t="s">
        <v>1206</v>
      </c>
      <c r="N40" s="160" t="s">
        <v>1206</v>
      </c>
      <c r="O40" s="160" t="s">
        <v>1205</v>
      </c>
      <c r="P40" s="160" t="s">
        <v>1205</v>
      </c>
      <c r="Q40" s="160" t="s">
        <v>1206</v>
      </c>
      <c r="R40" s="160" t="s">
        <v>1205</v>
      </c>
      <c r="S40" s="160" t="s">
        <v>1206</v>
      </c>
      <c r="T40" s="160" t="s">
        <v>1206</v>
      </c>
      <c r="U40" s="160" t="s">
        <v>1205</v>
      </c>
      <c r="V40" s="160" t="s">
        <v>1206</v>
      </c>
      <c r="W40" s="160" t="s">
        <v>1206</v>
      </c>
      <c r="X40" s="160" t="s">
        <v>1206</v>
      </c>
      <c r="Y40" s="160" t="s">
        <v>1205</v>
      </c>
      <c r="Z40" s="160" t="s">
        <v>1206</v>
      </c>
      <c r="AA40" s="160" t="s">
        <v>1205</v>
      </c>
      <c r="AB40" s="160" t="s">
        <v>1206</v>
      </c>
      <c r="AC40" s="160" t="s">
        <v>1205</v>
      </c>
      <c r="AD40" s="160" t="s">
        <v>1206</v>
      </c>
      <c r="AE40" s="160" t="s">
        <v>1205</v>
      </c>
      <c r="AF40" s="160" t="s">
        <v>1206</v>
      </c>
      <c r="AG40" s="160" t="s">
        <v>1205</v>
      </c>
      <c r="AH40" s="160" t="s">
        <v>1206</v>
      </c>
      <c r="AI40" s="160" t="s">
        <v>1205</v>
      </c>
      <c r="AJ40" s="160" t="s">
        <v>1206</v>
      </c>
      <c r="AK40" s="160" t="s">
        <v>1205</v>
      </c>
      <c r="AL40" s="160" t="s">
        <v>1206</v>
      </c>
      <c r="AM40" s="160" t="s">
        <v>1205</v>
      </c>
    </row>
    <row r="44" spans="1:44" s="164" customFormat="1" x14ac:dyDescent="0.25">
      <c r="A44" s="163"/>
      <c r="B44" s="163"/>
      <c r="D44" s="165"/>
      <c r="E44" s="165"/>
      <c r="F44" s="165"/>
      <c r="G44" s="165"/>
      <c r="H44" s="165"/>
      <c r="I44" s="165"/>
    </row>
    <row r="46" spans="1:44" ht="15.75" thickBot="1" x14ac:dyDescent="0.3"/>
    <row r="47" spans="1:44" ht="17.25" thickBot="1" x14ac:dyDescent="0.3">
      <c r="A47" s="64" t="s">
        <v>14</v>
      </c>
      <c r="B47" s="65" t="s">
        <v>1166</v>
      </c>
      <c r="D47"/>
      <c r="E47"/>
      <c r="F47"/>
      <c r="G47" s="115"/>
      <c r="H47" s="64" t="s">
        <v>14</v>
      </c>
      <c r="I47" s="65" t="s">
        <v>197</v>
      </c>
      <c r="O47" s="64" t="s">
        <v>14</v>
      </c>
      <c r="P47" s="65" t="s">
        <v>618</v>
      </c>
      <c r="V47" s="64" t="s">
        <v>14</v>
      </c>
      <c r="W47" s="65" t="s">
        <v>90</v>
      </c>
    </row>
    <row r="48" spans="1:44" s="118" customFormat="1" ht="17.25" thickBot="1" x14ac:dyDescent="0.3">
      <c r="A48" s="64" t="s">
        <v>647</v>
      </c>
      <c r="B48" s="65">
        <v>2023</v>
      </c>
      <c r="C48"/>
      <c r="D48"/>
      <c r="E48"/>
      <c r="F48"/>
      <c r="H48" s="64" t="s">
        <v>647</v>
      </c>
      <c r="I48" s="65">
        <v>2023</v>
      </c>
      <c r="J48"/>
      <c r="K48"/>
      <c r="L48"/>
      <c r="M48"/>
      <c r="N48"/>
      <c r="O48" s="64" t="s">
        <v>647</v>
      </c>
      <c r="P48" s="65">
        <v>2023</v>
      </c>
      <c r="Q48"/>
      <c r="R48"/>
      <c r="S48"/>
      <c r="T48"/>
      <c r="U48"/>
      <c r="V48" s="64" t="s">
        <v>647</v>
      </c>
      <c r="W48" s="65">
        <v>2023</v>
      </c>
      <c r="X48"/>
      <c r="Y48"/>
      <c r="Z48"/>
      <c r="AA48"/>
      <c r="AB48"/>
      <c r="AC48"/>
      <c r="AD48"/>
      <c r="AE48"/>
      <c r="AF48"/>
      <c r="AG48"/>
      <c r="AH48"/>
      <c r="AI48"/>
      <c r="AJ48"/>
      <c r="AK48"/>
      <c r="AL48"/>
      <c r="AM48"/>
      <c r="AN48"/>
      <c r="AO48"/>
      <c r="AP48"/>
      <c r="AQ48"/>
      <c r="AR48"/>
    </row>
    <row r="49" spans="1:44" s="118" customFormat="1" ht="17.25" thickBot="1" x14ac:dyDescent="0.3">
      <c r="A49" s="64" t="s">
        <v>646</v>
      </c>
      <c r="B49" s="65">
        <f>I49+P49+W49</f>
        <v>16</v>
      </c>
      <c r="C49"/>
      <c r="D49"/>
      <c r="E49"/>
      <c r="F49"/>
      <c r="H49" s="64" t="s">
        <v>646</v>
      </c>
      <c r="I49" s="65">
        <f>COUNTIF(Table6129[Prodi],"S1 Sistem Informasi")</f>
        <v>7</v>
      </c>
      <c r="J49"/>
      <c r="K49"/>
      <c r="L49"/>
      <c r="M49"/>
      <c r="N49"/>
      <c r="O49" s="64" t="s">
        <v>646</v>
      </c>
      <c r="P49" s="65">
        <f>COUNTIF(Table6129[Prodi],"S1 Teknik Komputer")</f>
        <v>4</v>
      </c>
      <c r="Q49"/>
      <c r="R49"/>
      <c r="S49"/>
      <c r="T49"/>
      <c r="U49"/>
      <c r="V49" s="64" t="s">
        <v>646</v>
      </c>
      <c r="W49" s="65">
        <f>COUNTIF(Table6129[Prodi],"D3 Sistem Informasi")</f>
        <v>5</v>
      </c>
      <c r="X49"/>
      <c r="Y49"/>
      <c r="Z49"/>
      <c r="AA49"/>
      <c r="AB49"/>
      <c r="AC49"/>
      <c r="AD49"/>
      <c r="AE49"/>
      <c r="AF49"/>
      <c r="AG49"/>
      <c r="AH49"/>
      <c r="AI49"/>
      <c r="AJ49"/>
      <c r="AK49"/>
      <c r="AL49"/>
      <c r="AM49"/>
      <c r="AN49"/>
      <c r="AO49"/>
      <c r="AP49"/>
      <c r="AQ49"/>
      <c r="AR49"/>
    </row>
    <row r="50" spans="1:44" s="118" customFormat="1" ht="16.5" x14ac:dyDescent="0.3">
      <c r="A50" s="55"/>
      <c r="B50" s="56" t="s">
        <v>1205</v>
      </c>
      <c r="C50" s="56" t="s">
        <v>1206</v>
      </c>
      <c r="D50" s="56" t="s">
        <v>1580</v>
      </c>
      <c r="E50" s="56" t="s">
        <v>1581</v>
      </c>
      <c r="F50" s="56"/>
      <c r="H50" s="55"/>
      <c r="I50" s="56" t="s">
        <v>1205</v>
      </c>
      <c r="J50" s="56" t="s">
        <v>1206</v>
      </c>
      <c r="K50" s="56" t="s">
        <v>1580</v>
      </c>
      <c r="L50" s="56" t="s">
        <v>1581</v>
      </c>
      <c r="M50" s="56"/>
      <c r="N50"/>
      <c r="O50" s="55"/>
      <c r="P50" s="56" t="s">
        <v>1205</v>
      </c>
      <c r="Q50" s="56" t="s">
        <v>1206</v>
      </c>
      <c r="R50" s="56" t="s">
        <v>1580</v>
      </c>
      <c r="S50" s="56" t="s">
        <v>1581</v>
      </c>
      <c r="T50" s="56"/>
      <c r="U50"/>
      <c r="V50" s="55"/>
      <c r="W50" s="56" t="s">
        <v>1205</v>
      </c>
      <c r="X50" s="56" t="s">
        <v>1206</v>
      </c>
      <c r="Y50" s="56" t="s">
        <v>1580</v>
      </c>
      <c r="Z50" s="56" t="s">
        <v>1581</v>
      </c>
      <c r="AA50" s="56"/>
      <c r="AB50"/>
      <c r="AC50"/>
      <c r="AD50"/>
      <c r="AE50"/>
      <c r="AF50"/>
      <c r="AG50"/>
      <c r="AH50"/>
      <c r="AI50"/>
      <c r="AJ50"/>
      <c r="AK50"/>
      <c r="AL50"/>
      <c r="AM50"/>
      <c r="AN50"/>
      <c r="AO50"/>
      <c r="AP50"/>
      <c r="AQ50"/>
      <c r="AR50"/>
    </row>
    <row r="51" spans="1:44" s="118" customFormat="1" ht="16.5" x14ac:dyDescent="0.3">
      <c r="A51" s="57" t="s">
        <v>26</v>
      </c>
      <c r="B51" s="66">
        <f>COUNTIF(Table6129[B1],B$50)/$B$49</f>
        <v>0.375</v>
      </c>
      <c r="C51" s="66">
        <f>COUNTIF(Table6129[B1],C$50)/$B$49</f>
        <v>0.3125</v>
      </c>
      <c r="D51" s="66">
        <f>COUNTIF(Table6129[B1],D$50)/$B$49</f>
        <v>0.1875</v>
      </c>
      <c r="E51" s="66">
        <f>COUNTIF(Table6129[B1],E$50)/$B$49</f>
        <v>0.125</v>
      </c>
      <c r="F51" s="62">
        <f t="shared" ref="F51:F91" si="0">SUM(B51:E51)</f>
        <v>1</v>
      </c>
      <c r="H51" s="57" t="s">
        <v>26</v>
      </c>
      <c r="I51" s="66">
        <f>COUNTIFS(Table6129[Prodi],"S1 Sistem Informasi",Table6129[B1],I$50)/$I$49</f>
        <v>0.2857142857142857</v>
      </c>
      <c r="J51" s="66">
        <f>COUNTIFS(Table6129[Prodi],"S1 Sistem Informasi",Table6129[B1],J$50)/$I$49</f>
        <v>0</v>
      </c>
      <c r="K51" s="66">
        <f>COUNTIFS(Table6129[Prodi],"S1 Sistem Informasi",Table6129[B1],K$50)/$I$49</f>
        <v>0.42857142857142855</v>
      </c>
      <c r="L51" s="66">
        <f>COUNTIFS(Table6129[Prodi],"S1 Sistem Informasi",Table6129[B1],L$50)/$I$49</f>
        <v>0.2857142857142857</v>
      </c>
      <c r="M51" s="62">
        <f t="shared" ref="M51:M58" si="1">SUM(I51:L51)</f>
        <v>0.99999999999999989</v>
      </c>
      <c r="N51"/>
      <c r="O51" s="57" t="s">
        <v>26</v>
      </c>
      <c r="P51" s="66">
        <f>COUNTIFS(Table6129[Prodi],"S1 Teknik Komputer",Table6129[B1],P$50)/$P$49</f>
        <v>1</v>
      </c>
      <c r="Q51" s="66">
        <f>COUNTIFS(Table6129[Prodi],"S1 Teknik Komputer",Table6129[B1],Q$50)/$P$49</f>
        <v>0</v>
      </c>
      <c r="R51" s="66">
        <f>COUNTIFS(Table6129[Prodi],"S1 Teknik Komputer",Table6129[B1],R$50)/$P$49</f>
        <v>0</v>
      </c>
      <c r="S51" s="66">
        <f>COUNTIFS(Table6129[Prodi],"S1 Teknik Komputer",Table6129[B1],S$50)/$P$49</f>
        <v>0</v>
      </c>
      <c r="T51" s="62">
        <f t="shared" ref="T51:T58" si="2">SUM(P51:S51)</f>
        <v>1</v>
      </c>
      <c r="U51"/>
      <c r="V51" s="57" t="s">
        <v>26</v>
      </c>
      <c r="W51" s="66">
        <f>COUNTIFS(Table6129[Prodi],"D3 Sistem Informasi",Table6129[B1],W$50)/$W$49</f>
        <v>0</v>
      </c>
      <c r="X51" s="66">
        <f>COUNTIFS(Table6129[Prodi],"D3 Sistem Informasi",Table6129[B1],X$50)/$W$49</f>
        <v>1</v>
      </c>
      <c r="Y51" s="66">
        <f>COUNTIFS(Table6129[Prodi],"D3 Sistem Informasi",Table6129[B1],Y$50)/$W$49</f>
        <v>0</v>
      </c>
      <c r="Z51" s="66">
        <f>COUNTIFS(Table6129[Prodi],"D3 Sistem Informasi",Table6129[B1],Z$50)/$W$49</f>
        <v>0</v>
      </c>
      <c r="AA51" s="62">
        <f t="shared" ref="AA51:AA58" si="3">SUM(W51:Z51)</f>
        <v>1</v>
      </c>
      <c r="AB51"/>
      <c r="AC51"/>
      <c r="AD51"/>
      <c r="AE51"/>
      <c r="AF51"/>
      <c r="AG51"/>
      <c r="AH51"/>
      <c r="AI51"/>
      <c r="AJ51"/>
      <c r="AK51"/>
      <c r="AL51"/>
      <c r="AM51"/>
      <c r="AN51"/>
      <c r="AO51"/>
      <c r="AP51"/>
      <c r="AQ51"/>
      <c r="AR51"/>
    </row>
    <row r="52" spans="1:44" s="118" customFormat="1" ht="16.5" x14ac:dyDescent="0.3">
      <c r="A52" s="57" t="s">
        <v>27</v>
      </c>
      <c r="B52" s="66">
        <f>COUNTIF(Table6129[B1],B$50)/$B$49</f>
        <v>0.375</v>
      </c>
      <c r="C52" s="66">
        <f>COUNTIF(Table6129[B1],C$50)/$B$49</f>
        <v>0.3125</v>
      </c>
      <c r="D52" s="66">
        <f>COUNTIF(Table6129[B1],D$50)/$B$49</f>
        <v>0.1875</v>
      </c>
      <c r="E52" s="66">
        <f>COUNTIF(Table6129[B1],E$50)/$B$49</f>
        <v>0.125</v>
      </c>
      <c r="F52" s="62">
        <f t="shared" si="0"/>
        <v>1</v>
      </c>
      <c r="H52" s="57" t="s">
        <v>27</v>
      </c>
      <c r="I52" s="66">
        <f>COUNTIFS(Table6129[Prodi],"S1 Sistem Informasi",Table6129[B2],I$50)/$I$49</f>
        <v>0.5714285714285714</v>
      </c>
      <c r="J52" s="66">
        <f>COUNTIFS(Table6129[Prodi],"S1 Sistem Informasi",Table6129[B2],J$50)/$I$49</f>
        <v>0.42857142857142855</v>
      </c>
      <c r="K52" s="66">
        <f>COUNTIFS(Table6129[Prodi],"S1 Sistem Informasi",Table6129[B2],K$50)/$I$49</f>
        <v>0</v>
      </c>
      <c r="L52" s="66">
        <f>COUNTIFS(Table6129[Prodi],"S1 Sistem Informasi",Table6129[B2],L$50)/$I$49</f>
        <v>0</v>
      </c>
      <c r="M52" s="62">
        <f t="shared" si="1"/>
        <v>1</v>
      </c>
      <c r="N52"/>
      <c r="O52" s="57" t="s">
        <v>27</v>
      </c>
      <c r="P52" s="66">
        <f>COUNTIFS(Table6129[Prodi],"S1 Teknik Komputer",Table6129[B2],P$50)/$P$49</f>
        <v>0.75</v>
      </c>
      <c r="Q52" s="66">
        <f>COUNTIFS(Table6129[Prodi],"S1 Teknik Komputer",Table6129[B2],Q$50)/$P$49</f>
        <v>0.25</v>
      </c>
      <c r="R52" s="66">
        <f>COUNTIFS(Table6129[Prodi],"S1 Teknik Komputer",Table6129[B2],R$50)/$P$49</f>
        <v>0</v>
      </c>
      <c r="S52" s="66">
        <f>COUNTIFS(Table6129[Prodi],"S1 Teknik Komputer",Table6129[B2],S$50)/$P$49</f>
        <v>0</v>
      </c>
      <c r="T52" s="62">
        <f t="shared" si="2"/>
        <v>1</v>
      </c>
      <c r="U52"/>
      <c r="V52" s="57" t="s">
        <v>27</v>
      </c>
      <c r="W52" s="66">
        <f>COUNTIFS(Table6129[Prodi],"D3 Sistem Informasi",Table6129[B2],W$50)/$W$49</f>
        <v>0</v>
      </c>
      <c r="X52" s="66">
        <f>COUNTIFS(Table6129[Prodi],"D3 Sistem Informasi",Table6129[B2],X$50)/$W$49</f>
        <v>1</v>
      </c>
      <c r="Y52" s="66">
        <f>COUNTIFS(Table6129[Prodi],"D3 Sistem Informasi",Table6129[B2],Y$50)/$W$49</f>
        <v>0</v>
      </c>
      <c r="Z52" s="66">
        <f>COUNTIFS(Table6129[Prodi],"D3 Sistem Informasi",Table6129[B2],Z$50)/$W$49</f>
        <v>0</v>
      </c>
      <c r="AA52" s="62">
        <f t="shared" si="3"/>
        <v>1</v>
      </c>
      <c r="AB52"/>
      <c r="AC52"/>
      <c r="AD52"/>
      <c r="AE52"/>
      <c r="AF52"/>
      <c r="AG52"/>
      <c r="AH52"/>
      <c r="AI52"/>
      <c r="AJ52"/>
      <c r="AK52"/>
      <c r="AL52"/>
      <c r="AM52"/>
      <c r="AN52"/>
      <c r="AO52"/>
      <c r="AP52"/>
      <c r="AQ52"/>
      <c r="AR52"/>
    </row>
    <row r="53" spans="1:44" s="118" customFormat="1" ht="16.5" x14ac:dyDescent="0.3">
      <c r="A53" s="57" t="s">
        <v>28</v>
      </c>
      <c r="B53" s="66">
        <f>COUNTIF(Table6129[B1],B$50)/$B$49</f>
        <v>0.375</v>
      </c>
      <c r="C53" s="66">
        <f>COUNTIF(Table6129[B1],C$50)/$B$49</f>
        <v>0.3125</v>
      </c>
      <c r="D53" s="66">
        <f>COUNTIF(Table6129[B1],D$50)/$B$49</f>
        <v>0.1875</v>
      </c>
      <c r="E53" s="66">
        <f>COUNTIF(Table6129[B1],E$50)/$B$49</f>
        <v>0.125</v>
      </c>
      <c r="F53" s="62">
        <f t="shared" si="0"/>
        <v>1</v>
      </c>
      <c r="H53" s="57" t="s">
        <v>28</v>
      </c>
      <c r="I53" s="66">
        <f>COUNTIFS(Table6129[Prodi],"S1 Sistem Informasi",Table6129[B3],I$50)/$I$49</f>
        <v>0.5714285714285714</v>
      </c>
      <c r="J53" s="66">
        <f>COUNTIFS(Table6129[Prodi],"S1 Sistem Informasi",Table6129[B3],J$50)/$I$49</f>
        <v>0.42857142857142855</v>
      </c>
      <c r="K53" s="66">
        <f>COUNTIFS(Table6129[Prodi],"S1 Sistem Informasi",Table6129[B3],K$50)/$I$49</f>
        <v>0</v>
      </c>
      <c r="L53" s="66">
        <f>COUNTIFS(Table6129[Prodi],"S1 Sistem Informasi",Table6129[B3],L$50)/$I$49</f>
        <v>0</v>
      </c>
      <c r="M53" s="62">
        <f t="shared" si="1"/>
        <v>1</v>
      </c>
      <c r="N53"/>
      <c r="O53" s="57" t="s">
        <v>28</v>
      </c>
      <c r="P53" s="66">
        <f>COUNTIFS(Table6129[Prodi],"S1 Teknik Komputer",Table6129[B3],P$50)/$P$49</f>
        <v>1</v>
      </c>
      <c r="Q53" s="66">
        <f>COUNTIFS(Table6129[Prodi],"S1 Teknik Komputer",Table6129[B3],Q$50)/$P$49</f>
        <v>0</v>
      </c>
      <c r="R53" s="66">
        <f>COUNTIFS(Table6129[Prodi],"S1 Teknik Komputer",Table6129[B3],R$50)/$P$49</f>
        <v>0</v>
      </c>
      <c r="S53" s="66">
        <f>COUNTIFS(Table6129[Prodi],"S1 Teknik Komputer",Table6129[B3],S$50)/$P$49</f>
        <v>0</v>
      </c>
      <c r="T53" s="62">
        <f t="shared" si="2"/>
        <v>1</v>
      </c>
      <c r="U53"/>
      <c r="V53" s="57" t="s">
        <v>28</v>
      </c>
      <c r="W53" s="66">
        <f>COUNTIFS(Table6129[Prodi],"D3 Sistem Informasi",Table6129[B3],W$50)/$W$49</f>
        <v>0.2</v>
      </c>
      <c r="X53" s="66">
        <f>COUNTIFS(Table6129[Prodi],"D3 Sistem Informasi",Table6129[B3],X$50)/$W$49</f>
        <v>0.8</v>
      </c>
      <c r="Y53" s="66">
        <f>COUNTIFS(Table6129[Prodi],"D3 Sistem Informasi",Table6129[B3],Y$50)/$W$49</f>
        <v>0</v>
      </c>
      <c r="Z53" s="66">
        <f>COUNTIFS(Table6129[Prodi],"D3 Sistem Informasi",Table6129[B3],Z$50)/$W$49</f>
        <v>0</v>
      </c>
      <c r="AA53" s="62">
        <f t="shared" si="3"/>
        <v>1</v>
      </c>
      <c r="AB53"/>
      <c r="AC53"/>
      <c r="AD53"/>
      <c r="AE53"/>
      <c r="AF53"/>
      <c r="AG53"/>
      <c r="AH53"/>
      <c r="AI53"/>
      <c r="AJ53"/>
      <c r="AK53"/>
      <c r="AL53"/>
      <c r="AM53"/>
      <c r="AN53"/>
      <c r="AO53"/>
      <c r="AP53"/>
      <c r="AQ53"/>
      <c r="AR53"/>
    </row>
    <row r="54" spans="1:44" s="118" customFormat="1" ht="16.5" x14ac:dyDescent="0.3">
      <c r="A54" s="57" t="s">
        <v>29</v>
      </c>
      <c r="B54" s="66">
        <f>COUNTIF(Table6129[B1],B$50)/$B$49</f>
        <v>0.375</v>
      </c>
      <c r="C54" s="66">
        <f>COUNTIF(Table6129[B1],C$50)/$B$49</f>
        <v>0.3125</v>
      </c>
      <c r="D54" s="66">
        <f>COUNTIF(Table6129[B1],D$50)/$B$49</f>
        <v>0.1875</v>
      </c>
      <c r="E54" s="66">
        <f>COUNTIF(Table6129[B1],E$50)/$B$49</f>
        <v>0.125</v>
      </c>
      <c r="F54" s="62">
        <f t="shared" si="0"/>
        <v>1</v>
      </c>
      <c r="H54" s="57" t="s">
        <v>29</v>
      </c>
      <c r="I54" s="66">
        <f>COUNTIFS(Table6129[Prodi],"S1 Sistem Informasi",Table6129[B4],I$50)/$I$49</f>
        <v>0.5714285714285714</v>
      </c>
      <c r="J54" s="66">
        <f>COUNTIFS(Table6129[Prodi],"S1 Sistem Informasi",Table6129[B4],J$50)/$I$49</f>
        <v>0.42857142857142855</v>
      </c>
      <c r="K54" s="66">
        <f>COUNTIFS(Table6129[Prodi],"S1 Sistem Informasi",Table6129[B4],K$50)/$I$49</f>
        <v>0</v>
      </c>
      <c r="L54" s="66">
        <f>COUNTIFS(Table6129[Prodi],"S1 Sistem Informasi",Table6129[B4],L$50)/$I$49</f>
        <v>0</v>
      </c>
      <c r="M54" s="62">
        <f t="shared" si="1"/>
        <v>1</v>
      </c>
      <c r="N54"/>
      <c r="O54" s="57" t="s">
        <v>29</v>
      </c>
      <c r="P54" s="66">
        <f>COUNTIFS(Table6129[Prodi],"S1 Teknik Komputer",Table6129[B4],P$50)/$P$49</f>
        <v>1</v>
      </c>
      <c r="Q54" s="66">
        <f>COUNTIFS(Table6129[Prodi],"S1 Teknik Komputer",Table6129[B4],Q$50)/$P$49</f>
        <v>0</v>
      </c>
      <c r="R54" s="66">
        <f>COUNTIFS(Table6129[Prodi],"S1 Teknik Komputer",Table6129[B4],R$50)/$P$49</f>
        <v>0</v>
      </c>
      <c r="S54" s="66">
        <f>COUNTIFS(Table6129[Prodi],"S1 Teknik Komputer",Table6129[B4],S$50)/$P$49</f>
        <v>0</v>
      </c>
      <c r="T54" s="62">
        <f t="shared" si="2"/>
        <v>1</v>
      </c>
      <c r="U54"/>
      <c r="V54" s="57" t="s">
        <v>29</v>
      </c>
      <c r="W54" s="66">
        <f>COUNTIFS(Table6129[Prodi],"D3 Sistem Informasi",Table6129[B4],W$50)/$W$49</f>
        <v>0.8</v>
      </c>
      <c r="X54" s="66">
        <f>COUNTIFS(Table6129[Prodi],"D3 Sistem Informasi",Table6129[B4],X$50)/$W$49</f>
        <v>0.2</v>
      </c>
      <c r="Y54" s="66">
        <f>COUNTIFS(Table6129[Prodi],"D3 Sistem Informasi",Table6129[B4],Y$50)/$W$49</f>
        <v>0</v>
      </c>
      <c r="Z54" s="66">
        <f>COUNTIFS(Table6129[Prodi],"D3 Sistem Informasi",Table6129[B4],Z$50)/$W$49</f>
        <v>0</v>
      </c>
      <c r="AA54" s="62">
        <f t="shared" si="3"/>
        <v>1</v>
      </c>
      <c r="AB54"/>
      <c r="AC54"/>
      <c r="AD54"/>
      <c r="AE54"/>
      <c r="AF54"/>
      <c r="AG54"/>
      <c r="AH54"/>
      <c r="AI54"/>
      <c r="AJ54"/>
      <c r="AK54"/>
      <c r="AL54"/>
      <c r="AM54"/>
      <c r="AN54"/>
      <c r="AO54"/>
      <c r="AP54"/>
      <c r="AQ54"/>
      <c r="AR54"/>
    </row>
    <row r="55" spans="1:44" s="118" customFormat="1" ht="16.5" x14ac:dyDescent="0.3">
      <c r="A55" s="60"/>
      <c r="B55" s="61">
        <f>AVERAGE(B51:B54)</f>
        <v>0.375</v>
      </c>
      <c r="C55" s="61">
        <f>AVERAGE(C51:C54)</f>
        <v>0.3125</v>
      </c>
      <c r="D55" s="61">
        <f>AVERAGE(D51:D54)</f>
        <v>0.1875</v>
      </c>
      <c r="E55" s="61">
        <f>AVERAGE(E51:E54)</f>
        <v>0.125</v>
      </c>
      <c r="F55" s="62">
        <f t="shared" si="0"/>
        <v>1</v>
      </c>
      <c r="H55" s="60"/>
      <c r="I55" s="61">
        <f>AVERAGE(I51:I54)</f>
        <v>0.49999999999999994</v>
      </c>
      <c r="J55" s="61">
        <f>AVERAGE(J51:J54)</f>
        <v>0.3214285714285714</v>
      </c>
      <c r="K55" s="61">
        <f>AVERAGE(K51:K54)</f>
        <v>0.10714285714285714</v>
      </c>
      <c r="L55" s="61">
        <f>AVERAGE(L51:L54)</f>
        <v>7.1428571428571425E-2</v>
      </c>
      <c r="M55" s="62">
        <f t="shared" si="1"/>
        <v>0.99999999999999989</v>
      </c>
      <c r="N55"/>
      <c r="O55" s="60"/>
      <c r="P55" s="61">
        <f>AVERAGE(P51:P54)</f>
        <v>0.9375</v>
      </c>
      <c r="Q55" s="61">
        <f>AVERAGE(Q51:Q54)</f>
        <v>6.25E-2</v>
      </c>
      <c r="R55" s="61">
        <f>AVERAGE(R51:R54)</f>
        <v>0</v>
      </c>
      <c r="S55" s="61">
        <f>AVERAGE(S51:S54)</f>
        <v>0</v>
      </c>
      <c r="T55" s="62">
        <f t="shared" si="2"/>
        <v>1</v>
      </c>
      <c r="U55"/>
      <c r="V55" s="60"/>
      <c r="W55" s="61">
        <f>AVERAGE(W51:W54)</f>
        <v>0.25</v>
      </c>
      <c r="X55" s="61">
        <f>AVERAGE(X51:X54)</f>
        <v>0.75</v>
      </c>
      <c r="Y55" s="61">
        <f>AVERAGE(Y51:Y54)</f>
        <v>0</v>
      </c>
      <c r="Z55" s="61">
        <f>AVERAGE(Z51:Z54)</f>
        <v>0</v>
      </c>
      <c r="AA55" s="62">
        <f t="shared" si="3"/>
        <v>1</v>
      </c>
      <c r="AB55"/>
      <c r="AC55"/>
      <c r="AD55"/>
      <c r="AE55"/>
      <c r="AF55"/>
      <c r="AG55"/>
      <c r="AH55"/>
      <c r="AI55"/>
      <c r="AJ55"/>
      <c r="AK55"/>
      <c r="AL55"/>
      <c r="AM55"/>
      <c r="AN55"/>
      <c r="AO55"/>
      <c r="AP55"/>
      <c r="AQ55"/>
      <c r="AR55"/>
    </row>
    <row r="56" spans="1:44" s="118" customFormat="1" ht="16.5" x14ac:dyDescent="0.3">
      <c r="A56" s="57" t="s">
        <v>31</v>
      </c>
      <c r="B56" s="66">
        <f>COUNTIF(Table6129[C1],B$50)/$B$49</f>
        <v>0.875</v>
      </c>
      <c r="C56" s="66">
        <f>COUNTIF(Table6129[C1],C$50)/$B$49</f>
        <v>0.125</v>
      </c>
      <c r="D56" s="66">
        <f>COUNTIF(Table6129[C1],D$50)/$B$49</f>
        <v>0</v>
      </c>
      <c r="E56" s="66">
        <f>COUNTIF(Table6129[C1],E$50)/$B$49</f>
        <v>0</v>
      </c>
      <c r="F56" s="62">
        <f t="shared" si="0"/>
        <v>1</v>
      </c>
      <c r="H56" s="57" t="s">
        <v>31</v>
      </c>
      <c r="I56" s="66">
        <f>COUNTIFS(Table6129[Prodi],"S1 Sistem Informasi",Table6129[C1],I$50)/$I$49</f>
        <v>0.7142857142857143</v>
      </c>
      <c r="J56" s="66">
        <f>COUNTIFS(Table6129[Prodi],"S1 Sistem Informasi",Table6129[C1],J$50)/$I$49</f>
        <v>0.2857142857142857</v>
      </c>
      <c r="K56" s="66">
        <f>COUNTIFS(Table6129[Prodi],"S1 Sistem Informasi",Table6129[C1],K$50)/$I$49</f>
        <v>0</v>
      </c>
      <c r="L56" s="66">
        <f>COUNTIFS(Table6129[Prodi],"S1 Sistem Informasi",Table6129[C1],L$50)/$I$49</f>
        <v>0</v>
      </c>
      <c r="M56" s="62">
        <f t="shared" si="1"/>
        <v>1</v>
      </c>
      <c r="N56"/>
      <c r="O56" s="57" t="s">
        <v>31</v>
      </c>
      <c r="P56" s="66">
        <f>COUNTIFS(Table6129[Prodi],"S1 Teknik Komputer",Table6129[C1],P$50)/$P$49</f>
        <v>1</v>
      </c>
      <c r="Q56" s="66">
        <f>COUNTIFS(Table6129[Prodi],"S1 Teknik Komputer",Table6129[C1],Q$50)/$P$49</f>
        <v>0</v>
      </c>
      <c r="R56" s="66">
        <f>COUNTIFS(Table6129[Prodi],"S1 Teknik Komputer",Table6129[C1],R$50)/$P$49</f>
        <v>0</v>
      </c>
      <c r="S56" s="66">
        <f>COUNTIFS(Table6129[Prodi],"S1 Teknik Komputer",Table6129[C1],S$50)/$P$49</f>
        <v>0</v>
      </c>
      <c r="T56" s="62">
        <f t="shared" si="2"/>
        <v>1</v>
      </c>
      <c r="U56"/>
      <c r="V56" s="57" t="s">
        <v>31</v>
      </c>
      <c r="W56" s="66">
        <f>COUNTIFS(Table6129[Prodi],"D3 Sistem Informasi",Table6129[C1],W$50)/$W$49</f>
        <v>1</v>
      </c>
      <c r="X56" s="66">
        <f>COUNTIFS(Table6129[Prodi],"D3 Sistem Informasi",Table6129[C1],X$50)/$W$49</f>
        <v>0</v>
      </c>
      <c r="Y56" s="66">
        <f>COUNTIFS(Table6129[Prodi],"D3 Sistem Informasi",Table6129[C1],Y$50)/$W$49</f>
        <v>0</v>
      </c>
      <c r="Z56" s="66">
        <f>COUNTIFS(Table6129[Prodi],"D3 Sistem Informasi",Table6129[C1],Z$50)/$W$49</f>
        <v>0</v>
      </c>
      <c r="AA56" s="62">
        <f t="shared" si="3"/>
        <v>1</v>
      </c>
      <c r="AB56"/>
      <c r="AC56"/>
      <c r="AD56"/>
      <c r="AE56"/>
      <c r="AF56"/>
      <c r="AG56"/>
      <c r="AH56"/>
      <c r="AI56"/>
      <c r="AJ56"/>
      <c r="AK56"/>
      <c r="AL56"/>
      <c r="AM56"/>
      <c r="AN56"/>
      <c r="AO56"/>
      <c r="AP56"/>
      <c r="AQ56"/>
      <c r="AR56"/>
    </row>
    <row r="57" spans="1:44" s="118" customFormat="1" ht="16.5" x14ac:dyDescent="0.3">
      <c r="A57" s="57" t="s">
        <v>32</v>
      </c>
      <c r="B57" s="66">
        <f>COUNTIF(Table6129[C2],B$50)/$B$49</f>
        <v>0.75</v>
      </c>
      <c r="C57" s="66">
        <f>COUNTIF(Table6129[C2],C$50)/$B$49</f>
        <v>0.1875</v>
      </c>
      <c r="D57" s="66">
        <f>COUNTIF(Table6129[C2],D$50)/$B$49</f>
        <v>6.25E-2</v>
      </c>
      <c r="E57" s="66">
        <f>COUNTIF(Table6129[C2],E$50)/$B$49</f>
        <v>0</v>
      </c>
      <c r="F57" s="62">
        <f t="shared" si="0"/>
        <v>1</v>
      </c>
      <c r="H57" s="57" t="s">
        <v>32</v>
      </c>
      <c r="I57" s="66">
        <f>COUNTIFS(Table6129[Prodi],"S1 Sistem Informasi",Table6129[C2],I$50)/$I$49</f>
        <v>0.8571428571428571</v>
      </c>
      <c r="J57" s="66">
        <f>COUNTIFS(Table6129[Prodi],"S1 Sistem Informasi",Table6129[C2],J$50)/$I$49</f>
        <v>0.14285714285714285</v>
      </c>
      <c r="K57" s="66">
        <f>COUNTIFS(Table6129[Prodi],"S1 Sistem Informasi",Table6129[C2],K$50)/$I$49</f>
        <v>0</v>
      </c>
      <c r="L57" s="66">
        <f>COUNTIFS(Table6129[Prodi],"S1 Sistem Informasi",Table6129[C2],L$50)/$I$49</f>
        <v>0</v>
      </c>
      <c r="M57" s="62">
        <f t="shared" si="1"/>
        <v>1</v>
      </c>
      <c r="N57"/>
      <c r="O57" s="57" t="s">
        <v>32</v>
      </c>
      <c r="P57" s="66">
        <f>COUNTIFS(Table6129[Prodi],"S1 Teknik Komputer",Table6129[C2],P$50)/$P$49</f>
        <v>1</v>
      </c>
      <c r="Q57" s="66">
        <f>COUNTIFS(Table6129[Prodi],"S1 Teknik Komputer",Table6129[C2],Q$50)/$P$49</f>
        <v>0</v>
      </c>
      <c r="R57" s="66">
        <f>COUNTIFS(Table6129[Prodi],"S1 Teknik Komputer",Table6129[C2],R$50)/$P$49</f>
        <v>0</v>
      </c>
      <c r="S57" s="66">
        <f>COUNTIFS(Table6129[Prodi],"S1 Teknik Komputer",Table6129[C2],S$50)/$P$49</f>
        <v>0</v>
      </c>
      <c r="T57" s="62">
        <f t="shared" si="2"/>
        <v>1</v>
      </c>
      <c r="U57"/>
      <c r="V57" s="57" t="s">
        <v>32</v>
      </c>
      <c r="W57" s="66">
        <f>COUNTIFS(Table6129[Prodi],"D3 Sistem Informasi",Table6129[C2],W$50)/$W$49</f>
        <v>0.4</v>
      </c>
      <c r="X57" s="66">
        <f>COUNTIFS(Table6129[Prodi],"D3 Sistem Informasi",Table6129[C2],X$50)/$W$49</f>
        <v>0.4</v>
      </c>
      <c r="Y57" s="66">
        <f>COUNTIFS(Table6129[Prodi],"D3 Sistem Informasi",Table6129[C2],Y$50)/$W$49</f>
        <v>0.2</v>
      </c>
      <c r="Z57" s="66">
        <f>COUNTIFS(Table6129[Prodi],"D3 Sistem Informasi",Table6129[C2],Z$50)/$W$49</f>
        <v>0</v>
      </c>
      <c r="AA57" s="62">
        <f t="shared" si="3"/>
        <v>1</v>
      </c>
      <c r="AB57"/>
      <c r="AC57"/>
      <c r="AD57"/>
      <c r="AE57"/>
      <c r="AF57"/>
      <c r="AG57"/>
      <c r="AH57"/>
      <c r="AI57"/>
      <c r="AJ57"/>
      <c r="AK57"/>
      <c r="AL57"/>
      <c r="AM57"/>
      <c r="AN57"/>
      <c r="AO57"/>
      <c r="AP57"/>
      <c r="AQ57"/>
      <c r="AR57"/>
    </row>
    <row r="58" spans="1:44" s="118" customFormat="1" ht="16.5" x14ac:dyDescent="0.3">
      <c r="A58" s="57" t="s">
        <v>1164</v>
      </c>
      <c r="B58" s="66">
        <f>COUNTIF(Table6129[C3],B$50)/$B$49</f>
        <v>0.8125</v>
      </c>
      <c r="C58" s="66">
        <f>COUNTIF(Table6129[C3],C$50)/$B$49</f>
        <v>0.1875</v>
      </c>
      <c r="D58" s="66">
        <f>COUNTIF(Table6129[C3],D$50)/$B$49</f>
        <v>0</v>
      </c>
      <c r="E58" s="66">
        <f>COUNTIF(Table6129[C3],E$50)/$B$49</f>
        <v>0</v>
      </c>
      <c r="F58" s="62">
        <f t="shared" si="0"/>
        <v>1</v>
      </c>
      <c r="H58" s="57" t="s">
        <v>1164</v>
      </c>
      <c r="I58" s="66">
        <f>COUNTIFS(Table6129[Prodi],"S1 Sistem Informasi",Table6129[C3],I$50)/$I$49</f>
        <v>0.8571428571428571</v>
      </c>
      <c r="J58" s="66">
        <f>COUNTIFS(Table6129[Prodi],"S1 Sistem Informasi",Table6129[C3],J$50)/$I$49</f>
        <v>0.14285714285714285</v>
      </c>
      <c r="K58" s="66">
        <f>COUNTIFS(Table6129[Prodi],"S1 Sistem Informasi",Table6129[C3],K$50)/$I$49</f>
        <v>0</v>
      </c>
      <c r="L58" s="66">
        <f>COUNTIFS(Table6129[Prodi],"S1 Sistem Informasi",Table6129[C3],L$50)/$I$49</f>
        <v>0</v>
      </c>
      <c r="M58" s="62">
        <f t="shared" si="1"/>
        <v>1</v>
      </c>
      <c r="N58"/>
      <c r="O58" s="57" t="s">
        <v>1164</v>
      </c>
      <c r="P58" s="66">
        <f>COUNTIFS(Table6129[Prodi],"S1 Teknik Komputer",Table6129[C3],P$50)/$P$49</f>
        <v>0.75</v>
      </c>
      <c r="Q58" s="66">
        <f>COUNTIFS(Table6129[Prodi],"S1 Teknik Komputer",Table6129[C3],Q$50)/$P$49</f>
        <v>0.25</v>
      </c>
      <c r="R58" s="66">
        <f>COUNTIFS(Table6129[Prodi],"S1 Teknik Komputer",Table6129[C3],R$50)/$P$49</f>
        <v>0</v>
      </c>
      <c r="S58" s="66">
        <f>COUNTIFS(Table6129[Prodi],"S1 Teknik Komputer",Table6129[C3],S$50)/$P$49</f>
        <v>0</v>
      </c>
      <c r="T58" s="62">
        <f t="shared" si="2"/>
        <v>1</v>
      </c>
      <c r="U58"/>
      <c r="V58" s="57" t="s">
        <v>1164</v>
      </c>
      <c r="W58" s="66">
        <f>COUNTIFS(Table6129[Prodi],"D3 Sistem Informasi",Table6129[C3],W$50)/$W$49</f>
        <v>0.8</v>
      </c>
      <c r="X58" s="66">
        <f>COUNTIFS(Table6129[Prodi],"D3 Sistem Informasi",Table6129[C3],X$50)/$W$49</f>
        <v>0.2</v>
      </c>
      <c r="Y58" s="66">
        <f>COUNTIFS(Table6129[Prodi],"D3 Sistem Informasi",Table6129[C3],Y$50)/$W$49</f>
        <v>0</v>
      </c>
      <c r="Z58" s="66">
        <f>COUNTIFS(Table6129[Prodi],"D3 Sistem Informasi",Table6129[C3],Z$50)/$W$49</f>
        <v>0</v>
      </c>
      <c r="AA58" s="62">
        <f t="shared" si="3"/>
        <v>1</v>
      </c>
      <c r="AB58"/>
      <c r="AC58"/>
      <c r="AD58"/>
      <c r="AE58"/>
      <c r="AF58"/>
      <c r="AG58"/>
      <c r="AH58"/>
      <c r="AI58"/>
      <c r="AJ58"/>
      <c r="AK58"/>
      <c r="AL58"/>
      <c r="AM58"/>
      <c r="AN58"/>
      <c r="AO58"/>
      <c r="AP58"/>
      <c r="AQ58"/>
      <c r="AR58"/>
    </row>
    <row r="59" spans="1:44" s="118" customFormat="1" ht="16.5" x14ac:dyDescent="0.3">
      <c r="A59" s="60"/>
      <c r="B59" s="61">
        <f>AVERAGE(B56:B58)</f>
        <v>0.8125</v>
      </c>
      <c r="C59" s="61">
        <f>AVERAGE(C56:C58)</f>
        <v>0.16666666666666666</v>
      </c>
      <c r="D59" s="61">
        <f>AVERAGE(D56:D58)</f>
        <v>2.0833333333333332E-2</v>
      </c>
      <c r="E59" s="61">
        <f>AVERAGE(E56:E58)</f>
        <v>0</v>
      </c>
      <c r="F59" s="62">
        <f>SUM(B59:E59)</f>
        <v>1</v>
      </c>
      <c r="H59" s="60"/>
      <c r="I59" s="61">
        <f>AVERAGE(I56:I58)</f>
        <v>0.80952380952380942</v>
      </c>
      <c r="J59" s="61">
        <f>AVERAGE(J56:J58)</f>
        <v>0.19047619047619047</v>
      </c>
      <c r="K59" s="61">
        <f>AVERAGE(K56:K58)</f>
        <v>0</v>
      </c>
      <c r="L59" s="61">
        <f>AVERAGE(L56:L58)</f>
        <v>0</v>
      </c>
      <c r="M59" s="62">
        <f>SUM(I59:L59)</f>
        <v>0.99999999999999989</v>
      </c>
      <c r="N59"/>
      <c r="O59" s="60"/>
      <c r="P59" s="61">
        <f>AVERAGE(P56:P58)</f>
        <v>0.91666666666666663</v>
      </c>
      <c r="Q59" s="61">
        <f>AVERAGE(Q56:Q58)</f>
        <v>8.3333333333333329E-2</v>
      </c>
      <c r="R59" s="61">
        <f>AVERAGE(R56:R58)</f>
        <v>0</v>
      </c>
      <c r="S59" s="61">
        <f>AVERAGE(S56:S58)</f>
        <v>0</v>
      </c>
      <c r="T59" s="62">
        <f>SUM(P59:S59)</f>
        <v>1</v>
      </c>
      <c r="U59"/>
      <c r="V59" s="60"/>
      <c r="W59" s="61">
        <f>AVERAGE(W56:W58)</f>
        <v>0.73333333333333339</v>
      </c>
      <c r="X59" s="61">
        <f>AVERAGE(X56:X58)</f>
        <v>0.20000000000000004</v>
      </c>
      <c r="Y59" s="61">
        <f>AVERAGE(Y56:Y58)</f>
        <v>6.6666666666666666E-2</v>
      </c>
      <c r="Z59" s="61">
        <f>AVERAGE(Z56:Z58)</f>
        <v>0</v>
      </c>
      <c r="AA59" s="62">
        <f>SUM(W59:Z59)</f>
        <v>1.0000000000000002</v>
      </c>
      <c r="AB59"/>
      <c r="AC59"/>
      <c r="AD59"/>
      <c r="AE59"/>
      <c r="AF59"/>
      <c r="AG59"/>
      <c r="AH59"/>
      <c r="AI59"/>
      <c r="AJ59"/>
      <c r="AK59"/>
      <c r="AL59"/>
      <c r="AM59"/>
      <c r="AN59"/>
      <c r="AO59"/>
      <c r="AP59"/>
      <c r="AQ59"/>
      <c r="AR59"/>
    </row>
    <row r="60" spans="1:44" s="118" customFormat="1" ht="16.5" x14ac:dyDescent="0.3">
      <c r="A60" s="57" t="s">
        <v>33</v>
      </c>
      <c r="B60" s="66">
        <f>COUNTIF(Table6129[D1],B$50)/$B$49</f>
        <v>0.25</v>
      </c>
      <c r="C60" s="66">
        <f>COUNTIF(Table6129[D1],C$50)/$B$49</f>
        <v>0.4375</v>
      </c>
      <c r="D60" s="66">
        <f>COUNTIF(Table6129[D1],D$50)/$B$49</f>
        <v>0.3125</v>
      </c>
      <c r="E60" s="66">
        <f>COUNTIF(Table6129[D1],E$50)/$B$49</f>
        <v>0</v>
      </c>
      <c r="F60" s="62">
        <f t="shared" si="0"/>
        <v>1</v>
      </c>
      <c r="H60" s="57" t="s">
        <v>33</v>
      </c>
      <c r="I60" s="66">
        <f>COUNTIFS(Table6129[Prodi],"S1 Sistem Informasi",Table6129[D1],I$50)/$I$49</f>
        <v>0</v>
      </c>
      <c r="J60" s="66">
        <f>COUNTIFS(Table6129[Prodi],"S1 Sistem Informasi",Table6129[D1],J$50)/$I$49</f>
        <v>0.42857142857142855</v>
      </c>
      <c r="K60" s="66">
        <f>COUNTIFS(Table6129[Prodi],"S1 Sistem Informasi",Table6129[D1],K$50)/$I$49</f>
        <v>0.5714285714285714</v>
      </c>
      <c r="L60" s="66">
        <f>COUNTIFS(Table6129[Prodi],"S1 Sistem Informasi",Table6129[D1],L$50)/$I$49</f>
        <v>0</v>
      </c>
      <c r="M60" s="62">
        <f t="shared" ref="M60:M91" si="4">SUM(I60:L60)</f>
        <v>1</v>
      </c>
      <c r="N60"/>
      <c r="O60" s="57" t="s">
        <v>33</v>
      </c>
      <c r="P60" s="66">
        <f>COUNTIFS(Table6129[Prodi],"S1 Teknik Komputer",Table6129[D1],P$50)/$P$49</f>
        <v>1</v>
      </c>
      <c r="Q60" s="66">
        <f>COUNTIFS(Table6129[Prodi],"S1 Teknik Komputer",Table6129[D1],Q$50)/$P$49</f>
        <v>0</v>
      </c>
      <c r="R60" s="66">
        <f>COUNTIFS(Table6129[Prodi],"S1 Teknik Komputer",Table6129[D1],R$50)/$P$49</f>
        <v>0</v>
      </c>
      <c r="S60" s="66">
        <f>COUNTIFS(Table6129[Prodi],"S1 Teknik Komputer",Table6129[D1],S$50)/$P$49</f>
        <v>0</v>
      </c>
      <c r="T60" s="62">
        <f t="shared" ref="T60:T91" si="5">SUM(P60:S60)</f>
        <v>1</v>
      </c>
      <c r="U60"/>
      <c r="V60" s="57" t="s">
        <v>33</v>
      </c>
      <c r="W60" s="66">
        <f>COUNTIFS(Table6129[Prodi],"D3 Sistem Informasi",Table6129[D1],W$50)/$W$49</f>
        <v>0</v>
      </c>
      <c r="X60" s="66">
        <f>COUNTIFS(Table6129[Prodi],"D3 Sistem Informasi",Table6129[D1],X$50)/$W$49</f>
        <v>0.8</v>
      </c>
      <c r="Y60" s="66">
        <f>COUNTIFS(Table6129[Prodi],"D3 Sistem Informasi",Table6129[D1],Y$50)/$W$49</f>
        <v>0.2</v>
      </c>
      <c r="Z60" s="66">
        <f>COUNTIFS(Table6129[Prodi],"D3 Sistem Informasi",Table6129[D1],Z$50)/$W$49</f>
        <v>0</v>
      </c>
      <c r="AA60" s="62">
        <f t="shared" ref="AA60:AA91" si="6">SUM(W60:Z60)</f>
        <v>1</v>
      </c>
      <c r="AB60"/>
      <c r="AC60"/>
      <c r="AD60"/>
      <c r="AE60"/>
      <c r="AF60"/>
      <c r="AG60"/>
      <c r="AH60"/>
      <c r="AI60"/>
      <c r="AJ60"/>
      <c r="AK60"/>
      <c r="AL60"/>
      <c r="AM60"/>
      <c r="AN60"/>
      <c r="AO60"/>
      <c r="AP60"/>
      <c r="AQ60"/>
      <c r="AR60"/>
    </row>
    <row r="61" spans="1:44" s="118" customFormat="1" ht="16.5" x14ac:dyDescent="0.3">
      <c r="A61" s="57" t="s">
        <v>34</v>
      </c>
      <c r="B61" s="66">
        <f>COUNTIF(Table6129[D2],B$50)/$B$49</f>
        <v>0.25</v>
      </c>
      <c r="C61" s="66">
        <f>COUNTIF(Table6129[D2],C$50)/$B$49</f>
        <v>0.5</v>
      </c>
      <c r="D61" s="66">
        <f>COUNTIF(Table6129[D2],D$50)/$B$49</f>
        <v>6.25E-2</v>
      </c>
      <c r="E61" s="66">
        <f>COUNTIF(Table6129[D2],E$50)/$B$49</f>
        <v>0.1875</v>
      </c>
      <c r="F61" s="62">
        <f t="shared" si="0"/>
        <v>1</v>
      </c>
      <c r="H61" s="57" t="s">
        <v>34</v>
      </c>
      <c r="I61" s="66">
        <f>COUNTIFS(Table6129[Prodi],"S1 Sistem Informasi",Table6129[D2],I$50)/$I$49</f>
        <v>0</v>
      </c>
      <c r="J61" s="66">
        <f>COUNTIFS(Table6129[Prodi],"S1 Sistem Informasi",Table6129[D2],J$50)/$I$49</f>
        <v>0.42857142857142855</v>
      </c>
      <c r="K61" s="66">
        <f>COUNTIFS(Table6129[Prodi],"S1 Sistem Informasi",Table6129[D2],K$50)/$I$49</f>
        <v>0.14285714285714285</v>
      </c>
      <c r="L61" s="66">
        <f>COUNTIFS(Table6129[Prodi],"S1 Sistem Informasi",Table6129[D2],L$50)/$I$49</f>
        <v>0.42857142857142855</v>
      </c>
      <c r="M61" s="62">
        <f t="shared" si="4"/>
        <v>1</v>
      </c>
      <c r="N61"/>
      <c r="O61" s="57" t="s">
        <v>34</v>
      </c>
      <c r="P61" s="66">
        <f>COUNTIFS(Table6129[Prodi],"S1 Teknik Komputer",Table6129[D2],P$50)/$P$49</f>
        <v>0.75</v>
      </c>
      <c r="Q61" s="66">
        <f>COUNTIFS(Table6129[Prodi],"S1 Teknik Komputer",Table6129[D2],Q$50)/$P$49</f>
        <v>0.25</v>
      </c>
      <c r="R61" s="66">
        <f>COUNTIFS(Table6129[Prodi],"S1 Teknik Komputer",Table6129[D2],R$50)/$P$49</f>
        <v>0</v>
      </c>
      <c r="S61" s="66">
        <f>COUNTIFS(Table6129[Prodi],"S1 Teknik Komputer",Table6129[D2],S$50)/$P$49</f>
        <v>0</v>
      </c>
      <c r="T61" s="62">
        <f t="shared" si="5"/>
        <v>1</v>
      </c>
      <c r="U61"/>
      <c r="V61" s="57" t="s">
        <v>34</v>
      </c>
      <c r="W61" s="66">
        <f>COUNTIFS(Table6129[Prodi],"D3 Sistem Informasi",Table6129[D2],W$50)/$W$49</f>
        <v>0.2</v>
      </c>
      <c r="X61" s="66">
        <f>COUNTIFS(Table6129[Prodi],"D3 Sistem Informasi",Table6129[D2],X$50)/$W$49</f>
        <v>0.8</v>
      </c>
      <c r="Y61" s="66">
        <f>COUNTIFS(Table6129[Prodi],"D3 Sistem Informasi",Table6129[D2],Y$50)/$W$49</f>
        <v>0</v>
      </c>
      <c r="Z61" s="66">
        <f>COUNTIFS(Table6129[Prodi],"D3 Sistem Informasi",Table6129[D2],Z$50)/$W$49</f>
        <v>0</v>
      </c>
      <c r="AA61" s="62">
        <f t="shared" si="6"/>
        <v>1</v>
      </c>
      <c r="AB61"/>
      <c r="AC61"/>
      <c r="AD61"/>
      <c r="AE61"/>
      <c r="AF61"/>
      <c r="AG61"/>
      <c r="AH61"/>
      <c r="AI61"/>
      <c r="AJ61"/>
      <c r="AK61"/>
      <c r="AL61"/>
      <c r="AM61"/>
      <c r="AN61"/>
      <c r="AO61"/>
      <c r="AP61"/>
      <c r="AQ61"/>
      <c r="AR61"/>
    </row>
    <row r="62" spans="1:44" s="118" customFormat="1" ht="16.5" x14ac:dyDescent="0.3">
      <c r="A62" s="60"/>
      <c r="B62" s="61">
        <f>AVERAGE(B60:B61)</f>
        <v>0.25</v>
      </c>
      <c r="C62" s="61">
        <f>AVERAGE(C60:C61)</f>
        <v>0.46875</v>
      </c>
      <c r="D62" s="61">
        <f>AVERAGE(D60:D61)</f>
        <v>0.1875</v>
      </c>
      <c r="E62" s="61">
        <f>AVERAGE(E60:E61)</f>
        <v>9.375E-2</v>
      </c>
      <c r="F62" s="62">
        <f t="shared" si="0"/>
        <v>1</v>
      </c>
      <c r="H62" s="60"/>
      <c r="I62" s="61">
        <f>AVERAGE(I60:I61)</f>
        <v>0</v>
      </c>
      <c r="J62" s="61">
        <f>AVERAGE(J60:J61)</f>
        <v>0.42857142857142855</v>
      </c>
      <c r="K62" s="61">
        <f>AVERAGE(K60:K61)</f>
        <v>0.3571428571428571</v>
      </c>
      <c r="L62" s="61">
        <f>AVERAGE(L60:L61)</f>
        <v>0.21428571428571427</v>
      </c>
      <c r="M62" s="62">
        <f t="shared" si="4"/>
        <v>0.99999999999999989</v>
      </c>
      <c r="N62"/>
      <c r="O62" s="60"/>
      <c r="P62" s="61">
        <f>AVERAGE(P60:P61)</f>
        <v>0.875</v>
      </c>
      <c r="Q62" s="61">
        <f>AVERAGE(Q60:Q61)</f>
        <v>0.125</v>
      </c>
      <c r="R62" s="61">
        <f>AVERAGE(R60:R61)</f>
        <v>0</v>
      </c>
      <c r="S62" s="61">
        <f>AVERAGE(S60:S61)</f>
        <v>0</v>
      </c>
      <c r="T62" s="62">
        <f t="shared" si="5"/>
        <v>1</v>
      </c>
      <c r="U62"/>
      <c r="V62" s="60"/>
      <c r="W62" s="61">
        <f>AVERAGE(W60:W61)</f>
        <v>0.1</v>
      </c>
      <c r="X62" s="61">
        <f>AVERAGE(X60:X61)</f>
        <v>0.8</v>
      </c>
      <c r="Y62" s="61">
        <f>AVERAGE(Y60:Y61)</f>
        <v>0.1</v>
      </c>
      <c r="Z62" s="61">
        <f>AVERAGE(Z60:Z61)</f>
        <v>0</v>
      </c>
      <c r="AA62" s="62">
        <f t="shared" si="6"/>
        <v>1</v>
      </c>
      <c r="AB62"/>
      <c r="AC62"/>
      <c r="AD62"/>
      <c r="AE62"/>
      <c r="AF62"/>
      <c r="AG62"/>
      <c r="AH62"/>
      <c r="AI62"/>
      <c r="AJ62"/>
      <c r="AK62"/>
      <c r="AL62"/>
      <c r="AM62"/>
      <c r="AN62"/>
      <c r="AO62"/>
      <c r="AP62"/>
      <c r="AQ62"/>
      <c r="AR62"/>
    </row>
    <row r="63" spans="1:44" s="118" customFormat="1" ht="16.5" x14ac:dyDescent="0.3">
      <c r="A63" s="57" t="s">
        <v>35</v>
      </c>
      <c r="B63" s="66">
        <f>COUNTIF(Table6129[E1],B$50)/$B$49</f>
        <v>0.5</v>
      </c>
      <c r="C63" s="66">
        <f>COUNTIF(Table6129[E1],C$50)/$B$49</f>
        <v>0.3125</v>
      </c>
      <c r="D63" s="66">
        <f>COUNTIF(Table6129[E1],D$50)/$B$49</f>
        <v>0.125</v>
      </c>
      <c r="E63" s="66">
        <f>COUNTIF(Table6129[E1],E$50)/$B$49</f>
        <v>6.25E-2</v>
      </c>
      <c r="F63" s="62">
        <f t="shared" si="0"/>
        <v>1</v>
      </c>
      <c r="H63" s="57" t="s">
        <v>35</v>
      </c>
      <c r="I63" s="66">
        <f>COUNTIFS(Table6129[Prodi],"S1 Sistem Informasi",Table6129[E1],I$50)/$I$49</f>
        <v>0.14285714285714285</v>
      </c>
      <c r="J63" s="66">
        <f>COUNTIFS(Table6129[Prodi],"S1 Sistem Informasi",Table6129[E1],J$50)/$I$49</f>
        <v>0.42857142857142855</v>
      </c>
      <c r="K63" s="66">
        <f>COUNTIFS(Table6129[Prodi],"S1 Sistem Informasi",Table6129[E1],K$50)/$I$49</f>
        <v>0.2857142857142857</v>
      </c>
      <c r="L63" s="66">
        <f>COUNTIFS(Table6129[Prodi],"S1 Sistem Informasi",Table6129[E1],L$50)/$I$49</f>
        <v>0.14285714285714285</v>
      </c>
      <c r="M63" s="62">
        <f t="shared" si="4"/>
        <v>1</v>
      </c>
      <c r="N63"/>
      <c r="O63" s="57" t="s">
        <v>35</v>
      </c>
      <c r="P63" s="66">
        <f>COUNTIFS(Table6129[Prodi],"S1 Teknik Komputer",Table6129[E1],P$50)/$P$49</f>
        <v>0.75</v>
      </c>
      <c r="Q63" s="66">
        <f>COUNTIFS(Table6129[Prodi],"S1 Teknik Komputer",Table6129[E1],Q$50)/$P$49</f>
        <v>0.25</v>
      </c>
      <c r="R63" s="66">
        <f>COUNTIFS(Table6129[Prodi],"S1 Teknik Komputer",Table6129[E1],R$50)/$P$49</f>
        <v>0</v>
      </c>
      <c r="S63" s="66">
        <f>COUNTIFS(Table6129[Prodi],"S1 Teknik Komputer",Table6129[E1],S$50)/$P$49</f>
        <v>0</v>
      </c>
      <c r="T63" s="62">
        <f t="shared" si="5"/>
        <v>1</v>
      </c>
      <c r="U63"/>
      <c r="V63" s="57" t="s">
        <v>35</v>
      </c>
      <c r="W63" s="66">
        <f>COUNTIFS(Table6129[Prodi],"D3 Sistem Informasi",Table6129[E1],W$50)/$W$49</f>
        <v>0.8</v>
      </c>
      <c r="X63" s="66">
        <f>COUNTIFS(Table6129[Prodi],"D3 Sistem Informasi",Table6129[E1],X$50)/$W$49</f>
        <v>0.2</v>
      </c>
      <c r="Y63" s="66">
        <f>COUNTIFS(Table6129[Prodi],"D3 Sistem Informasi",Table6129[E1],Y$50)/$W$49</f>
        <v>0</v>
      </c>
      <c r="Z63" s="66">
        <f>COUNTIFS(Table6129[Prodi],"D3 Sistem Informasi",Table6129[E1],Z$50)/$W$49</f>
        <v>0</v>
      </c>
      <c r="AA63" s="62">
        <f t="shared" si="6"/>
        <v>1</v>
      </c>
      <c r="AB63"/>
      <c r="AC63"/>
      <c r="AD63"/>
      <c r="AE63"/>
      <c r="AF63"/>
      <c r="AG63"/>
      <c r="AH63"/>
      <c r="AI63"/>
      <c r="AJ63"/>
      <c r="AK63"/>
      <c r="AL63"/>
      <c r="AM63"/>
      <c r="AN63"/>
      <c r="AO63"/>
      <c r="AP63"/>
      <c r="AQ63"/>
      <c r="AR63"/>
    </row>
    <row r="64" spans="1:44" s="118" customFormat="1" ht="16.5" x14ac:dyDescent="0.3">
      <c r="A64" s="57" t="s">
        <v>36</v>
      </c>
      <c r="B64" s="66">
        <f>COUNTIF(Table6129[E2],B$50)/$B$49</f>
        <v>0.625</v>
      </c>
      <c r="C64" s="66">
        <f>COUNTIF(Table6129[E2],C$50)/$B$49</f>
        <v>0.3125</v>
      </c>
      <c r="D64" s="66">
        <f>COUNTIF(Table6129[E2],D$50)/$B$49</f>
        <v>0</v>
      </c>
      <c r="E64" s="66">
        <f>COUNTIF(Table6129[E2],E$50)/$B$49</f>
        <v>6.25E-2</v>
      </c>
      <c r="F64" s="62">
        <f t="shared" si="0"/>
        <v>1</v>
      </c>
      <c r="H64" s="57" t="s">
        <v>36</v>
      </c>
      <c r="I64" s="66">
        <f>COUNTIFS(Table6129[Prodi],"S1 Sistem Informasi",Table6129[E2],I$50)/$I$49</f>
        <v>0.42857142857142855</v>
      </c>
      <c r="J64" s="66">
        <f>COUNTIFS(Table6129[Prodi],"S1 Sistem Informasi",Table6129[E2],J$50)/$I$49</f>
        <v>0.42857142857142855</v>
      </c>
      <c r="K64" s="66">
        <f>COUNTIFS(Table6129[Prodi],"S1 Sistem Informasi",Table6129[E2],K$50)/$I$49</f>
        <v>0</v>
      </c>
      <c r="L64" s="66">
        <f>COUNTIFS(Table6129[Prodi],"S1 Sistem Informasi",Table6129[E2],L$50)/$I$49</f>
        <v>0.14285714285714285</v>
      </c>
      <c r="M64" s="62">
        <f t="shared" si="4"/>
        <v>1</v>
      </c>
      <c r="N64"/>
      <c r="O64" s="57" t="s">
        <v>36</v>
      </c>
      <c r="P64" s="66">
        <f>COUNTIFS(Table6129[Prodi],"S1 Teknik Komputer",Table6129[E2],P$50)/$P$49</f>
        <v>1</v>
      </c>
      <c r="Q64" s="66">
        <f>COUNTIFS(Table6129[Prodi],"S1 Teknik Komputer",Table6129[E2],Q$50)/$P$49</f>
        <v>0</v>
      </c>
      <c r="R64" s="66">
        <f>COUNTIFS(Table6129[Prodi],"S1 Teknik Komputer",Table6129[E2],R$50)/$P$49</f>
        <v>0</v>
      </c>
      <c r="S64" s="66">
        <f>COUNTIFS(Table6129[Prodi],"S1 Teknik Komputer",Table6129[E2],S$50)/$P$49</f>
        <v>0</v>
      </c>
      <c r="T64" s="62">
        <f t="shared" si="5"/>
        <v>1</v>
      </c>
      <c r="U64"/>
      <c r="V64" s="57" t="s">
        <v>36</v>
      </c>
      <c r="W64" s="66">
        <f>COUNTIFS(Table6129[Prodi],"D3 Sistem Informasi",Table6129[E2],W$50)/$W$49</f>
        <v>0.6</v>
      </c>
      <c r="X64" s="66">
        <f>COUNTIFS(Table6129[Prodi],"D3 Sistem Informasi",Table6129[E2],X$50)/$W$49</f>
        <v>0.4</v>
      </c>
      <c r="Y64" s="66">
        <f>COUNTIFS(Table6129[Prodi],"D3 Sistem Informasi",Table6129[E2],Y$50)/$W$49</f>
        <v>0</v>
      </c>
      <c r="Z64" s="66">
        <f>COUNTIFS(Table6129[Prodi],"D3 Sistem Informasi",Table6129[E2],Z$50)/$W$49</f>
        <v>0</v>
      </c>
      <c r="AA64" s="62">
        <f t="shared" si="6"/>
        <v>1</v>
      </c>
      <c r="AB64"/>
      <c r="AC64"/>
      <c r="AD64"/>
      <c r="AE64"/>
      <c r="AF64"/>
      <c r="AG64"/>
      <c r="AH64"/>
      <c r="AI64"/>
      <c r="AJ64"/>
      <c r="AK64"/>
      <c r="AL64"/>
      <c r="AM64"/>
      <c r="AN64"/>
      <c r="AO64"/>
      <c r="AP64"/>
      <c r="AQ64"/>
      <c r="AR64"/>
    </row>
    <row r="65" spans="1:44" s="118" customFormat="1" ht="16.5" x14ac:dyDescent="0.3">
      <c r="A65" s="57" t="s">
        <v>1168</v>
      </c>
      <c r="B65" s="66">
        <f>COUNTIF(Table6129[E3],B$50)/$B$49</f>
        <v>0.6875</v>
      </c>
      <c r="C65" s="66">
        <f>COUNTIF(Table6129[E3],C$50)/$B$49</f>
        <v>0.3125</v>
      </c>
      <c r="D65" s="66">
        <f>COUNTIF(Table6129[E3],D$50)/$B$49</f>
        <v>0</v>
      </c>
      <c r="E65" s="66">
        <f>COUNTIF(Table6129[E3],E$50)/$B$49</f>
        <v>0</v>
      </c>
      <c r="F65" s="62">
        <f t="shared" si="0"/>
        <v>1</v>
      </c>
      <c r="H65" s="57" t="s">
        <v>1168</v>
      </c>
      <c r="I65" s="66">
        <f>COUNTIFS(Table6129[Prodi],"S1 Sistem Informasi",Table6129[E3],I$50)/$I$49</f>
        <v>0.7142857142857143</v>
      </c>
      <c r="J65" s="66">
        <f>COUNTIFS(Table6129[Prodi],"S1 Sistem Informasi",Table6129[E3],J$50)/$I$49</f>
        <v>0.2857142857142857</v>
      </c>
      <c r="K65" s="66">
        <f>COUNTIFS(Table6129[Prodi],"S1 Sistem Informasi",Table6129[E3],K$50)/$I$49</f>
        <v>0</v>
      </c>
      <c r="L65" s="66">
        <f>COUNTIFS(Table6129[Prodi],"S1 Sistem Informasi",Table6129[E3],L$50)/$I$49</f>
        <v>0</v>
      </c>
      <c r="M65" s="62">
        <f t="shared" si="4"/>
        <v>1</v>
      </c>
      <c r="N65"/>
      <c r="O65" s="57" t="s">
        <v>1168</v>
      </c>
      <c r="P65" s="66">
        <f>COUNTIFS(Table6129[Prodi],"S1 Teknik Komputer",Table6129[E3],P$50)/$P$49</f>
        <v>0.75</v>
      </c>
      <c r="Q65" s="66">
        <f>COUNTIFS(Table6129[Prodi],"S1 Teknik Komputer",Table6129[E3],Q$50)/$P$49</f>
        <v>0.25</v>
      </c>
      <c r="R65" s="66">
        <f>COUNTIFS(Table6129[Prodi],"S1 Teknik Komputer",Table6129[E3],R$50)/$P$49</f>
        <v>0</v>
      </c>
      <c r="S65" s="66">
        <f>COUNTIFS(Table6129[Prodi],"S1 Teknik Komputer",Table6129[E3],S$50)/$P$49</f>
        <v>0</v>
      </c>
      <c r="T65" s="62">
        <f t="shared" si="5"/>
        <v>1</v>
      </c>
      <c r="U65"/>
      <c r="V65" s="57" t="s">
        <v>1168</v>
      </c>
      <c r="W65" s="66">
        <f>COUNTIFS(Table6129[Prodi],"D3 Sistem Informasi",Table6129[E3],W$50)/$W$49</f>
        <v>0.6</v>
      </c>
      <c r="X65" s="66">
        <f>COUNTIFS(Table6129[Prodi],"D3 Sistem Informasi",Table6129[E3],X$50)/$W$49</f>
        <v>0.4</v>
      </c>
      <c r="Y65" s="66">
        <f>COUNTIFS(Table6129[Prodi],"D3 Sistem Informasi",Table6129[E3],Y$50)/$W$49</f>
        <v>0</v>
      </c>
      <c r="Z65" s="66">
        <f>COUNTIFS(Table6129[Prodi],"D3 Sistem Informasi",Table6129[E3],Z$50)/$W$49</f>
        <v>0</v>
      </c>
      <c r="AA65" s="62">
        <f t="shared" si="6"/>
        <v>1</v>
      </c>
      <c r="AB65"/>
      <c r="AC65"/>
      <c r="AD65"/>
      <c r="AE65"/>
      <c r="AF65"/>
      <c r="AG65"/>
      <c r="AH65"/>
      <c r="AI65"/>
      <c r="AJ65"/>
      <c r="AK65"/>
      <c r="AL65"/>
      <c r="AM65"/>
      <c r="AN65"/>
      <c r="AO65"/>
      <c r="AP65"/>
      <c r="AQ65"/>
      <c r="AR65"/>
    </row>
    <row r="66" spans="1:44" s="118" customFormat="1" ht="16.5" x14ac:dyDescent="0.3">
      <c r="A66" s="60"/>
      <c r="B66" s="61">
        <f>AVERAGE(B63:B65)</f>
        <v>0.60416666666666663</v>
      </c>
      <c r="C66" s="61">
        <f>AVERAGE(C63:C65)</f>
        <v>0.3125</v>
      </c>
      <c r="D66" s="61">
        <f>AVERAGE(D63:D65)</f>
        <v>4.1666666666666664E-2</v>
      </c>
      <c r="E66" s="61">
        <f>AVERAGE(E63:E65)</f>
        <v>4.1666666666666664E-2</v>
      </c>
      <c r="F66" s="62">
        <f t="shared" si="0"/>
        <v>0.99999999999999989</v>
      </c>
      <c r="H66" s="60"/>
      <c r="I66" s="61">
        <f>AVERAGE(I63:I65)</f>
        <v>0.42857142857142855</v>
      </c>
      <c r="J66" s="61">
        <f>AVERAGE(J63:J65)</f>
        <v>0.38095238095238093</v>
      </c>
      <c r="K66" s="61">
        <f>AVERAGE(K63:K65)</f>
        <v>9.5238095238095233E-2</v>
      </c>
      <c r="L66" s="61">
        <f>AVERAGE(L63:L65)</f>
        <v>9.5238095238095233E-2</v>
      </c>
      <c r="M66" s="62">
        <f t="shared" si="4"/>
        <v>1</v>
      </c>
      <c r="N66"/>
      <c r="O66" s="60"/>
      <c r="P66" s="61">
        <f>AVERAGE(P63:P65)</f>
        <v>0.83333333333333337</v>
      </c>
      <c r="Q66" s="61">
        <f>AVERAGE(Q63:Q65)</f>
        <v>0.16666666666666666</v>
      </c>
      <c r="R66" s="61">
        <f>AVERAGE(R63:R65)</f>
        <v>0</v>
      </c>
      <c r="S66" s="61">
        <f>AVERAGE(S63:S65)</f>
        <v>0</v>
      </c>
      <c r="T66" s="62">
        <f t="shared" si="5"/>
        <v>1</v>
      </c>
      <c r="U66"/>
      <c r="V66" s="60"/>
      <c r="W66" s="61">
        <f>AVERAGE(W63:W65)</f>
        <v>0.66666666666666663</v>
      </c>
      <c r="X66" s="61">
        <f>AVERAGE(X63:X65)</f>
        <v>0.33333333333333331</v>
      </c>
      <c r="Y66" s="61">
        <f>AVERAGE(Y63:Y65)</f>
        <v>0</v>
      </c>
      <c r="Z66" s="61">
        <f>AVERAGE(Z63:Z65)</f>
        <v>0</v>
      </c>
      <c r="AA66" s="62">
        <f t="shared" si="6"/>
        <v>1</v>
      </c>
      <c r="AB66"/>
      <c r="AC66"/>
      <c r="AD66"/>
      <c r="AE66"/>
      <c r="AF66"/>
      <c r="AG66"/>
      <c r="AH66"/>
      <c r="AI66"/>
      <c r="AJ66"/>
      <c r="AK66"/>
      <c r="AL66"/>
      <c r="AM66"/>
      <c r="AN66"/>
      <c r="AO66"/>
      <c r="AP66"/>
      <c r="AQ66"/>
      <c r="AR66"/>
    </row>
    <row r="67" spans="1:44" s="118" customFormat="1" ht="16.5" x14ac:dyDescent="0.3">
      <c r="A67" s="57" t="s">
        <v>37</v>
      </c>
      <c r="B67" s="66">
        <f>COUNTIF(Table6129[F1],B$50)/$B$49</f>
        <v>0.4375</v>
      </c>
      <c r="C67" s="66">
        <f>COUNTIF(Table6129[F1],C$50)/$B$49</f>
        <v>0.5625</v>
      </c>
      <c r="D67" s="66">
        <f>COUNTIF(Table6129[F1],D$50)/$B$49</f>
        <v>0</v>
      </c>
      <c r="E67" s="66">
        <f>COUNTIF(Table6129[F1],E$50)/$B$49</f>
        <v>0</v>
      </c>
      <c r="F67" s="62">
        <f t="shared" si="0"/>
        <v>1</v>
      </c>
      <c r="H67" s="57" t="s">
        <v>37</v>
      </c>
      <c r="I67" s="66">
        <f>COUNTIFS(Table6129[Prodi],"S1 Sistem Informasi",Table6129[F1],I$50)/$I$49</f>
        <v>0.42857142857142855</v>
      </c>
      <c r="J67" s="66">
        <f>COUNTIFS(Table6129[Prodi],"S1 Sistem Informasi",Table6129[F1],J$50)/$I$49</f>
        <v>0.5714285714285714</v>
      </c>
      <c r="K67" s="66">
        <f>COUNTIFS(Table6129[Prodi],"S1 Sistem Informasi",Table6129[F1],K$50)/$I$49</f>
        <v>0</v>
      </c>
      <c r="L67" s="66">
        <f>COUNTIFS(Table6129[Prodi],"S1 Sistem Informasi",Table6129[F1],L$50)/$I$49</f>
        <v>0</v>
      </c>
      <c r="M67" s="62">
        <f t="shared" si="4"/>
        <v>1</v>
      </c>
      <c r="N67" t="s">
        <v>1575</v>
      </c>
      <c r="O67" s="57" t="s">
        <v>37</v>
      </c>
      <c r="P67" s="66">
        <f>COUNTIFS(Table6129[Prodi],"S1 Teknik Komputer",Table6129[F1],P$50)/$P$49</f>
        <v>0.5</v>
      </c>
      <c r="Q67" s="66">
        <f>COUNTIFS(Table6129[Prodi],"S1 Teknik Komputer",Table6129[F1],Q$50)/$P$49</f>
        <v>0.5</v>
      </c>
      <c r="R67" s="66">
        <f>COUNTIFS(Table6129[Prodi],"S1 Teknik Komputer",Table6129[F1],R$50)/$P$49</f>
        <v>0</v>
      </c>
      <c r="S67" s="66">
        <f>COUNTIFS(Table6129[Prodi],"S1 Teknik Komputer",Table6129[F1],S$50)/$P$49</f>
        <v>0</v>
      </c>
      <c r="T67" s="62">
        <f t="shared" si="5"/>
        <v>1</v>
      </c>
      <c r="U67"/>
      <c r="V67" s="57" t="s">
        <v>37</v>
      </c>
      <c r="W67" s="66">
        <f>COUNTIFS(Table6129[Prodi],"D3 Sistem Informasi",Table6129[F1],W$50)/$W$49</f>
        <v>0.4</v>
      </c>
      <c r="X67" s="66">
        <f>COUNTIFS(Table6129[Prodi],"D3 Sistem Informasi",Table6129[F1],X$50)/$W$49</f>
        <v>0.6</v>
      </c>
      <c r="Y67" s="66">
        <f>COUNTIFS(Table6129[Prodi],"D3 Sistem Informasi",Table6129[F1],Y$50)/$W$49</f>
        <v>0</v>
      </c>
      <c r="Z67" s="66">
        <f>COUNTIFS(Table6129[Prodi],"D3 Sistem Informasi",Table6129[F1],Z$50)/$W$49</f>
        <v>0</v>
      </c>
      <c r="AA67" s="62">
        <f t="shared" si="6"/>
        <v>1</v>
      </c>
      <c r="AB67"/>
      <c r="AC67"/>
      <c r="AD67"/>
      <c r="AE67"/>
      <c r="AF67"/>
      <c r="AG67"/>
      <c r="AH67"/>
      <c r="AI67"/>
      <c r="AJ67"/>
      <c r="AK67"/>
      <c r="AL67"/>
      <c r="AM67"/>
      <c r="AN67"/>
      <c r="AO67"/>
      <c r="AP67"/>
      <c r="AQ67"/>
      <c r="AR67"/>
    </row>
    <row r="68" spans="1:44" s="118" customFormat="1" ht="16.5" x14ac:dyDescent="0.3">
      <c r="A68" s="57" t="s">
        <v>38</v>
      </c>
      <c r="B68" s="66">
        <f>COUNTIF(Table6129[F2],B$50)/$B$49</f>
        <v>0.625</v>
      </c>
      <c r="C68" s="66">
        <f>COUNTIF(Table6129[F2],C$50)/$B$49</f>
        <v>0.375</v>
      </c>
      <c r="D68" s="66">
        <f>COUNTIF(Table6129[F2],D$50)/$B$49</f>
        <v>0</v>
      </c>
      <c r="E68" s="66">
        <f>COUNTIF(Table6129[F2],E$50)/$B$49</f>
        <v>0</v>
      </c>
      <c r="F68" s="62">
        <f t="shared" si="0"/>
        <v>1</v>
      </c>
      <c r="H68" s="57" t="s">
        <v>38</v>
      </c>
      <c r="I68" s="66">
        <f>COUNTIFS(Table6129[Prodi],"S1 Sistem Informasi",Table6129[F2],I$50)/$I$49</f>
        <v>0.5714285714285714</v>
      </c>
      <c r="J68" s="66">
        <f>COUNTIFS(Table6129[Prodi],"S1 Sistem Informasi",Table6129[F2],J$50)/$I$49</f>
        <v>0.42857142857142855</v>
      </c>
      <c r="K68" s="66">
        <f>COUNTIFS(Table6129[Prodi],"S1 Sistem Informasi",Table6129[F2],K$50)/$I$49</f>
        <v>0</v>
      </c>
      <c r="L68" s="66">
        <f>COUNTIFS(Table6129[Prodi],"S1 Sistem Informasi",Table6129[F2],L$50)/$I$49</f>
        <v>0</v>
      </c>
      <c r="M68" s="62">
        <f t="shared" si="4"/>
        <v>1</v>
      </c>
      <c r="N68"/>
      <c r="O68" s="57" t="s">
        <v>38</v>
      </c>
      <c r="P68" s="66">
        <f>COUNTIFS(Table6129[Prodi],"S1 Teknik Komputer",Table6129[F2],P$50)/$P$49</f>
        <v>0.75</v>
      </c>
      <c r="Q68" s="66">
        <f>COUNTIFS(Table6129[Prodi],"S1 Teknik Komputer",Table6129[F2],Q$50)/$P$49</f>
        <v>0.25</v>
      </c>
      <c r="R68" s="66">
        <f>COUNTIFS(Table6129[Prodi],"S1 Teknik Komputer",Table6129[F2],R$50)/$P$49</f>
        <v>0</v>
      </c>
      <c r="S68" s="66">
        <f>COUNTIFS(Table6129[Prodi],"S1 Teknik Komputer",Table6129[F2],S$50)/$P$49</f>
        <v>0</v>
      </c>
      <c r="T68" s="62">
        <f t="shared" si="5"/>
        <v>1</v>
      </c>
      <c r="U68"/>
      <c r="V68" s="57" t="s">
        <v>38</v>
      </c>
      <c r="W68" s="66">
        <f>COUNTIFS(Table6129[Prodi],"D3 Sistem Informasi",Table6129[F2],W$50)/$W$49</f>
        <v>0.6</v>
      </c>
      <c r="X68" s="66">
        <f>COUNTIFS(Table6129[Prodi],"D3 Sistem Informasi",Table6129[F2],X$50)/$W$49</f>
        <v>0.4</v>
      </c>
      <c r="Y68" s="66">
        <f>COUNTIFS(Table6129[Prodi],"D3 Sistem Informasi",Table6129[F2],Y$50)/$W$49</f>
        <v>0</v>
      </c>
      <c r="Z68" s="66">
        <f>COUNTIFS(Table6129[Prodi],"D3 Sistem Informasi",Table6129[F2],Z$50)/$W$49</f>
        <v>0</v>
      </c>
      <c r="AA68" s="62">
        <f t="shared" si="6"/>
        <v>1</v>
      </c>
      <c r="AB68"/>
      <c r="AC68"/>
      <c r="AD68"/>
      <c r="AE68"/>
      <c r="AF68"/>
      <c r="AG68"/>
      <c r="AH68"/>
      <c r="AI68"/>
      <c r="AJ68"/>
      <c r="AK68"/>
      <c r="AL68"/>
      <c r="AM68"/>
      <c r="AN68"/>
      <c r="AO68"/>
      <c r="AP68"/>
      <c r="AQ68"/>
      <c r="AR68"/>
    </row>
    <row r="69" spans="1:44" s="118" customFormat="1" ht="16.5" x14ac:dyDescent="0.3">
      <c r="A69" s="57" t="s">
        <v>39</v>
      </c>
      <c r="B69" s="66">
        <f>COUNTIF(Table6129[F3],B$50)/$B$49</f>
        <v>0.4375</v>
      </c>
      <c r="C69" s="66">
        <f>COUNTIF(Table6129[F3],C$50)/$B$49</f>
        <v>0.5625</v>
      </c>
      <c r="D69" s="66">
        <f>COUNTIF(Table6129[F3],D$50)/$B$49</f>
        <v>0</v>
      </c>
      <c r="E69" s="66">
        <f>COUNTIF(Table6129[F3],E$50)/$B$49</f>
        <v>0</v>
      </c>
      <c r="F69" s="62">
        <f t="shared" si="0"/>
        <v>1</v>
      </c>
      <c r="H69" s="57" t="s">
        <v>39</v>
      </c>
      <c r="I69" s="66">
        <f>COUNTIFS(Table6129[Prodi],"S1 Sistem Informasi",Table6129[F3],I$50)/$I$49</f>
        <v>0.42857142857142855</v>
      </c>
      <c r="J69" s="66">
        <f>COUNTIFS(Table6129[Prodi],"S1 Sistem Informasi",Table6129[F3],J$50)/$I$49</f>
        <v>0.5714285714285714</v>
      </c>
      <c r="K69" s="66">
        <f>COUNTIFS(Table6129[Prodi],"S1 Sistem Informasi",Table6129[F3],K$50)/$I$49</f>
        <v>0</v>
      </c>
      <c r="L69" s="66">
        <f>COUNTIFS(Table6129[Prodi],"S1 Sistem Informasi",Table6129[F3],L$50)/$I$49</f>
        <v>0</v>
      </c>
      <c r="M69" s="62">
        <f t="shared" si="4"/>
        <v>1</v>
      </c>
      <c r="N69"/>
      <c r="O69" s="57" t="s">
        <v>39</v>
      </c>
      <c r="P69" s="66">
        <f>COUNTIFS(Table6129[Prodi],"S1 Teknik Komputer",Table6129[F3],P$50)/$P$49</f>
        <v>0.5</v>
      </c>
      <c r="Q69" s="66">
        <f>COUNTIFS(Table6129[Prodi],"S1 Teknik Komputer",Table6129[F3],Q$50)/$P$49</f>
        <v>0.5</v>
      </c>
      <c r="R69" s="66">
        <f>COUNTIFS(Table6129[Prodi],"S1 Teknik Komputer",Table6129[F3],R$50)/$P$49</f>
        <v>0</v>
      </c>
      <c r="S69" s="66">
        <f>COUNTIFS(Table6129[Prodi],"S1 Teknik Komputer",Table6129[F3],S$50)/$P$49</f>
        <v>0</v>
      </c>
      <c r="T69" s="62">
        <f t="shared" si="5"/>
        <v>1</v>
      </c>
      <c r="U69"/>
      <c r="V69" s="57" t="s">
        <v>39</v>
      </c>
      <c r="W69" s="66">
        <f>COUNTIFS(Table6129[Prodi],"D3 Sistem Informasi",Table6129[F3],W$50)/$W$49</f>
        <v>0.4</v>
      </c>
      <c r="X69" s="66">
        <f>COUNTIFS(Table6129[Prodi],"D3 Sistem Informasi",Table6129[F3],X$50)/$W$49</f>
        <v>0.6</v>
      </c>
      <c r="Y69" s="66">
        <f>COUNTIFS(Table6129[Prodi],"D3 Sistem Informasi",Table6129[F3],Y$50)/$W$49</f>
        <v>0</v>
      </c>
      <c r="Z69" s="66">
        <f>COUNTIFS(Table6129[Prodi],"D3 Sistem Informasi",Table6129[F3],Z$50)/$W$49</f>
        <v>0</v>
      </c>
      <c r="AA69" s="62">
        <f t="shared" si="6"/>
        <v>1</v>
      </c>
      <c r="AB69"/>
      <c r="AC69"/>
      <c r="AD69"/>
      <c r="AE69"/>
      <c r="AF69"/>
      <c r="AG69"/>
      <c r="AH69"/>
      <c r="AI69"/>
      <c r="AJ69"/>
      <c r="AK69"/>
      <c r="AL69"/>
      <c r="AM69"/>
      <c r="AN69"/>
      <c r="AO69"/>
      <c r="AP69"/>
      <c r="AQ69"/>
      <c r="AR69"/>
    </row>
    <row r="70" spans="1:44" s="118" customFormat="1" ht="16.5" x14ac:dyDescent="0.3">
      <c r="A70" s="57" t="s">
        <v>1170</v>
      </c>
      <c r="B70" s="66">
        <f>COUNTIF(Table6129[F4],B$50)/$B$49</f>
        <v>0.375</v>
      </c>
      <c r="C70" s="66">
        <f>COUNTIF(Table6129[F4],C$50)/$B$49</f>
        <v>0.625</v>
      </c>
      <c r="D70" s="66">
        <f>COUNTIF(Table6129[F4],D$50)/$B$49</f>
        <v>0</v>
      </c>
      <c r="E70" s="66">
        <f>COUNTIF(Table6129[F4],E$50)/$B$49</f>
        <v>0</v>
      </c>
      <c r="F70" s="62">
        <f t="shared" si="0"/>
        <v>1</v>
      </c>
      <c r="H70" s="57" t="s">
        <v>1170</v>
      </c>
      <c r="I70" s="66">
        <f>COUNTIFS(Table6129[Prodi],"S1 Sistem Informasi",Table6129[F4],I$50)/$I$49</f>
        <v>0.14285714285714285</v>
      </c>
      <c r="J70" s="66">
        <f>COUNTIFS(Table6129[Prodi],"S1 Sistem Informasi",Table6129[F4],J$50)/$I$49</f>
        <v>0.8571428571428571</v>
      </c>
      <c r="K70" s="66">
        <f>COUNTIFS(Table6129[Prodi],"S1 Sistem Informasi",Table6129[F4],K$50)/$I$49</f>
        <v>0</v>
      </c>
      <c r="L70" s="66">
        <f>COUNTIFS(Table6129[Prodi],"S1 Sistem Informasi",Table6129[F4],L$50)/$I$49</f>
        <v>0</v>
      </c>
      <c r="M70" s="62">
        <f t="shared" si="4"/>
        <v>1</v>
      </c>
      <c r="N70"/>
      <c r="O70" s="57" t="s">
        <v>1170</v>
      </c>
      <c r="P70" s="66">
        <f>COUNTIFS(Table6129[Prodi],"S1 Teknik Komputer",Table6129[F4],P$50)/$P$49</f>
        <v>1</v>
      </c>
      <c r="Q70" s="66">
        <f>COUNTIFS(Table6129[Prodi],"S1 Teknik Komputer",Table6129[F4],Q$50)/$P$49</f>
        <v>0</v>
      </c>
      <c r="R70" s="66">
        <f>COUNTIFS(Table6129[Prodi],"S1 Teknik Komputer",Table6129[F4],R$50)/$P$49</f>
        <v>0</v>
      </c>
      <c r="S70" s="66">
        <f>COUNTIFS(Table6129[Prodi],"S1 Teknik Komputer",Table6129[F4],S$50)/$P$49</f>
        <v>0</v>
      </c>
      <c r="T70" s="62">
        <f t="shared" si="5"/>
        <v>1</v>
      </c>
      <c r="U70"/>
      <c r="V70" s="57" t="s">
        <v>1170</v>
      </c>
      <c r="W70" s="66">
        <f>COUNTIFS(Table6129[Prodi],"D3 Sistem Informasi",Table6129[F4],W$50)/$W$49</f>
        <v>0.2</v>
      </c>
      <c r="X70" s="66">
        <f>COUNTIFS(Table6129[Prodi],"D3 Sistem Informasi",Table6129[F4],X$50)/$W$49</f>
        <v>0.8</v>
      </c>
      <c r="Y70" s="66">
        <f>COUNTIFS(Table6129[Prodi],"D3 Sistem Informasi",Table6129[F4],Y$50)/$W$49</f>
        <v>0</v>
      </c>
      <c r="Z70" s="66">
        <f>COUNTIFS(Table6129[Prodi],"D3 Sistem Informasi",Table6129[F4],Z$50)/$W$49</f>
        <v>0</v>
      </c>
      <c r="AA70" s="62">
        <f t="shared" si="6"/>
        <v>1</v>
      </c>
      <c r="AB70"/>
      <c r="AC70"/>
      <c r="AD70"/>
      <c r="AE70"/>
      <c r="AF70"/>
      <c r="AG70"/>
      <c r="AH70"/>
      <c r="AI70"/>
      <c r="AJ70"/>
      <c r="AK70"/>
      <c r="AL70"/>
      <c r="AM70"/>
      <c r="AN70"/>
      <c r="AO70"/>
      <c r="AP70"/>
      <c r="AQ70"/>
      <c r="AR70"/>
    </row>
    <row r="71" spans="1:44" s="118" customFormat="1" ht="16.5" x14ac:dyDescent="0.3">
      <c r="A71" s="60"/>
      <c r="B71" s="61">
        <f>AVERAGE(B67:B70)</f>
        <v>0.46875</v>
      </c>
      <c r="C71" s="61">
        <f>AVERAGE(C67:C70)</f>
        <v>0.53125</v>
      </c>
      <c r="D71" s="61">
        <f>AVERAGE(D67:D70)</f>
        <v>0</v>
      </c>
      <c r="E71" s="61">
        <f>AVERAGE(E67:E70)</f>
        <v>0</v>
      </c>
      <c r="F71" s="62">
        <f t="shared" si="0"/>
        <v>1</v>
      </c>
      <c r="H71" s="60"/>
      <c r="I71" s="61">
        <f>AVERAGE(I67:I70)</f>
        <v>0.39285714285714285</v>
      </c>
      <c r="J71" s="61">
        <f>AVERAGE(J67:J70)</f>
        <v>0.6071428571428571</v>
      </c>
      <c r="K71" s="61">
        <f>AVERAGE(K67:K70)</f>
        <v>0</v>
      </c>
      <c r="L71" s="61">
        <f>AVERAGE(L67:L70)</f>
        <v>0</v>
      </c>
      <c r="M71" s="62">
        <f t="shared" si="4"/>
        <v>1</v>
      </c>
      <c r="N71"/>
      <c r="O71" s="60"/>
      <c r="P71" s="61">
        <f>AVERAGE(P67:P70)</f>
        <v>0.6875</v>
      </c>
      <c r="Q71" s="61">
        <f>AVERAGE(Q67:Q70)</f>
        <v>0.3125</v>
      </c>
      <c r="R71" s="61">
        <f>AVERAGE(R67:R70)</f>
        <v>0</v>
      </c>
      <c r="S71" s="61">
        <f>AVERAGE(S67:S70)</f>
        <v>0</v>
      </c>
      <c r="T71" s="62">
        <f t="shared" si="5"/>
        <v>1</v>
      </c>
      <c r="U71"/>
      <c r="V71" s="60"/>
      <c r="W71" s="61">
        <f>AVERAGE(W67:W70)</f>
        <v>0.39999999999999997</v>
      </c>
      <c r="X71" s="61">
        <f>AVERAGE(X67:X70)</f>
        <v>0.60000000000000009</v>
      </c>
      <c r="Y71" s="61">
        <f>AVERAGE(Y67:Y70)</f>
        <v>0</v>
      </c>
      <c r="Z71" s="61">
        <f>AVERAGE(Z67:Z70)</f>
        <v>0</v>
      </c>
      <c r="AA71" s="62">
        <f t="shared" si="6"/>
        <v>1</v>
      </c>
      <c r="AB71"/>
      <c r="AC71"/>
      <c r="AD71"/>
      <c r="AE71"/>
      <c r="AF71"/>
      <c r="AG71"/>
      <c r="AH71"/>
      <c r="AI71"/>
      <c r="AJ71"/>
      <c r="AK71"/>
      <c r="AL71"/>
      <c r="AM71"/>
      <c r="AN71"/>
      <c r="AO71"/>
      <c r="AP71"/>
      <c r="AQ71"/>
      <c r="AR71"/>
    </row>
    <row r="72" spans="1:44" s="118" customFormat="1" ht="16.5" x14ac:dyDescent="0.3">
      <c r="A72" s="57" t="s">
        <v>40</v>
      </c>
      <c r="B72" s="66">
        <f>COUNTIF(Table6129[G1],B$50)/$B$49</f>
        <v>0.875</v>
      </c>
      <c r="C72" s="66">
        <f>COUNTIF(Table6129[G1],C$50)/$B$49</f>
        <v>0.125</v>
      </c>
      <c r="D72" s="66">
        <f>COUNTIF(Table6129[G1],D$50)/$B$49</f>
        <v>0</v>
      </c>
      <c r="E72" s="66">
        <f>COUNTIF(Table6129[G1],E$50)/$B$49</f>
        <v>0</v>
      </c>
      <c r="F72" s="62">
        <f t="shared" si="0"/>
        <v>1</v>
      </c>
      <c r="H72" s="57" t="s">
        <v>40</v>
      </c>
      <c r="I72" s="66">
        <f>COUNTIFS(Table6129[Prodi],"S1 Sistem Informasi",Table6129[G1],I$50)/$I$49</f>
        <v>1</v>
      </c>
      <c r="J72" s="66">
        <f>COUNTIFS(Table6129[Prodi],"S1 Sistem Informasi",Table6129[G1],J$50)/$I$49</f>
        <v>0</v>
      </c>
      <c r="K72" s="66">
        <f>COUNTIFS(Table6129[Prodi],"S1 Sistem Informasi",Table6129[G1],K$50)/$I$49</f>
        <v>0</v>
      </c>
      <c r="L72" s="66">
        <f>COUNTIFS(Table6129[Prodi],"S1 Sistem Informasi",Table6129[G1],L$50)/$I$49</f>
        <v>0</v>
      </c>
      <c r="M72" s="62">
        <f t="shared" si="4"/>
        <v>1</v>
      </c>
      <c r="N72"/>
      <c r="O72" s="57" t="s">
        <v>40</v>
      </c>
      <c r="P72" s="66">
        <f>COUNTIFS(Table6129[Prodi],"S1 Teknik Komputer",Table6129[G1],P$50)/$P$49</f>
        <v>1</v>
      </c>
      <c r="Q72" s="66">
        <f>COUNTIFS(Table6129[Prodi],"S1 Teknik Komputer",Table6129[G1],Q$50)/$P$49</f>
        <v>0</v>
      </c>
      <c r="R72" s="66">
        <f>COUNTIFS(Table6129[Prodi],"S1 Teknik Komputer",Table6129[G1],R$50)/$P$49</f>
        <v>0</v>
      </c>
      <c r="S72" s="66">
        <f>COUNTIFS(Table6129[Prodi],"S1 Teknik Komputer",Table6129[G1],S$50)/$P$49</f>
        <v>0</v>
      </c>
      <c r="T72" s="62">
        <f t="shared" si="5"/>
        <v>1</v>
      </c>
      <c r="U72"/>
      <c r="V72" s="57" t="s">
        <v>40</v>
      </c>
      <c r="W72" s="66">
        <f>COUNTIFS(Table6129[Prodi],"D3 Sistem Informasi",Table6129[G1],W$50)/$W$49</f>
        <v>0.6</v>
      </c>
      <c r="X72" s="66">
        <f>COUNTIFS(Table6129[Prodi],"D3 Sistem Informasi",Table6129[G1],X$50)/$W$49</f>
        <v>0.4</v>
      </c>
      <c r="Y72" s="66">
        <f>COUNTIFS(Table6129[Prodi],"D3 Sistem Informasi",Table6129[G1],Y$50)/$W$49</f>
        <v>0</v>
      </c>
      <c r="Z72" s="66">
        <f>COUNTIFS(Table6129[Prodi],"D3 Sistem Informasi",Table6129[G1],Z$50)/$W$49</f>
        <v>0</v>
      </c>
      <c r="AA72" s="62">
        <f t="shared" si="6"/>
        <v>1</v>
      </c>
      <c r="AB72"/>
      <c r="AC72"/>
      <c r="AD72"/>
      <c r="AE72"/>
      <c r="AF72"/>
      <c r="AG72"/>
      <c r="AH72"/>
      <c r="AI72"/>
      <c r="AJ72"/>
      <c r="AK72"/>
      <c r="AL72"/>
      <c r="AM72"/>
      <c r="AN72"/>
      <c r="AO72"/>
      <c r="AP72"/>
      <c r="AQ72"/>
      <c r="AR72"/>
    </row>
    <row r="73" spans="1:44" s="118" customFormat="1" ht="16.5" x14ac:dyDescent="0.3">
      <c r="A73" s="57" t="s">
        <v>41</v>
      </c>
      <c r="B73" s="66">
        <f>COUNTIF(Table6129[G2],B$50)/$B$49</f>
        <v>0.875</v>
      </c>
      <c r="C73" s="66">
        <f>COUNTIF(Table6129[G2],C$50)/$B$49</f>
        <v>0.125</v>
      </c>
      <c r="D73" s="66">
        <f>COUNTIF(Table6129[G2],D$50)/$B$49</f>
        <v>0</v>
      </c>
      <c r="E73" s="66">
        <f>COUNTIF(Table6129[G2],E$50)/$B$49</f>
        <v>0</v>
      </c>
      <c r="F73" s="62">
        <f t="shared" si="0"/>
        <v>1</v>
      </c>
      <c r="H73" s="57" t="s">
        <v>41</v>
      </c>
      <c r="I73" s="66">
        <f>COUNTIFS(Table6129[Prodi],"S1 Sistem Informasi",Table6129[G2],I$50)/$I$49</f>
        <v>1</v>
      </c>
      <c r="J73" s="66">
        <f>COUNTIFS(Table6129[Prodi],"S1 Sistem Informasi",Table6129[G2],J$50)/$I$49</f>
        <v>0</v>
      </c>
      <c r="K73" s="66">
        <f>COUNTIFS(Table6129[Prodi],"S1 Sistem Informasi",Table6129[G2],K$50)/$I$49</f>
        <v>0</v>
      </c>
      <c r="L73" s="66">
        <f>COUNTIFS(Table6129[Prodi],"S1 Sistem Informasi",Table6129[G2],L$50)/$I$49</f>
        <v>0</v>
      </c>
      <c r="M73" s="62">
        <f t="shared" si="4"/>
        <v>1</v>
      </c>
      <c r="N73"/>
      <c r="O73" s="57" t="s">
        <v>41</v>
      </c>
      <c r="P73" s="66">
        <f>COUNTIFS(Table6129[Prodi],"S1 Teknik Komputer",Table6129[G2],P$50)/$P$49</f>
        <v>1</v>
      </c>
      <c r="Q73" s="66">
        <f>COUNTIFS(Table6129[Prodi],"S1 Teknik Komputer",Table6129[G2],Q$50)/$P$49</f>
        <v>0</v>
      </c>
      <c r="R73" s="66">
        <f>COUNTIFS(Table6129[Prodi],"S1 Teknik Komputer",Table6129[G2],R$50)/$P$49</f>
        <v>0</v>
      </c>
      <c r="S73" s="66">
        <f>COUNTIFS(Table6129[Prodi],"S1 Teknik Komputer",Table6129[G2],S$50)/$P$49</f>
        <v>0</v>
      </c>
      <c r="T73" s="62">
        <f t="shared" si="5"/>
        <v>1</v>
      </c>
      <c r="U73"/>
      <c r="V73" s="57" t="s">
        <v>41</v>
      </c>
      <c r="W73" s="66">
        <f>COUNTIFS(Table6129[Prodi],"D3 Sistem Informasi",Table6129[G2],W$50)/$W$49</f>
        <v>0.6</v>
      </c>
      <c r="X73" s="66">
        <f>COUNTIFS(Table6129[Prodi],"D3 Sistem Informasi",Table6129[G2],X$50)/$W$49</f>
        <v>0.4</v>
      </c>
      <c r="Y73" s="66">
        <f>COUNTIFS(Table6129[Prodi],"D3 Sistem Informasi",Table6129[G2],Y$50)/$W$49</f>
        <v>0</v>
      </c>
      <c r="Z73" s="66">
        <f>COUNTIFS(Table6129[Prodi],"D3 Sistem Informasi",Table6129[G2],Z$50)/$W$49</f>
        <v>0</v>
      </c>
      <c r="AA73" s="62">
        <f t="shared" si="6"/>
        <v>1</v>
      </c>
      <c r="AB73"/>
      <c r="AC73"/>
      <c r="AD73"/>
      <c r="AE73"/>
      <c r="AF73"/>
      <c r="AG73"/>
      <c r="AH73"/>
      <c r="AI73"/>
      <c r="AJ73"/>
      <c r="AK73"/>
      <c r="AL73"/>
      <c r="AM73"/>
      <c r="AN73"/>
      <c r="AO73"/>
      <c r="AP73"/>
      <c r="AQ73"/>
      <c r="AR73"/>
    </row>
    <row r="74" spans="1:44" s="118" customFormat="1" ht="16.5" x14ac:dyDescent="0.3">
      <c r="A74" s="57" t="s">
        <v>1172</v>
      </c>
      <c r="B74" s="66">
        <f>COUNTIF(Table6129[G3],B$50)/$B$49</f>
        <v>0.8125</v>
      </c>
      <c r="C74" s="66">
        <f>COUNTIF(Table6129[G3],C$50)/$B$49</f>
        <v>0.1875</v>
      </c>
      <c r="D74" s="66">
        <f>COUNTIF(Table6129[G3],D$50)/$B$49</f>
        <v>0</v>
      </c>
      <c r="E74" s="66">
        <f>COUNTIF(Table6129[G3],E$50)/$B$49</f>
        <v>0</v>
      </c>
      <c r="F74" s="62">
        <f t="shared" si="0"/>
        <v>1</v>
      </c>
      <c r="H74" s="57" t="s">
        <v>1172</v>
      </c>
      <c r="I74" s="66">
        <f>COUNTIFS(Table6129[Prodi],"S1 Sistem Informasi",Table6129[G3],I$50)/$I$49</f>
        <v>1</v>
      </c>
      <c r="J74" s="66">
        <f>COUNTIFS(Table6129[Prodi],"S1 Sistem Informasi",Table6129[G3],J$50)/$I$49</f>
        <v>0</v>
      </c>
      <c r="K74" s="66">
        <f>COUNTIFS(Table6129[Prodi],"S1 Sistem Informasi",Table6129[G3],K$50)/$I$49</f>
        <v>0</v>
      </c>
      <c r="L74" s="66">
        <f>COUNTIFS(Table6129[Prodi],"S1 Sistem Informasi",Table6129[G3],L$50)/$I$49</f>
        <v>0</v>
      </c>
      <c r="M74" s="62">
        <f t="shared" si="4"/>
        <v>1</v>
      </c>
      <c r="N74"/>
      <c r="O74" s="57" t="s">
        <v>1172</v>
      </c>
      <c r="P74" s="66">
        <f>COUNTIFS(Table6129[Prodi],"S1 Teknik Komputer",Table6129[G3],P$50)/$P$49</f>
        <v>0.75</v>
      </c>
      <c r="Q74" s="66">
        <f>COUNTIFS(Table6129[Prodi],"S1 Teknik Komputer",Table6129[G3],Q$50)/$P$49</f>
        <v>0.25</v>
      </c>
      <c r="R74" s="66">
        <f>COUNTIFS(Table6129[Prodi],"S1 Teknik Komputer",Table6129[G3],R$50)/$P$49</f>
        <v>0</v>
      </c>
      <c r="S74" s="66">
        <f>COUNTIFS(Table6129[Prodi],"S1 Teknik Komputer",Table6129[G3],S$50)/$P$49</f>
        <v>0</v>
      </c>
      <c r="T74" s="62">
        <f t="shared" si="5"/>
        <v>1</v>
      </c>
      <c r="U74"/>
      <c r="V74" s="57" t="s">
        <v>1172</v>
      </c>
      <c r="W74" s="66">
        <f>COUNTIFS(Table6129[Prodi],"D3 Sistem Informasi",Table6129[G3],W$50)/$W$49</f>
        <v>0.6</v>
      </c>
      <c r="X74" s="66">
        <f>COUNTIFS(Table6129[Prodi],"D3 Sistem Informasi",Table6129[G3],X$50)/$W$49</f>
        <v>0.4</v>
      </c>
      <c r="Y74" s="66">
        <f>COUNTIFS(Table6129[Prodi],"D3 Sistem Informasi",Table6129[G3],Y$50)/$W$49</f>
        <v>0</v>
      </c>
      <c r="Z74" s="66">
        <f>COUNTIFS(Table6129[Prodi],"D3 Sistem Informasi",Table6129[G3],Z$50)/$W$49</f>
        <v>0</v>
      </c>
      <c r="AA74" s="62">
        <f t="shared" si="6"/>
        <v>1</v>
      </c>
      <c r="AB74"/>
      <c r="AC74"/>
      <c r="AD74"/>
      <c r="AE74"/>
      <c r="AF74"/>
      <c r="AG74"/>
      <c r="AH74"/>
      <c r="AI74"/>
      <c r="AJ74"/>
      <c r="AK74"/>
      <c r="AL74"/>
      <c r="AM74"/>
      <c r="AN74"/>
      <c r="AO74"/>
      <c r="AP74"/>
      <c r="AQ74"/>
      <c r="AR74"/>
    </row>
    <row r="75" spans="1:44" s="118" customFormat="1" ht="16.5" x14ac:dyDescent="0.3">
      <c r="A75" s="60"/>
      <c r="B75" s="61">
        <f>AVERAGE(B72:B74)</f>
        <v>0.85416666666666663</v>
      </c>
      <c r="C75" s="61">
        <f>AVERAGE(C72:C74)</f>
        <v>0.14583333333333334</v>
      </c>
      <c r="D75" s="61">
        <f>AVERAGE(D72:D74)</f>
        <v>0</v>
      </c>
      <c r="E75" s="61">
        <f>AVERAGE(E72:E74)</f>
        <v>0</v>
      </c>
      <c r="F75" s="62">
        <f t="shared" si="0"/>
        <v>1</v>
      </c>
      <c r="H75" s="60"/>
      <c r="I75" s="61">
        <f>AVERAGE(I72:I74)</f>
        <v>1</v>
      </c>
      <c r="J75" s="61">
        <f>AVERAGE(J72:J74)</f>
        <v>0</v>
      </c>
      <c r="K75" s="61">
        <f>AVERAGE(K72:K74)</f>
        <v>0</v>
      </c>
      <c r="L75" s="61">
        <f>AVERAGE(L72:L74)</f>
        <v>0</v>
      </c>
      <c r="M75" s="62">
        <f t="shared" si="4"/>
        <v>1</v>
      </c>
      <c r="N75"/>
      <c r="O75" s="60"/>
      <c r="P75" s="61">
        <f>AVERAGE(P72:P74)</f>
        <v>0.91666666666666663</v>
      </c>
      <c r="Q75" s="61">
        <f>AVERAGE(Q72:Q74)</f>
        <v>8.3333333333333329E-2</v>
      </c>
      <c r="R75" s="61">
        <f>AVERAGE(R72:R74)</f>
        <v>0</v>
      </c>
      <c r="S75" s="61">
        <f>AVERAGE(S72:S74)</f>
        <v>0</v>
      </c>
      <c r="T75" s="62">
        <f t="shared" si="5"/>
        <v>1</v>
      </c>
      <c r="U75"/>
      <c r="V75" s="60"/>
      <c r="W75" s="61">
        <f>AVERAGE(W72:W74)</f>
        <v>0.6</v>
      </c>
      <c r="X75" s="61">
        <f>AVERAGE(X72:X74)</f>
        <v>0.40000000000000008</v>
      </c>
      <c r="Y75" s="61">
        <f>AVERAGE(Y72:Y74)</f>
        <v>0</v>
      </c>
      <c r="Z75" s="61">
        <f>AVERAGE(Z72:Z74)</f>
        <v>0</v>
      </c>
      <c r="AA75" s="62">
        <f t="shared" si="6"/>
        <v>1</v>
      </c>
      <c r="AB75"/>
      <c r="AC75"/>
      <c r="AD75"/>
      <c r="AE75"/>
      <c r="AF75"/>
      <c r="AG75"/>
      <c r="AH75"/>
      <c r="AI75"/>
      <c r="AJ75"/>
      <c r="AK75"/>
      <c r="AL75"/>
      <c r="AM75"/>
      <c r="AN75"/>
      <c r="AO75"/>
      <c r="AP75"/>
      <c r="AQ75"/>
      <c r="AR75"/>
    </row>
    <row r="76" spans="1:44" s="118" customFormat="1" ht="16.5" x14ac:dyDescent="0.3">
      <c r="A76" s="57" t="s">
        <v>42</v>
      </c>
      <c r="B76" s="66">
        <f>COUNTIF(Table6129[H1],B$50)/$B$49</f>
        <v>0.6875</v>
      </c>
      <c r="C76" s="66">
        <f>COUNTIF(Table6129[H1],C$50)/$B$49</f>
        <v>0.1875</v>
      </c>
      <c r="D76" s="66">
        <f>COUNTIF(Table6129[H1],D$50)/$B$49</f>
        <v>6.25E-2</v>
      </c>
      <c r="E76" s="66">
        <f>COUNTIF(Table6129[H1],E$50)/$B$49</f>
        <v>6.25E-2</v>
      </c>
      <c r="F76" s="62">
        <f t="shared" si="0"/>
        <v>1</v>
      </c>
      <c r="H76" s="57" t="s">
        <v>42</v>
      </c>
      <c r="I76" s="66">
        <f>COUNTIFS(Table6129[Prodi],"S1 Sistem Informasi",Table6129[H1],I$50)/$I$49</f>
        <v>0.42857142857142855</v>
      </c>
      <c r="J76" s="66">
        <f>COUNTIFS(Table6129[Prodi],"S1 Sistem Informasi",Table6129[H1],J$50)/$I$49</f>
        <v>0.2857142857142857</v>
      </c>
      <c r="K76" s="66">
        <f>COUNTIFS(Table6129[Prodi],"S1 Sistem Informasi",Table6129[H1],K$50)/$I$49</f>
        <v>0.14285714285714285</v>
      </c>
      <c r="L76" s="66">
        <f>COUNTIFS(Table6129[Prodi],"S1 Sistem Informasi",Table6129[H1],L$50)/$I$49</f>
        <v>0.14285714285714285</v>
      </c>
      <c r="M76" s="62">
        <f t="shared" si="4"/>
        <v>0.99999999999999978</v>
      </c>
      <c r="N76"/>
      <c r="O76" s="57" t="s">
        <v>42</v>
      </c>
      <c r="P76" s="66">
        <f>COUNTIFS(Table6129[Prodi],"S1 Teknik Komputer",Table6129[H1],P$50)/$P$49</f>
        <v>1</v>
      </c>
      <c r="Q76" s="66">
        <f>COUNTIFS(Table6129[Prodi],"S1 Teknik Komputer",Table6129[H1],Q$50)/$P$49</f>
        <v>0</v>
      </c>
      <c r="R76" s="66">
        <f>COUNTIFS(Table6129[Prodi],"S1 Teknik Komputer",Table6129[H1],R$50)/$P$49</f>
        <v>0</v>
      </c>
      <c r="S76" s="66">
        <f>COUNTIFS(Table6129[Prodi],"S1 Teknik Komputer",Table6129[H1],S$50)/$P$49</f>
        <v>0</v>
      </c>
      <c r="T76" s="62">
        <f t="shared" si="5"/>
        <v>1</v>
      </c>
      <c r="U76"/>
      <c r="V76" s="57" t="s">
        <v>42</v>
      </c>
      <c r="W76" s="66">
        <f>COUNTIFS(Table6129[Prodi],"D3 Sistem Informasi",Table6129[H1],W$50)/$W$49</f>
        <v>0.8</v>
      </c>
      <c r="X76" s="66">
        <f>COUNTIFS(Table6129[Prodi],"D3 Sistem Informasi",Table6129[H1],X$50)/$W$49</f>
        <v>0.2</v>
      </c>
      <c r="Y76" s="66">
        <f>COUNTIFS(Table6129[Prodi],"D3 Sistem Informasi",Table6129[H1],Y$50)/$W$49</f>
        <v>0</v>
      </c>
      <c r="Z76" s="66">
        <f>COUNTIFS(Table6129[Prodi],"D3 Sistem Informasi",Table6129[H1],Z$50)/$W$49</f>
        <v>0</v>
      </c>
      <c r="AA76" s="62">
        <f t="shared" si="6"/>
        <v>1</v>
      </c>
      <c r="AB76"/>
      <c r="AC76"/>
      <c r="AD76"/>
      <c r="AE76"/>
      <c r="AF76"/>
      <c r="AG76"/>
      <c r="AH76"/>
      <c r="AI76"/>
      <c r="AJ76"/>
      <c r="AK76"/>
      <c r="AL76"/>
      <c r="AM76"/>
      <c r="AN76"/>
      <c r="AO76"/>
      <c r="AP76"/>
      <c r="AQ76"/>
      <c r="AR76"/>
    </row>
    <row r="77" spans="1:44" s="118" customFormat="1" ht="16.5" x14ac:dyDescent="0.3">
      <c r="A77" s="57" t="s">
        <v>43</v>
      </c>
      <c r="B77" s="66">
        <f>COUNTIF(Table6129[H2],B$50)/$B$49</f>
        <v>0.5</v>
      </c>
      <c r="C77" s="66">
        <f>COUNTIF(Table6129[H2],C$50)/$B$49</f>
        <v>0.25</v>
      </c>
      <c r="D77" s="66">
        <f>COUNTIF(Table6129[H2],D$50)/$B$49</f>
        <v>0.125</v>
      </c>
      <c r="E77" s="66">
        <f>COUNTIF(Table6129[H2],E$50)/$B$49</f>
        <v>0.125</v>
      </c>
      <c r="F77" s="62">
        <f t="shared" si="0"/>
        <v>1</v>
      </c>
      <c r="H77" s="57" t="s">
        <v>43</v>
      </c>
      <c r="I77" s="66">
        <f>COUNTIFS(Table6129[Prodi],"S1 Sistem Informasi",Table6129[H2],I$50)/$I$49</f>
        <v>0.42857142857142855</v>
      </c>
      <c r="J77" s="66">
        <f>COUNTIFS(Table6129[Prodi],"S1 Sistem Informasi",Table6129[H2],J$50)/$I$49</f>
        <v>0</v>
      </c>
      <c r="K77" s="66">
        <f>COUNTIFS(Table6129[Prodi],"S1 Sistem Informasi",Table6129[H2],K$50)/$I$49</f>
        <v>0.2857142857142857</v>
      </c>
      <c r="L77" s="66">
        <f>COUNTIFS(Table6129[Prodi],"S1 Sistem Informasi",Table6129[H2],L$50)/$I$49</f>
        <v>0.2857142857142857</v>
      </c>
      <c r="M77" s="62">
        <f t="shared" si="4"/>
        <v>0.99999999999999989</v>
      </c>
      <c r="N77"/>
      <c r="O77" s="57" t="s">
        <v>43</v>
      </c>
      <c r="P77" s="66">
        <f>COUNTIFS(Table6129[Prodi],"S1 Teknik Komputer",Table6129[H2],P$50)/$P$49</f>
        <v>0.75</v>
      </c>
      <c r="Q77" s="66">
        <f>COUNTIFS(Table6129[Prodi],"S1 Teknik Komputer",Table6129[H2],Q$50)/$P$49</f>
        <v>0.25</v>
      </c>
      <c r="R77" s="66">
        <f>COUNTIFS(Table6129[Prodi],"S1 Teknik Komputer",Table6129[H2],R$50)/$P$49</f>
        <v>0</v>
      </c>
      <c r="S77" s="66">
        <f>COUNTIFS(Table6129[Prodi],"S1 Teknik Komputer",Table6129[H2],S$50)/$P$49</f>
        <v>0</v>
      </c>
      <c r="T77" s="62">
        <f t="shared" si="5"/>
        <v>1</v>
      </c>
      <c r="U77"/>
      <c r="V77" s="57" t="s">
        <v>43</v>
      </c>
      <c r="W77" s="66">
        <f>COUNTIFS(Table6129[Prodi],"D3 Sistem Informasi",Table6129[H2],W$50)/$W$49</f>
        <v>0.4</v>
      </c>
      <c r="X77" s="66">
        <f>COUNTIFS(Table6129[Prodi],"D3 Sistem Informasi",Table6129[H2],X$50)/$W$49</f>
        <v>0.6</v>
      </c>
      <c r="Y77" s="66">
        <f>COUNTIFS(Table6129[Prodi],"D3 Sistem Informasi",Table6129[H2],Y$50)/$W$49</f>
        <v>0</v>
      </c>
      <c r="Z77" s="66">
        <f>COUNTIFS(Table6129[Prodi],"D3 Sistem Informasi",Table6129[H2],Z$50)/$W$49</f>
        <v>0</v>
      </c>
      <c r="AA77" s="62">
        <f t="shared" si="6"/>
        <v>1</v>
      </c>
      <c r="AB77"/>
      <c r="AC77"/>
      <c r="AD77"/>
      <c r="AE77"/>
      <c r="AF77"/>
      <c r="AG77"/>
      <c r="AH77"/>
      <c r="AI77"/>
      <c r="AJ77"/>
      <c r="AK77"/>
      <c r="AL77"/>
      <c r="AM77"/>
      <c r="AN77"/>
      <c r="AO77"/>
      <c r="AP77"/>
      <c r="AQ77"/>
      <c r="AR77"/>
    </row>
    <row r="78" spans="1:44" s="118" customFormat="1" ht="16.5" x14ac:dyDescent="0.3">
      <c r="A78" s="57" t="s">
        <v>44</v>
      </c>
      <c r="B78" s="66">
        <f>COUNTIF(Table6129[H3],B$50)/$B$49</f>
        <v>0.625</v>
      </c>
      <c r="C78" s="66">
        <f>COUNTIF(Table6129[H3],C$50)/$B$49</f>
        <v>0.3125</v>
      </c>
      <c r="D78" s="66">
        <f>COUNTIF(Table6129[H3],D$50)/$B$49</f>
        <v>6.25E-2</v>
      </c>
      <c r="E78" s="66">
        <f>COUNTIF(Table6129[H3],E$50)/$B$49</f>
        <v>0</v>
      </c>
      <c r="F78" s="62">
        <f t="shared" si="0"/>
        <v>1</v>
      </c>
      <c r="H78" s="57" t="s">
        <v>44</v>
      </c>
      <c r="I78" s="66">
        <f>COUNTIFS(Table6129[Prodi],"S1 Sistem Informasi",Table6129[H3],I$50)/$I$49</f>
        <v>0.5714285714285714</v>
      </c>
      <c r="J78" s="66">
        <f>COUNTIFS(Table6129[Prodi],"S1 Sistem Informasi",Table6129[H3],J$50)/$I$49</f>
        <v>0.2857142857142857</v>
      </c>
      <c r="K78" s="66">
        <f>COUNTIFS(Table6129[Prodi],"S1 Sistem Informasi",Table6129[H3],K$50)/$I$49</f>
        <v>0.14285714285714285</v>
      </c>
      <c r="L78" s="66">
        <f>COUNTIFS(Table6129[Prodi],"S1 Sistem Informasi",Table6129[H3],L$50)/$I$49</f>
        <v>0</v>
      </c>
      <c r="M78" s="62">
        <f t="shared" si="4"/>
        <v>1</v>
      </c>
      <c r="N78"/>
      <c r="O78" s="57" t="s">
        <v>44</v>
      </c>
      <c r="P78" s="66">
        <f>COUNTIFS(Table6129[Prodi],"S1 Teknik Komputer",Table6129[H3],P$50)/$P$49</f>
        <v>1</v>
      </c>
      <c r="Q78" s="66">
        <f>COUNTIFS(Table6129[Prodi],"S1 Teknik Komputer",Table6129[H3],Q$50)/$P$49</f>
        <v>0</v>
      </c>
      <c r="R78" s="66">
        <f>COUNTIFS(Table6129[Prodi],"S1 Teknik Komputer",Table6129[H3],R$50)/$P$49</f>
        <v>0</v>
      </c>
      <c r="S78" s="66">
        <f>COUNTIFS(Table6129[Prodi],"S1 Teknik Komputer",Table6129[H3],S$50)/$P$49</f>
        <v>0</v>
      </c>
      <c r="T78" s="62">
        <f t="shared" si="5"/>
        <v>1</v>
      </c>
      <c r="U78"/>
      <c r="V78" s="57" t="s">
        <v>44</v>
      </c>
      <c r="W78" s="66">
        <f>COUNTIFS(Table6129[Prodi],"D3 Sistem Informasi",Table6129[H3],W$50)/$W$49</f>
        <v>0.4</v>
      </c>
      <c r="X78" s="66">
        <f>COUNTIFS(Table6129[Prodi],"D3 Sistem Informasi",Table6129[H3],X$50)/$W$49</f>
        <v>0.6</v>
      </c>
      <c r="Y78" s="66">
        <f>COUNTIFS(Table6129[Prodi],"D3 Sistem Informasi",Table6129[H3],Y$50)/$W$49</f>
        <v>0</v>
      </c>
      <c r="Z78" s="66">
        <f>COUNTIFS(Table6129[Prodi],"D3 Sistem Informasi",Table6129[H3],Z$50)/$W$49</f>
        <v>0</v>
      </c>
      <c r="AA78" s="62">
        <f t="shared" si="6"/>
        <v>1</v>
      </c>
      <c r="AB78"/>
      <c r="AC78"/>
      <c r="AD78"/>
      <c r="AE78"/>
      <c r="AF78"/>
      <c r="AG78"/>
      <c r="AH78"/>
      <c r="AI78"/>
      <c r="AJ78"/>
      <c r="AK78"/>
      <c r="AL78"/>
      <c r="AM78"/>
      <c r="AN78"/>
      <c r="AO78"/>
      <c r="AP78"/>
      <c r="AQ78"/>
      <c r="AR78"/>
    </row>
    <row r="79" spans="1:44" s="118" customFormat="1" ht="16.5" x14ac:dyDescent="0.3">
      <c r="A79" s="57" t="s">
        <v>45</v>
      </c>
      <c r="B79" s="66">
        <f>COUNTIF(Table6129[H4],B$50)/$B$49</f>
        <v>0.6875</v>
      </c>
      <c r="C79" s="66">
        <f>COUNTIF(Table6129[H4],C$50)/$B$49</f>
        <v>0.3125</v>
      </c>
      <c r="D79" s="66">
        <f>COUNTIF(Table6129[H4],D$50)/$B$49</f>
        <v>0</v>
      </c>
      <c r="E79" s="66">
        <f>COUNTIF(Table6129[H4],E$50)/$B$49</f>
        <v>0</v>
      </c>
      <c r="F79" s="62">
        <f t="shared" si="0"/>
        <v>1</v>
      </c>
      <c r="H79" s="57" t="s">
        <v>45</v>
      </c>
      <c r="I79" s="66">
        <f>COUNTIFS(Table6129[Prodi],"S1 Sistem Informasi",Table6129[H4],I$50)/$I$49</f>
        <v>0.8571428571428571</v>
      </c>
      <c r="J79" s="66">
        <f>COUNTIFS(Table6129[Prodi],"S1 Sistem Informasi",Table6129[H4],J$50)/$I$49</f>
        <v>0.14285714285714285</v>
      </c>
      <c r="K79" s="66">
        <f>COUNTIFS(Table6129[Prodi],"S1 Sistem Informasi",Table6129[H4],K$50)/$I$49</f>
        <v>0</v>
      </c>
      <c r="L79" s="66">
        <f>COUNTIFS(Table6129[Prodi],"S1 Sistem Informasi",Table6129[H4],L$50)/$I$49</f>
        <v>0</v>
      </c>
      <c r="M79" s="62">
        <f t="shared" si="4"/>
        <v>1</v>
      </c>
      <c r="N79"/>
      <c r="O79" s="57" t="s">
        <v>45</v>
      </c>
      <c r="P79" s="66">
        <f>COUNTIFS(Table6129[Prodi],"S1 Teknik Komputer",Table6129[H4],P$50)/$P$49</f>
        <v>0.75</v>
      </c>
      <c r="Q79" s="66">
        <f>COUNTIFS(Table6129[Prodi],"S1 Teknik Komputer",Table6129[H4],Q$50)/$P$49</f>
        <v>0.25</v>
      </c>
      <c r="R79" s="66">
        <f>COUNTIFS(Table6129[Prodi],"S1 Teknik Komputer",Table6129[H4],R$50)/$P$49</f>
        <v>0</v>
      </c>
      <c r="S79" s="66">
        <f>COUNTIFS(Table6129[Prodi],"S1 Teknik Komputer",Table6129[H4],S$50)/$P$49</f>
        <v>0</v>
      </c>
      <c r="T79" s="62">
        <f t="shared" si="5"/>
        <v>1</v>
      </c>
      <c r="U79"/>
      <c r="V79" s="57" t="s">
        <v>45</v>
      </c>
      <c r="W79" s="66">
        <f>COUNTIFS(Table6129[Prodi],"D3 Sistem Informasi",Table6129[H4],W$50)/$W$49</f>
        <v>0.4</v>
      </c>
      <c r="X79" s="66">
        <f>COUNTIFS(Table6129[Prodi],"D3 Sistem Informasi",Table6129[H4],X$50)/$W$49</f>
        <v>0.6</v>
      </c>
      <c r="Y79" s="66">
        <f>COUNTIFS(Table6129[Prodi],"D3 Sistem Informasi",Table6129[H4],Y$50)/$W$49</f>
        <v>0</v>
      </c>
      <c r="Z79" s="66">
        <f>COUNTIFS(Table6129[Prodi],"D3 Sistem Informasi",Table6129[H4],Z$50)/$W$49</f>
        <v>0</v>
      </c>
      <c r="AA79" s="62">
        <f t="shared" si="6"/>
        <v>1</v>
      </c>
      <c r="AB79"/>
      <c r="AC79"/>
      <c r="AD79"/>
      <c r="AE79"/>
      <c r="AF79"/>
      <c r="AG79"/>
      <c r="AH79"/>
      <c r="AI79"/>
      <c r="AJ79"/>
      <c r="AK79"/>
      <c r="AL79"/>
      <c r="AM79"/>
      <c r="AN79"/>
      <c r="AO79"/>
      <c r="AP79"/>
      <c r="AQ79"/>
      <c r="AR79"/>
    </row>
    <row r="80" spans="1:44" s="118" customFormat="1" ht="16.5" x14ac:dyDescent="0.3">
      <c r="A80" s="60"/>
      <c r="B80" s="61">
        <f>AVERAGE(B76:B79)</f>
        <v>0.625</v>
      </c>
      <c r="C80" s="61">
        <f>AVERAGE(C76:C79)</f>
        <v>0.265625</v>
      </c>
      <c r="D80" s="61">
        <f>AVERAGE(D76:D79)</f>
        <v>6.25E-2</v>
      </c>
      <c r="E80" s="61">
        <f>AVERAGE(E76:E79)</f>
        <v>4.6875E-2</v>
      </c>
      <c r="F80" s="62">
        <f t="shared" si="0"/>
        <v>1</v>
      </c>
      <c r="H80" s="60"/>
      <c r="I80" s="61">
        <f>AVERAGE(I76:I79)</f>
        <v>0.5714285714285714</v>
      </c>
      <c r="J80" s="61">
        <f>AVERAGE(J76:J79)</f>
        <v>0.17857142857142855</v>
      </c>
      <c r="K80" s="61">
        <f>AVERAGE(K76:K79)</f>
        <v>0.14285714285714285</v>
      </c>
      <c r="L80" s="61">
        <f>AVERAGE(L76:L79)</f>
        <v>0.10714285714285714</v>
      </c>
      <c r="M80" s="62">
        <f t="shared" si="4"/>
        <v>0.99999999999999989</v>
      </c>
      <c r="N80"/>
      <c r="O80" s="60"/>
      <c r="P80" s="61">
        <f>AVERAGE(P76:P79)</f>
        <v>0.875</v>
      </c>
      <c r="Q80" s="61">
        <f>AVERAGE(Q76:Q79)</f>
        <v>0.125</v>
      </c>
      <c r="R80" s="61">
        <f>AVERAGE(R76:R79)</f>
        <v>0</v>
      </c>
      <c r="S80" s="61">
        <f>AVERAGE(S76:S79)</f>
        <v>0</v>
      </c>
      <c r="T80" s="62">
        <f t="shared" si="5"/>
        <v>1</v>
      </c>
      <c r="U80"/>
      <c r="V80" s="60"/>
      <c r="W80" s="61">
        <f>AVERAGE(W76:W79)</f>
        <v>0.5</v>
      </c>
      <c r="X80" s="61">
        <f>AVERAGE(X76:X79)</f>
        <v>0.5</v>
      </c>
      <c r="Y80" s="61">
        <f>AVERAGE(Y76:Y79)</f>
        <v>0</v>
      </c>
      <c r="Z80" s="61">
        <f>AVERAGE(Z76:Z79)</f>
        <v>0</v>
      </c>
      <c r="AA80" s="62">
        <f t="shared" si="6"/>
        <v>1</v>
      </c>
      <c r="AB80"/>
      <c r="AC80"/>
      <c r="AD80"/>
      <c r="AE80"/>
      <c r="AF80"/>
      <c r="AG80"/>
      <c r="AH80"/>
      <c r="AI80"/>
      <c r="AJ80"/>
      <c r="AK80"/>
      <c r="AL80"/>
      <c r="AM80"/>
      <c r="AN80"/>
      <c r="AO80"/>
      <c r="AP80"/>
      <c r="AQ80"/>
      <c r="AR80"/>
    </row>
    <row r="81" spans="1:44" s="118" customFormat="1" ht="16.5" x14ac:dyDescent="0.3">
      <c r="A81" s="57" t="s">
        <v>648</v>
      </c>
      <c r="B81" s="66">
        <f>COUNTIF(Table6129[I1.1],B$50)/$B$49</f>
        <v>0.25</v>
      </c>
      <c r="C81" s="66">
        <f>COUNTIF(Table6129[I1.1],C$50)/$B$49</f>
        <v>0.75</v>
      </c>
      <c r="D81" s="66">
        <f>COUNTIF(Table6129[I1.1],D$50)/$B$49</f>
        <v>0</v>
      </c>
      <c r="E81" s="66">
        <f>COUNTIF(Table6129[I1.1],E$50)/$B$49</f>
        <v>0</v>
      </c>
      <c r="F81" s="62">
        <f t="shared" si="0"/>
        <v>1</v>
      </c>
      <c r="H81" s="57" t="s">
        <v>648</v>
      </c>
      <c r="I81" s="66">
        <f>COUNTIFS(Table6129[Prodi],"S1 Sistem Informasi",Table6129[I1.1],I$50)/$I$49</f>
        <v>0.14285714285714285</v>
      </c>
      <c r="J81" s="66">
        <f>COUNTIFS(Table6129[Prodi],"S1 Sistem Informasi",Table6129[I1.1],J$50)/$I$49</f>
        <v>0.8571428571428571</v>
      </c>
      <c r="K81" s="66">
        <f>COUNTIFS(Table6129[Prodi],"S1 Sistem Informasi",Table6129[I1.1],K$50)/$I$49</f>
        <v>0</v>
      </c>
      <c r="L81" s="66">
        <f>COUNTIFS(Table6129[Prodi],"S1 Sistem Informasi",Table6129[I1.1],L$50)/$I$49</f>
        <v>0</v>
      </c>
      <c r="M81" s="62">
        <f t="shared" si="4"/>
        <v>1</v>
      </c>
      <c r="N81"/>
      <c r="O81" s="57" t="s">
        <v>648</v>
      </c>
      <c r="P81" s="66">
        <f>COUNTIFS(Table6129[Prodi],"S1 Teknik Komputer",Table6129[I1.1],P$50)/$P$49</f>
        <v>0.5</v>
      </c>
      <c r="Q81" s="66">
        <f>COUNTIFS(Table6129[Prodi],"S1 Teknik Komputer",Table6129[I1.1],Q$50)/$P$49</f>
        <v>0.5</v>
      </c>
      <c r="R81" s="66">
        <f>COUNTIFS(Table6129[Prodi],"S1 Teknik Komputer",Table6129[I1.1],R$50)/$P$49</f>
        <v>0</v>
      </c>
      <c r="S81" s="66">
        <f>COUNTIFS(Table6129[Prodi],"S1 Teknik Komputer",Table6129[I1.1],S$50)/$P$49</f>
        <v>0</v>
      </c>
      <c r="T81" s="62">
        <f t="shared" si="5"/>
        <v>1</v>
      </c>
      <c r="U81"/>
      <c r="V81" s="57" t="s">
        <v>648</v>
      </c>
      <c r="W81" s="66">
        <f>COUNTIFS(Table6129[Prodi],"D3 Sistem Informasi",Table6129[I1.1],W$50)/$W$49</f>
        <v>0.2</v>
      </c>
      <c r="X81" s="66">
        <f>COUNTIFS(Table6129[Prodi],"D3 Sistem Informasi",Table6129[I1.1],X$50)/$W$49</f>
        <v>0.8</v>
      </c>
      <c r="Y81" s="66">
        <f>COUNTIFS(Table6129[Prodi],"D3 Sistem Informasi",Table6129[I1.1],Y$50)/$W$49</f>
        <v>0</v>
      </c>
      <c r="Z81" s="66">
        <f>COUNTIFS(Table6129[Prodi],"D3 Sistem Informasi",Table6129[I1.1],Z$50)/$W$49</f>
        <v>0</v>
      </c>
      <c r="AA81" s="62">
        <f t="shared" si="6"/>
        <v>1</v>
      </c>
      <c r="AB81"/>
      <c r="AC81"/>
      <c r="AD81"/>
      <c r="AE81"/>
      <c r="AF81"/>
      <c r="AG81"/>
      <c r="AH81"/>
      <c r="AI81"/>
      <c r="AJ81"/>
      <c r="AK81"/>
      <c r="AL81"/>
      <c r="AM81"/>
      <c r="AN81"/>
      <c r="AO81"/>
      <c r="AP81"/>
      <c r="AQ81"/>
      <c r="AR81"/>
    </row>
    <row r="82" spans="1:44" s="118" customFormat="1" ht="16.5" x14ac:dyDescent="0.3">
      <c r="A82" s="57" t="s">
        <v>649</v>
      </c>
      <c r="B82" s="66">
        <f>COUNTIF(Table6129[I1.2],B$50)/$B$49</f>
        <v>0.5</v>
      </c>
      <c r="C82" s="66">
        <f>COUNTIF(Table6129[I1.2],C$50)/$B$49</f>
        <v>0.5</v>
      </c>
      <c r="D82" s="66">
        <f>COUNTIF(Table6129[I1.2],D$50)/$B$49</f>
        <v>0</v>
      </c>
      <c r="E82" s="66">
        <f>COUNTIF(Table6129[I1.2],E$50)/$B$49</f>
        <v>0</v>
      </c>
      <c r="F82" s="62">
        <f t="shared" si="0"/>
        <v>1</v>
      </c>
      <c r="H82" s="57" t="s">
        <v>649</v>
      </c>
      <c r="I82" s="66">
        <f>COUNTIFS(Table6129[Prodi],"S1 Sistem Informasi",Table6129[I1.2],I$50)/$I$49</f>
        <v>0.42857142857142855</v>
      </c>
      <c r="J82" s="66">
        <f>COUNTIFS(Table6129[Prodi],"S1 Sistem Informasi",Table6129[I1.2],J$50)/$I$49</f>
        <v>0.5714285714285714</v>
      </c>
      <c r="K82" s="66">
        <f>COUNTIFS(Table6129[Prodi],"S1 Sistem Informasi",Table6129[I1.2],K$50)/$I$49</f>
        <v>0</v>
      </c>
      <c r="L82" s="66">
        <f>COUNTIFS(Table6129[Prodi],"S1 Sistem Informasi",Table6129[I1.2],L$50)/$I$49</f>
        <v>0</v>
      </c>
      <c r="M82" s="62">
        <f t="shared" si="4"/>
        <v>1</v>
      </c>
      <c r="N82"/>
      <c r="O82" s="57" t="s">
        <v>649</v>
      </c>
      <c r="P82" s="66">
        <f>COUNTIFS(Table6129[Prodi],"S1 Teknik Komputer",Table6129[I1.2],P$50)/$P$49</f>
        <v>1</v>
      </c>
      <c r="Q82" s="66">
        <f>COUNTIFS(Table6129[Prodi],"S1 Teknik Komputer",Table6129[I1.2],Q$50)/$P$49</f>
        <v>0</v>
      </c>
      <c r="R82" s="66">
        <f>COUNTIFS(Table6129[Prodi],"S1 Teknik Komputer",Table6129[I1.2],R$50)/$P$49</f>
        <v>0</v>
      </c>
      <c r="S82" s="66">
        <f>COUNTIFS(Table6129[Prodi],"S1 Teknik Komputer",Table6129[I1.2],S$50)/$P$49</f>
        <v>0</v>
      </c>
      <c r="T82" s="62">
        <f t="shared" si="5"/>
        <v>1</v>
      </c>
      <c r="U82"/>
      <c r="V82" s="57" t="s">
        <v>649</v>
      </c>
      <c r="W82" s="66">
        <f>COUNTIFS(Table6129[Prodi],"D3 Sistem Informasi",Table6129[I1.2],W$50)/$W$49</f>
        <v>0.2</v>
      </c>
      <c r="X82" s="66">
        <f>COUNTIFS(Table6129[Prodi],"D3 Sistem Informasi",Table6129[I1.2],X$50)/$W$49</f>
        <v>0.8</v>
      </c>
      <c r="Y82" s="66">
        <f>COUNTIFS(Table6129[Prodi],"D3 Sistem Informasi",Table6129[I1.2],Y$50)/$W$49</f>
        <v>0</v>
      </c>
      <c r="Z82" s="66">
        <f>COUNTIFS(Table6129[Prodi],"D3 Sistem Informasi",Table6129[I1.2],Z$50)/$W$49</f>
        <v>0</v>
      </c>
      <c r="AA82" s="62">
        <f t="shared" si="6"/>
        <v>1</v>
      </c>
      <c r="AB82"/>
      <c r="AC82"/>
      <c r="AD82"/>
      <c r="AE82"/>
      <c r="AF82"/>
      <c r="AG82"/>
      <c r="AH82"/>
      <c r="AI82"/>
      <c r="AJ82"/>
      <c r="AK82"/>
      <c r="AL82"/>
      <c r="AM82"/>
      <c r="AN82"/>
      <c r="AO82"/>
      <c r="AP82"/>
      <c r="AQ82"/>
      <c r="AR82"/>
    </row>
    <row r="83" spans="1:44" s="118" customFormat="1" ht="16.5" x14ac:dyDescent="0.3">
      <c r="A83" s="57" t="s">
        <v>650</v>
      </c>
      <c r="B83" s="66">
        <f>COUNTIF(Table6129[I1.3],B$50)/$B$49</f>
        <v>0.5625</v>
      </c>
      <c r="C83" s="66">
        <f>COUNTIF(Table6129[I1.3],C$50)/$B$49</f>
        <v>0.4375</v>
      </c>
      <c r="D83" s="66">
        <f>COUNTIF(Table6129[I1.3],D$50)/$B$49</f>
        <v>0</v>
      </c>
      <c r="E83" s="66">
        <f>COUNTIF(Table6129[I1.3],E$50)/$B$49</f>
        <v>0</v>
      </c>
      <c r="F83" s="62">
        <f t="shared" si="0"/>
        <v>1</v>
      </c>
      <c r="H83" s="57" t="s">
        <v>650</v>
      </c>
      <c r="I83" s="66">
        <f>COUNTIFS(Table6129[Prodi],"S1 Sistem Informasi",Table6129[I1.3],I$50)/$I$49</f>
        <v>0.42857142857142855</v>
      </c>
      <c r="J83" s="66">
        <f>COUNTIFS(Table6129[Prodi],"S1 Sistem Informasi",Table6129[I1.3],J$50)/$I$49</f>
        <v>0.5714285714285714</v>
      </c>
      <c r="K83" s="66">
        <f>COUNTIFS(Table6129[Prodi],"S1 Sistem Informasi",Table6129[I1.3],K$50)/$I$49</f>
        <v>0</v>
      </c>
      <c r="L83" s="66">
        <f>COUNTIFS(Table6129[Prodi],"S1 Sistem Informasi",Table6129[I1.3],L$50)/$I$49</f>
        <v>0</v>
      </c>
      <c r="M83" s="62">
        <f t="shared" si="4"/>
        <v>1</v>
      </c>
      <c r="N83"/>
      <c r="O83" s="57" t="s">
        <v>650</v>
      </c>
      <c r="P83" s="66">
        <f>COUNTIFS(Table6129[Prodi],"S1 Teknik Komputer",Table6129[I1.3],P$50)/$P$49</f>
        <v>0.75</v>
      </c>
      <c r="Q83" s="66">
        <f>COUNTIFS(Table6129[Prodi],"S1 Teknik Komputer",Table6129[I1.3],Q$50)/$P$49</f>
        <v>0.25</v>
      </c>
      <c r="R83" s="66">
        <f>COUNTIFS(Table6129[Prodi],"S1 Teknik Komputer",Table6129[I1.3],R$50)/$P$49</f>
        <v>0</v>
      </c>
      <c r="S83" s="66">
        <f>COUNTIFS(Table6129[Prodi],"S1 Teknik Komputer",Table6129[I1.3],S$50)/$P$49</f>
        <v>0</v>
      </c>
      <c r="T83" s="62">
        <f t="shared" si="5"/>
        <v>1</v>
      </c>
      <c r="U83"/>
      <c r="V83" s="57" t="s">
        <v>650</v>
      </c>
      <c r="W83" s="66">
        <f>COUNTIFS(Table6129[Prodi],"D3 Sistem Informasi",Table6129[I1.3],W$50)/$W$49</f>
        <v>0.6</v>
      </c>
      <c r="X83" s="66">
        <f>COUNTIFS(Table6129[Prodi],"D3 Sistem Informasi",Table6129[I1.3],X$50)/$W$49</f>
        <v>0.4</v>
      </c>
      <c r="Y83" s="66">
        <f>COUNTIFS(Table6129[Prodi],"D3 Sistem Informasi",Table6129[I1.3],Y$50)/$W$49</f>
        <v>0</v>
      </c>
      <c r="Z83" s="66">
        <f>COUNTIFS(Table6129[Prodi],"D3 Sistem Informasi",Table6129[I1.3],Z$50)/$W$49</f>
        <v>0</v>
      </c>
      <c r="AA83" s="62">
        <f t="shared" si="6"/>
        <v>1</v>
      </c>
      <c r="AB83"/>
      <c r="AC83"/>
      <c r="AD83"/>
      <c r="AE83"/>
      <c r="AF83"/>
      <c r="AG83"/>
      <c r="AH83"/>
      <c r="AI83"/>
      <c r="AJ83"/>
      <c r="AK83"/>
      <c r="AL83"/>
      <c r="AM83"/>
      <c r="AN83"/>
      <c r="AO83"/>
      <c r="AP83"/>
      <c r="AQ83"/>
      <c r="AR83"/>
    </row>
    <row r="84" spans="1:44" s="118" customFormat="1" ht="16.5" x14ac:dyDescent="0.3">
      <c r="A84" s="57" t="s">
        <v>651</v>
      </c>
      <c r="B84" s="66">
        <f>COUNTIF(Table6129[I1.4],B$50)/$B$49</f>
        <v>0.25</v>
      </c>
      <c r="C84" s="66">
        <f>COUNTIF(Table6129[I1.4],C$50)/$B$49</f>
        <v>0.75</v>
      </c>
      <c r="D84" s="66">
        <f>COUNTIF(Table6129[I1.4],D$50)/$B$49</f>
        <v>0</v>
      </c>
      <c r="E84" s="66">
        <f>COUNTIF(Table6129[I1.4],E$50)/$B$49</f>
        <v>0</v>
      </c>
      <c r="F84" s="62">
        <f t="shared" si="0"/>
        <v>1</v>
      </c>
      <c r="H84" s="57" t="s">
        <v>651</v>
      </c>
      <c r="I84" s="66">
        <f>COUNTIFS(Table6129[Prodi],"S1 Sistem Informasi",Table6129[I1.4],I$50)/$I$49</f>
        <v>0.2857142857142857</v>
      </c>
      <c r="J84" s="66">
        <f>COUNTIFS(Table6129[Prodi],"S1 Sistem Informasi",Table6129[I1.4],J$50)/$I$49</f>
        <v>0.7142857142857143</v>
      </c>
      <c r="K84" s="66">
        <f>COUNTIFS(Table6129[Prodi],"S1 Sistem Informasi",Table6129[I1.4],K$50)/$I$49</f>
        <v>0</v>
      </c>
      <c r="L84" s="66">
        <f>COUNTIFS(Table6129[Prodi],"S1 Sistem Informasi",Table6129[I1.4],L$50)/$I$49</f>
        <v>0</v>
      </c>
      <c r="M84" s="62">
        <f t="shared" si="4"/>
        <v>1</v>
      </c>
      <c r="N84"/>
      <c r="O84" s="57" t="s">
        <v>651</v>
      </c>
      <c r="P84" s="66">
        <f>COUNTIFS(Table6129[Prodi],"S1 Teknik Komputer",Table6129[I1.4],P$50)/$P$49</f>
        <v>0</v>
      </c>
      <c r="Q84" s="66">
        <f>COUNTIFS(Table6129[Prodi],"S1 Teknik Komputer",Table6129[I1.4],Q$50)/$P$49</f>
        <v>1</v>
      </c>
      <c r="R84" s="66">
        <f>COUNTIFS(Table6129[Prodi],"S1 Teknik Komputer",Table6129[I1.4],R$50)/$P$49</f>
        <v>0</v>
      </c>
      <c r="S84" s="66">
        <f>COUNTIFS(Table6129[Prodi],"S1 Teknik Komputer",Table6129[I1.4],S$50)/$P$49</f>
        <v>0</v>
      </c>
      <c r="T84" s="62">
        <f t="shared" si="5"/>
        <v>1</v>
      </c>
      <c r="U84"/>
      <c r="V84" s="57" t="s">
        <v>651</v>
      </c>
      <c r="W84" s="66">
        <f>COUNTIFS(Table6129[Prodi],"D3 Sistem Informasi",Table6129[I1.4],W$50)/$W$49</f>
        <v>0.4</v>
      </c>
      <c r="X84" s="66">
        <f>COUNTIFS(Table6129[Prodi],"D3 Sistem Informasi",Table6129[I1.4],X$50)/$W$49</f>
        <v>0.6</v>
      </c>
      <c r="Y84" s="66">
        <f>COUNTIFS(Table6129[Prodi],"D3 Sistem Informasi",Table6129[I1.4],Y$50)/$W$49</f>
        <v>0</v>
      </c>
      <c r="Z84" s="66">
        <f>COUNTIFS(Table6129[Prodi],"D3 Sistem Informasi",Table6129[I1.4],Z$50)/$W$49</f>
        <v>0</v>
      </c>
      <c r="AA84" s="62">
        <f t="shared" si="6"/>
        <v>1</v>
      </c>
      <c r="AB84"/>
      <c r="AC84"/>
      <c r="AD84"/>
      <c r="AE84"/>
      <c r="AF84"/>
      <c r="AG84"/>
      <c r="AH84"/>
      <c r="AI84"/>
      <c r="AJ84"/>
      <c r="AK84"/>
      <c r="AL84"/>
      <c r="AM84"/>
      <c r="AN84"/>
      <c r="AO84"/>
      <c r="AP84"/>
      <c r="AQ84"/>
      <c r="AR84"/>
    </row>
    <row r="85" spans="1:44" s="118" customFormat="1" ht="16.5" x14ac:dyDescent="0.3">
      <c r="A85" s="57" t="s">
        <v>652</v>
      </c>
      <c r="B85" s="66">
        <f>COUNTIF(Table6129[I1.5],B$50)/$B$49</f>
        <v>0.375</v>
      </c>
      <c r="C85" s="66">
        <f>COUNTIF(Table6129[I1.5],C$50)/$B$49</f>
        <v>0.625</v>
      </c>
      <c r="D85" s="66">
        <f>COUNTIF(Table6129[I1.5],D$50)/$B$49</f>
        <v>0</v>
      </c>
      <c r="E85" s="66">
        <f>COUNTIF(Table6129[I1.5],E$50)/$B$49</f>
        <v>0</v>
      </c>
      <c r="F85" s="62">
        <f t="shared" si="0"/>
        <v>1</v>
      </c>
      <c r="H85" s="57" t="s">
        <v>652</v>
      </c>
      <c r="I85" s="66">
        <f>COUNTIFS(Table6129[Prodi],"S1 Sistem Informasi",Table6129[I1.5],I$50)/$I$49</f>
        <v>0.42857142857142855</v>
      </c>
      <c r="J85" s="66">
        <f>COUNTIFS(Table6129[Prodi],"S1 Sistem Informasi",Table6129[I1.5],J$50)/$I$49</f>
        <v>0.5714285714285714</v>
      </c>
      <c r="K85" s="66">
        <f>COUNTIFS(Table6129[Prodi],"S1 Sistem Informasi",Table6129[I1.5],K$50)/$I$49</f>
        <v>0</v>
      </c>
      <c r="L85" s="66">
        <f>COUNTIFS(Table6129[Prodi],"S1 Sistem Informasi",Table6129[I1.5],L$50)/$I$49</f>
        <v>0</v>
      </c>
      <c r="M85" s="62">
        <f t="shared" si="4"/>
        <v>1</v>
      </c>
      <c r="N85"/>
      <c r="O85" s="57" t="s">
        <v>652</v>
      </c>
      <c r="P85" s="66">
        <f>COUNTIFS(Table6129[Prodi],"S1 Teknik Komputer",Table6129[I1.5],P$50)/$P$49</f>
        <v>0.25</v>
      </c>
      <c r="Q85" s="66">
        <f>COUNTIFS(Table6129[Prodi],"S1 Teknik Komputer",Table6129[I1.5],Q$50)/$P$49</f>
        <v>0.75</v>
      </c>
      <c r="R85" s="66">
        <f>COUNTIFS(Table6129[Prodi],"S1 Teknik Komputer",Table6129[I1.5],R$50)/$P$49</f>
        <v>0</v>
      </c>
      <c r="S85" s="66">
        <f>COUNTIFS(Table6129[Prodi],"S1 Teknik Komputer",Table6129[I1.5],S$50)/$P$49</f>
        <v>0</v>
      </c>
      <c r="T85" s="62">
        <f t="shared" si="5"/>
        <v>1</v>
      </c>
      <c r="U85"/>
      <c r="V85" s="57" t="s">
        <v>652</v>
      </c>
      <c r="W85" s="66">
        <f>COUNTIFS(Table6129[Prodi],"D3 Sistem Informasi",Table6129[I1.5],W$50)/$W$49</f>
        <v>0.4</v>
      </c>
      <c r="X85" s="66">
        <f>COUNTIFS(Table6129[Prodi],"D3 Sistem Informasi",Table6129[I1.5],X$50)/$W$49</f>
        <v>0.6</v>
      </c>
      <c r="Y85" s="66">
        <f>COUNTIFS(Table6129[Prodi],"D3 Sistem Informasi",Table6129[I1.5],Y$50)/$W$49</f>
        <v>0</v>
      </c>
      <c r="Z85" s="66">
        <f>COUNTIFS(Table6129[Prodi],"D3 Sistem Informasi",Table6129[I1.5],Z$50)/$W$49</f>
        <v>0</v>
      </c>
      <c r="AA85" s="62">
        <f t="shared" si="6"/>
        <v>1</v>
      </c>
      <c r="AB85"/>
      <c r="AC85"/>
      <c r="AD85"/>
      <c r="AE85"/>
      <c r="AF85"/>
      <c r="AG85"/>
      <c r="AH85"/>
      <c r="AI85"/>
      <c r="AJ85"/>
      <c r="AK85"/>
      <c r="AL85"/>
      <c r="AM85"/>
      <c r="AN85"/>
      <c r="AO85"/>
      <c r="AP85"/>
      <c r="AQ85"/>
      <c r="AR85"/>
    </row>
    <row r="86" spans="1:44" s="118" customFormat="1" ht="16.5" x14ac:dyDescent="0.3">
      <c r="A86" s="60"/>
      <c r="B86" s="61">
        <f>AVERAGE(B82:B85)</f>
        <v>0.421875</v>
      </c>
      <c r="C86" s="61">
        <f>AVERAGE(C82:C85)</f>
        <v>0.578125</v>
      </c>
      <c r="D86" s="61">
        <f>AVERAGE(D82:D85)</f>
        <v>0</v>
      </c>
      <c r="E86" s="61">
        <f>AVERAGE(E82:E85)</f>
        <v>0</v>
      </c>
      <c r="F86" s="62">
        <f t="shared" si="0"/>
        <v>1</v>
      </c>
      <c r="H86" s="60"/>
      <c r="I86" s="61">
        <f>AVERAGE(I82:I85)</f>
        <v>0.39285714285714285</v>
      </c>
      <c r="J86" s="61">
        <f>AVERAGE(J82:J85)</f>
        <v>0.60714285714285721</v>
      </c>
      <c r="K86" s="61">
        <f>AVERAGE(K82:K85)</f>
        <v>0</v>
      </c>
      <c r="L86" s="61">
        <f>AVERAGE(L82:L85)</f>
        <v>0</v>
      </c>
      <c r="M86" s="62">
        <f t="shared" si="4"/>
        <v>1</v>
      </c>
      <c r="N86"/>
      <c r="O86" s="60"/>
      <c r="P86" s="61">
        <f>AVERAGE(P82:P85)</f>
        <v>0.5</v>
      </c>
      <c r="Q86" s="61">
        <f>AVERAGE(Q82:Q85)</f>
        <v>0.5</v>
      </c>
      <c r="R86" s="61">
        <f>AVERAGE(R82:R85)</f>
        <v>0</v>
      </c>
      <c r="S86" s="61">
        <f>AVERAGE(S82:S85)</f>
        <v>0</v>
      </c>
      <c r="T86" s="62">
        <f t="shared" si="5"/>
        <v>1</v>
      </c>
      <c r="U86"/>
      <c r="V86" s="60"/>
      <c r="W86" s="61">
        <f>AVERAGE(W82:W85)</f>
        <v>0.4</v>
      </c>
      <c r="X86" s="61">
        <f>AVERAGE(X82:X85)</f>
        <v>0.60000000000000009</v>
      </c>
      <c r="Y86" s="61">
        <f>AVERAGE(Y82:Y85)</f>
        <v>0</v>
      </c>
      <c r="Z86" s="61">
        <f>AVERAGE(Z82:Z85)</f>
        <v>0</v>
      </c>
      <c r="AA86" s="62">
        <f t="shared" si="6"/>
        <v>1</v>
      </c>
      <c r="AB86"/>
      <c r="AC86"/>
      <c r="AD86"/>
      <c r="AE86"/>
      <c r="AF86"/>
      <c r="AG86"/>
      <c r="AH86"/>
      <c r="AI86"/>
      <c r="AJ86"/>
      <c r="AK86"/>
      <c r="AL86"/>
      <c r="AM86"/>
      <c r="AN86"/>
      <c r="AO86"/>
      <c r="AP86"/>
      <c r="AQ86"/>
      <c r="AR86"/>
    </row>
    <row r="87" spans="1:44" s="118" customFormat="1" ht="16.5" x14ac:dyDescent="0.3">
      <c r="A87" s="57" t="s">
        <v>653</v>
      </c>
      <c r="B87" s="66">
        <f>COUNTIF(Table6129[I2.1],B$50)/$B$49</f>
        <v>0.4375</v>
      </c>
      <c r="C87" s="66">
        <f>COUNTIF(Table6129[I2.1],C$50)/$B$49</f>
        <v>0.5625</v>
      </c>
      <c r="D87" s="66">
        <f>COUNTIF(Table6129[I2.1],D$50)/$B$49</f>
        <v>0</v>
      </c>
      <c r="E87" s="66">
        <f>COUNTIF(Table6129[I2.1],E$50)/$B$49</f>
        <v>0</v>
      </c>
      <c r="F87" s="62">
        <f t="shared" si="0"/>
        <v>1</v>
      </c>
      <c r="H87" s="57" t="s">
        <v>653</v>
      </c>
      <c r="I87" s="66">
        <f>COUNTIFS(Table6129[Prodi],"S1 Sistem Informasi",Table6129[I2.1],I$50)/$I$49</f>
        <v>0.2857142857142857</v>
      </c>
      <c r="J87" s="66">
        <f>COUNTIFS(Table6129[Prodi],"S1 Sistem Informasi",Table6129[I2.1],J$50)/$I$49</f>
        <v>0.7142857142857143</v>
      </c>
      <c r="K87" s="66">
        <f>COUNTIFS(Table6129[Prodi],"S1 Sistem Informasi",Table6129[I2.1],K$50)/$I$49</f>
        <v>0</v>
      </c>
      <c r="L87" s="66">
        <f>COUNTIFS(Table6129[Prodi],"S1 Sistem Informasi",Table6129[I2.1],L$50)/$I$49</f>
        <v>0</v>
      </c>
      <c r="M87" s="62">
        <f t="shared" si="4"/>
        <v>1</v>
      </c>
      <c r="N87"/>
      <c r="O87" s="57" t="s">
        <v>653</v>
      </c>
      <c r="P87" s="66">
        <f>COUNTIFS(Table6129[Prodi],"S1 Teknik Komputer",Table6129[I2.1],P$50)/$P$49</f>
        <v>0.75</v>
      </c>
      <c r="Q87" s="66">
        <f>COUNTIFS(Table6129[Prodi],"S1 Teknik Komputer",Table6129[I2.1],Q$50)/$P$49</f>
        <v>0.25</v>
      </c>
      <c r="R87" s="66">
        <f>COUNTIFS(Table6129[Prodi],"S1 Teknik Komputer",Table6129[I2.1],R$50)/$P$49</f>
        <v>0</v>
      </c>
      <c r="S87" s="66">
        <f>COUNTIFS(Table6129[Prodi],"S1 Teknik Komputer",Table6129[I2.1],S$50)/$P$49</f>
        <v>0</v>
      </c>
      <c r="T87" s="62">
        <f t="shared" si="5"/>
        <v>1</v>
      </c>
      <c r="U87"/>
      <c r="V87" s="57" t="s">
        <v>653</v>
      </c>
      <c r="W87" s="66">
        <f>COUNTIFS(Table6129[Prodi],"D3 Sistem Informasi",Table6129[I2.1],W$50)/$W$49</f>
        <v>0.4</v>
      </c>
      <c r="X87" s="66">
        <f>COUNTIFS(Table6129[Prodi],"D3 Sistem Informasi",Table6129[I2.1],X$50)/$W$49</f>
        <v>0.6</v>
      </c>
      <c r="Y87" s="66">
        <f>COUNTIFS(Table6129[Prodi],"D3 Sistem Informasi",Table6129[I2.1],Y$50)/$W$49</f>
        <v>0</v>
      </c>
      <c r="Z87" s="66">
        <f>COUNTIFS(Table6129[Prodi],"D3 Sistem Informasi",Table6129[I2.1],Z$50)/$W$49</f>
        <v>0</v>
      </c>
      <c r="AA87" s="62">
        <f t="shared" si="6"/>
        <v>1</v>
      </c>
      <c r="AB87"/>
      <c r="AC87"/>
      <c r="AD87"/>
      <c r="AE87"/>
      <c r="AF87"/>
      <c r="AG87"/>
      <c r="AH87"/>
      <c r="AI87"/>
      <c r="AJ87"/>
      <c r="AK87"/>
      <c r="AL87"/>
      <c r="AM87"/>
      <c r="AN87"/>
      <c r="AO87"/>
      <c r="AP87"/>
      <c r="AQ87"/>
      <c r="AR87"/>
    </row>
    <row r="88" spans="1:44" s="118" customFormat="1" ht="16.5" x14ac:dyDescent="0.3">
      <c r="A88" s="57" t="s">
        <v>654</v>
      </c>
      <c r="B88" s="66">
        <f>COUNTIF(Table6129[I2.2],B$50)/$B$49</f>
        <v>0.5625</v>
      </c>
      <c r="C88" s="66">
        <f>COUNTIF(Table6129[I2.2],C$50)/$B$49</f>
        <v>0.4375</v>
      </c>
      <c r="D88" s="66">
        <f>COUNTIF(Table6129[I2.2],D$50)/$B$49</f>
        <v>0</v>
      </c>
      <c r="E88" s="66">
        <f>COUNTIF(Table6129[I2.2],E$50)/$B$49</f>
        <v>0</v>
      </c>
      <c r="F88" s="62">
        <f t="shared" si="0"/>
        <v>1</v>
      </c>
      <c r="H88" s="57" t="s">
        <v>654</v>
      </c>
      <c r="I88" s="66">
        <f>COUNTIFS(Table6129[Prodi],"S1 Sistem Informasi",Table6129[I2.2],I$50)/$I$49</f>
        <v>0.42857142857142855</v>
      </c>
      <c r="J88" s="66">
        <f>COUNTIFS(Table6129[Prodi],"S1 Sistem Informasi",Table6129[I2.2],J$50)/$I$49</f>
        <v>0.5714285714285714</v>
      </c>
      <c r="K88" s="66">
        <f>COUNTIFS(Table6129[Prodi],"S1 Sistem Informasi",Table6129[I2.2],K$50)/$I$49</f>
        <v>0</v>
      </c>
      <c r="L88" s="66">
        <f>COUNTIFS(Table6129[Prodi],"S1 Sistem Informasi",Table6129[I2.2],L$50)/$I$49</f>
        <v>0</v>
      </c>
      <c r="M88" s="62">
        <f t="shared" si="4"/>
        <v>1</v>
      </c>
      <c r="N88"/>
      <c r="O88" s="57" t="s">
        <v>654</v>
      </c>
      <c r="P88" s="66">
        <f>COUNTIFS(Table6129[Prodi],"S1 Teknik Komputer",Table6129[I2.2],P$50)/$P$49</f>
        <v>1</v>
      </c>
      <c r="Q88" s="66">
        <f>COUNTIFS(Table6129[Prodi],"S1 Teknik Komputer",Table6129[I2.2],Q$50)/$P$49</f>
        <v>0</v>
      </c>
      <c r="R88" s="66">
        <f>COUNTIFS(Table6129[Prodi],"S1 Teknik Komputer",Table6129[I2.2],R$50)/$P$49</f>
        <v>0</v>
      </c>
      <c r="S88" s="66">
        <f>COUNTIFS(Table6129[Prodi],"S1 Teknik Komputer",Table6129[I2.2],S$50)/$P$49</f>
        <v>0</v>
      </c>
      <c r="T88" s="62">
        <f t="shared" si="5"/>
        <v>1</v>
      </c>
      <c r="U88"/>
      <c r="V88" s="57" t="s">
        <v>654</v>
      </c>
      <c r="W88" s="66">
        <f>COUNTIFS(Table6129[Prodi],"D3 Sistem Informasi",Table6129[I2.2],W$50)/$W$49</f>
        <v>0.4</v>
      </c>
      <c r="X88" s="66">
        <f>COUNTIFS(Table6129[Prodi],"D3 Sistem Informasi",Table6129[I2.2],X$50)/$W$49</f>
        <v>0.6</v>
      </c>
      <c r="Y88" s="66">
        <f>COUNTIFS(Table6129[Prodi],"D3 Sistem Informasi",Table6129[I2.2],Y$50)/$W$49</f>
        <v>0</v>
      </c>
      <c r="Z88" s="66">
        <f>COUNTIFS(Table6129[Prodi],"D3 Sistem Informasi",Table6129[I2.2],Z$50)/$W$49</f>
        <v>0</v>
      </c>
      <c r="AA88" s="62">
        <f t="shared" si="6"/>
        <v>1</v>
      </c>
      <c r="AB88"/>
      <c r="AC88"/>
      <c r="AD88"/>
      <c r="AE88"/>
      <c r="AF88"/>
      <c r="AG88"/>
      <c r="AH88"/>
      <c r="AI88"/>
      <c r="AJ88"/>
      <c r="AK88"/>
      <c r="AL88"/>
      <c r="AM88"/>
      <c r="AN88"/>
      <c r="AO88"/>
      <c r="AP88"/>
      <c r="AQ88"/>
      <c r="AR88"/>
    </row>
    <row r="89" spans="1:44" s="118" customFormat="1" ht="16.5" x14ac:dyDescent="0.3">
      <c r="A89" s="57" t="s">
        <v>655</v>
      </c>
      <c r="B89" s="66">
        <f>COUNTIF(Table6129[I2.3],B$50)/$B$49</f>
        <v>0.5625</v>
      </c>
      <c r="C89" s="66">
        <f>COUNTIF(Table6129[I2.3],C$50)/$B$49</f>
        <v>0.1875</v>
      </c>
      <c r="D89" s="66">
        <f>COUNTIF(Table6129[I2.3],D$50)/$B$49</f>
        <v>0.25</v>
      </c>
      <c r="E89" s="66">
        <f>COUNTIF(Table6129[I2.3],E$50)/$B$49</f>
        <v>0</v>
      </c>
      <c r="F89" s="62">
        <f t="shared" si="0"/>
        <v>1</v>
      </c>
      <c r="H89" s="57" t="s">
        <v>655</v>
      </c>
      <c r="I89" s="66">
        <f>COUNTIFS(Table6129[Prodi],"S1 Sistem Informasi",Table6129[I2.3],I$50)/$I$49</f>
        <v>0.42857142857142855</v>
      </c>
      <c r="J89" s="66">
        <f>COUNTIFS(Table6129[Prodi],"S1 Sistem Informasi",Table6129[I2.3],J$50)/$I$49</f>
        <v>0.2857142857142857</v>
      </c>
      <c r="K89" s="66">
        <f>COUNTIFS(Table6129[Prodi],"S1 Sistem Informasi",Table6129[I2.3],K$50)/$I$49</f>
        <v>0.2857142857142857</v>
      </c>
      <c r="L89" s="66">
        <f>COUNTIFS(Table6129[Prodi],"S1 Sistem Informasi",Table6129[I2.3],L$50)/$I$49</f>
        <v>0</v>
      </c>
      <c r="M89" s="62">
        <f t="shared" si="4"/>
        <v>0.99999999999999989</v>
      </c>
      <c r="N89"/>
      <c r="O89" s="57" t="s">
        <v>655</v>
      </c>
      <c r="P89" s="66">
        <f>COUNTIFS(Table6129[Prodi],"S1 Teknik Komputer",Table6129[I2.3],P$50)/$P$49</f>
        <v>1</v>
      </c>
      <c r="Q89" s="66">
        <f>COUNTIFS(Table6129[Prodi],"S1 Teknik Komputer",Table6129[I2.3],Q$50)/$P$49</f>
        <v>0</v>
      </c>
      <c r="R89" s="66">
        <f>COUNTIFS(Table6129[Prodi],"S1 Teknik Komputer",Table6129[I2.3],R$50)/$P$49</f>
        <v>0</v>
      </c>
      <c r="S89" s="66">
        <f>COUNTIFS(Table6129[Prodi],"S1 Teknik Komputer",Table6129[I2.3],S$50)/$P$49</f>
        <v>0</v>
      </c>
      <c r="T89" s="62">
        <f t="shared" si="5"/>
        <v>1</v>
      </c>
      <c r="U89"/>
      <c r="V89" s="57" t="s">
        <v>655</v>
      </c>
      <c r="W89" s="66">
        <f>COUNTIFS(Table6129[Prodi],"D3 Sistem Informasi",Table6129[I2.3],W$50)/$W$49</f>
        <v>0.4</v>
      </c>
      <c r="X89" s="66">
        <f>COUNTIFS(Table6129[Prodi],"D3 Sistem Informasi",Table6129[I2.3],X$50)/$W$49</f>
        <v>0.2</v>
      </c>
      <c r="Y89" s="66">
        <f>COUNTIFS(Table6129[Prodi],"D3 Sistem Informasi",Table6129[I2.3],Y$50)/$W$49</f>
        <v>0.4</v>
      </c>
      <c r="Z89" s="66">
        <f>COUNTIFS(Table6129[Prodi],"D3 Sistem Informasi",Table6129[I2.3],Z$50)/$W$49</f>
        <v>0</v>
      </c>
      <c r="AA89" s="62">
        <f t="shared" si="6"/>
        <v>1</v>
      </c>
      <c r="AB89"/>
      <c r="AC89"/>
      <c r="AD89"/>
      <c r="AE89"/>
      <c r="AF89"/>
      <c r="AG89"/>
      <c r="AH89"/>
      <c r="AI89"/>
      <c r="AJ89"/>
      <c r="AK89"/>
      <c r="AL89"/>
      <c r="AM89"/>
      <c r="AN89"/>
      <c r="AO89"/>
      <c r="AP89"/>
      <c r="AQ89"/>
      <c r="AR89"/>
    </row>
    <row r="90" spans="1:44" s="118" customFormat="1" ht="16.5" x14ac:dyDescent="0.3">
      <c r="A90" s="57" t="s">
        <v>656</v>
      </c>
      <c r="B90" s="66">
        <f>COUNTIF(Table6129[I2.4],B$50)/$B$49</f>
        <v>0.5625</v>
      </c>
      <c r="C90" s="66">
        <f>COUNTIF(Table6129[I2.4],C$50)/$B$49</f>
        <v>0.4375</v>
      </c>
      <c r="D90" s="66">
        <f>COUNTIF(Table6129[I2.4],D$50)/$B$49</f>
        <v>0</v>
      </c>
      <c r="E90" s="66">
        <f>COUNTIF(Table6129[I2.4],E$50)/$B$49</f>
        <v>0</v>
      </c>
      <c r="F90" s="62">
        <f t="shared" si="0"/>
        <v>1</v>
      </c>
      <c r="H90" s="57" t="s">
        <v>656</v>
      </c>
      <c r="I90" s="66">
        <f>COUNTIFS(Table6129[Prodi],"S1 Sistem Informasi",Table6129[I2.4],I$50)/$I$49</f>
        <v>0.7142857142857143</v>
      </c>
      <c r="J90" s="66">
        <f>COUNTIFS(Table6129[Prodi],"S1 Sistem Informasi",Table6129[I2.4],J$50)/$I$49</f>
        <v>0.2857142857142857</v>
      </c>
      <c r="K90" s="66">
        <f>COUNTIFS(Table6129[Prodi],"S1 Sistem Informasi",Table6129[I2.4],K$50)/$I$49</f>
        <v>0</v>
      </c>
      <c r="L90" s="66">
        <f>COUNTIFS(Table6129[Prodi],"S1 Sistem Informasi",Table6129[I2.4],L$50)/$I$49</f>
        <v>0</v>
      </c>
      <c r="M90" s="62">
        <f t="shared" si="4"/>
        <v>1</v>
      </c>
      <c r="N90"/>
      <c r="O90" s="57" t="s">
        <v>656</v>
      </c>
      <c r="P90" s="66">
        <f>COUNTIFS(Table6129[Prodi],"S1 Teknik Komputer",Table6129[I2.4],P$50)/$P$49</f>
        <v>0.25</v>
      </c>
      <c r="Q90" s="66">
        <f>COUNTIFS(Table6129[Prodi],"S1 Teknik Komputer",Table6129[I2.4],Q$50)/$P$49</f>
        <v>0.75</v>
      </c>
      <c r="R90" s="66">
        <f>COUNTIFS(Table6129[Prodi],"S1 Teknik Komputer",Table6129[I2.4],R$50)/$P$49</f>
        <v>0</v>
      </c>
      <c r="S90" s="66">
        <f>COUNTIFS(Table6129[Prodi],"S1 Teknik Komputer",Table6129[I2.4],S$50)/$P$49</f>
        <v>0</v>
      </c>
      <c r="T90" s="62">
        <f t="shared" si="5"/>
        <v>1</v>
      </c>
      <c r="U90"/>
      <c r="V90" s="57" t="s">
        <v>656</v>
      </c>
      <c r="W90" s="66">
        <f>COUNTIFS(Table6129[Prodi],"D3 Sistem Informasi",Table6129[I2.4],W$50)/$W$49</f>
        <v>0.6</v>
      </c>
      <c r="X90" s="66">
        <f>COUNTIFS(Table6129[Prodi],"D3 Sistem Informasi",Table6129[I2.4],X$50)/$W$49</f>
        <v>0.4</v>
      </c>
      <c r="Y90" s="66">
        <f>COUNTIFS(Table6129[Prodi],"D3 Sistem Informasi",Table6129[I2.4],Y$50)/$W$49</f>
        <v>0</v>
      </c>
      <c r="Z90" s="66">
        <f>COUNTIFS(Table6129[Prodi],"D3 Sistem Informasi",Table6129[I2.4],Z$50)/$W$49</f>
        <v>0</v>
      </c>
      <c r="AA90" s="62">
        <f t="shared" si="6"/>
        <v>1</v>
      </c>
      <c r="AB90"/>
      <c r="AC90"/>
      <c r="AD90"/>
      <c r="AE90"/>
      <c r="AF90"/>
      <c r="AG90"/>
      <c r="AH90"/>
      <c r="AI90"/>
      <c r="AJ90"/>
      <c r="AK90"/>
      <c r="AL90"/>
      <c r="AM90"/>
      <c r="AN90"/>
      <c r="AO90"/>
      <c r="AP90"/>
      <c r="AQ90"/>
      <c r="AR90"/>
    </row>
    <row r="91" spans="1:44" s="118" customFormat="1" ht="17.25" thickBot="1" x14ac:dyDescent="0.35">
      <c r="A91" s="67"/>
      <c r="B91" s="61">
        <f>AVERAGE(B87:B90)</f>
        <v>0.53125</v>
      </c>
      <c r="C91" s="61">
        <f>AVERAGE(C87:C90)</f>
        <v>0.40625</v>
      </c>
      <c r="D91" s="61">
        <f>AVERAGE(D87:D90)</f>
        <v>6.25E-2</v>
      </c>
      <c r="E91" s="61">
        <f>AVERAGE(E87:E90)</f>
        <v>0</v>
      </c>
      <c r="F91" s="62">
        <f t="shared" si="0"/>
        <v>1</v>
      </c>
      <c r="H91" s="67"/>
      <c r="I91" s="61">
        <f>AVERAGE(I87:I90)</f>
        <v>0.4642857142857143</v>
      </c>
      <c r="J91" s="61">
        <f>AVERAGE(J87:J90)</f>
        <v>0.46428571428571419</v>
      </c>
      <c r="K91" s="61">
        <f>AVERAGE(K87:K90)</f>
        <v>7.1428571428571425E-2</v>
      </c>
      <c r="L91" s="61">
        <f>AVERAGE(L87:L90)</f>
        <v>0</v>
      </c>
      <c r="M91" s="62">
        <f t="shared" si="4"/>
        <v>0.99999999999999989</v>
      </c>
      <c r="N91"/>
      <c r="O91" s="67"/>
      <c r="P91" s="61">
        <f>AVERAGE(P87:P90)</f>
        <v>0.75</v>
      </c>
      <c r="Q91" s="61">
        <f>AVERAGE(Q87:Q90)</f>
        <v>0.25</v>
      </c>
      <c r="R91" s="61">
        <f>AVERAGE(R87:R90)</f>
        <v>0</v>
      </c>
      <c r="S91" s="61">
        <f>AVERAGE(S87:S90)</f>
        <v>0</v>
      </c>
      <c r="T91" s="62">
        <f t="shared" si="5"/>
        <v>1</v>
      </c>
      <c r="U91"/>
      <c r="V91" s="67"/>
      <c r="W91" s="61">
        <f>AVERAGE(W87:W90)</f>
        <v>0.45000000000000007</v>
      </c>
      <c r="X91" s="61">
        <f>AVERAGE(X87:X90)</f>
        <v>0.44999999999999996</v>
      </c>
      <c r="Y91" s="61">
        <f>AVERAGE(Y87:Y90)</f>
        <v>0.1</v>
      </c>
      <c r="Z91" s="61">
        <f>AVERAGE(Z87:Z90)</f>
        <v>0</v>
      </c>
      <c r="AA91" s="62">
        <f t="shared" si="6"/>
        <v>1</v>
      </c>
      <c r="AB91"/>
      <c r="AC91"/>
      <c r="AD91"/>
      <c r="AE91"/>
      <c r="AF91"/>
      <c r="AG91"/>
      <c r="AH91"/>
      <c r="AI91"/>
      <c r="AJ91"/>
      <c r="AK91"/>
      <c r="AL91"/>
      <c r="AM91"/>
      <c r="AN91"/>
      <c r="AO91"/>
      <c r="AP91"/>
      <c r="AQ91"/>
      <c r="AR91"/>
    </row>
    <row r="92" spans="1:44" ht="15.75" thickBot="1" x14ac:dyDescent="0.3"/>
    <row r="93" spans="1:44" s="118" customFormat="1" ht="17.25" thickBot="1" x14ac:dyDescent="0.3">
      <c r="A93" s="64" t="s">
        <v>14</v>
      </c>
      <c r="B93" s="65" t="s">
        <v>1161</v>
      </c>
      <c r="C93"/>
      <c r="H93" s="64" t="s">
        <v>14</v>
      </c>
      <c r="I93" s="65" t="s">
        <v>142</v>
      </c>
      <c r="J93"/>
      <c r="O93" s="64" t="s">
        <v>14</v>
      </c>
      <c r="P93" s="65" t="s">
        <v>1195</v>
      </c>
      <c r="Q93"/>
      <c r="U93"/>
      <c r="V93" s="64" t="s">
        <v>14</v>
      </c>
      <c r="W93" s="65" t="s">
        <v>127</v>
      </c>
      <c r="X93"/>
      <c r="AB93"/>
      <c r="AC93"/>
      <c r="AD93"/>
      <c r="AE93"/>
      <c r="AF93"/>
      <c r="AG93"/>
      <c r="AH93"/>
      <c r="AI93"/>
      <c r="AJ93"/>
      <c r="AK93"/>
      <c r="AL93"/>
      <c r="AM93"/>
      <c r="AN93"/>
      <c r="AO93"/>
      <c r="AP93"/>
      <c r="AQ93"/>
      <c r="AR93"/>
    </row>
    <row r="94" spans="1:44" s="118" customFormat="1" ht="17.25" thickBot="1" x14ac:dyDescent="0.3">
      <c r="A94" s="64" t="s">
        <v>647</v>
      </c>
      <c r="B94" s="65">
        <v>2023</v>
      </c>
      <c r="C94"/>
      <c r="H94" s="64" t="s">
        <v>647</v>
      </c>
      <c r="I94" s="65">
        <v>2023</v>
      </c>
      <c r="J94"/>
      <c r="O94" s="64" t="s">
        <v>647</v>
      </c>
      <c r="P94" s="65">
        <v>2023</v>
      </c>
      <c r="Q94"/>
      <c r="U94"/>
      <c r="V94" s="64" t="s">
        <v>647</v>
      </c>
      <c r="W94" s="65">
        <v>2023</v>
      </c>
      <c r="X94"/>
      <c r="AB94"/>
      <c r="AC94"/>
      <c r="AD94"/>
      <c r="AE94"/>
      <c r="AF94"/>
      <c r="AG94"/>
      <c r="AH94"/>
      <c r="AI94"/>
      <c r="AJ94"/>
      <c r="AK94"/>
      <c r="AL94"/>
      <c r="AM94"/>
      <c r="AN94"/>
      <c r="AO94"/>
      <c r="AP94"/>
      <c r="AQ94"/>
      <c r="AR94"/>
    </row>
    <row r="95" spans="1:44" s="118" customFormat="1" ht="17.25" thickBot="1" x14ac:dyDescent="0.3">
      <c r="A95" s="64" t="s">
        <v>646</v>
      </c>
      <c r="B95" s="65">
        <f>COUNTIF(Table91315[Prodi],"S1 Desain Komunikasi Visual") + COUNTIF(Table91315[Prodi],"S1 Desain Produk") + COUNTIF(Table91315[Prodi],"D4 Produksi Film dan Televisi")</f>
        <v>7</v>
      </c>
      <c r="C95"/>
      <c r="H95" s="64" t="s">
        <v>646</v>
      </c>
      <c r="I95" s="65">
        <f>COUNTIF(Table91315[Prodi],"S1 Desain Komunikasi Visual")</f>
        <v>3</v>
      </c>
      <c r="J95"/>
      <c r="O95" s="64" t="s">
        <v>646</v>
      </c>
      <c r="P95" s="65">
        <f>COUNTIF(Table91315[Prodi],P93)</f>
        <v>3</v>
      </c>
      <c r="Q95"/>
      <c r="U95"/>
      <c r="V95" s="64" t="s">
        <v>646</v>
      </c>
      <c r="W95" s="65">
        <f>COUNTIF(Table91315[Prodi],W93)</f>
        <v>1</v>
      </c>
      <c r="X95"/>
      <c r="AB95"/>
      <c r="AC95"/>
      <c r="AD95"/>
      <c r="AE95"/>
      <c r="AF95"/>
      <c r="AG95"/>
      <c r="AH95"/>
      <c r="AI95"/>
      <c r="AJ95"/>
      <c r="AK95"/>
      <c r="AL95"/>
      <c r="AM95"/>
      <c r="AN95"/>
      <c r="AO95"/>
      <c r="AP95"/>
      <c r="AQ95"/>
      <c r="AR95"/>
    </row>
    <row r="96" spans="1:44" s="118" customFormat="1" ht="16.5" x14ac:dyDescent="0.3">
      <c r="A96" s="166"/>
      <c r="B96" s="56" t="s">
        <v>1205</v>
      </c>
      <c r="C96" s="56" t="s">
        <v>1206</v>
      </c>
      <c r="D96" s="56" t="s">
        <v>1229</v>
      </c>
      <c r="E96" s="56" t="s">
        <v>1436</v>
      </c>
      <c r="F96" s="167"/>
      <c r="H96" s="166"/>
      <c r="I96" s="56" t="s">
        <v>1205</v>
      </c>
      <c r="J96" s="56" t="s">
        <v>1206</v>
      </c>
      <c r="K96" s="56" t="s">
        <v>1229</v>
      </c>
      <c r="L96" s="56" t="s">
        <v>1436</v>
      </c>
      <c r="M96" s="167"/>
      <c r="O96" s="166"/>
      <c r="P96" s="56" t="s">
        <v>1205</v>
      </c>
      <c r="Q96" s="56" t="s">
        <v>1206</v>
      </c>
      <c r="R96" s="56" t="s">
        <v>1229</v>
      </c>
      <c r="S96" s="56" t="s">
        <v>1436</v>
      </c>
      <c r="T96" s="167"/>
      <c r="U96"/>
      <c r="V96" s="166"/>
      <c r="W96" s="56" t="s">
        <v>1205</v>
      </c>
      <c r="X96" s="56" t="s">
        <v>1206</v>
      </c>
      <c r="Y96" s="56" t="s">
        <v>1229</v>
      </c>
      <c r="Z96" s="56" t="s">
        <v>1436</v>
      </c>
      <c r="AA96" s="167"/>
      <c r="AB96"/>
      <c r="AC96"/>
      <c r="AD96"/>
      <c r="AE96"/>
      <c r="AF96"/>
      <c r="AG96"/>
      <c r="AH96"/>
      <c r="AI96"/>
      <c r="AJ96"/>
      <c r="AK96"/>
      <c r="AL96"/>
      <c r="AM96"/>
      <c r="AN96"/>
      <c r="AO96"/>
      <c r="AP96"/>
      <c r="AQ96"/>
      <c r="AR96"/>
    </row>
    <row r="97" spans="1:44" s="118" customFormat="1" ht="16.5" x14ac:dyDescent="0.3">
      <c r="A97" s="168" t="s">
        <v>26</v>
      </c>
      <c r="B97" s="169">
        <f>COUNTIF(Table91315[B1],B$96)/$B$95</f>
        <v>0.8571428571428571</v>
      </c>
      <c r="C97" s="169">
        <f>COUNTIF(Table91315[B1],C$96)/$B$95</f>
        <v>0.14285714285714285</v>
      </c>
      <c r="D97" s="169">
        <f>COUNTIF(Table91315[B1],D$96)/$B$95</f>
        <v>0</v>
      </c>
      <c r="E97" s="169">
        <f>COUNTIF(Table91315[B1],E$96)/$B$95</f>
        <v>0</v>
      </c>
      <c r="F97" s="62">
        <f>SUM(B97:E97)</f>
        <v>1</v>
      </c>
      <c r="H97" s="168" t="s">
        <v>26</v>
      </c>
      <c r="I97" s="169">
        <f>COUNTIFS(Table91315[Prodi],"S1 Desain Komunikasi Visual",Table91315[B1],I$96)/$I$95</f>
        <v>0.66666666666666663</v>
      </c>
      <c r="J97" s="169">
        <f>COUNTIFS(Table91315[Prodi],"S1 Desain Komunikasi Visual",Table91315[B1],J$96)/$I$95</f>
        <v>0.33333333333333331</v>
      </c>
      <c r="K97" s="169">
        <f>COUNTIFS(Table91315[Prodi],"S1 Desain Komunikasi Visual",Table91315[B1],K$96)/$I$95</f>
        <v>0</v>
      </c>
      <c r="L97" s="169">
        <f>COUNTIFS(Table91315[Prodi],"S1 Desain Komunikasi Visual",Table91315[B1],L$96)/$I$95</f>
        <v>0</v>
      </c>
      <c r="M97" s="62">
        <f>SUM(I97:L97)</f>
        <v>1</v>
      </c>
      <c r="O97" s="168" t="s">
        <v>26</v>
      </c>
      <c r="P97" s="169">
        <f>COUNTIFS(Table91315[Prodi],$P$93,Table91315[B1],P$96)/$P$95</f>
        <v>1</v>
      </c>
      <c r="Q97" s="169">
        <f>COUNTIFS(Table91315[Prodi],$P$93,Table91315[B1],Q$96)/$P$95</f>
        <v>0</v>
      </c>
      <c r="R97" s="169">
        <f>COUNTIFS(Table91315[Prodi],$P$93,Table91315[B1],R$96)/$P$95</f>
        <v>0</v>
      </c>
      <c r="S97" s="169">
        <f>COUNTIFS(Table91315[Prodi],$P$93,Table91315[B1],S$96)/$P$95</f>
        <v>0</v>
      </c>
      <c r="T97" s="62">
        <f>SUM(P97:S97)</f>
        <v>1</v>
      </c>
      <c r="U97"/>
      <c r="V97" s="168" t="s">
        <v>26</v>
      </c>
      <c r="W97" s="169">
        <f>COUNTIFS(Table91315[Prodi],$W$93,Table91315[B1],W$96)/$W$95</f>
        <v>1</v>
      </c>
      <c r="X97" s="169">
        <f>COUNTIFS(Table91315[Prodi],$W$93,Table91315[B1],X$96)/$W$95</f>
        <v>0</v>
      </c>
      <c r="Y97" s="169">
        <f>COUNTIFS(Table91315[Prodi],$W$93,Table91315[B1],Y$96)/$W$95</f>
        <v>0</v>
      </c>
      <c r="Z97" s="169">
        <f>COUNTIFS(Table91315[Prodi],$W$93,Table91315[B1],Z$96)/$W$95</f>
        <v>0</v>
      </c>
      <c r="AA97" s="62">
        <f>SUM(W97:Z97)</f>
        <v>1</v>
      </c>
      <c r="AB97"/>
      <c r="AC97"/>
      <c r="AD97"/>
      <c r="AE97"/>
      <c r="AF97"/>
      <c r="AG97"/>
      <c r="AH97"/>
      <c r="AI97"/>
      <c r="AJ97"/>
      <c r="AK97"/>
      <c r="AL97"/>
      <c r="AM97"/>
      <c r="AN97"/>
      <c r="AO97"/>
      <c r="AP97"/>
      <c r="AQ97"/>
      <c r="AR97"/>
    </row>
    <row r="98" spans="1:44" s="118" customFormat="1" ht="16.5" x14ac:dyDescent="0.3">
      <c r="A98" s="168" t="s">
        <v>27</v>
      </c>
      <c r="B98" s="169">
        <f>COUNTIF(Table91315[B2],B$96)/$B$95</f>
        <v>0.5714285714285714</v>
      </c>
      <c r="C98" s="169">
        <f>COUNTIF(Table91315[B2],C$96)/$B$95</f>
        <v>0.42857142857142855</v>
      </c>
      <c r="D98" s="169">
        <f>COUNTIF(Table91315[B2],D$96)/$B$95</f>
        <v>0</v>
      </c>
      <c r="E98" s="169">
        <f>COUNTIF(Table91315[B2],E$96)/$B$95</f>
        <v>0</v>
      </c>
      <c r="F98" s="62">
        <f t="shared" ref="F98:F136" si="7">SUM(B98:E98)</f>
        <v>1</v>
      </c>
      <c r="H98" s="168" t="s">
        <v>27</v>
      </c>
      <c r="I98" s="169">
        <f>COUNTIFS(Table91315[Prodi],"S1 Desain Komunikasi Visual",Table91315[B2],I$96)/$I$95</f>
        <v>0.66666666666666663</v>
      </c>
      <c r="J98" s="169">
        <f>COUNTIFS(Table91315[Prodi],"S1 Desain Komunikasi Visual",Table91315[B2],J$96)/$I$95</f>
        <v>0.33333333333333331</v>
      </c>
      <c r="K98" s="169">
        <f>COUNTIFS(Table91315[Prodi],"S1 Desain Komunikasi Visual",Table91315[B2],K$96)/$I$95</f>
        <v>0</v>
      </c>
      <c r="L98" s="169">
        <f>COUNTIFS(Table91315[Prodi],"S1 Desain Komunikasi Visual",Table91315[B2],L$96)/$I$95</f>
        <v>0</v>
      </c>
      <c r="M98" s="62">
        <f t="shared" ref="M98:M115" si="8">SUM(I98:L98)</f>
        <v>1</v>
      </c>
      <c r="O98" s="168" t="s">
        <v>27</v>
      </c>
      <c r="P98" s="169">
        <f>COUNTIFS(Table91315[Prodi],$P$93,Table91315[B2],P$96)/$P$95</f>
        <v>0.66666666666666663</v>
      </c>
      <c r="Q98" s="169">
        <f>COUNTIFS(Table91315[Prodi],$P$93,Table91315[B2],Q$96)/$P$95</f>
        <v>0.33333333333333331</v>
      </c>
      <c r="R98" s="169">
        <f>COUNTIFS(Table91315[Prodi],$P$93,Table91315[B2],R$96)/$P$95</f>
        <v>0</v>
      </c>
      <c r="S98" s="169">
        <f>COUNTIFS(Table91315[Prodi],$P$93,Table91315[B2],S$96)/$P$95</f>
        <v>0</v>
      </c>
      <c r="T98" s="62">
        <f t="shared" ref="T98:T115" si="9">SUM(P98:S98)</f>
        <v>1</v>
      </c>
      <c r="U98"/>
      <c r="V98" s="168" t="s">
        <v>27</v>
      </c>
      <c r="W98" s="169">
        <f>COUNTIFS(Table91315[Prodi],$W$93,Table91315[B2],W$96)/$W$95</f>
        <v>0</v>
      </c>
      <c r="X98" s="169">
        <f>COUNTIFS(Table91315[Prodi],$W$93,Table91315[B2],X$96)/$W$95</f>
        <v>1</v>
      </c>
      <c r="Y98" s="169">
        <f>COUNTIFS(Table91315[Prodi],$W$93,Table91315[B2],Y$96)/$W$95</f>
        <v>0</v>
      </c>
      <c r="Z98" s="169">
        <f>COUNTIFS(Table91315[Prodi],$W$93,Table91315[B2],Z$96)/$W$95</f>
        <v>0</v>
      </c>
      <c r="AA98" s="62">
        <f t="shared" ref="AA98:AA115" si="10">SUM(W98:Z98)</f>
        <v>1</v>
      </c>
      <c r="AB98"/>
      <c r="AC98"/>
      <c r="AD98"/>
      <c r="AE98"/>
      <c r="AF98"/>
      <c r="AG98"/>
      <c r="AH98"/>
      <c r="AI98"/>
      <c r="AJ98"/>
      <c r="AK98"/>
      <c r="AL98"/>
      <c r="AM98"/>
      <c r="AN98"/>
      <c r="AO98"/>
      <c r="AP98"/>
      <c r="AQ98"/>
      <c r="AR98"/>
    </row>
    <row r="99" spans="1:44" s="118" customFormat="1" ht="16.5" x14ac:dyDescent="0.3">
      <c r="A99" s="168" t="s">
        <v>28</v>
      </c>
      <c r="B99" s="169">
        <f>COUNTIF(Table91315[B3],B$96)/$B$95</f>
        <v>0.2857142857142857</v>
      </c>
      <c r="C99" s="169">
        <f>COUNTIF(Table91315[B3],C$96)/$B$95</f>
        <v>0.7142857142857143</v>
      </c>
      <c r="D99" s="169">
        <f>COUNTIF(Table91315[B3],D$96)/$B$95</f>
        <v>0</v>
      </c>
      <c r="E99" s="169">
        <f>COUNTIF(Table91315[B3],E$96)/$B$95</f>
        <v>0</v>
      </c>
      <c r="F99" s="62">
        <f t="shared" si="7"/>
        <v>1</v>
      </c>
      <c r="H99" s="168" t="s">
        <v>28</v>
      </c>
      <c r="I99" s="169">
        <f>COUNTIFS(Table91315[Prodi],"S1 Desain Komunikasi Visual",Table91315[B3],I$96)/$I$95</f>
        <v>0</v>
      </c>
      <c r="J99" s="169">
        <f>COUNTIFS(Table91315[Prodi],"S1 Desain Komunikasi Visual",Table91315[B3],J$96)/$I$95</f>
        <v>1</v>
      </c>
      <c r="K99" s="169">
        <f>COUNTIFS(Table91315[Prodi],"S1 Desain Komunikasi Visual",Table91315[B3],K$96)/$I$95</f>
        <v>0</v>
      </c>
      <c r="L99" s="169">
        <f>COUNTIFS(Table91315[Prodi],"S1 Desain Komunikasi Visual",Table91315[B3],L$96)/$I$95</f>
        <v>0</v>
      </c>
      <c r="M99" s="62">
        <f t="shared" si="8"/>
        <v>1</v>
      </c>
      <c r="O99" s="168" t="s">
        <v>28</v>
      </c>
      <c r="P99" s="169">
        <f>COUNTIFS(Table91315[Prodi],$P$93,Table91315[B3],P$96)/$P$95</f>
        <v>0.66666666666666663</v>
      </c>
      <c r="Q99" s="169">
        <f>COUNTIFS(Table91315[Prodi],$P$93,Table91315[B3],Q$96)/$P$95</f>
        <v>0.33333333333333331</v>
      </c>
      <c r="R99" s="169">
        <f>COUNTIFS(Table91315[Prodi],$P$93,Table91315[B3],R$96)/$P$95</f>
        <v>0</v>
      </c>
      <c r="S99" s="169">
        <f>COUNTIFS(Table91315[Prodi],$P$93,Table91315[B3],S$96)/$P$95</f>
        <v>0</v>
      </c>
      <c r="T99" s="62">
        <f t="shared" si="9"/>
        <v>1</v>
      </c>
      <c r="U99"/>
      <c r="V99" s="168" t="s">
        <v>28</v>
      </c>
      <c r="W99" s="169">
        <f>COUNTIFS(Table91315[Prodi],$W$93,Table91315[B3],W$96)/$W$95</f>
        <v>0</v>
      </c>
      <c r="X99" s="169">
        <f>COUNTIFS(Table91315[Prodi],$W$93,Table91315[B3],X$96)/$W$95</f>
        <v>1</v>
      </c>
      <c r="Y99" s="169">
        <f>COUNTIFS(Table91315[Prodi],$W$93,Table91315[B3],Y$96)/$W$95</f>
        <v>0</v>
      </c>
      <c r="Z99" s="169">
        <f>COUNTIFS(Table91315[Prodi],$W$93,Table91315[B3],Z$96)/$W$95</f>
        <v>0</v>
      </c>
      <c r="AA99" s="62">
        <f t="shared" si="10"/>
        <v>1</v>
      </c>
      <c r="AB99"/>
      <c r="AC99"/>
      <c r="AD99"/>
      <c r="AE99"/>
      <c r="AF99"/>
      <c r="AG99"/>
      <c r="AH99"/>
      <c r="AI99"/>
      <c r="AJ99"/>
      <c r="AK99"/>
      <c r="AL99"/>
      <c r="AM99"/>
      <c r="AN99"/>
      <c r="AO99"/>
      <c r="AP99"/>
      <c r="AQ99"/>
      <c r="AR99"/>
    </row>
    <row r="100" spans="1:44" s="118" customFormat="1" ht="16.5" x14ac:dyDescent="0.3">
      <c r="A100" s="168" t="s">
        <v>29</v>
      </c>
      <c r="B100" s="169">
        <f>COUNTIF(Table91315[B4],B$96)/$B$95</f>
        <v>0.2857142857142857</v>
      </c>
      <c r="C100" s="169">
        <f>COUNTIF(Table91315[B4],C$96)/$B$95</f>
        <v>0.7142857142857143</v>
      </c>
      <c r="D100" s="169">
        <f>COUNTIF(Table91315[B4],D$96)/$B$95</f>
        <v>0</v>
      </c>
      <c r="E100" s="169">
        <f>COUNTIF(Table91315[B4],E$96)/$B$95</f>
        <v>0</v>
      </c>
      <c r="F100" s="62">
        <f t="shared" si="7"/>
        <v>1</v>
      </c>
      <c r="H100" s="168" t="s">
        <v>29</v>
      </c>
      <c r="I100" s="169">
        <f>COUNTIFS(Table91315[Prodi],"S1 Desain Komunikasi Visual",Table91315[B4],I$96)/$I$95</f>
        <v>0.66666666666666663</v>
      </c>
      <c r="J100" s="169">
        <f>COUNTIFS(Table91315[Prodi],"S1 Desain Komunikasi Visual",Table91315[B4],J$96)/$I$95</f>
        <v>0.33333333333333331</v>
      </c>
      <c r="K100" s="169">
        <f>COUNTIFS(Table91315[Prodi],"S1 Desain Komunikasi Visual",Table91315[B4],K$96)/$I$95</f>
        <v>0</v>
      </c>
      <c r="L100" s="169">
        <f>COUNTIFS(Table91315[Prodi],"S1 Desain Komunikasi Visual",Table91315[B4],L$96)/$I$95</f>
        <v>0</v>
      </c>
      <c r="M100" s="62">
        <f t="shared" si="8"/>
        <v>1</v>
      </c>
      <c r="O100" s="168" t="s">
        <v>29</v>
      </c>
      <c r="P100" s="169">
        <f>COUNTIFS(Table91315[Prodi],$P$93,Table91315[B4],P$96)/$P$95</f>
        <v>0</v>
      </c>
      <c r="Q100" s="169">
        <f>COUNTIFS(Table91315[Prodi],$P$93,Table91315[B4],Q$96)/$P$95</f>
        <v>1</v>
      </c>
      <c r="R100" s="169">
        <f>COUNTIFS(Table91315[Prodi],$P$93,Table91315[B4],R$96)/$P$95</f>
        <v>0</v>
      </c>
      <c r="S100" s="169">
        <f>COUNTIFS(Table91315[Prodi],$P$93,Table91315[B4],S$96)/$P$95</f>
        <v>0</v>
      </c>
      <c r="T100" s="62">
        <f t="shared" si="9"/>
        <v>1</v>
      </c>
      <c r="U100"/>
      <c r="V100" s="168" t="s">
        <v>29</v>
      </c>
      <c r="W100" s="169">
        <f>COUNTIFS(Table91315[Prodi],$W$93,Table91315[B4],W$96)/$W$95</f>
        <v>0</v>
      </c>
      <c r="X100" s="169">
        <f>COUNTIFS(Table91315[Prodi],$W$93,Table91315[B4],X$96)/$W$95</f>
        <v>1</v>
      </c>
      <c r="Y100" s="169">
        <f>COUNTIFS(Table91315[Prodi],$W$93,Table91315[B4],Y$96)/$W$95</f>
        <v>0</v>
      </c>
      <c r="Z100" s="169">
        <f>COUNTIFS(Table91315[Prodi],$W$93,Table91315[B4],Z$96)/$W$95</f>
        <v>0</v>
      </c>
      <c r="AA100" s="62">
        <f t="shared" si="10"/>
        <v>1</v>
      </c>
      <c r="AB100"/>
      <c r="AC100"/>
      <c r="AD100"/>
      <c r="AE100"/>
      <c r="AF100"/>
      <c r="AG100"/>
      <c r="AH100"/>
      <c r="AI100"/>
      <c r="AJ100"/>
      <c r="AK100"/>
      <c r="AL100"/>
      <c r="AM100"/>
      <c r="AN100"/>
      <c r="AO100"/>
      <c r="AP100"/>
      <c r="AQ100"/>
      <c r="AR100"/>
    </row>
    <row r="101" spans="1:44" s="118" customFormat="1" ht="16.5" x14ac:dyDescent="0.3">
      <c r="A101" s="168" t="s">
        <v>30</v>
      </c>
      <c r="B101" s="169">
        <f>COUNTIF(Table91315[B5],B$96)/$B$95</f>
        <v>0.7142857142857143</v>
      </c>
      <c r="C101" s="169">
        <f>COUNTIF(Table91315[B5],C$96)/$B$95</f>
        <v>0.2857142857142857</v>
      </c>
      <c r="D101" s="169">
        <f>COUNTIF(Table91315[B5],D$96)/$B$95</f>
        <v>0</v>
      </c>
      <c r="E101" s="169">
        <f>COUNTIF(Table91315[B5],E$96)/$B$95</f>
        <v>0</v>
      </c>
      <c r="F101" s="62">
        <f t="shared" si="7"/>
        <v>1</v>
      </c>
      <c r="H101" s="168" t="s">
        <v>30</v>
      </c>
      <c r="I101" s="169">
        <f>COUNTIFS(Table91315[Prodi],"S1 Desain Komunikasi Visual",Table91315[B5],I$96)/$I$95</f>
        <v>0.33333333333333331</v>
      </c>
      <c r="J101" s="169">
        <f>COUNTIFS(Table91315[Prodi],"S1 Desain Komunikasi Visual",Table91315[B5],J$96)/$I$95</f>
        <v>0.66666666666666663</v>
      </c>
      <c r="K101" s="169">
        <f>COUNTIFS(Table91315[Prodi],"S1 Desain Komunikasi Visual",Table91315[B5],K$96)/$I$95</f>
        <v>0</v>
      </c>
      <c r="L101" s="169">
        <f>COUNTIFS(Table91315[Prodi],"S1 Desain Komunikasi Visual",Table91315[B5],L$96)/$I$95</f>
        <v>0</v>
      </c>
      <c r="M101" s="62">
        <f t="shared" si="8"/>
        <v>1</v>
      </c>
      <c r="O101" s="168" t="s">
        <v>30</v>
      </c>
      <c r="P101" s="169">
        <f>COUNTIFS(Table91315[Prodi],$P$93,Table91315[B5],P$96)/$P$95</f>
        <v>1</v>
      </c>
      <c r="Q101" s="169">
        <f>COUNTIFS(Table91315[Prodi],$P$93,Table91315[B5],Q$96)/$P$95</f>
        <v>0</v>
      </c>
      <c r="R101" s="169">
        <f>COUNTIFS(Table91315[Prodi],$P$93,Table91315[B5],R$96)/$P$95</f>
        <v>0</v>
      </c>
      <c r="S101" s="169">
        <f>COUNTIFS(Table91315[Prodi],$P$93,Table91315[B5],S$96)/$P$95</f>
        <v>0</v>
      </c>
      <c r="T101" s="62">
        <f t="shared" si="9"/>
        <v>1</v>
      </c>
      <c r="U101"/>
      <c r="V101" s="168" t="s">
        <v>30</v>
      </c>
      <c r="W101" s="169">
        <f>COUNTIFS(Table91315[Prodi],$W$93,Table91315[B5],W$96)/$W$95</f>
        <v>1</v>
      </c>
      <c r="X101" s="169">
        <f>COUNTIFS(Table91315[Prodi],$W$93,Table91315[B5],X$96)/$W$95</f>
        <v>0</v>
      </c>
      <c r="Y101" s="169">
        <f>COUNTIFS(Table91315[Prodi],$W$93,Table91315[B5],Y$96)/$W$95</f>
        <v>0</v>
      </c>
      <c r="Z101" s="169">
        <f>COUNTIFS(Table91315[Prodi],$W$93,Table91315[B5],Z$96)/$W$95</f>
        <v>0</v>
      </c>
      <c r="AA101" s="62">
        <f t="shared" si="10"/>
        <v>1</v>
      </c>
      <c r="AB101"/>
      <c r="AC101"/>
      <c r="AD101"/>
      <c r="AE101"/>
      <c r="AF101"/>
      <c r="AG101"/>
      <c r="AH101"/>
      <c r="AI101"/>
      <c r="AJ101"/>
      <c r="AK101"/>
      <c r="AL101"/>
      <c r="AM101"/>
      <c r="AN101"/>
      <c r="AO101"/>
      <c r="AP101"/>
      <c r="AQ101"/>
      <c r="AR101"/>
    </row>
    <row r="102" spans="1:44" s="118" customFormat="1" ht="16.5" x14ac:dyDescent="0.3">
      <c r="A102" s="170"/>
      <c r="B102" s="61">
        <f>AVERAGE(B97:B101)</f>
        <v>0.54285714285714282</v>
      </c>
      <c r="C102" s="61">
        <f>AVERAGE(C97:C101)</f>
        <v>0.45714285714285713</v>
      </c>
      <c r="D102" s="61">
        <f>AVERAGE(D97:D101)</f>
        <v>0</v>
      </c>
      <c r="E102" s="61">
        <f>AVERAGE(E97:E101)</f>
        <v>0</v>
      </c>
      <c r="F102" s="62">
        <f t="shared" si="7"/>
        <v>1</v>
      </c>
      <c r="H102" s="170"/>
      <c r="I102" s="61">
        <f>AVERAGE(I97:I101)</f>
        <v>0.46666666666666667</v>
      </c>
      <c r="J102" s="61">
        <f>AVERAGE(J97:J101)</f>
        <v>0.53333333333333333</v>
      </c>
      <c r="K102" s="61">
        <f>AVERAGE(K97:K101)</f>
        <v>0</v>
      </c>
      <c r="L102" s="61">
        <f>AVERAGE(L97:L101)</f>
        <v>0</v>
      </c>
      <c r="M102" s="62">
        <f t="shared" si="8"/>
        <v>1</v>
      </c>
      <c r="O102" s="170"/>
      <c r="P102" s="61">
        <f>AVERAGE(P97:P101)</f>
        <v>0.66666666666666663</v>
      </c>
      <c r="Q102" s="61">
        <f>AVERAGE(Q97:Q101)</f>
        <v>0.33333333333333331</v>
      </c>
      <c r="R102" s="61">
        <f>AVERAGE(R97:R101)</f>
        <v>0</v>
      </c>
      <c r="S102" s="61">
        <f>AVERAGE(S97:S101)</f>
        <v>0</v>
      </c>
      <c r="T102" s="62">
        <f t="shared" si="9"/>
        <v>1</v>
      </c>
      <c r="U102"/>
      <c r="V102" s="170"/>
      <c r="W102" s="61">
        <f>AVERAGE(W97:W101)</f>
        <v>0.4</v>
      </c>
      <c r="X102" s="61">
        <f>AVERAGE(X97:X101)</f>
        <v>0.6</v>
      </c>
      <c r="Y102" s="61">
        <f>AVERAGE(Y97:Y101)</f>
        <v>0</v>
      </c>
      <c r="Z102" s="61">
        <f>AVERAGE(Z97:Z101)</f>
        <v>0</v>
      </c>
      <c r="AA102" s="62">
        <f t="shared" si="10"/>
        <v>1</v>
      </c>
      <c r="AB102"/>
      <c r="AC102"/>
      <c r="AD102"/>
      <c r="AE102"/>
      <c r="AF102"/>
      <c r="AG102"/>
      <c r="AH102"/>
      <c r="AI102"/>
      <c r="AJ102"/>
      <c r="AK102"/>
      <c r="AL102"/>
      <c r="AM102"/>
      <c r="AN102"/>
      <c r="AO102"/>
      <c r="AP102"/>
      <c r="AQ102"/>
      <c r="AR102"/>
    </row>
    <row r="103" spans="1:44" s="118" customFormat="1" ht="16.5" x14ac:dyDescent="0.3">
      <c r="A103" s="168" t="s">
        <v>31</v>
      </c>
      <c r="B103" s="169">
        <f>COUNTIF(Table91315[C1],B$96)/$B$95</f>
        <v>0.5714285714285714</v>
      </c>
      <c r="C103" s="169">
        <f>COUNTIF(Table91315[C1],C$96)/$B$95</f>
        <v>0.42857142857142855</v>
      </c>
      <c r="D103" s="169">
        <f>COUNTIF(Table91315[C1],D$96)/$B$95</f>
        <v>0</v>
      </c>
      <c r="E103" s="169">
        <f>COUNTIF(Table91315[C1],E$96)/$B$95</f>
        <v>0</v>
      </c>
      <c r="F103" s="62">
        <f t="shared" si="7"/>
        <v>1</v>
      </c>
      <c r="H103" s="168" t="s">
        <v>31</v>
      </c>
      <c r="I103" s="169">
        <f>COUNTIFS(Table91315[Prodi],"S1 Desain Komunikasi Visual",Table91315[C1],I$96)/$I$95</f>
        <v>0.33333333333333331</v>
      </c>
      <c r="J103" s="169">
        <f>COUNTIFS(Table91315[Prodi],"S1 Desain Komunikasi Visual",Table91315[C1],J$96)/$I$95</f>
        <v>0.66666666666666663</v>
      </c>
      <c r="K103" s="169">
        <f>COUNTIFS(Table91315[Prodi],"S1 Desain Komunikasi Visual",Table91315[C1],K$96)/$I$95</f>
        <v>0</v>
      </c>
      <c r="L103" s="169">
        <f>COUNTIFS(Table91315[Prodi],"S1 Desain Komunikasi Visual",Table91315[C1],L$96)/$I$95</f>
        <v>0</v>
      </c>
      <c r="M103" s="62">
        <f t="shared" si="8"/>
        <v>1</v>
      </c>
      <c r="O103" s="168" t="s">
        <v>31</v>
      </c>
      <c r="P103" s="169">
        <f>COUNTIFS(Table91315[Prodi],$P$93,Table91315[C1],P$96)/$P$95</f>
        <v>0.66666666666666663</v>
      </c>
      <c r="Q103" s="169">
        <f>COUNTIFS(Table91315[Prodi],$P$93,Table91315[C1],Q$96)/$P$95</f>
        <v>0.33333333333333331</v>
      </c>
      <c r="R103" s="169">
        <f>COUNTIFS(Table91315[Prodi],$P$93,Table91315[C1],R$96)/$P$95</f>
        <v>0</v>
      </c>
      <c r="S103" s="169">
        <f>COUNTIFS(Table91315[Prodi],$P$93,Table91315[C1],S$96)/$P$95</f>
        <v>0</v>
      </c>
      <c r="T103" s="62">
        <f t="shared" si="9"/>
        <v>1</v>
      </c>
      <c r="U103"/>
      <c r="V103" s="168" t="s">
        <v>31</v>
      </c>
      <c r="W103" s="169">
        <f>COUNTIFS(Table91315[Prodi],$W$93,Table91315[C1],W$96)/$W$95</f>
        <v>1</v>
      </c>
      <c r="X103" s="169">
        <f>COUNTIFS(Table91315[Prodi],$W$93,Table91315[C1],X$96)/$W$95</f>
        <v>0</v>
      </c>
      <c r="Y103" s="169">
        <f>COUNTIFS(Table91315[Prodi],$W$93,Table91315[C1],Y$96)/$W$95</f>
        <v>0</v>
      </c>
      <c r="Z103" s="169">
        <f>COUNTIFS(Table91315[Prodi],$W$93,Table91315[C1],Z$96)/$W$95</f>
        <v>0</v>
      </c>
      <c r="AA103" s="62">
        <f t="shared" si="10"/>
        <v>1</v>
      </c>
      <c r="AB103"/>
      <c r="AC103"/>
      <c r="AD103"/>
      <c r="AE103"/>
      <c r="AF103"/>
      <c r="AG103"/>
      <c r="AH103"/>
      <c r="AI103"/>
      <c r="AJ103"/>
      <c r="AK103"/>
      <c r="AL103"/>
      <c r="AM103"/>
      <c r="AN103"/>
      <c r="AO103"/>
      <c r="AP103"/>
      <c r="AQ103"/>
      <c r="AR103"/>
    </row>
    <row r="104" spans="1:44" s="118" customFormat="1" ht="16.5" x14ac:dyDescent="0.3">
      <c r="A104" s="168" t="s">
        <v>32</v>
      </c>
      <c r="B104" s="169">
        <f>COUNTIF(Table91315[C2],B$96)/$B$95</f>
        <v>0.5714285714285714</v>
      </c>
      <c r="C104" s="169">
        <f>COUNTIF(Table91315[C2],C$96)/$B$95</f>
        <v>0.42857142857142855</v>
      </c>
      <c r="D104" s="169">
        <f>COUNTIF(Table91315[C2],D$96)/$B$95</f>
        <v>0</v>
      </c>
      <c r="E104" s="169">
        <f>COUNTIF(Table91315[C2],E$96)/$B$95</f>
        <v>0</v>
      </c>
      <c r="F104" s="62">
        <f t="shared" si="7"/>
        <v>1</v>
      </c>
      <c r="H104" s="168" t="s">
        <v>32</v>
      </c>
      <c r="I104" s="169">
        <f>COUNTIFS(Table91315[Prodi],"S1 Desain Komunikasi Visual",Table91315[C2],I$96)/$I$95</f>
        <v>0.66666666666666663</v>
      </c>
      <c r="J104" s="169">
        <f>COUNTIFS(Table91315[Prodi],"S1 Desain Komunikasi Visual",Table91315[C2],J$96)/$I$95</f>
        <v>0.33333333333333331</v>
      </c>
      <c r="K104" s="169">
        <f>COUNTIFS(Table91315[Prodi],"S1 Desain Komunikasi Visual",Table91315[C2],K$96)/$I$95</f>
        <v>0</v>
      </c>
      <c r="L104" s="169">
        <f>COUNTIFS(Table91315[Prodi],"S1 Desain Komunikasi Visual",Table91315[C2],L$96)/$I$95</f>
        <v>0</v>
      </c>
      <c r="M104" s="62">
        <f t="shared" si="8"/>
        <v>1</v>
      </c>
      <c r="O104" s="168" t="s">
        <v>32</v>
      </c>
      <c r="P104" s="169">
        <f>COUNTIFS(Table91315[Prodi],$P$93,Table91315[C2],P$96)/$P$95</f>
        <v>0.66666666666666663</v>
      </c>
      <c r="Q104" s="169">
        <f>COUNTIFS(Table91315[Prodi],$P$93,Table91315[C2],Q$96)/$P$95</f>
        <v>0.33333333333333331</v>
      </c>
      <c r="R104" s="169">
        <f>COUNTIFS(Table91315[Prodi],$P$93,Table91315[C2],R$96)/$P$95</f>
        <v>0</v>
      </c>
      <c r="S104" s="169">
        <f>COUNTIFS(Table91315[Prodi],$P$93,Table91315[C2],S$96)/$P$95</f>
        <v>0</v>
      </c>
      <c r="T104" s="62">
        <f t="shared" si="9"/>
        <v>1</v>
      </c>
      <c r="U104"/>
      <c r="V104" s="168" t="s">
        <v>32</v>
      </c>
      <c r="W104" s="169">
        <f>COUNTIFS(Table91315[Prodi],$W$93,Table91315[C2],W$96)/$W$95</f>
        <v>0</v>
      </c>
      <c r="X104" s="169">
        <f>COUNTIFS(Table91315[Prodi],$W$93,Table91315[C2],X$96)/$W$95</f>
        <v>1</v>
      </c>
      <c r="Y104" s="169">
        <f>COUNTIFS(Table91315[Prodi],$W$93,Table91315[C2],Y$96)/$W$95</f>
        <v>0</v>
      </c>
      <c r="Z104" s="169">
        <f>COUNTIFS(Table91315[Prodi],$W$93,Table91315[C2],Z$96)/$W$95</f>
        <v>0</v>
      </c>
      <c r="AA104" s="62">
        <f t="shared" si="10"/>
        <v>1</v>
      </c>
      <c r="AB104"/>
      <c r="AC104"/>
      <c r="AD104"/>
      <c r="AE104"/>
      <c r="AF104"/>
      <c r="AG104"/>
      <c r="AH104"/>
      <c r="AI104"/>
      <c r="AJ104"/>
      <c r="AK104"/>
      <c r="AL104"/>
      <c r="AM104"/>
      <c r="AN104"/>
      <c r="AO104"/>
      <c r="AP104"/>
      <c r="AQ104"/>
      <c r="AR104"/>
    </row>
    <row r="105" spans="1:44" s="118" customFormat="1" ht="16.5" x14ac:dyDescent="0.3">
      <c r="A105" s="171"/>
      <c r="B105" s="61">
        <f>AVERAGE(B103:B104)</f>
        <v>0.5714285714285714</v>
      </c>
      <c r="C105" s="61">
        <f>AVERAGE(C103:C104)</f>
        <v>0.42857142857142855</v>
      </c>
      <c r="D105" s="61">
        <f>AVERAGE(D103:D104)</f>
        <v>0</v>
      </c>
      <c r="E105" s="61">
        <f>AVERAGE(E103:E104)</f>
        <v>0</v>
      </c>
      <c r="F105" s="62">
        <f t="shared" si="7"/>
        <v>1</v>
      </c>
      <c r="H105" s="171"/>
      <c r="I105" s="61">
        <f>AVERAGE(I103:I104)</f>
        <v>0.5</v>
      </c>
      <c r="J105" s="61">
        <f>AVERAGE(J103:J104)</f>
        <v>0.5</v>
      </c>
      <c r="K105" s="61">
        <f>AVERAGE(K103:K104)</f>
        <v>0</v>
      </c>
      <c r="L105" s="61">
        <f>AVERAGE(L103:L104)</f>
        <v>0</v>
      </c>
      <c r="M105" s="62">
        <f t="shared" si="8"/>
        <v>1</v>
      </c>
      <c r="O105" s="171"/>
      <c r="P105" s="61">
        <f>AVERAGE(P103:P104)</f>
        <v>0.66666666666666663</v>
      </c>
      <c r="Q105" s="61">
        <f>AVERAGE(Q103:Q104)</f>
        <v>0.33333333333333331</v>
      </c>
      <c r="R105" s="61">
        <f>AVERAGE(R103:R104)</f>
        <v>0</v>
      </c>
      <c r="S105" s="61">
        <f>AVERAGE(S103:S104)</f>
        <v>0</v>
      </c>
      <c r="T105" s="62">
        <f t="shared" si="9"/>
        <v>1</v>
      </c>
      <c r="U105"/>
      <c r="V105" s="171"/>
      <c r="W105" s="61">
        <f>AVERAGE(W103:W104)</f>
        <v>0.5</v>
      </c>
      <c r="X105" s="61">
        <f>AVERAGE(X103:X104)</f>
        <v>0.5</v>
      </c>
      <c r="Y105" s="61">
        <f>AVERAGE(Y103:Y104)</f>
        <v>0</v>
      </c>
      <c r="Z105" s="61">
        <f>AVERAGE(Z103:Z104)</f>
        <v>0</v>
      </c>
      <c r="AA105" s="62">
        <f t="shared" si="10"/>
        <v>1</v>
      </c>
      <c r="AB105"/>
      <c r="AC105"/>
      <c r="AD105"/>
      <c r="AE105"/>
      <c r="AF105"/>
      <c r="AG105"/>
      <c r="AH105"/>
      <c r="AI105"/>
      <c r="AJ105"/>
      <c r="AK105"/>
      <c r="AL105"/>
      <c r="AM105"/>
      <c r="AN105"/>
      <c r="AO105"/>
      <c r="AP105"/>
      <c r="AQ105"/>
      <c r="AR105"/>
    </row>
    <row r="106" spans="1:44" s="118" customFormat="1" ht="16.5" x14ac:dyDescent="0.3">
      <c r="A106" s="172" t="s">
        <v>33</v>
      </c>
      <c r="B106" s="169">
        <f>COUNTIF(Table91315[D1],B$96)/$B$95</f>
        <v>0.2857142857142857</v>
      </c>
      <c r="C106" s="169">
        <f>COUNTIF(Table91315[D1],C$96)/$B$95</f>
        <v>0.42857142857142855</v>
      </c>
      <c r="D106" s="169">
        <f>COUNTIF(Table91315[D1],D$96)/$B$95</f>
        <v>0.2857142857142857</v>
      </c>
      <c r="E106" s="169">
        <f>COUNTIF(Table91315[D1],E$96)/$B$95</f>
        <v>0</v>
      </c>
      <c r="F106" s="62">
        <f t="shared" si="7"/>
        <v>0.99999999999999989</v>
      </c>
      <c r="H106" s="172" t="s">
        <v>33</v>
      </c>
      <c r="I106" s="169">
        <f>COUNTIFS(Table91315[Prodi],"S1 Desain Komunikasi Visual",Table91315[D1],I$96)/$I$95</f>
        <v>0.33333333333333331</v>
      </c>
      <c r="J106" s="169">
        <f>COUNTIFS(Table91315[Prodi],"S1 Desain Komunikasi Visual",Table91315[D1],J$96)/$I$95</f>
        <v>0.33333333333333331</v>
      </c>
      <c r="K106" s="169">
        <f>COUNTIFS(Table91315[Prodi],"S1 Desain Komunikasi Visual",Table91315[D1],K$96)/$I$95</f>
        <v>0.33333333333333331</v>
      </c>
      <c r="L106" s="169">
        <f>COUNTIFS(Table91315[Prodi],"S1 Desain Komunikasi Visual",Table91315[D1],L$96)/$I$95</f>
        <v>0</v>
      </c>
      <c r="M106" s="62">
        <f t="shared" si="8"/>
        <v>1</v>
      </c>
      <c r="O106" s="172" t="s">
        <v>33</v>
      </c>
      <c r="P106" s="169">
        <f>COUNTIFS(Table91315[Prodi],$P$93,Table91315[D1],P$96)/$P$95</f>
        <v>0</v>
      </c>
      <c r="Q106" s="169">
        <f>COUNTIFS(Table91315[Prodi],$P$93,Table91315[D1],Q$96)/$P$95</f>
        <v>0.66666666666666663</v>
      </c>
      <c r="R106" s="169">
        <f>COUNTIFS(Table91315[Prodi],$P$93,Table91315[D1],R$96)/$P$95</f>
        <v>0.33333333333333331</v>
      </c>
      <c r="S106" s="169">
        <f>COUNTIFS(Table91315[Prodi],$P$93,Table91315[D1],S$96)/$P$95</f>
        <v>0</v>
      </c>
      <c r="T106" s="62">
        <f t="shared" si="9"/>
        <v>1</v>
      </c>
      <c r="U106"/>
      <c r="V106" s="172" t="s">
        <v>33</v>
      </c>
      <c r="W106" s="169">
        <f>COUNTIFS(Table91315[Prodi],$W$93,Table91315[D1],W$96)/$W$95</f>
        <v>1</v>
      </c>
      <c r="X106" s="169">
        <f>COUNTIFS(Table91315[Prodi],$W$93,Table91315[D1],X$96)/$W$95</f>
        <v>0</v>
      </c>
      <c r="Y106" s="169">
        <f>COUNTIFS(Table91315[Prodi],$W$93,Table91315[D1],Y$96)/$W$95</f>
        <v>0</v>
      </c>
      <c r="Z106" s="169">
        <f>COUNTIFS(Table91315[Prodi],$W$93,Table91315[D1],Z$96)/$W$95</f>
        <v>0</v>
      </c>
      <c r="AA106" s="62">
        <f t="shared" si="10"/>
        <v>1</v>
      </c>
      <c r="AB106"/>
      <c r="AC106"/>
      <c r="AD106"/>
      <c r="AE106"/>
      <c r="AF106"/>
      <c r="AG106"/>
      <c r="AH106"/>
      <c r="AI106"/>
      <c r="AJ106"/>
      <c r="AK106"/>
      <c r="AL106"/>
      <c r="AM106"/>
      <c r="AN106"/>
      <c r="AO106"/>
      <c r="AP106"/>
      <c r="AQ106"/>
      <c r="AR106"/>
    </row>
    <row r="107" spans="1:44" s="118" customFormat="1" ht="16.5" x14ac:dyDescent="0.3">
      <c r="A107" s="168" t="s">
        <v>34</v>
      </c>
      <c r="B107" s="169">
        <f>COUNTIF(Table91315[D2],B$96)/$B$95</f>
        <v>0.5714285714285714</v>
      </c>
      <c r="C107" s="169">
        <f>COUNTIF(Table91315[D2],C$96)/$B$95</f>
        <v>0.42857142857142855</v>
      </c>
      <c r="D107" s="169">
        <f>COUNTIF(Table91315[D2],D$96)/$B$95</f>
        <v>0</v>
      </c>
      <c r="E107" s="169">
        <f>COUNTIF(Table91315[D2],E$96)/$B$95</f>
        <v>0</v>
      </c>
      <c r="F107" s="62">
        <f t="shared" si="7"/>
        <v>1</v>
      </c>
      <c r="H107" s="168" t="s">
        <v>34</v>
      </c>
      <c r="I107" s="169">
        <f>COUNTIFS(Table91315[Prodi],"S1 Desain Komunikasi Visual",Table91315[D2],I$96)/$I$95</f>
        <v>0.66666666666666663</v>
      </c>
      <c r="J107" s="169">
        <f>COUNTIFS(Table91315[Prodi],"S1 Desain Komunikasi Visual",Table91315[D2],J$96)/$I$95</f>
        <v>0.33333333333333331</v>
      </c>
      <c r="K107" s="169">
        <f>COUNTIFS(Table91315[Prodi],"S1 Desain Komunikasi Visual",Table91315[D2],K$96)/$I$95</f>
        <v>0</v>
      </c>
      <c r="L107" s="169">
        <f>COUNTIFS(Table91315[Prodi],"S1 Desain Komunikasi Visual",Table91315[D2],L$96)/$I$95</f>
        <v>0</v>
      </c>
      <c r="M107" s="62">
        <f t="shared" si="8"/>
        <v>1</v>
      </c>
      <c r="O107" s="168" t="s">
        <v>34</v>
      </c>
      <c r="P107" s="169">
        <f>COUNTIFS(Table91315[Prodi],$P$93,Table91315[D2],P$96)/$P$95</f>
        <v>0.33333333333333331</v>
      </c>
      <c r="Q107" s="169">
        <f>COUNTIFS(Table91315[Prodi],$P$93,Table91315[D2],Q$96)/$P$95</f>
        <v>0.66666666666666663</v>
      </c>
      <c r="R107" s="169">
        <f>COUNTIFS(Table91315[Prodi],$P$93,Table91315[D2],R$96)/$P$95</f>
        <v>0</v>
      </c>
      <c r="S107" s="169">
        <f>COUNTIFS(Table91315[Prodi],$P$93,Table91315[D2],S$96)/$P$95</f>
        <v>0</v>
      </c>
      <c r="T107" s="62">
        <f t="shared" si="9"/>
        <v>1</v>
      </c>
      <c r="U107"/>
      <c r="V107" s="168" t="s">
        <v>34</v>
      </c>
      <c r="W107" s="169">
        <f>COUNTIFS(Table91315[Prodi],$W$93,Table91315[D2],W$96)/$W$95</f>
        <v>1</v>
      </c>
      <c r="X107" s="169">
        <f>COUNTIFS(Table91315[Prodi],$W$93,Table91315[D2],X$96)/$W$95</f>
        <v>0</v>
      </c>
      <c r="Y107" s="169">
        <f>COUNTIFS(Table91315[Prodi],$W$93,Table91315[D2],Y$96)/$W$95</f>
        <v>0</v>
      </c>
      <c r="Z107" s="169">
        <f>COUNTIFS(Table91315[Prodi],$W$93,Table91315[D2],Z$96)/$W$95</f>
        <v>0</v>
      </c>
      <c r="AA107" s="62">
        <f t="shared" si="10"/>
        <v>1</v>
      </c>
      <c r="AB107"/>
      <c r="AC107"/>
      <c r="AD107"/>
      <c r="AE107"/>
      <c r="AF107"/>
      <c r="AG107"/>
      <c r="AH107"/>
      <c r="AI107"/>
      <c r="AJ107"/>
      <c r="AK107"/>
      <c r="AL107"/>
      <c r="AM107"/>
      <c r="AN107"/>
      <c r="AO107"/>
      <c r="AP107"/>
      <c r="AQ107"/>
      <c r="AR107"/>
    </row>
    <row r="108" spans="1:44" s="118" customFormat="1" ht="16.5" x14ac:dyDescent="0.3">
      <c r="A108" s="171"/>
      <c r="B108" s="61">
        <f>AVERAGE(B106:B107)</f>
        <v>0.42857142857142855</v>
      </c>
      <c r="C108" s="61">
        <f>AVERAGE(C106:C107)</f>
        <v>0.42857142857142855</v>
      </c>
      <c r="D108" s="61">
        <f>AVERAGE(D106:D107)</f>
        <v>0.14285714285714285</v>
      </c>
      <c r="E108" s="61">
        <f>AVERAGE(E106:E107)</f>
        <v>0</v>
      </c>
      <c r="F108" s="62">
        <f t="shared" si="7"/>
        <v>1</v>
      </c>
      <c r="H108" s="171"/>
      <c r="I108" s="61">
        <f>AVERAGE(I106:I107)</f>
        <v>0.5</v>
      </c>
      <c r="J108" s="61">
        <f>AVERAGE(J106:J107)</f>
        <v>0.33333333333333331</v>
      </c>
      <c r="K108" s="61">
        <f>AVERAGE(K106:K107)</f>
        <v>0.16666666666666666</v>
      </c>
      <c r="L108" s="61">
        <f>AVERAGE(L106:L107)</f>
        <v>0</v>
      </c>
      <c r="M108" s="62">
        <f t="shared" si="8"/>
        <v>0.99999999999999989</v>
      </c>
      <c r="O108" s="171"/>
      <c r="P108" s="61">
        <f>AVERAGE(P106:P107)</f>
        <v>0.16666666666666666</v>
      </c>
      <c r="Q108" s="61">
        <f>AVERAGE(Q106:Q107)</f>
        <v>0.66666666666666663</v>
      </c>
      <c r="R108" s="61">
        <f>AVERAGE(R106:R107)</f>
        <v>0.16666666666666666</v>
      </c>
      <c r="S108" s="61">
        <f>AVERAGE(S106:S107)</f>
        <v>0</v>
      </c>
      <c r="T108" s="62">
        <f t="shared" si="9"/>
        <v>0.99999999999999989</v>
      </c>
      <c r="U108"/>
      <c r="V108" s="171"/>
      <c r="W108" s="61">
        <f>AVERAGE(W106:W107)</f>
        <v>1</v>
      </c>
      <c r="X108" s="61">
        <f>AVERAGE(X106:X107)</f>
        <v>0</v>
      </c>
      <c r="Y108" s="61">
        <f>AVERAGE(Y106:Y107)</f>
        <v>0</v>
      </c>
      <c r="Z108" s="61">
        <f>AVERAGE(Z106:Z107)</f>
        <v>0</v>
      </c>
      <c r="AA108" s="62">
        <f t="shared" si="10"/>
        <v>1</v>
      </c>
      <c r="AB108"/>
      <c r="AC108"/>
      <c r="AD108"/>
      <c r="AE108"/>
      <c r="AF108"/>
      <c r="AG108"/>
      <c r="AH108"/>
      <c r="AI108"/>
      <c r="AJ108"/>
      <c r="AK108"/>
      <c r="AL108"/>
      <c r="AM108"/>
      <c r="AN108"/>
      <c r="AO108"/>
      <c r="AP108"/>
      <c r="AQ108"/>
      <c r="AR108"/>
    </row>
    <row r="109" spans="1:44" s="118" customFormat="1" ht="16.5" x14ac:dyDescent="0.3">
      <c r="A109" s="172" t="s">
        <v>35</v>
      </c>
      <c r="B109" s="169">
        <f>COUNTIF(Table91315[E1],B$96)/$B$95</f>
        <v>0.5714285714285714</v>
      </c>
      <c r="C109" s="169">
        <f>COUNTIF(Table91315[E1],C$96)/$B$95</f>
        <v>0.42857142857142855</v>
      </c>
      <c r="D109" s="169">
        <f>COUNTIF(Table91315[E1],D$96)/$B$95</f>
        <v>0</v>
      </c>
      <c r="E109" s="169">
        <f>COUNTIF(Table91315[E1],E$96)/$B$95</f>
        <v>0</v>
      </c>
      <c r="F109" s="62">
        <f t="shared" si="7"/>
        <v>1</v>
      </c>
      <c r="H109" s="172" t="s">
        <v>35</v>
      </c>
      <c r="I109" s="169">
        <f>COUNTIFS(Table91315[Prodi],"S1 Desain Komunikasi Visual",Table91315[E1],I$96)/$I$95</f>
        <v>0.66666666666666663</v>
      </c>
      <c r="J109" s="169">
        <f>COUNTIFS(Table91315[Prodi],"S1 Desain Komunikasi Visual",Table91315[E1],J$96)/$I$95</f>
        <v>0.33333333333333331</v>
      </c>
      <c r="K109" s="169">
        <f>COUNTIFS(Table91315[Prodi],"S1 Desain Komunikasi Visual",Table91315[E1],K$96)/$I$95</f>
        <v>0</v>
      </c>
      <c r="L109" s="169">
        <f>COUNTIFS(Table91315[Prodi],"S1 Desain Komunikasi Visual",Table91315[E1],L$96)/$I$95</f>
        <v>0</v>
      </c>
      <c r="M109" s="62">
        <f t="shared" si="8"/>
        <v>1</v>
      </c>
      <c r="O109" s="172" t="s">
        <v>35</v>
      </c>
      <c r="P109" s="169">
        <f>COUNTIFS(Table91315[Prodi],$P$93,Table91315[E1],P$96)/$P$95</f>
        <v>0.66666666666666663</v>
      </c>
      <c r="Q109" s="169">
        <f>COUNTIFS(Table91315[Prodi],$P$93,Table91315[E1],Q$96)/$P$95</f>
        <v>0.33333333333333331</v>
      </c>
      <c r="R109" s="169">
        <f>COUNTIFS(Table91315[Prodi],$P$93,Table91315[E1],R$96)/$P$95</f>
        <v>0</v>
      </c>
      <c r="S109" s="169">
        <f>COUNTIFS(Table91315[Prodi],$P$93,Table91315[E1],S$96)/$P$95</f>
        <v>0</v>
      </c>
      <c r="T109" s="62">
        <f t="shared" si="9"/>
        <v>1</v>
      </c>
      <c r="U109"/>
      <c r="V109" s="172" t="s">
        <v>35</v>
      </c>
      <c r="W109" s="169">
        <f>COUNTIFS(Table91315[Prodi],$W$93,Table91315[E1],W$96)/$W$95</f>
        <v>0</v>
      </c>
      <c r="X109" s="169">
        <f>COUNTIFS(Table91315[Prodi],$W$93,Table91315[E1],X$96)/$W$95</f>
        <v>1</v>
      </c>
      <c r="Y109" s="169">
        <f>COUNTIFS(Table91315[Prodi],$W$93,Table91315[E1],Y$96)/$W$95</f>
        <v>0</v>
      </c>
      <c r="Z109" s="169">
        <f>COUNTIFS(Table91315[Prodi],$W$93,Table91315[E1],Z$96)/$W$95</f>
        <v>0</v>
      </c>
      <c r="AA109" s="62">
        <f t="shared" si="10"/>
        <v>1</v>
      </c>
      <c r="AB109"/>
      <c r="AC109"/>
      <c r="AD109"/>
      <c r="AE109"/>
      <c r="AF109"/>
      <c r="AG109"/>
      <c r="AH109"/>
      <c r="AI109"/>
      <c r="AJ109"/>
      <c r="AK109"/>
      <c r="AL109"/>
      <c r="AM109"/>
      <c r="AN109"/>
      <c r="AO109"/>
      <c r="AP109"/>
      <c r="AQ109"/>
      <c r="AR109"/>
    </row>
    <row r="110" spans="1:44" s="118" customFormat="1" ht="16.5" x14ac:dyDescent="0.3">
      <c r="A110" s="168" t="s">
        <v>36</v>
      </c>
      <c r="B110" s="169">
        <f>COUNTIF(Table91315[E2],B$96)/$B$95</f>
        <v>0.7142857142857143</v>
      </c>
      <c r="C110" s="169">
        <f>COUNTIF(Table91315[E2],C$96)/$B$95</f>
        <v>0.2857142857142857</v>
      </c>
      <c r="D110" s="169">
        <f>COUNTIF(Table91315[E2],D$96)/$B$95</f>
        <v>0</v>
      </c>
      <c r="E110" s="169">
        <f>COUNTIF(Table91315[E2],E$96)/$B$95</f>
        <v>0</v>
      </c>
      <c r="F110" s="62">
        <f t="shared" si="7"/>
        <v>1</v>
      </c>
      <c r="H110" s="168" t="s">
        <v>36</v>
      </c>
      <c r="I110" s="169">
        <f>COUNTIFS(Table91315[Prodi],"S1 Desain Komunikasi Visual",Table91315[E2],I$96)/$I$95</f>
        <v>0.33333333333333331</v>
      </c>
      <c r="J110" s="169">
        <f>COUNTIFS(Table91315[Prodi],"S1 Desain Komunikasi Visual",Table91315[E2],J$96)/$I$95</f>
        <v>0.66666666666666663</v>
      </c>
      <c r="K110" s="169">
        <f>COUNTIFS(Table91315[Prodi],"S1 Desain Komunikasi Visual",Table91315[E2],K$96)/$I$95</f>
        <v>0</v>
      </c>
      <c r="L110" s="169">
        <f>COUNTIFS(Table91315[Prodi],"S1 Desain Komunikasi Visual",Table91315[E2],L$96)/$I$95</f>
        <v>0</v>
      </c>
      <c r="M110" s="62">
        <f t="shared" si="8"/>
        <v>1</v>
      </c>
      <c r="O110" s="168" t="s">
        <v>36</v>
      </c>
      <c r="P110" s="169">
        <f>COUNTIFS(Table91315[Prodi],$P$93,Table91315[E2],P$96)/$P$95</f>
        <v>1</v>
      </c>
      <c r="Q110" s="169">
        <f>COUNTIFS(Table91315[Prodi],$P$93,Table91315[E2],Q$96)/$P$95</f>
        <v>0</v>
      </c>
      <c r="R110" s="169">
        <f>COUNTIFS(Table91315[Prodi],$P$93,Table91315[E2],R$96)/$P$95</f>
        <v>0</v>
      </c>
      <c r="S110" s="169">
        <f>COUNTIFS(Table91315[Prodi],$P$93,Table91315[E2],S$96)/$P$95</f>
        <v>0</v>
      </c>
      <c r="T110" s="62">
        <f t="shared" si="9"/>
        <v>1</v>
      </c>
      <c r="U110"/>
      <c r="V110" s="168" t="s">
        <v>36</v>
      </c>
      <c r="W110" s="169">
        <f>COUNTIFS(Table91315[Prodi],$W$93,Table91315[E2],W$96)/$W$95</f>
        <v>1</v>
      </c>
      <c r="X110" s="169">
        <f>COUNTIFS(Table91315[Prodi],$W$93,Table91315[E2],X$96)/$W$95</f>
        <v>0</v>
      </c>
      <c r="Y110" s="169">
        <f>COUNTIFS(Table91315[Prodi],$W$93,Table91315[E2],Y$96)/$W$95</f>
        <v>0</v>
      </c>
      <c r="Z110" s="169">
        <f>COUNTIFS(Table91315[Prodi],$W$93,Table91315[E2],Z$96)/$W$95</f>
        <v>0</v>
      </c>
      <c r="AA110" s="62">
        <f t="shared" si="10"/>
        <v>1</v>
      </c>
      <c r="AB110"/>
      <c r="AC110"/>
      <c r="AD110"/>
      <c r="AE110"/>
      <c r="AF110"/>
      <c r="AG110"/>
      <c r="AH110"/>
      <c r="AI110"/>
      <c r="AJ110"/>
      <c r="AK110"/>
      <c r="AL110"/>
      <c r="AM110"/>
      <c r="AN110"/>
      <c r="AO110"/>
      <c r="AP110"/>
      <c r="AQ110"/>
      <c r="AR110"/>
    </row>
    <row r="111" spans="1:44" s="118" customFormat="1" ht="16.5" x14ac:dyDescent="0.3">
      <c r="A111" s="168" t="s">
        <v>1168</v>
      </c>
      <c r="B111" s="169">
        <f>COUNTIF(Table91315[E3],B$96)/$B$95</f>
        <v>0.5714285714285714</v>
      </c>
      <c r="C111" s="169">
        <f>COUNTIF(Table91315[E3],C$96)/$B$95</f>
        <v>0.42857142857142855</v>
      </c>
      <c r="D111" s="169">
        <f>COUNTIF(Table91315[E3],D$96)/$B$95</f>
        <v>0</v>
      </c>
      <c r="E111" s="169">
        <f>COUNTIF(Table91315[E3],E$96)/$B$95</f>
        <v>0</v>
      </c>
      <c r="F111" s="62">
        <f t="shared" si="7"/>
        <v>1</v>
      </c>
      <c r="H111" s="168" t="s">
        <v>1168</v>
      </c>
      <c r="I111" s="169">
        <f>COUNTIFS(Table91315[Prodi],"S1 Desain Komunikasi Visual",Table91315[E3],I$96)/$I$95</f>
        <v>1</v>
      </c>
      <c r="J111" s="169">
        <f>COUNTIFS(Table91315[Prodi],"S1 Desain Komunikasi Visual",Table91315[E3],J$96)/$I$95</f>
        <v>0</v>
      </c>
      <c r="K111" s="169">
        <f>COUNTIFS(Table91315[Prodi],"S1 Desain Komunikasi Visual",Table91315[E3],K$96)/$I$95</f>
        <v>0</v>
      </c>
      <c r="L111" s="169">
        <f>COUNTIFS(Table91315[Prodi],"S1 Desain Komunikasi Visual",Table91315[E3],L$96)/$I$95</f>
        <v>0</v>
      </c>
      <c r="M111" s="62">
        <f t="shared" si="8"/>
        <v>1</v>
      </c>
      <c r="O111" s="168" t="s">
        <v>1168</v>
      </c>
      <c r="P111" s="169">
        <f>COUNTIFS(Table91315[Prodi],$P$93,Table91315[E3],P$96)/$P$95</f>
        <v>0.33333333333333331</v>
      </c>
      <c r="Q111" s="169">
        <f>COUNTIFS(Table91315[Prodi],$P$93,Table91315[E3],Q$96)/$P$95</f>
        <v>0.66666666666666663</v>
      </c>
      <c r="R111" s="169">
        <f>COUNTIFS(Table91315[Prodi],$P$93,Table91315[E3],R$96)/$P$95</f>
        <v>0</v>
      </c>
      <c r="S111" s="169">
        <f>COUNTIFS(Table91315[Prodi],$P$93,Table91315[E3],S$96)/$P$95</f>
        <v>0</v>
      </c>
      <c r="T111" s="62">
        <f t="shared" si="9"/>
        <v>1</v>
      </c>
      <c r="U111"/>
      <c r="V111" s="168" t="s">
        <v>1168</v>
      </c>
      <c r="W111" s="169">
        <f>COUNTIFS(Table91315[Prodi],$W$93,Table91315[E3],W$96)/$W$95</f>
        <v>0</v>
      </c>
      <c r="X111" s="169">
        <f>COUNTIFS(Table91315[Prodi],$W$93,Table91315[E3],X$96)/$W$95</f>
        <v>1</v>
      </c>
      <c r="Y111" s="169">
        <f>COUNTIFS(Table91315[Prodi],$W$93,Table91315[E3],Y$96)/$W$95</f>
        <v>0</v>
      </c>
      <c r="Z111" s="169">
        <f>COUNTIFS(Table91315[Prodi],$W$93,Table91315[E3],Z$96)/$W$95</f>
        <v>0</v>
      </c>
      <c r="AA111" s="62">
        <f t="shared" si="10"/>
        <v>1</v>
      </c>
      <c r="AB111"/>
      <c r="AC111"/>
      <c r="AD111"/>
      <c r="AE111"/>
      <c r="AF111"/>
      <c r="AG111"/>
      <c r="AH111"/>
      <c r="AI111"/>
      <c r="AJ111"/>
      <c r="AK111"/>
      <c r="AL111"/>
      <c r="AM111"/>
      <c r="AN111"/>
      <c r="AO111"/>
      <c r="AP111"/>
      <c r="AQ111"/>
      <c r="AR111"/>
    </row>
    <row r="112" spans="1:44" s="118" customFormat="1" ht="16.5" x14ac:dyDescent="0.3">
      <c r="A112" s="171"/>
      <c r="B112" s="61">
        <f>AVERAGE(B109:B111)</f>
        <v>0.61904761904761896</v>
      </c>
      <c r="C112" s="61">
        <f>AVERAGE(C109:C111)</f>
        <v>0.38095238095238093</v>
      </c>
      <c r="D112" s="61">
        <f>AVERAGE(D109:D111)</f>
        <v>0</v>
      </c>
      <c r="E112" s="61">
        <f>AVERAGE(E109:E111)</f>
        <v>0</v>
      </c>
      <c r="F112" s="62">
        <f t="shared" si="7"/>
        <v>0.99999999999999989</v>
      </c>
      <c r="H112" s="171"/>
      <c r="I112" s="61">
        <f>AVERAGE(I109:I111)</f>
        <v>0.66666666666666663</v>
      </c>
      <c r="J112" s="61">
        <f>AVERAGE(J109:J111)</f>
        <v>0.33333333333333331</v>
      </c>
      <c r="K112" s="61">
        <f>AVERAGE(K109:K111)</f>
        <v>0</v>
      </c>
      <c r="L112" s="61">
        <f>AVERAGE(L109:L111)</f>
        <v>0</v>
      </c>
      <c r="M112" s="62">
        <f t="shared" si="8"/>
        <v>1</v>
      </c>
      <c r="O112" s="171"/>
      <c r="P112" s="61">
        <f>AVERAGE(P109:P111)</f>
        <v>0.66666666666666663</v>
      </c>
      <c r="Q112" s="61">
        <f>AVERAGE(Q109:Q111)</f>
        <v>0.33333333333333331</v>
      </c>
      <c r="R112" s="61">
        <f>AVERAGE(R109:R111)</f>
        <v>0</v>
      </c>
      <c r="S112" s="61">
        <f>AVERAGE(S109:S111)</f>
        <v>0</v>
      </c>
      <c r="T112" s="62">
        <f t="shared" si="9"/>
        <v>1</v>
      </c>
      <c r="U112"/>
      <c r="V112" s="171"/>
      <c r="W112" s="61">
        <f>AVERAGE(W109:W111)</f>
        <v>0.33333333333333331</v>
      </c>
      <c r="X112" s="61">
        <f>AVERAGE(X109:X111)</f>
        <v>0.66666666666666663</v>
      </c>
      <c r="Y112" s="61">
        <f>AVERAGE(Y109:Y111)</f>
        <v>0</v>
      </c>
      <c r="Z112" s="61">
        <f>AVERAGE(Z109:Z111)</f>
        <v>0</v>
      </c>
      <c r="AA112" s="62">
        <f t="shared" si="10"/>
        <v>1</v>
      </c>
      <c r="AB112"/>
      <c r="AC112"/>
      <c r="AD112"/>
      <c r="AE112"/>
      <c r="AF112"/>
      <c r="AG112"/>
      <c r="AH112"/>
      <c r="AI112"/>
      <c r="AJ112"/>
      <c r="AK112"/>
      <c r="AL112"/>
      <c r="AM112"/>
      <c r="AN112"/>
      <c r="AO112"/>
      <c r="AP112"/>
      <c r="AQ112"/>
      <c r="AR112"/>
    </row>
    <row r="113" spans="1:44" s="118" customFormat="1" ht="16.5" x14ac:dyDescent="0.3">
      <c r="A113" s="172" t="s">
        <v>37</v>
      </c>
      <c r="B113" s="169">
        <f>COUNTIF(Table91315[F1],B$96)/$B$95</f>
        <v>0.2857142857142857</v>
      </c>
      <c r="C113" s="169">
        <f>COUNTIF(Table91315[F1],C$96)/$B$95</f>
        <v>0.14285714285714285</v>
      </c>
      <c r="D113" s="169">
        <f>COUNTIF(Table91315[F1],D$96)/$B$95</f>
        <v>0.5714285714285714</v>
      </c>
      <c r="E113" s="169">
        <f>COUNTIF(Table91315[F1],E$96)/$B$95</f>
        <v>0</v>
      </c>
      <c r="F113" s="62">
        <f t="shared" si="7"/>
        <v>1</v>
      </c>
      <c r="H113" s="172" t="s">
        <v>37</v>
      </c>
      <c r="I113" s="169">
        <f>COUNTIFS(Table91315[Prodi],"S1 Desain Komunikasi Visual",Table91315[F1],I$96)/$I$95</f>
        <v>0.66666666666666663</v>
      </c>
      <c r="J113" s="169">
        <f>COUNTIFS(Table91315[Prodi],"S1 Desain Komunikasi Visual",Table91315[F1],J$96)/$I$95</f>
        <v>0</v>
      </c>
      <c r="K113" s="169">
        <f>COUNTIFS(Table91315[Prodi],"S1 Desain Komunikasi Visual",Table91315[F1],K$96)/$I$95</f>
        <v>0.33333333333333331</v>
      </c>
      <c r="L113" s="169">
        <f>COUNTIFS(Table91315[Prodi],"S1 Desain Komunikasi Visual",Table91315[F1],L$96)/$I$95</f>
        <v>0</v>
      </c>
      <c r="M113" s="62">
        <f t="shared" si="8"/>
        <v>1</v>
      </c>
      <c r="O113" s="172" t="s">
        <v>37</v>
      </c>
      <c r="P113" s="169">
        <f>COUNTIFS(Table91315[Prodi],$P$93,Table91315[F1],P$96)/$P$95</f>
        <v>0</v>
      </c>
      <c r="Q113" s="169">
        <f>COUNTIFS(Table91315[Prodi],$P$93,Table91315[F1],Q$96)/$P$95</f>
        <v>0.33333333333333331</v>
      </c>
      <c r="R113" s="169">
        <f>COUNTIFS(Table91315[Prodi],$P$93,Table91315[F1],R$96)/$P$95</f>
        <v>0.66666666666666663</v>
      </c>
      <c r="S113" s="169">
        <f>COUNTIFS(Table91315[Prodi],$P$93,Table91315[F1],S$96)/$P$95</f>
        <v>0</v>
      </c>
      <c r="T113" s="62">
        <f t="shared" si="9"/>
        <v>1</v>
      </c>
      <c r="U113"/>
      <c r="V113" s="172" t="s">
        <v>37</v>
      </c>
      <c r="W113" s="169">
        <f>COUNTIFS(Table91315[Prodi],$W$93,Table91315[F1],W$96)/$W$95</f>
        <v>0</v>
      </c>
      <c r="X113" s="169">
        <f>COUNTIFS(Table91315[Prodi],$W$93,Table91315[F1],X$96)/$W$95</f>
        <v>0</v>
      </c>
      <c r="Y113" s="169">
        <f>COUNTIFS(Table91315[Prodi],$W$93,Table91315[F1],Y$96)/$W$95</f>
        <v>1</v>
      </c>
      <c r="Z113" s="169">
        <f>COUNTIFS(Table91315[Prodi],$W$93,Table91315[F1],Z$96)/$W$95</f>
        <v>0</v>
      </c>
      <c r="AA113" s="62">
        <f t="shared" si="10"/>
        <v>1</v>
      </c>
      <c r="AB113"/>
      <c r="AC113"/>
      <c r="AD113"/>
      <c r="AE113"/>
      <c r="AF113"/>
      <c r="AG113"/>
      <c r="AH113"/>
      <c r="AI113"/>
      <c r="AJ113"/>
      <c r="AK113"/>
      <c r="AL113"/>
      <c r="AM113"/>
      <c r="AN113"/>
      <c r="AO113"/>
      <c r="AP113"/>
      <c r="AQ113"/>
      <c r="AR113"/>
    </row>
    <row r="114" spans="1:44" s="118" customFormat="1" ht="16.5" x14ac:dyDescent="0.3">
      <c r="A114" s="168" t="s">
        <v>38</v>
      </c>
      <c r="B114" s="169">
        <f>COUNTIF(Table91315[F2],B$96)/$B$95</f>
        <v>0.14285714285714285</v>
      </c>
      <c r="C114" s="169">
        <f>COUNTIF(Table91315[F2],C$96)/$B$95</f>
        <v>0.8571428571428571</v>
      </c>
      <c r="D114" s="169">
        <f>COUNTIF(Table91315[F2],D$96)/$B$95</f>
        <v>0</v>
      </c>
      <c r="E114" s="169">
        <f>COUNTIF(Table91315[F2],E$96)/$B$95</f>
        <v>0</v>
      </c>
      <c r="F114" s="62">
        <f t="shared" si="7"/>
        <v>1</v>
      </c>
      <c r="H114" s="168" t="s">
        <v>38</v>
      </c>
      <c r="I114" s="169">
        <f>COUNTIFS(Table91315[Prodi],"S1 Desain Komunikasi Visual",Table91315[F2],I$96)/$I$95</f>
        <v>0</v>
      </c>
      <c r="J114" s="169">
        <f>COUNTIFS(Table91315[Prodi],"S1 Desain Komunikasi Visual",Table91315[F2],J$96)/$I$95</f>
        <v>1</v>
      </c>
      <c r="K114" s="169">
        <f>COUNTIFS(Table91315[Prodi],"S1 Desain Komunikasi Visual",Table91315[F2],K$96)/$I$95</f>
        <v>0</v>
      </c>
      <c r="L114" s="169">
        <f>COUNTIFS(Table91315[Prodi],"S1 Desain Komunikasi Visual",Table91315[F2],L$96)/$I$95</f>
        <v>0</v>
      </c>
      <c r="M114" s="62">
        <f t="shared" si="8"/>
        <v>1</v>
      </c>
      <c r="O114" s="168" t="s">
        <v>38</v>
      </c>
      <c r="P114" s="169">
        <f>COUNTIFS(Table91315[Prodi],$P$93,Table91315[F2],P$96)/$P$95</f>
        <v>0.33333333333333331</v>
      </c>
      <c r="Q114" s="169">
        <f>COUNTIFS(Table91315[Prodi],$P$93,Table91315[F2],Q$96)/$P$95</f>
        <v>0.66666666666666663</v>
      </c>
      <c r="R114" s="169">
        <f>COUNTIFS(Table91315[Prodi],$P$93,Table91315[F2],R$96)/$P$95</f>
        <v>0</v>
      </c>
      <c r="S114" s="169">
        <f>COUNTIFS(Table91315[Prodi],$P$93,Table91315[F2],S$96)/$P$95</f>
        <v>0</v>
      </c>
      <c r="T114" s="62">
        <f t="shared" si="9"/>
        <v>1</v>
      </c>
      <c r="U114"/>
      <c r="V114" s="168" t="s">
        <v>38</v>
      </c>
      <c r="W114" s="169">
        <f>COUNTIFS(Table91315[Prodi],$W$93,Table91315[F2],W$96)/$W$95</f>
        <v>0</v>
      </c>
      <c r="X114" s="169">
        <f>COUNTIFS(Table91315[Prodi],$W$93,Table91315[F2],X$96)/$W$95</f>
        <v>1</v>
      </c>
      <c r="Y114" s="169">
        <f>COUNTIFS(Table91315[Prodi],$W$93,Table91315[F2],Y$96)/$W$95</f>
        <v>0</v>
      </c>
      <c r="Z114" s="169">
        <f>COUNTIFS(Table91315[Prodi],$W$93,Table91315[F2],Z$96)/$W$95</f>
        <v>0</v>
      </c>
      <c r="AA114" s="62">
        <f t="shared" si="10"/>
        <v>1</v>
      </c>
      <c r="AB114"/>
      <c r="AC114"/>
      <c r="AD114"/>
      <c r="AE114"/>
      <c r="AF114"/>
      <c r="AG114"/>
      <c r="AH114"/>
      <c r="AI114"/>
      <c r="AJ114"/>
      <c r="AK114"/>
      <c r="AL114"/>
      <c r="AM114"/>
      <c r="AN114"/>
      <c r="AO114"/>
      <c r="AP114"/>
      <c r="AQ114"/>
      <c r="AR114"/>
    </row>
    <row r="115" spans="1:44" s="118" customFormat="1" ht="16.5" x14ac:dyDescent="0.3">
      <c r="A115" s="168" t="s">
        <v>39</v>
      </c>
      <c r="B115" s="169">
        <f>COUNTIF(Table91315[F3],B$96)/$B$95</f>
        <v>0.2857142857142857</v>
      </c>
      <c r="C115" s="169">
        <f>COUNTIF(Table91315[F3],C$96)/$B$95</f>
        <v>0.7142857142857143</v>
      </c>
      <c r="D115" s="169">
        <f>COUNTIF(Table91315[F3],D$96)/$B$95</f>
        <v>0</v>
      </c>
      <c r="E115" s="169">
        <f>COUNTIF(Table91315[F3],E$96)/$B$95</f>
        <v>0</v>
      </c>
      <c r="F115" s="62">
        <f t="shared" si="7"/>
        <v>1</v>
      </c>
      <c r="H115" s="168" t="s">
        <v>39</v>
      </c>
      <c r="I115" s="169">
        <f>COUNTIFS(Table91315[Prodi],"S1 Desain Komunikasi Visual",Table91315[F3],I$96)/$I$95</f>
        <v>0.33333333333333331</v>
      </c>
      <c r="J115" s="169">
        <f>COUNTIFS(Table91315[Prodi],"S1 Desain Komunikasi Visual",Table91315[F3],J$96)/$I$95</f>
        <v>0.66666666666666663</v>
      </c>
      <c r="K115" s="169">
        <f>COUNTIFS(Table91315[Prodi],"S1 Desain Komunikasi Visual",Table91315[F3],K$96)/$I$95</f>
        <v>0</v>
      </c>
      <c r="L115" s="169">
        <f>COUNTIFS(Table91315[Prodi],"S1 Desain Komunikasi Visual",Table91315[F3],L$96)/$I$95</f>
        <v>0</v>
      </c>
      <c r="M115" s="62">
        <f t="shared" si="8"/>
        <v>1</v>
      </c>
      <c r="O115" s="168" t="s">
        <v>39</v>
      </c>
      <c r="P115" s="169">
        <f>COUNTIFS(Table91315[Prodi],$P$93,Table91315[F3],P$96)/$P$95</f>
        <v>0.33333333333333331</v>
      </c>
      <c r="Q115" s="169">
        <f>COUNTIFS(Table91315[Prodi],$P$93,Table91315[F3],Q$96)/$P$95</f>
        <v>0.66666666666666663</v>
      </c>
      <c r="R115" s="169">
        <f>COUNTIFS(Table91315[Prodi],$P$93,Table91315[F3],R$96)/$P$95</f>
        <v>0</v>
      </c>
      <c r="S115" s="169">
        <f>COUNTIFS(Table91315[Prodi],$P$93,Table91315[F3],S$96)/$P$95</f>
        <v>0</v>
      </c>
      <c r="T115" s="62">
        <f t="shared" si="9"/>
        <v>1</v>
      </c>
      <c r="U115"/>
      <c r="V115" s="168" t="s">
        <v>39</v>
      </c>
      <c r="W115" s="169">
        <f>COUNTIFS(Table91315[Prodi],$W$93,Table91315[F3],W$96)/$W$95</f>
        <v>0</v>
      </c>
      <c r="X115" s="169">
        <f>COUNTIFS(Table91315[Prodi],$W$93,Table91315[F3],X$96)/$W$95</f>
        <v>1</v>
      </c>
      <c r="Y115" s="169">
        <f>COUNTIFS(Table91315[Prodi],$W$93,Table91315[F3],Y$96)/$W$95</f>
        <v>0</v>
      </c>
      <c r="Z115" s="169">
        <f>COUNTIFS(Table91315[Prodi],$W$93,Table91315[F3],Z$96)/$W$95</f>
        <v>0</v>
      </c>
      <c r="AA115" s="62">
        <f t="shared" si="10"/>
        <v>1</v>
      </c>
      <c r="AB115"/>
      <c r="AC115"/>
      <c r="AD115"/>
      <c r="AE115"/>
      <c r="AF115"/>
      <c r="AG115"/>
      <c r="AH115"/>
      <c r="AI115"/>
      <c r="AJ115"/>
      <c r="AK115"/>
      <c r="AL115"/>
      <c r="AM115"/>
      <c r="AN115"/>
      <c r="AO115"/>
      <c r="AP115"/>
      <c r="AQ115"/>
      <c r="AR115"/>
    </row>
    <row r="116" spans="1:44" s="118" customFormat="1" ht="16.5" x14ac:dyDescent="0.3">
      <c r="A116" s="171"/>
      <c r="B116" s="61">
        <f>AVERAGE(B113:B115)</f>
        <v>0.23809523809523805</v>
      </c>
      <c r="C116" s="61">
        <f>AVERAGE(C113:C115)</f>
        <v>0.57142857142857151</v>
      </c>
      <c r="D116" s="61">
        <f>AVERAGE(D113:D115)</f>
        <v>0.19047619047619047</v>
      </c>
      <c r="E116" s="61">
        <f>AVERAGE(E113:E115)</f>
        <v>0</v>
      </c>
      <c r="F116" s="62">
        <f>SUM(B116:E116)</f>
        <v>1</v>
      </c>
      <c r="H116" s="171"/>
      <c r="I116" s="61">
        <f>AVERAGE(I113:I115)</f>
        <v>0.33333333333333331</v>
      </c>
      <c r="J116" s="61">
        <f>AVERAGE(J113:J115)</f>
        <v>0.55555555555555547</v>
      </c>
      <c r="K116" s="61">
        <f>AVERAGE(K113:K115)</f>
        <v>0.1111111111111111</v>
      </c>
      <c r="L116" s="61">
        <f>AVERAGE(L113:L115)</f>
        <v>0</v>
      </c>
      <c r="M116" s="62">
        <f>SUM(I116:L116)</f>
        <v>1</v>
      </c>
      <c r="O116" s="171"/>
      <c r="P116" s="61">
        <f>AVERAGE(P113:P115)</f>
        <v>0.22222222222222221</v>
      </c>
      <c r="Q116" s="61">
        <f>AVERAGE(Q113:Q115)</f>
        <v>0.55555555555555547</v>
      </c>
      <c r="R116" s="61">
        <f>AVERAGE(R113:R115)</f>
        <v>0.22222222222222221</v>
      </c>
      <c r="S116" s="61">
        <f>AVERAGE(S113:S115)</f>
        <v>0</v>
      </c>
      <c r="T116" s="62">
        <f>SUM(P116:S116)</f>
        <v>0.99999999999999989</v>
      </c>
      <c r="U116"/>
      <c r="V116" s="171"/>
      <c r="W116" s="61">
        <f>AVERAGE(W113:W115)</f>
        <v>0</v>
      </c>
      <c r="X116" s="61">
        <f>AVERAGE(X113:X115)</f>
        <v>0.66666666666666663</v>
      </c>
      <c r="Y116" s="61">
        <f>AVERAGE(Y113:Y115)</f>
        <v>0.33333333333333331</v>
      </c>
      <c r="Z116" s="61">
        <f>AVERAGE(Z113:Z115)</f>
        <v>0</v>
      </c>
      <c r="AA116" s="62">
        <f>SUM(W116:Z116)</f>
        <v>1</v>
      </c>
      <c r="AB116"/>
      <c r="AC116"/>
      <c r="AD116"/>
      <c r="AE116"/>
      <c r="AF116"/>
      <c r="AG116"/>
      <c r="AH116"/>
      <c r="AI116"/>
      <c r="AJ116"/>
      <c r="AK116"/>
      <c r="AL116"/>
      <c r="AM116"/>
      <c r="AN116"/>
      <c r="AO116"/>
      <c r="AP116"/>
      <c r="AQ116"/>
      <c r="AR116"/>
    </row>
    <row r="117" spans="1:44" s="118" customFormat="1" ht="16.5" x14ac:dyDescent="0.3">
      <c r="A117" s="168" t="s">
        <v>40</v>
      </c>
      <c r="B117" s="169">
        <f>COUNTIF(Table91315[G1],B$96)/$B$95</f>
        <v>0.2857142857142857</v>
      </c>
      <c r="C117" s="169">
        <f>COUNTIF(Table91315[G1],C$96)/$B$95</f>
        <v>0.7142857142857143</v>
      </c>
      <c r="D117" s="169">
        <f>COUNTIF(Table91315[G1],D$96)/$B$95</f>
        <v>0</v>
      </c>
      <c r="E117" s="169">
        <f>COUNTIF(Table91315[G1],E$96)/$B$95</f>
        <v>0</v>
      </c>
      <c r="F117" s="62">
        <f t="shared" si="7"/>
        <v>1</v>
      </c>
      <c r="H117" s="168" t="s">
        <v>40</v>
      </c>
      <c r="I117" s="169">
        <f>COUNTIFS(Table91315[Prodi],"S1 Desain Komunikasi Visual",Table91315[G1],I$96)/$I$95</f>
        <v>0.66666666666666663</v>
      </c>
      <c r="J117" s="169">
        <f>COUNTIFS(Table91315[Prodi],"S1 Desain Komunikasi Visual",Table91315[G1],J$96)/$I$95</f>
        <v>0.33333333333333331</v>
      </c>
      <c r="K117" s="169">
        <f>COUNTIFS(Table91315[Prodi],"S1 Desain Komunikasi Visual",Table91315[G1],K$96)/$I$95</f>
        <v>0</v>
      </c>
      <c r="L117" s="169">
        <f>COUNTIFS(Table91315[Prodi],"S1 Desain Komunikasi Visual",Table91315[G1],L$96)/$I$95</f>
        <v>0</v>
      </c>
      <c r="M117" s="62">
        <f t="shared" ref="M117:M136" si="11">SUM(I117:L117)</f>
        <v>1</v>
      </c>
      <c r="O117" s="168" t="s">
        <v>40</v>
      </c>
      <c r="P117" s="169">
        <f>COUNTIFS(Table91315[Prodi],$P$93,Table91315[G1],P$96)/$P$95</f>
        <v>0</v>
      </c>
      <c r="Q117" s="169">
        <f>COUNTIFS(Table91315[Prodi],$P$93,Table91315[G1],Q$96)/$P$95</f>
        <v>1</v>
      </c>
      <c r="R117" s="169">
        <f>COUNTIFS(Table91315[Prodi],$P$93,Table91315[G1],R$96)/$P$95</f>
        <v>0</v>
      </c>
      <c r="S117" s="169">
        <f>COUNTIFS(Table91315[Prodi],$P$93,Table91315[G1],S$96)/$P$95</f>
        <v>0</v>
      </c>
      <c r="T117" s="62">
        <f t="shared" ref="T117:T136" si="12">SUM(P117:S117)</f>
        <v>1</v>
      </c>
      <c r="U117"/>
      <c r="V117" s="168" t="s">
        <v>40</v>
      </c>
      <c r="W117" s="169">
        <f>COUNTIFS(Table91315[Prodi],$W$93,Table91315[G1],W$96)/$W$95</f>
        <v>0</v>
      </c>
      <c r="X117" s="169">
        <f>COUNTIFS(Table91315[Prodi],$W$93,Table91315[G1],X$96)/$W$95</f>
        <v>1</v>
      </c>
      <c r="Y117" s="169">
        <f>COUNTIFS(Table91315[Prodi],$W$93,Table91315[G1],Y$96)/$W$95</f>
        <v>0</v>
      </c>
      <c r="Z117" s="169">
        <f>COUNTIFS(Table91315[Prodi],$W$93,Table91315[G1],Z$96)/$W$95</f>
        <v>0</v>
      </c>
      <c r="AA117" s="62">
        <f t="shared" ref="AA117:AA136" si="13">SUM(W117:Z117)</f>
        <v>1</v>
      </c>
      <c r="AB117"/>
      <c r="AC117"/>
      <c r="AD117"/>
      <c r="AE117"/>
      <c r="AF117"/>
      <c r="AG117"/>
      <c r="AH117"/>
      <c r="AI117"/>
      <c r="AJ117"/>
      <c r="AK117"/>
      <c r="AL117"/>
      <c r="AM117"/>
      <c r="AN117"/>
      <c r="AO117"/>
      <c r="AP117"/>
      <c r="AQ117"/>
      <c r="AR117"/>
    </row>
    <row r="118" spans="1:44" s="118" customFormat="1" ht="16.5" x14ac:dyDescent="0.3">
      <c r="A118" s="172" t="s">
        <v>41</v>
      </c>
      <c r="B118" s="169">
        <f>COUNTIF(Table91315[G2],B$96)/$B$95</f>
        <v>0.14285714285714285</v>
      </c>
      <c r="C118" s="169">
        <f>COUNTIF(Table91315[G2],C$96)/$B$95</f>
        <v>0.8571428571428571</v>
      </c>
      <c r="D118" s="169">
        <f>COUNTIF(Table91315[G2],D$96)/$B$95</f>
        <v>0</v>
      </c>
      <c r="E118" s="169">
        <f>COUNTIF(Table91315[G2],E$96)/$B$95</f>
        <v>0</v>
      </c>
      <c r="F118" s="62">
        <f t="shared" si="7"/>
        <v>1</v>
      </c>
      <c r="H118" s="172" t="s">
        <v>41</v>
      </c>
      <c r="I118" s="169">
        <f>COUNTIFS(Table91315[Prodi],"S1 Desain Komunikasi Visual",Table91315[G2],I$96)/$I$95</f>
        <v>0.33333333333333331</v>
      </c>
      <c r="J118" s="169">
        <f>COUNTIFS(Table91315[Prodi],"S1 Desain Komunikasi Visual",Table91315[G2],J$96)/$I$95</f>
        <v>0.66666666666666663</v>
      </c>
      <c r="K118" s="169">
        <f>COUNTIFS(Table91315[Prodi],"S1 Desain Komunikasi Visual",Table91315[G2],K$96)/$I$95</f>
        <v>0</v>
      </c>
      <c r="L118" s="169">
        <f>COUNTIFS(Table91315[Prodi],"S1 Desain Komunikasi Visual",Table91315[G2],L$96)/$I$95</f>
        <v>0</v>
      </c>
      <c r="M118" s="62">
        <f t="shared" si="11"/>
        <v>1</v>
      </c>
      <c r="O118" s="172" t="s">
        <v>41</v>
      </c>
      <c r="P118" s="169">
        <f>COUNTIFS(Table91315[Prodi],$P$93,Table91315[G2],P$96)/$P$95</f>
        <v>0</v>
      </c>
      <c r="Q118" s="169">
        <f>COUNTIFS(Table91315[Prodi],$P$93,Table91315[G2],Q$96)/$P$95</f>
        <v>1</v>
      </c>
      <c r="R118" s="169">
        <f>COUNTIFS(Table91315[Prodi],$P$93,Table91315[G2],R$96)/$P$95</f>
        <v>0</v>
      </c>
      <c r="S118" s="169">
        <f>COUNTIFS(Table91315[Prodi],$P$93,Table91315[G2],S$96)/$P$95</f>
        <v>0</v>
      </c>
      <c r="T118" s="62">
        <f t="shared" si="12"/>
        <v>1</v>
      </c>
      <c r="U118"/>
      <c r="V118" s="172" t="s">
        <v>41</v>
      </c>
      <c r="W118" s="169">
        <f>COUNTIFS(Table91315[Prodi],$W$93,Table91315[G2],W$96)/$W$95</f>
        <v>0</v>
      </c>
      <c r="X118" s="169">
        <f>COUNTIFS(Table91315[Prodi],$W$93,Table91315[G2],X$96)/$W$95</f>
        <v>1</v>
      </c>
      <c r="Y118" s="169">
        <f>COUNTIFS(Table91315[Prodi],$W$93,Table91315[G2],Y$96)/$W$95</f>
        <v>0</v>
      </c>
      <c r="Z118" s="169">
        <f>COUNTIFS(Table91315[Prodi],$W$93,Table91315[G2],Z$96)/$W$95</f>
        <v>0</v>
      </c>
      <c r="AA118" s="62">
        <f t="shared" si="13"/>
        <v>1</v>
      </c>
      <c r="AB118"/>
      <c r="AC118"/>
      <c r="AD118"/>
      <c r="AE118"/>
      <c r="AF118"/>
      <c r="AG118"/>
      <c r="AH118"/>
      <c r="AI118"/>
      <c r="AJ118"/>
      <c r="AK118"/>
      <c r="AL118"/>
      <c r="AM118"/>
      <c r="AN118"/>
      <c r="AO118"/>
      <c r="AP118"/>
      <c r="AQ118"/>
      <c r="AR118"/>
    </row>
    <row r="119" spans="1:44" s="118" customFormat="1" ht="16.5" x14ac:dyDescent="0.3">
      <c r="A119" s="168" t="s">
        <v>1172</v>
      </c>
      <c r="B119" s="169">
        <f>COUNTIF(Table91315[G3],B$96)/$B$95</f>
        <v>0.14285714285714285</v>
      </c>
      <c r="C119" s="169">
        <f>COUNTIF(Table91315[G3],C$96)/$B$95</f>
        <v>0.8571428571428571</v>
      </c>
      <c r="D119" s="169">
        <f>COUNTIF(Table91315[G3],D$96)/$B$95</f>
        <v>0</v>
      </c>
      <c r="E119" s="169">
        <f>COUNTIF(Table91315[G3],E$96)/$B$95</f>
        <v>0</v>
      </c>
      <c r="F119" s="62">
        <f t="shared" si="7"/>
        <v>1</v>
      </c>
      <c r="H119" s="168" t="s">
        <v>1172</v>
      </c>
      <c r="I119" s="169">
        <f>COUNTIFS(Table91315[Prodi],"S1 Desain Komunikasi Visual",Table91315[G3],I$96)/$I$95</f>
        <v>0.33333333333333331</v>
      </c>
      <c r="J119" s="169">
        <f>COUNTIFS(Table91315[Prodi],"S1 Desain Komunikasi Visual",Table91315[G3],J$96)/$I$95</f>
        <v>0.66666666666666663</v>
      </c>
      <c r="K119" s="169">
        <f>COUNTIFS(Table91315[Prodi],"S1 Desain Komunikasi Visual",Table91315[G3],K$96)/$I$95</f>
        <v>0</v>
      </c>
      <c r="L119" s="169">
        <f>COUNTIFS(Table91315[Prodi],"S1 Desain Komunikasi Visual",Table91315[G3],L$96)/$I$95</f>
        <v>0</v>
      </c>
      <c r="M119" s="62">
        <f t="shared" si="11"/>
        <v>1</v>
      </c>
      <c r="O119" s="168" t="s">
        <v>1172</v>
      </c>
      <c r="P119" s="169">
        <f>COUNTIFS(Table91315[Prodi],$P$93,Table91315[G3],P$96)/$P$95</f>
        <v>0</v>
      </c>
      <c r="Q119" s="169">
        <f>COUNTIFS(Table91315[Prodi],$P$93,Table91315[G3],Q$96)/$P$95</f>
        <v>1</v>
      </c>
      <c r="R119" s="169">
        <f>COUNTIFS(Table91315[Prodi],$P$93,Table91315[G3],R$96)/$P$95</f>
        <v>0</v>
      </c>
      <c r="S119" s="169">
        <f>COUNTIFS(Table91315[Prodi],$P$93,Table91315[G3],S$96)/$P$95</f>
        <v>0</v>
      </c>
      <c r="T119" s="62">
        <f t="shared" si="12"/>
        <v>1</v>
      </c>
      <c r="U119"/>
      <c r="V119" s="168" t="s">
        <v>1172</v>
      </c>
      <c r="W119" s="169">
        <f>COUNTIFS(Table91315[Prodi],$W$93,Table91315[G3],W$96)/$W$95</f>
        <v>0</v>
      </c>
      <c r="X119" s="169">
        <f>COUNTIFS(Table91315[Prodi],$W$93,Table91315[G3],X$96)/$W$95</f>
        <v>1</v>
      </c>
      <c r="Y119" s="169">
        <f>COUNTIFS(Table91315[Prodi],$W$93,Table91315[G3],Y$96)/$W$95</f>
        <v>0</v>
      </c>
      <c r="Z119" s="169">
        <f>COUNTIFS(Table91315[Prodi],$W$93,Table91315[G3],Z$96)/$W$95</f>
        <v>0</v>
      </c>
      <c r="AA119" s="62">
        <f t="shared" si="13"/>
        <v>1</v>
      </c>
      <c r="AB119"/>
      <c r="AC119"/>
      <c r="AD119"/>
      <c r="AE119"/>
      <c r="AF119"/>
      <c r="AG119"/>
      <c r="AH119"/>
      <c r="AI119"/>
      <c r="AJ119"/>
      <c r="AK119"/>
      <c r="AL119"/>
      <c r="AM119"/>
      <c r="AN119"/>
      <c r="AO119"/>
      <c r="AP119"/>
      <c r="AQ119"/>
      <c r="AR119"/>
    </row>
    <row r="120" spans="1:44" s="118" customFormat="1" ht="16.5" x14ac:dyDescent="0.3">
      <c r="A120" s="171"/>
      <c r="B120" s="61">
        <f>AVERAGE(B117:B119)</f>
        <v>0.19047619047619047</v>
      </c>
      <c r="C120" s="61">
        <f>AVERAGE(C117:C119)</f>
        <v>0.80952380952380942</v>
      </c>
      <c r="D120" s="61">
        <f>AVERAGE(D117:D119)</f>
        <v>0</v>
      </c>
      <c r="E120" s="61">
        <f>AVERAGE(E117:E119)</f>
        <v>0</v>
      </c>
      <c r="F120" s="62">
        <f t="shared" si="7"/>
        <v>0.99999999999999989</v>
      </c>
      <c r="H120" s="171"/>
      <c r="I120" s="61">
        <f>AVERAGE(I117:I119)</f>
        <v>0.44444444444444442</v>
      </c>
      <c r="J120" s="61">
        <f>AVERAGE(J117:J119)</f>
        <v>0.55555555555555547</v>
      </c>
      <c r="K120" s="61">
        <f>AVERAGE(K117:K119)</f>
        <v>0</v>
      </c>
      <c r="L120" s="61">
        <f>AVERAGE(L117:L119)</f>
        <v>0</v>
      </c>
      <c r="M120" s="62">
        <f t="shared" si="11"/>
        <v>0.99999999999999989</v>
      </c>
      <c r="O120" s="171"/>
      <c r="P120" s="61">
        <f>AVERAGE(P117:P119)</f>
        <v>0</v>
      </c>
      <c r="Q120" s="61">
        <f>AVERAGE(Q117:Q119)</f>
        <v>1</v>
      </c>
      <c r="R120" s="61">
        <f>AVERAGE(R117:R119)</f>
        <v>0</v>
      </c>
      <c r="S120" s="61">
        <f>AVERAGE(S117:S119)</f>
        <v>0</v>
      </c>
      <c r="T120" s="62">
        <f t="shared" si="12"/>
        <v>1</v>
      </c>
      <c r="U120"/>
      <c r="V120" s="171"/>
      <c r="W120" s="61">
        <f>AVERAGE(W117:W119)</f>
        <v>0</v>
      </c>
      <c r="X120" s="61">
        <f>AVERAGE(X117:X119)</f>
        <v>1</v>
      </c>
      <c r="Y120" s="61">
        <f>AVERAGE(Y117:Y119)</f>
        <v>0</v>
      </c>
      <c r="Z120" s="61">
        <f>AVERAGE(Z117:Z119)</f>
        <v>0</v>
      </c>
      <c r="AA120" s="62">
        <f t="shared" si="13"/>
        <v>1</v>
      </c>
      <c r="AB120"/>
      <c r="AC120"/>
      <c r="AD120"/>
      <c r="AE120"/>
      <c r="AF120"/>
      <c r="AG120"/>
      <c r="AH120"/>
      <c r="AI120"/>
      <c r="AJ120"/>
      <c r="AK120"/>
      <c r="AL120"/>
      <c r="AM120"/>
      <c r="AN120"/>
      <c r="AO120"/>
      <c r="AP120"/>
      <c r="AQ120"/>
      <c r="AR120"/>
    </row>
    <row r="121" spans="1:44" s="118" customFormat="1" ht="16.5" x14ac:dyDescent="0.3">
      <c r="A121" s="168" t="s">
        <v>42</v>
      </c>
      <c r="B121" s="169">
        <f>COUNTIF(Table91315[H1],B$96)/$B$95</f>
        <v>0.14285714285714285</v>
      </c>
      <c r="C121" s="169">
        <f>COUNTIF(Table91315[H1],C$96)/$B$95</f>
        <v>0.8571428571428571</v>
      </c>
      <c r="D121" s="169">
        <f>COUNTIF(Table91315[H1],D$96)/$B$95</f>
        <v>0</v>
      </c>
      <c r="E121" s="169">
        <f>COUNTIF(Table91315[H1],E$96)/$B$95</f>
        <v>0</v>
      </c>
      <c r="F121" s="62">
        <f t="shared" si="7"/>
        <v>1</v>
      </c>
      <c r="H121" s="168" t="s">
        <v>42</v>
      </c>
      <c r="I121" s="169">
        <f>COUNTIFS(Table91315[Prodi],"S1 Desain Komunikasi Visual",Table91315[H1],I$96)/$I$95</f>
        <v>0.33333333333333331</v>
      </c>
      <c r="J121" s="169">
        <f>COUNTIFS(Table91315[Prodi],"S1 Desain Komunikasi Visual",Table91315[H1],J$96)/$I$95</f>
        <v>0.66666666666666663</v>
      </c>
      <c r="K121" s="169">
        <f>COUNTIFS(Table91315[Prodi],"S1 Desain Komunikasi Visual",Table91315[H1],K$96)/$I$95</f>
        <v>0</v>
      </c>
      <c r="L121" s="169">
        <f>COUNTIFS(Table91315[Prodi],"S1 Desain Komunikasi Visual",Table91315[H1],L$96)/$I$95</f>
        <v>0</v>
      </c>
      <c r="M121" s="62">
        <f t="shared" si="11"/>
        <v>1</v>
      </c>
      <c r="O121" s="168" t="s">
        <v>42</v>
      </c>
      <c r="P121" s="169">
        <f>COUNTIFS(Table91315[Prodi],$P$93,Table91315[H1],P$96)/$P$95</f>
        <v>0</v>
      </c>
      <c r="Q121" s="169">
        <f>COUNTIFS(Table91315[Prodi],$P$93,Table91315[H1],Q$96)/$P$95</f>
        <v>1</v>
      </c>
      <c r="R121" s="169">
        <f>COUNTIFS(Table91315[Prodi],$P$93,Table91315[H1],R$96)/$P$95</f>
        <v>0</v>
      </c>
      <c r="S121" s="169">
        <f>COUNTIFS(Table91315[Prodi],$P$93,Table91315[H1],S$96)/$P$95</f>
        <v>0</v>
      </c>
      <c r="T121" s="62">
        <f t="shared" si="12"/>
        <v>1</v>
      </c>
      <c r="U121"/>
      <c r="V121" s="168" t="s">
        <v>42</v>
      </c>
      <c r="W121" s="169">
        <f>COUNTIFS(Table91315[Prodi],$W$93,Table91315[H1],W$96)/$W$95</f>
        <v>0</v>
      </c>
      <c r="X121" s="169">
        <f>COUNTIFS(Table91315[Prodi],$W$93,Table91315[H1],X$96)/$W$95</f>
        <v>1</v>
      </c>
      <c r="Y121" s="169">
        <f>COUNTIFS(Table91315[Prodi],$W$93,Table91315[H1],Y$96)/$W$95</f>
        <v>0</v>
      </c>
      <c r="Z121" s="169">
        <f>COUNTIFS(Table91315[Prodi],$W$93,Table91315[H1],Z$96)/$W$95</f>
        <v>0</v>
      </c>
      <c r="AA121" s="62">
        <f t="shared" si="13"/>
        <v>1</v>
      </c>
      <c r="AB121"/>
      <c r="AC121"/>
      <c r="AD121"/>
      <c r="AE121"/>
      <c r="AF121"/>
      <c r="AG121"/>
      <c r="AH121"/>
      <c r="AI121"/>
      <c r="AJ121"/>
      <c r="AK121"/>
      <c r="AL121"/>
      <c r="AM121"/>
      <c r="AN121"/>
      <c r="AO121"/>
      <c r="AP121"/>
      <c r="AQ121"/>
      <c r="AR121"/>
    </row>
    <row r="122" spans="1:44" s="118" customFormat="1" ht="16.5" x14ac:dyDescent="0.3">
      <c r="A122" s="172" t="s">
        <v>43</v>
      </c>
      <c r="B122" s="169">
        <f>COUNTIF(Table91315[H2],B$96)/$B$95</f>
        <v>0.7142857142857143</v>
      </c>
      <c r="C122" s="169">
        <f>COUNTIF(Table91315[H2],C$96)/$B$95</f>
        <v>0.2857142857142857</v>
      </c>
      <c r="D122" s="169">
        <f>COUNTIF(Table91315[H2],D$96)/$B$95</f>
        <v>0</v>
      </c>
      <c r="E122" s="169">
        <f>COUNTIF(Table91315[H2],E$96)/$B$95</f>
        <v>0</v>
      </c>
      <c r="F122" s="62">
        <f t="shared" si="7"/>
        <v>1</v>
      </c>
      <c r="H122" s="172" t="s">
        <v>43</v>
      </c>
      <c r="I122" s="169">
        <f>COUNTIFS(Table91315[Prodi],"S1 Desain Komunikasi Visual",Table91315[H2],I$96)/$I$95</f>
        <v>0.33333333333333331</v>
      </c>
      <c r="J122" s="169">
        <f>COUNTIFS(Table91315[Prodi],"S1 Desain Komunikasi Visual",Table91315[H2],J$96)/$I$95</f>
        <v>0.66666666666666663</v>
      </c>
      <c r="K122" s="169">
        <f>COUNTIFS(Table91315[Prodi],"S1 Desain Komunikasi Visual",Table91315[H2],K$96)/$I$95</f>
        <v>0</v>
      </c>
      <c r="L122" s="169">
        <f>COUNTIFS(Table91315[Prodi],"S1 Desain Komunikasi Visual",Table91315[H2],L$96)/$I$95</f>
        <v>0</v>
      </c>
      <c r="M122" s="62">
        <f t="shared" si="11"/>
        <v>1</v>
      </c>
      <c r="O122" s="172" t="s">
        <v>43</v>
      </c>
      <c r="P122" s="169">
        <f>COUNTIFS(Table91315[Prodi],$P$93,Table91315[H2],P$96)/$P$95</f>
        <v>1</v>
      </c>
      <c r="Q122" s="169">
        <f>COUNTIFS(Table91315[Prodi],$P$93,Table91315[H2],Q$96)/$P$95</f>
        <v>0</v>
      </c>
      <c r="R122" s="169">
        <f>COUNTIFS(Table91315[Prodi],$P$93,Table91315[H2],R$96)/$P$95</f>
        <v>0</v>
      </c>
      <c r="S122" s="169">
        <f>COUNTIFS(Table91315[Prodi],$P$93,Table91315[H2],S$96)/$P$95</f>
        <v>0</v>
      </c>
      <c r="T122" s="62">
        <f t="shared" si="12"/>
        <v>1</v>
      </c>
      <c r="U122"/>
      <c r="V122" s="172" t="s">
        <v>43</v>
      </c>
      <c r="W122" s="169">
        <f>COUNTIFS(Table91315[Prodi],$W$93,Table91315[H2],W$96)/$W$95</f>
        <v>1</v>
      </c>
      <c r="X122" s="169">
        <f>COUNTIFS(Table91315[Prodi],$W$93,Table91315[H2],X$96)/$W$95</f>
        <v>0</v>
      </c>
      <c r="Y122" s="169">
        <f>COUNTIFS(Table91315[Prodi],$W$93,Table91315[H2],Y$96)/$W$95</f>
        <v>0</v>
      </c>
      <c r="Z122" s="169">
        <f>COUNTIFS(Table91315[Prodi],$W$93,Table91315[H2],Z$96)/$W$95</f>
        <v>0</v>
      </c>
      <c r="AA122" s="62">
        <f t="shared" si="13"/>
        <v>1</v>
      </c>
      <c r="AB122"/>
      <c r="AC122"/>
      <c r="AD122"/>
      <c r="AE122"/>
      <c r="AF122"/>
      <c r="AG122"/>
      <c r="AH122"/>
      <c r="AI122"/>
      <c r="AJ122"/>
      <c r="AK122"/>
      <c r="AL122"/>
      <c r="AM122"/>
      <c r="AN122"/>
      <c r="AO122"/>
      <c r="AP122"/>
      <c r="AQ122"/>
      <c r="AR122"/>
    </row>
    <row r="123" spans="1:44" s="118" customFormat="1" ht="16.5" x14ac:dyDescent="0.3">
      <c r="A123" s="168" t="s">
        <v>44</v>
      </c>
      <c r="B123" s="169">
        <f>COUNTIF(Table91315[H3],B$96)/$B$95</f>
        <v>0.8571428571428571</v>
      </c>
      <c r="C123" s="169">
        <f>COUNTIF(Table91315[H3],C$96)/$B$95</f>
        <v>0.14285714285714285</v>
      </c>
      <c r="D123" s="169">
        <f>COUNTIF(Table91315[H3],D$96)/$B$95</f>
        <v>0</v>
      </c>
      <c r="E123" s="169">
        <f>COUNTIF(Table91315[H3],E$96)/$B$95</f>
        <v>0</v>
      </c>
      <c r="F123" s="62">
        <f t="shared" si="7"/>
        <v>1</v>
      </c>
      <c r="H123" s="168" t="s">
        <v>44</v>
      </c>
      <c r="I123" s="169">
        <f>COUNTIFS(Table91315[Prodi],"S1 Desain Komunikasi Visual",Table91315[H3],I$96)/$I$95</f>
        <v>0.66666666666666663</v>
      </c>
      <c r="J123" s="169">
        <f>COUNTIFS(Table91315[Prodi],"S1 Desain Komunikasi Visual",Table91315[H3],J$96)/$I$95</f>
        <v>0.33333333333333331</v>
      </c>
      <c r="K123" s="169">
        <f>COUNTIFS(Table91315[Prodi],"S1 Desain Komunikasi Visual",Table91315[H3],K$96)/$I$95</f>
        <v>0</v>
      </c>
      <c r="L123" s="169">
        <f>COUNTIFS(Table91315[Prodi],"S1 Desain Komunikasi Visual",Table91315[H3],L$96)/$I$95</f>
        <v>0</v>
      </c>
      <c r="M123" s="62">
        <f t="shared" si="11"/>
        <v>1</v>
      </c>
      <c r="O123" s="168" t="s">
        <v>44</v>
      </c>
      <c r="P123" s="169">
        <f>COUNTIFS(Table91315[Prodi],$P$93,Table91315[H3],P$96)/$P$95</f>
        <v>1</v>
      </c>
      <c r="Q123" s="169">
        <f>COUNTIFS(Table91315[Prodi],$P$93,Table91315[H3],Q$96)/$P$95</f>
        <v>0</v>
      </c>
      <c r="R123" s="169">
        <f>COUNTIFS(Table91315[Prodi],$P$93,Table91315[H3],R$96)/$P$95</f>
        <v>0</v>
      </c>
      <c r="S123" s="169">
        <f>COUNTIFS(Table91315[Prodi],$P$93,Table91315[H3],S$96)/$P$95</f>
        <v>0</v>
      </c>
      <c r="T123" s="62">
        <f t="shared" si="12"/>
        <v>1</v>
      </c>
      <c r="U123"/>
      <c r="V123" s="168" t="s">
        <v>44</v>
      </c>
      <c r="W123" s="169">
        <f>COUNTIFS(Table91315[Prodi],$W$93,Table91315[H3],W$96)/$W$95</f>
        <v>1</v>
      </c>
      <c r="X123" s="169">
        <f>COUNTIFS(Table91315[Prodi],$W$93,Table91315[H3],X$96)/$W$95</f>
        <v>0</v>
      </c>
      <c r="Y123" s="169">
        <f>COUNTIFS(Table91315[Prodi],$W$93,Table91315[H3],Y$96)/$W$95</f>
        <v>0</v>
      </c>
      <c r="Z123" s="169">
        <f>COUNTIFS(Table91315[Prodi],$W$93,Table91315[H3],Z$96)/$W$95</f>
        <v>0</v>
      </c>
      <c r="AA123" s="62">
        <f t="shared" si="13"/>
        <v>1</v>
      </c>
      <c r="AB123"/>
      <c r="AC123"/>
      <c r="AD123"/>
      <c r="AE123"/>
      <c r="AF123"/>
      <c r="AG123"/>
      <c r="AH123"/>
      <c r="AI123"/>
      <c r="AJ123"/>
      <c r="AK123"/>
      <c r="AL123"/>
      <c r="AM123"/>
      <c r="AN123"/>
      <c r="AO123"/>
      <c r="AP123"/>
      <c r="AQ123"/>
      <c r="AR123"/>
    </row>
    <row r="124" spans="1:44" s="118" customFormat="1" ht="16.5" x14ac:dyDescent="0.3">
      <c r="A124" s="168" t="s">
        <v>45</v>
      </c>
      <c r="B124" s="169">
        <f>COUNTIF(Table91315[H4],B$96)/$B$95</f>
        <v>0.14285714285714285</v>
      </c>
      <c r="C124" s="169">
        <f>COUNTIF(Table91315[H4],C$96)/$B$95</f>
        <v>0.2857142857142857</v>
      </c>
      <c r="D124" s="169">
        <f>COUNTIF(Table91315[H4],D$96)/$B$95</f>
        <v>0.5714285714285714</v>
      </c>
      <c r="E124" s="169">
        <f>COUNTIF(Table91315[H4],E$96)/$B$95</f>
        <v>0</v>
      </c>
      <c r="F124" s="62">
        <f t="shared" si="7"/>
        <v>1</v>
      </c>
      <c r="H124" s="168" t="s">
        <v>45</v>
      </c>
      <c r="I124" s="169">
        <f>COUNTIFS(Table91315[Prodi],"S1 Desain Komunikasi Visual",Table91315[H4],I$96)/$I$95</f>
        <v>0.33333333333333331</v>
      </c>
      <c r="J124" s="169">
        <f>COUNTIFS(Table91315[Prodi],"S1 Desain Komunikasi Visual",Table91315[H4],J$96)/$I$95</f>
        <v>0.33333333333333331</v>
      </c>
      <c r="K124" s="169">
        <f>COUNTIFS(Table91315[Prodi],"S1 Desain Komunikasi Visual",Table91315[H4],K$96)/$I$95</f>
        <v>0.33333333333333331</v>
      </c>
      <c r="L124" s="169">
        <f>COUNTIFS(Table91315[Prodi],"S1 Desain Komunikasi Visual",Table91315[H4],L$96)/$I$95</f>
        <v>0</v>
      </c>
      <c r="M124" s="62">
        <f t="shared" si="11"/>
        <v>1</v>
      </c>
      <c r="O124" s="168" t="s">
        <v>45</v>
      </c>
      <c r="P124" s="169">
        <f>COUNTIFS(Table91315[Prodi],$P$93,Table91315[H4],P$96)/$P$95</f>
        <v>0</v>
      </c>
      <c r="Q124" s="169">
        <f>COUNTIFS(Table91315[Prodi],$P$93,Table91315[H4],Q$96)/$P$95</f>
        <v>0.33333333333333331</v>
      </c>
      <c r="R124" s="169">
        <f>COUNTIFS(Table91315[Prodi],$P$93,Table91315[H4],R$96)/$P$95</f>
        <v>0.66666666666666663</v>
      </c>
      <c r="S124" s="169">
        <f>COUNTIFS(Table91315[Prodi],$P$93,Table91315[H4],S$96)/$P$95</f>
        <v>0</v>
      </c>
      <c r="T124" s="62">
        <f t="shared" si="12"/>
        <v>1</v>
      </c>
      <c r="U124"/>
      <c r="V124" s="168" t="s">
        <v>45</v>
      </c>
      <c r="W124" s="169">
        <f>COUNTIFS(Table91315[Prodi],$W$93,Table91315[H4],W$96)/$W$95</f>
        <v>0</v>
      </c>
      <c r="X124" s="169">
        <f>COUNTIFS(Table91315[Prodi],$W$93,Table91315[H4],X$96)/$W$95</f>
        <v>0</v>
      </c>
      <c r="Y124" s="169">
        <f>COUNTIFS(Table91315[Prodi],$W$93,Table91315[H4],Y$96)/$W$95</f>
        <v>1</v>
      </c>
      <c r="Z124" s="169">
        <f>COUNTIFS(Table91315[Prodi],$W$93,Table91315[H4],Z$96)/$W$95</f>
        <v>0</v>
      </c>
      <c r="AA124" s="62">
        <f t="shared" si="13"/>
        <v>1</v>
      </c>
      <c r="AB124"/>
      <c r="AC124"/>
      <c r="AD124"/>
      <c r="AE124"/>
      <c r="AF124"/>
      <c r="AG124"/>
      <c r="AH124"/>
      <c r="AI124"/>
      <c r="AJ124"/>
      <c r="AK124"/>
      <c r="AL124"/>
      <c r="AM124"/>
      <c r="AN124"/>
      <c r="AO124"/>
      <c r="AP124"/>
      <c r="AQ124"/>
      <c r="AR124"/>
    </row>
    <row r="125" spans="1:44" s="118" customFormat="1" ht="16.5" x14ac:dyDescent="0.3">
      <c r="A125" s="171"/>
      <c r="B125" s="61">
        <f>AVERAGE(B121:B124)</f>
        <v>0.4642857142857143</v>
      </c>
      <c r="C125" s="61">
        <f>AVERAGE(C121:C124)</f>
        <v>0.39285714285714279</v>
      </c>
      <c r="D125" s="61">
        <f>AVERAGE(D121:D124)</f>
        <v>0.14285714285714285</v>
      </c>
      <c r="E125" s="61">
        <f>AVERAGE(E121:E124)</f>
        <v>0</v>
      </c>
      <c r="F125" s="62">
        <f t="shared" si="7"/>
        <v>1</v>
      </c>
      <c r="H125" s="171"/>
      <c r="I125" s="61">
        <f>AVERAGE(I121:I124)</f>
        <v>0.41666666666666663</v>
      </c>
      <c r="J125" s="61">
        <f>AVERAGE(J121:J124)</f>
        <v>0.49999999999999994</v>
      </c>
      <c r="K125" s="61">
        <f>AVERAGE(K121:K124)</f>
        <v>8.3333333333333329E-2</v>
      </c>
      <c r="L125" s="61">
        <f>AVERAGE(L121:L124)</f>
        <v>0</v>
      </c>
      <c r="M125" s="62">
        <f t="shared" si="11"/>
        <v>0.99999999999999989</v>
      </c>
      <c r="O125" s="171"/>
      <c r="P125" s="61">
        <f>AVERAGE(P121:P124)</f>
        <v>0.5</v>
      </c>
      <c r="Q125" s="61">
        <f>AVERAGE(Q121:Q124)</f>
        <v>0.33333333333333331</v>
      </c>
      <c r="R125" s="61">
        <f>AVERAGE(R121:R124)</f>
        <v>0.16666666666666666</v>
      </c>
      <c r="S125" s="61">
        <f>AVERAGE(S121:S124)</f>
        <v>0</v>
      </c>
      <c r="T125" s="62">
        <f t="shared" si="12"/>
        <v>0.99999999999999989</v>
      </c>
      <c r="U125"/>
      <c r="V125" s="171"/>
      <c r="W125" s="61">
        <f>AVERAGE(W121:W124)</f>
        <v>0.5</v>
      </c>
      <c r="X125" s="61">
        <f>AVERAGE(X121:X124)</f>
        <v>0.25</v>
      </c>
      <c r="Y125" s="61">
        <f>AVERAGE(Y121:Y124)</f>
        <v>0.25</v>
      </c>
      <c r="Z125" s="61">
        <f>AVERAGE(Z121:Z124)</f>
        <v>0</v>
      </c>
      <c r="AA125" s="62">
        <f t="shared" si="13"/>
        <v>1</v>
      </c>
      <c r="AB125"/>
      <c r="AC125"/>
      <c r="AD125"/>
      <c r="AE125"/>
      <c r="AF125"/>
      <c r="AG125"/>
      <c r="AH125"/>
      <c r="AI125"/>
      <c r="AJ125"/>
      <c r="AK125"/>
      <c r="AL125"/>
      <c r="AM125"/>
      <c r="AN125"/>
      <c r="AO125"/>
      <c r="AP125"/>
      <c r="AQ125"/>
      <c r="AR125"/>
    </row>
    <row r="126" spans="1:44" s="118" customFormat="1" ht="16.5" x14ac:dyDescent="0.3">
      <c r="A126" s="168" t="s">
        <v>1175</v>
      </c>
      <c r="B126" s="169">
        <f>COUNTIF(Table91315[I1.1],B$96)/$B$95</f>
        <v>0</v>
      </c>
      <c r="C126" s="169">
        <f>COUNTIF(Table91315[I1.1],C$96)/$B$95</f>
        <v>0.8571428571428571</v>
      </c>
      <c r="D126" s="169">
        <f>COUNTIF(Table91315[I1.1],D$96)/$B$95</f>
        <v>0</v>
      </c>
      <c r="E126" s="169">
        <f>COUNTIF(Table91315[I1.1],E$96)/$B$95</f>
        <v>0.14285714285714285</v>
      </c>
      <c r="F126" s="62">
        <f t="shared" si="7"/>
        <v>1</v>
      </c>
      <c r="H126" s="168" t="s">
        <v>1175</v>
      </c>
      <c r="I126" s="169">
        <f>COUNTIFS(Table91315[Prodi],"S1 Desain Komunikasi Visual",Table91315[I1.1],I$96)/$I$95</f>
        <v>0</v>
      </c>
      <c r="J126" s="169">
        <f>COUNTIFS(Table91315[Prodi],"S1 Desain Komunikasi Visual",Table91315[I1.1],J$96)/$I$95</f>
        <v>0.66666666666666663</v>
      </c>
      <c r="K126" s="169">
        <f>COUNTIFS(Table91315[Prodi],"S1 Desain Komunikasi Visual",Table91315[I1.1],K$96)/$I$95</f>
        <v>0</v>
      </c>
      <c r="L126" s="169">
        <f>COUNTIFS(Table91315[Prodi],"S1 Desain Komunikasi Visual",Table91315[I1.1],L$96)/$I$95</f>
        <v>0.33333333333333331</v>
      </c>
      <c r="M126" s="62">
        <f t="shared" si="11"/>
        <v>1</v>
      </c>
      <c r="O126" s="168" t="s">
        <v>1175</v>
      </c>
      <c r="P126" s="169">
        <f>COUNTIFS(Table91315[Prodi],$P$93,Table91315[I1.1],P$96)/$P$95</f>
        <v>0</v>
      </c>
      <c r="Q126" s="169">
        <f>COUNTIFS(Table91315[Prodi],$P$93,Table91315[I1.1],Q$96)/$P$95</f>
        <v>1</v>
      </c>
      <c r="R126" s="169">
        <f>COUNTIFS(Table91315[Prodi],$P$93,Table91315[I1.1],R$96)/$P$95</f>
        <v>0</v>
      </c>
      <c r="S126" s="169">
        <f>COUNTIFS(Table91315[Prodi],$P$93,Table91315[I1.1],S$96)/$P$95</f>
        <v>0</v>
      </c>
      <c r="T126" s="62">
        <f t="shared" si="12"/>
        <v>1</v>
      </c>
      <c r="U126"/>
      <c r="V126" s="168" t="s">
        <v>1175</v>
      </c>
      <c r="W126" s="169">
        <f>COUNTIFS(Table91315[Prodi],$W$93,Table91315[I1.1],W$96)/$W$95</f>
        <v>0</v>
      </c>
      <c r="X126" s="169">
        <f>COUNTIFS(Table91315[Prodi],$W$93,Table91315[I1.1],X$96)/$W$95</f>
        <v>1</v>
      </c>
      <c r="Y126" s="169">
        <f>COUNTIFS(Table91315[Prodi],$W$93,Table91315[I1.1],Y$96)/$W$95</f>
        <v>0</v>
      </c>
      <c r="Z126" s="169">
        <f>COUNTIFS(Table91315[Prodi],$W$93,Table91315[I1.1],Z$96)/$W$95</f>
        <v>0</v>
      </c>
      <c r="AA126" s="62">
        <f t="shared" si="13"/>
        <v>1</v>
      </c>
      <c r="AB126"/>
      <c r="AC126"/>
      <c r="AD126"/>
      <c r="AE126"/>
      <c r="AF126"/>
      <c r="AG126"/>
      <c r="AH126"/>
      <c r="AI126"/>
      <c r="AJ126"/>
      <c r="AK126"/>
      <c r="AL126"/>
      <c r="AM126"/>
      <c r="AN126"/>
      <c r="AO126"/>
      <c r="AP126"/>
      <c r="AQ126"/>
      <c r="AR126"/>
    </row>
    <row r="127" spans="1:44" s="118" customFormat="1" ht="16.5" x14ac:dyDescent="0.3">
      <c r="A127" s="172" t="s">
        <v>1176</v>
      </c>
      <c r="B127" s="169">
        <f>COUNTIF(Table91315[I1.2],B$96)/$B$95</f>
        <v>0</v>
      </c>
      <c r="C127" s="169">
        <f>COUNTIF(Table91315[I1.2],C$96)/$B$95</f>
        <v>0.8571428571428571</v>
      </c>
      <c r="D127" s="169">
        <f>COUNTIF(Table91315[I1.2],D$96)/$B$95</f>
        <v>0</v>
      </c>
      <c r="E127" s="169">
        <f>COUNTIF(Table91315[I1.2],E$96)/$B$95</f>
        <v>0.14285714285714285</v>
      </c>
      <c r="F127" s="62">
        <f t="shared" si="7"/>
        <v>1</v>
      </c>
      <c r="H127" s="172" t="s">
        <v>1176</v>
      </c>
      <c r="I127" s="169">
        <f>COUNTIFS(Table91315[Prodi],"S1 Desain Komunikasi Visual",Table91315[I1.2],I$96)/$I$95</f>
        <v>0</v>
      </c>
      <c r="J127" s="169">
        <f>COUNTIFS(Table91315[Prodi],"S1 Desain Komunikasi Visual",Table91315[I1.2],J$96)/$I$95</f>
        <v>0.66666666666666663</v>
      </c>
      <c r="K127" s="169">
        <f>COUNTIFS(Table91315[Prodi],"S1 Desain Komunikasi Visual",Table91315[I1.2],K$96)/$I$95</f>
        <v>0</v>
      </c>
      <c r="L127" s="169">
        <f>COUNTIFS(Table91315[Prodi],"S1 Desain Komunikasi Visual",Table91315[I1.2],L$96)/$I$95</f>
        <v>0.33333333333333331</v>
      </c>
      <c r="M127" s="62">
        <f t="shared" si="11"/>
        <v>1</v>
      </c>
      <c r="O127" s="172" t="s">
        <v>1176</v>
      </c>
      <c r="P127" s="169">
        <f>COUNTIFS(Table91315[Prodi],$P$93,Table91315[I1.2],P$96)/$P$95</f>
        <v>0</v>
      </c>
      <c r="Q127" s="169">
        <f>COUNTIFS(Table91315[Prodi],$P$93,Table91315[I1.2],Q$96)/$P$95</f>
        <v>1</v>
      </c>
      <c r="R127" s="169">
        <f>COUNTIFS(Table91315[Prodi],$P$93,Table91315[I1.2],R$96)/$P$95</f>
        <v>0</v>
      </c>
      <c r="S127" s="169">
        <f>COUNTIFS(Table91315[Prodi],$P$93,Table91315[I1.2],S$96)/$P$95</f>
        <v>0</v>
      </c>
      <c r="T127" s="62">
        <f t="shared" si="12"/>
        <v>1</v>
      </c>
      <c r="U127"/>
      <c r="V127" s="172" t="s">
        <v>1176</v>
      </c>
      <c r="W127" s="169">
        <f>COUNTIFS(Table91315[Prodi],$W$93,Table91315[I1.2],W$96)/$W$95</f>
        <v>0</v>
      </c>
      <c r="X127" s="169">
        <f>COUNTIFS(Table91315[Prodi],$W$93,Table91315[I1.2],X$96)/$W$95</f>
        <v>1</v>
      </c>
      <c r="Y127" s="169">
        <f>COUNTIFS(Table91315[Prodi],$W$93,Table91315[I1.2],Y$96)/$W$95</f>
        <v>0</v>
      </c>
      <c r="Z127" s="169">
        <f>COUNTIFS(Table91315[Prodi],$W$93,Table91315[I1.2],Z$96)/$W$95</f>
        <v>0</v>
      </c>
      <c r="AA127" s="62">
        <f t="shared" si="13"/>
        <v>1</v>
      </c>
      <c r="AB127"/>
      <c r="AC127"/>
      <c r="AD127"/>
      <c r="AE127"/>
      <c r="AF127"/>
      <c r="AG127"/>
      <c r="AH127"/>
      <c r="AI127"/>
      <c r="AJ127"/>
      <c r="AK127"/>
      <c r="AL127"/>
      <c r="AM127"/>
      <c r="AN127"/>
      <c r="AO127"/>
      <c r="AP127"/>
      <c r="AQ127"/>
      <c r="AR127"/>
    </row>
    <row r="128" spans="1:44" s="118" customFormat="1" ht="16.5" x14ac:dyDescent="0.3">
      <c r="A128" s="168" t="s">
        <v>1177</v>
      </c>
      <c r="B128" s="169">
        <f>COUNTIF(Table91315[I1.3],B$96)/$B$95</f>
        <v>0.8571428571428571</v>
      </c>
      <c r="C128" s="169">
        <f>COUNTIF(Table91315[I1.3],C$96)/$B$95</f>
        <v>0</v>
      </c>
      <c r="D128" s="169">
        <f>COUNTIF(Table91315[I1.3],D$96)/$B$95</f>
        <v>0</v>
      </c>
      <c r="E128" s="169">
        <f>COUNTIF(Table91315[I1.3],E$96)/$B$95</f>
        <v>0.14285714285714285</v>
      </c>
      <c r="F128" s="62">
        <f t="shared" si="7"/>
        <v>1</v>
      </c>
      <c r="H128" s="168" t="s">
        <v>1177</v>
      </c>
      <c r="I128" s="169">
        <f>COUNTIFS(Table91315[Prodi],"S1 Desain Komunikasi Visual",Table91315[I1.3],I$96)/$I$95</f>
        <v>0.66666666666666663</v>
      </c>
      <c r="J128" s="169">
        <f>COUNTIFS(Table91315[Prodi],"S1 Desain Komunikasi Visual",Table91315[I1.3],J$96)/$I$95</f>
        <v>0</v>
      </c>
      <c r="K128" s="169">
        <f>COUNTIFS(Table91315[Prodi],"S1 Desain Komunikasi Visual",Table91315[I1.3],K$96)/$I$95</f>
        <v>0</v>
      </c>
      <c r="L128" s="169">
        <f>COUNTIFS(Table91315[Prodi],"S1 Desain Komunikasi Visual",Table91315[I1.3],L$96)/$I$95</f>
        <v>0.33333333333333331</v>
      </c>
      <c r="M128" s="62">
        <f t="shared" si="11"/>
        <v>1</v>
      </c>
      <c r="O128" s="168" t="s">
        <v>1177</v>
      </c>
      <c r="P128" s="169">
        <f>COUNTIFS(Table91315[Prodi],$P$93,Table91315[I1.3],P$96)/$P$95</f>
        <v>1</v>
      </c>
      <c r="Q128" s="169">
        <f>COUNTIFS(Table91315[Prodi],$P$93,Table91315[I1.3],Q$96)/$P$95</f>
        <v>0</v>
      </c>
      <c r="R128" s="169">
        <f>COUNTIFS(Table91315[Prodi],$P$93,Table91315[I1.3],R$96)/$P$95</f>
        <v>0</v>
      </c>
      <c r="S128" s="169">
        <f>COUNTIFS(Table91315[Prodi],$P$93,Table91315[I1.3],S$96)/$P$95</f>
        <v>0</v>
      </c>
      <c r="T128" s="62">
        <f t="shared" si="12"/>
        <v>1</v>
      </c>
      <c r="U128"/>
      <c r="V128" s="168" t="s">
        <v>1177</v>
      </c>
      <c r="W128" s="169">
        <f>COUNTIFS(Table91315[Prodi],$W$93,Table91315[I1.3],W$96)/$W$95</f>
        <v>1</v>
      </c>
      <c r="X128" s="169">
        <f>COUNTIFS(Table91315[Prodi],$W$93,Table91315[I1.3],X$96)/$W$95</f>
        <v>0</v>
      </c>
      <c r="Y128" s="169">
        <f>COUNTIFS(Table91315[Prodi],$W$93,Table91315[I1.3],Y$96)/$W$95</f>
        <v>0</v>
      </c>
      <c r="Z128" s="169">
        <f>COUNTIFS(Table91315[Prodi],$W$93,Table91315[I1.3],Z$96)/$W$95</f>
        <v>0</v>
      </c>
      <c r="AA128" s="62">
        <f t="shared" si="13"/>
        <v>1</v>
      </c>
      <c r="AB128"/>
      <c r="AC128"/>
      <c r="AD128"/>
      <c r="AE128"/>
      <c r="AF128"/>
      <c r="AG128"/>
      <c r="AH128"/>
      <c r="AI128"/>
      <c r="AJ128"/>
      <c r="AK128"/>
      <c r="AL128"/>
      <c r="AM128"/>
      <c r="AN128"/>
      <c r="AO128"/>
      <c r="AP128"/>
      <c r="AQ128"/>
      <c r="AR128"/>
    </row>
    <row r="129" spans="1:44" s="118" customFormat="1" ht="16.5" x14ac:dyDescent="0.3">
      <c r="A129" s="168" t="s">
        <v>1178</v>
      </c>
      <c r="B129" s="169">
        <f>COUNTIF(Table91315[I1.4],B$96)/$B$95</f>
        <v>1</v>
      </c>
      <c r="C129" s="169">
        <f>COUNTIF(Table91315[I1.4],C$96)/$B$95</f>
        <v>0</v>
      </c>
      <c r="D129" s="169">
        <f>COUNTIF(Table91315[I1.4],D$96)/$B$95</f>
        <v>0</v>
      </c>
      <c r="E129" s="169">
        <f>COUNTIF(Table91315[I1.4],E$96)/$B$95</f>
        <v>0</v>
      </c>
      <c r="F129" s="62">
        <f t="shared" si="7"/>
        <v>1</v>
      </c>
      <c r="H129" s="168" t="s">
        <v>1178</v>
      </c>
      <c r="I129" s="169">
        <f>COUNTIFS(Table91315[Prodi],"S1 Desain Komunikasi Visual",Table91315[I1.4],I$96)/$I$95</f>
        <v>1</v>
      </c>
      <c r="J129" s="169">
        <f>COUNTIFS(Table91315[Prodi],"S1 Desain Komunikasi Visual",Table91315[I1.4],J$96)/$I$95</f>
        <v>0</v>
      </c>
      <c r="K129" s="169">
        <f>COUNTIFS(Table91315[Prodi],"S1 Desain Komunikasi Visual",Table91315[I1.4],K$96)/$I$95</f>
        <v>0</v>
      </c>
      <c r="L129" s="169">
        <f>COUNTIFS(Table91315[Prodi],"S1 Desain Komunikasi Visual",Table91315[I1.4],L$96)/$I$95</f>
        <v>0</v>
      </c>
      <c r="M129" s="62">
        <f t="shared" si="11"/>
        <v>1</v>
      </c>
      <c r="O129" s="168" t="s">
        <v>1178</v>
      </c>
      <c r="P129" s="169">
        <f>COUNTIFS(Table91315[Prodi],$P$93,Table91315[I1.4],P$96)/$P$95</f>
        <v>1</v>
      </c>
      <c r="Q129" s="169">
        <f>COUNTIFS(Table91315[Prodi],$P$93,Table91315[I1.4],Q$96)/$P$95</f>
        <v>0</v>
      </c>
      <c r="R129" s="169">
        <f>COUNTIFS(Table91315[Prodi],$P$93,Table91315[I1.4],R$96)/$P$95</f>
        <v>0</v>
      </c>
      <c r="S129" s="169">
        <f>COUNTIFS(Table91315[Prodi],$P$93,Table91315[I1.4],S$96)/$P$95</f>
        <v>0</v>
      </c>
      <c r="T129" s="62">
        <f t="shared" si="12"/>
        <v>1</v>
      </c>
      <c r="U129"/>
      <c r="V129" s="168" t="s">
        <v>1178</v>
      </c>
      <c r="W129" s="169">
        <f>COUNTIFS(Table91315[Prodi],$W$93,Table91315[I1.4],W$96)/$W$95</f>
        <v>1</v>
      </c>
      <c r="X129" s="169">
        <f>COUNTIFS(Table91315[Prodi],$W$93,Table91315[I1.4],X$96)/$W$95</f>
        <v>0</v>
      </c>
      <c r="Y129" s="169">
        <f>COUNTIFS(Table91315[Prodi],$W$93,Table91315[I1.4],Y$96)/$W$95</f>
        <v>0</v>
      </c>
      <c r="Z129" s="169">
        <f>COUNTIFS(Table91315[Prodi],$W$93,Table91315[I1.4],Z$96)/$W$95</f>
        <v>0</v>
      </c>
      <c r="AA129" s="62">
        <f t="shared" si="13"/>
        <v>1</v>
      </c>
      <c r="AB129"/>
      <c r="AC129"/>
      <c r="AD129"/>
      <c r="AE129"/>
      <c r="AF129"/>
      <c r="AG129"/>
      <c r="AH129"/>
      <c r="AI129"/>
      <c r="AJ129"/>
      <c r="AK129"/>
      <c r="AL129"/>
      <c r="AM129"/>
      <c r="AN129"/>
      <c r="AO129"/>
      <c r="AP129"/>
      <c r="AQ129"/>
      <c r="AR129"/>
    </row>
    <row r="130" spans="1:44" s="118" customFormat="1" ht="16.5" x14ac:dyDescent="0.3">
      <c r="A130" s="168" t="s">
        <v>1179</v>
      </c>
      <c r="B130" s="169">
        <f>COUNTIF(Table91315[I1.5],B$96)/$B$95</f>
        <v>0.8571428571428571</v>
      </c>
      <c r="C130" s="169">
        <f>COUNTIF(Table91315[I1.5],C$96)/$B$95</f>
        <v>0.14285714285714285</v>
      </c>
      <c r="D130" s="169">
        <f>COUNTIF(Table91315[I1.5],D$96)/$B$95</f>
        <v>0</v>
      </c>
      <c r="E130" s="169">
        <f>COUNTIF(Table91315[I1.5],E$96)/$B$95</f>
        <v>0</v>
      </c>
      <c r="F130" s="62">
        <f t="shared" si="7"/>
        <v>1</v>
      </c>
      <c r="H130" s="168" t="s">
        <v>1179</v>
      </c>
      <c r="I130" s="169">
        <f>COUNTIFS(Table91315[Prodi],"S1 Desain Komunikasi Visual",Table91315[I1.5],I$96)/$I$95</f>
        <v>0.66666666666666663</v>
      </c>
      <c r="J130" s="169">
        <f>COUNTIFS(Table91315[Prodi],"S1 Desain Komunikasi Visual",Table91315[I1.5],J$96)/$I$95</f>
        <v>0.33333333333333331</v>
      </c>
      <c r="K130" s="169">
        <f>COUNTIFS(Table91315[Prodi],"S1 Desain Komunikasi Visual",Table91315[I1.5],K$96)/$I$95</f>
        <v>0</v>
      </c>
      <c r="L130" s="169">
        <f>COUNTIFS(Table91315[Prodi],"S1 Desain Komunikasi Visual",Table91315[I1.5],L$96)/$I$95</f>
        <v>0</v>
      </c>
      <c r="M130" s="62">
        <f t="shared" si="11"/>
        <v>1</v>
      </c>
      <c r="O130" s="168" t="s">
        <v>1179</v>
      </c>
      <c r="P130" s="169">
        <f>COUNTIFS(Table91315[Prodi],$P$93,Table91315[I1.5],P$96)/$P$95</f>
        <v>1</v>
      </c>
      <c r="Q130" s="169">
        <f>COUNTIFS(Table91315[Prodi],$P$93,Table91315[I1.5],Q$96)/$P$95</f>
        <v>0</v>
      </c>
      <c r="R130" s="169">
        <f>COUNTIFS(Table91315[Prodi],$P$93,Table91315[I1.5],R$96)/$P$95</f>
        <v>0</v>
      </c>
      <c r="S130" s="169">
        <f>COUNTIFS(Table91315[Prodi],$P$93,Table91315[I1.5],S$96)/$P$95</f>
        <v>0</v>
      </c>
      <c r="T130" s="62">
        <f t="shared" si="12"/>
        <v>1</v>
      </c>
      <c r="U130"/>
      <c r="V130" s="168" t="s">
        <v>1179</v>
      </c>
      <c r="W130" s="169">
        <f>COUNTIFS(Table91315[Prodi],$W$93,Table91315[I1.5],W$96)/$W$95</f>
        <v>1</v>
      </c>
      <c r="X130" s="169">
        <f>COUNTIFS(Table91315[Prodi],$W$93,Table91315[I1.5],X$96)/$W$95</f>
        <v>0</v>
      </c>
      <c r="Y130" s="169">
        <f>COUNTIFS(Table91315[Prodi],$W$93,Table91315[I1.5],Y$96)/$W$95</f>
        <v>0</v>
      </c>
      <c r="Z130" s="169">
        <f>COUNTIFS(Table91315[Prodi],$W$93,Table91315[I1.5],Z$96)/$W$95</f>
        <v>0</v>
      </c>
      <c r="AA130" s="62">
        <f t="shared" si="13"/>
        <v>1</v>
      </c>
      <c r="AB130"/>
      <c r="AC130"/>
      <c r="AD130"/>
      <c r="AE130"/>
      <c r="AF130"/>
      <c r="AG130"/>
      <c r="AH130"/>
      <c r="AI130"/>
      <c r="AJ130"/>
      <c r="AK130"/>
      <c r="AL130"/>
      <c r="AM130"/>
      <c r="AN130"/>
      <c r="AO130"/>
      <c r="AP130"/>
      <c r="AQ130"/>
      <c r="AR130"/>
    </row>
    <row r="131" spans="1:44" s="118" customFormat="1" ht="16.5" x14ac:dyDescent="0.3">
      <c r="A131" s="171"/>
      <c r="B131" s="61">
        <f>AVERAGE(B126:B130)</f>
        <v>0.54285714285714293</v>
      </c>
      <c r="C131" s="61">
        <f>AVERAGE(C126:C130)</f>
        <v>0.37142857142857139</v>
      </c>
      <c r="D131" s="61">
        <f>AVERAGE(D126:D130)</f>
        <v>0</v>
      </c>
      <c r="E131" s="61">
        <f>AVERAGE(E126:E130)</f>
        <v>8.5714285714285715E-2</v>
      </c>
      <c r="F131" s="62">
        <f t="shared" si="7"/>
        <v>1</v>
      </c>
      <c r="H131" s="171"/>
      <c r="I131" s="61">
        <f>AVERAGE(I126:I130)</f>
        <v>0.46666666666666662</v>
      </c>
      <c r="J131" s="61">
        <f>AVERAGE(J126:J130)</f>
        <v>0.33333333333333331</v>
      </c>
      <c r="K131" s="61">
        <f>AVERAGE(K126:K130)</f>
        <v>0</v>
      </c>
      <c r="L131" s="61">
        <f>AVERAGE(L126:L130)</f>
        <v>0.2</v>
      </c>
      <c r="M131" s="62">
        <f t="shared" si="11"/>
        <v>1</v>
      </c>
      <c r="O131" s="171"/>
      <c r="P131" s="61">
        <f>AVERAGE(P126:P130)</f>
        <v>0.6</v>
      </c>
      <c r="Q131" s="61">
        <f>AVERAGE(Q126:Q130)</f>
        <v>0.4</v>
      </c>
      <c r="R131" s="61">
        <f>AVERAGE(R126:R130)</f>
        <v>0</v>
      </c>
      <c r="S131" s="61">
        <f>AVERAGE(S126:S130)</f>
        <v>0</v>
      </c>
      <c r="T131" s="62">
        <f t="shared" si="12"/>
        <v>1</v>
      </c>
      <c r="U131"/>
      <c r="V131" s="171"/>
      <c r="W131" s="61">
        <f>AVERAGE(W126:W130)</f>
        <v>0.6</v>
      </c>
      <c r="X131" s="61">
        <f>AVERAGE(X126:X130)</f>
        <v>0.4</v>
      </c>
      <c r="Y131" s="61">
        <f>AVERAGE(Y126:Y130)</f>
        <v>0</v>
      </c>
      <c r="Z131" s="61">
        <f>AVERAGE(Z126:Z130)</f>
        <v>0</v>
      </c>
      <c r="AA131" s="62">
        <f t="shared" si="13"/>
        <v>1</v>
      </c>
      <c r="AB131"/>
      <c r="AC131"/>
      <c r="AD131"/>
      <c r="AE131"/>
      <c r="AF131"/>
      <c r="AG131"/>
      <c r="AH131"/>
      <c r="AI131"/>
      <c r="AJ131"/>
      <c r="AK131"/>
      <c r="AL131"/>
      <c r="AM131"/>
      <c r="AN131"/>
      <c r="AO131"/>
      <c r="AP131"/>
      <c r="AQ131"/>
      <c r="AR131"/>
    </row>
    <row r="132" spans="1:44" s="118" customFormat="1" ht="16.5" x14ac:dyDescent="0.3">
      <c r="A132" s="168" t="s">
        <v>1181</v>
      </c>
      <c r="B132" s="169">
        <f>COUNTIF(Table91315[I2.1],B$96)/$B$95</f>
        <v>0.2857142857142857</v>
      </c>
      <c r="C132" s="169">
        <f>COUNTIF(Table91315[I2.1],C$96)/$B$95</f>
        <v>0.14285714285714285</v>
      </c>
      <c r="D132" s="169">
        <f>COUNTIF(Table91315[I2.1],D$96)/$B$95</f>
        <v>0.42857142857142855</v>
      </c>
      <c r="E132" s="169">
        <f>COUNTIF(Table91315[I2.1],E$96)/$B$95</f>
        <v>0.14285714285714285</v>
      </c>
      <c r="F132" s="62">
        <f t="shared" si="7"/>
        <v>1</v>
      </c>
      <c r="H132" s="168" t="s">
        <v>1181</v>
      </c>
      <c r="I132" s="169">
        <f>COUNTIFS(Table91315[Prodi],"S1 Desain Komunikasi Visual",Table91315[I2.1],I$96)/$I$95</f>
        <v>0.66666666666666663</v>
      </c>
      <c r="J132" s="169">
        <f>COUNTIFS(Table91315[Prodi],"S1 Desain Komunikasi Visual",Table91315[I2.1],J$96)/$I$95</f>
        <v>0</v>
      </c>
      <c r="K132" s="169">
        <f>COUNTIFS(Table91315[Prodi],"S1 Desain Komunikasi Visual",Table91315[I2.1],K$96)/$I$95</f>
        <v>0</v>
      </c>
      <c r="L132" s="169">
        <f>COUNTIFS(Table91315[Prodi],"S1 Desain Komunikasi Visual",Table91315[I2.1],L$96)/$I$95</f>
        <v>0.33333333333333331</v>
      </c>
      <c r="M132" s="62">
        <f t="shared" si="11"/>
        <v>1</v>
      </c>
      <c r="O132" s="168" t="s">
        <v>1181</v>
      </c>
      <c r="P132" s="169">
        <f>COUNTIFS(Table91315[Prodi],$P$93,Table91315[I2.1],P$96)/$P$95</f>
        <v>0</v>
      </c>
      <c r="Q132" s="169">
        <f>COUNTIFS(Table91315[Prodi],$P$93,Table91315[I2.1],Q$96)/$P$95</f>
        <v>0</v>
      </c>
      <c r="R132" s="169">
        <f>COUNTIFS(Table91315[Prodi],$P$93,Table91315[I2.1],R$96)/$P$95</f>
        <v>1</v>
      </c>
      <c r="S132" s="169">
        <f>COUNTIFS(Table91315[Prodi],$P$93,Table91315[I2.1],S$96)/$P$95</f>
        <v>0</v>
      </c>
      <c r="T132" s="62">
        <f t="shared" si="12"/>
        <v>1</v>
      </c>
      <c r="U132"/>
      <c r="V132" s="168" t="s">
        <v>1181</v>
      </c>
      <c r="W132" s="169">
        <f>COUNTIFS(Table91315[Prodi],$W$93,Table91315[I2.1],W$96)/$W$95</f>
        <v>0</v>
      </c>
      <c r="X132" s="169">
        <f>COUNTIFS(Table91315[Prodi],$W$93,Table91315[I2.1],X$96)/$W$95</f>
        <v>1</v>
      </c>
      <c r="Y132" s="169">
        <f>COUNTIFS(Table91315[Prodi],$W$93,Table91315[I2.1],Y$96)/$W$95</f>
        <v>0</v>
      </c>
      <c r="Z132" s="169">
        <f>COUNTIFS(Table91315[Prodi],$W$93,Table91315[I2.1],Z$96)/$W$95</f>
        <v>0</v>
      </c>
      <c r="AA132" s="62">
        <f t="shared" si="13"/>
        <v>1</v>
      </c>
      <c r="AB132"/>
      <c r="AC132"/>
      <c r="AD132"/>
      <c r="AE132"/>
      <c r="AF132"/>
      <c r="AG132"/>
      <c r="AH132"/>
      <c r="AI132"/>
      <c r="AJ132"/>
      <c r="AK132"/>
      <c r="AL132"/>
      <c r="AM132"/>
      <c r="AN132"/>
      <c r="AO132"/>
      <c r="AP132"/>
      <c r="AQ132"/>
      <c r="AR132"/>
    </row>
    <row r="133" spans="1:44" s="118" customFormat="1" ht="16.5" x14ac:dyDescent="0.3">
      <c r="A133" s="172" t="s">
        <v>1182</v>
      </c>
      <c r="B133" s="169">
        <f>COUNTIF(Table91315[I2.2],B$96)/$B$95</f>
        <v>0.14285714285714285</v>
      </c>
      <c r="C133" s="169">
        <f>COUNTIF(Table91315[I2.2],C$96)/$B$95</f>
        <v>0.8571428571428571</v>
      </c>
      <c r="D133" s="169">
        <f>COUNTIF(Table91315[I2.2],D$96)/$B$95</f>
        <v>0</v>
      </c>
      <c r="E133" s="169">
        <f>COUNTIF(Table91315[I2.2],E$96)/$B$95</f>
        <v>0</v>
      </c>
      <c r="F133" s="62">
        <f t="shared" si="7"/>
        <v>1</v>
      </c>
      <c r="H133" s="172" t="s">
        <v>1182</v>
      </c>
      <c r="I133" s="169">
        <f>COUNTIFS(Table91315[Prodi],"S1 Desain Komunikasi Visual",Table91315[I2.2],I$96)/$I$95</f>
        <v>0.33333333333333331</v>
      </c>
      <c r="J133" s="169">
        <f>COUNTIFS(Table91315[Prodi],"S1 Desain Komunikasi Visual",Table91315[I2.2],J$96)/$I$95</f>
        <v>0.66666666666666663</v>
      </c>
      <c r="K133" s="169">
        <f>COUNTIFS(Table91315[Prodi],"S1 Desain Komunikasi Visual",Table91315[I2.2],K$96)/$I$95</f>
        <v>0</v>
      </c>
      <c r="L133" s="169">
        <f>COUNTIFS(Table91315[Prodi],"S1 Desain Komunikasi Visual",Table91315[I2.2],L$96)/$I$95</f>
        <v>0</v>
      </c>
      <c r="M133" s="62">
        <f t="shared" si="11"/>
        <v>1</v>
      </c>
      <c r="O133" s="172" t="s">
        <v>1182</v>
      </c>
      <c r="P133" s="169">
        <f>COUNTIFS(Table91315[Prodi],$P$93,Table91315[I2.2],P$96)/$P$95</f>
        <v>0</v>
      </c>
      <c r="Q133" s="169">
        <f>COUNTIFS(Table91315[Prodi],$P$93,Table91315[I2.2],Q$96)/$P$95</f>
        <v>1</v>
      </c>
      <c r="R133" s="169">
        <f>COUNTIFS(Table91315[Prodi],$P$93,Table91315[I2.2],R$96)/$P$95</f>
        <v>0</v>
      </c>
      <c r="S133" s="169">
        <f>COUNTIFS(Table91315[Prodi],$P$93,Table91315[I2.2],S$96)/$P$95</f>
        <v>0</v>
      </c>
      <c r="T133" s="62">
        <f t="shared" si="12"/>
        <v>1</v>
      </c>
      <c r="U133"/>
      <c r="V133" s="172" t="s">
        <v>1182</v>
      </c>
      <c r="W133" s="169">
        <f>COUNTIFS(Table91315[Prodi],$W$93,Table91315[I2.2],W$96)/$W$95</f>
        <v>0</v>
      </c>
      <c r="X133" s="169">
        <f>COUNTIFS(Table91315[Prodi],$W$93,Table91315[I2.2],X$96)/$W$95</f>
        <v>1</v>
      </c>
      <c r="Y133" s="169">
        <f>COUNTIFS(Table91315[Prodi],$W$93,Table91315[I2.2],Y$96)/$W$95</f>
        <v>0</v>
      </c>
      <c r="Z133" s="169">
        <f>COUNTIFS(Table91315[Prodi],$W$93,Table91315[I2.2],Z$96)/$W$95</f>
        <v>0</v>
      </c>
      <c r="AA133" s="62">
        <f t="shared" si="13"/>
        <v>1</v>
      </c>
      <c r="AB133"/>
      <c r="AC133"/>
      <c r="AD133"/>
      <c r="AE133"/>
      <c r="AF133"/>
      <c r="AG133"/>
      <c r="AH133"/>
      <c r="AI133"/>
      <c r="AJ133"/>
      <c r="AK133"/>
      <c r="AL133"/>
      <c r="AM133"/>
      <c r="AN133"/>
      <c r="AO133"/>
      <c r="AP133"/>
      <c r="AQ133"/>
      <c r="AR133"/>
    </row>
    <row r="134" spans="1:44" s="118" customFormat="1" ht="16.5" x14ac:dyDescent="0.3">
      <c r="A134" s="168" t="s">
        <v>1183</v>
      </c>
      <c r="B134" s="169">
        <f>COUNTIF(Table91315[I2.3],B$96)/$B$95</f>
        <v>0.14285714285714285</v>
      </c>
      <c r="C134" s="169">
        <f>COUNTIF(Table91315[I2.3],C$96)/$B$95</f>
        <v>0.7142857142857143</v>
      </c>
      <c r="D134" s="169">
        <f>COUNTIF(Table91315[I2.3],D$96)/$B$95</f>
        <v>0</v>
      </c>
      <c r="E134" s="169">
        <f>COUNTIF(Table91315[I2.3],E$96)/$B$95</f>
        <v>0.14285714285714285</v>
      </c>
      <c r="F134" s="62">
        <f t="shared" si="7"/>
        <v>1</v>
      </c>
      <c r="H134" s="168" t="s">
        <v>1183</v>
      </c>
      <c r="I134" s="169">
        <f>COUNTIFS(Table91315[Prodi],"S1 Desain Komunikasi Visual",Table91315[I2.3],I$96)/$I$95</f>
        <v>0</v>
      </c>
      <c r="J134" s="169">
        <f>COUNTIFS(Table91315[Prodi],"S1 Desain Komunikasi Visual",Table91315[I2.3],J$96)/$I$95</f>
        <v>0.66666666666666663</v>
      </c>
      <c r="K134" s="169">
        <f>COUNTIFS(Table91315[Prodi],"S1 Desain Komunikasi Visual",Table91315[I2.3],K$96)/$I$95</f>
        <v>0</v>
      </c>
      <c r="L134" s="169">
        <f>COUNTIFS(Table91315[Prodi],"S1 Desain Komunikasi Visual",Table91315[I2.3],L$96)/$I$95</f>
        <v>0.33333333333333331</v>
      </c>
      <c r="M134" s="62">
        <f t="shared" si="11"/>
        <v>1</v>
      </c>
      <c r="O134" s="168" t="s">
        <v>1183</v>
      </c>
      <c r="P134" s="169">
        <f>COUNTIFS(Table91315[Prodi],$P$93,Table91315[I2.3],P$96)/$P$95</f>
        <v>0.33333333333333331</v>
      </c>
      <c r="Q134" s="169">
        <f>COUNTIFS(Table91315[Prodi],$P$93,Table91315[I2.3],Q$96)/$P$95</f>
        <v>0.66666666666666663</v>
      </c>
      <c r="R134" s="169">
        <f>COUNTIFS(Table91315[Prodi],$P$93,Table91315[I2.3],R$96)/$P$95</f>
        <v>0</v>
      </c>
      <c r="S134" s="169">
        <f>COUNTIFS(Table91315[Prodi],$P$93,Table91315[I2.3],S$96)/$P$95</f>
        <v>0</v>
      </c>
      <c r="T134" s="62">
        <f t="shared" si="12"/>
        <v>1</v>
      </c>
      <c r="U134"/>
      <c r="V134" s="168" t="s">
        <v>1183</v>
      </c>
      <c r="W134" s="169">
        <f>COUNTIFS(Table91315[Prodi],$W$93,Table91315[I2.3],W$96)/$W$95</f>
        <v>0</v>
      </c>
      <c r="X134" s="169">
        <f>COUNTIFS(Table91315[Prodi],$W$93,Table91315[I2.3],X$96)/$W$95</f>
        <v>1</v>
      </c>
      <c r="Y134" s="169">
        <f>COUNTIFS(Table91315[Prodi],$W$93,Table91315[I2.3],Y$96)/$W$95</f>
        <v>0</v>
      </c>
      <c r="Z134" s="169">
        <f>COUNTIFS(Table91315[Prodi],$W$93,Table91315[I2.3],Z$96)/$W$95</f>
        <v>0</v>
      </c>
      <c r="AA134" s="62">
        <f t="shared" si="13"/>
        <v>1</v>
      </c>
      <c r="AB134"/>
      <c r="AC134"/>
      <c r="AD134"/>
      <c r="AE134"/>
      <c r="AF134"/>
      <c r="AG134"/>
      <c r="AH134"/>
      <c r="AI134"/>
      <c r="AJ134"/>
      <c r="AK134"/>
      <c r="AL134"/>
      <c r="AM134"/>
      <c r="AN134"/>
      <c r="AO134"/>
      <c r="AP134"/>
      <c r="AQ134"/>
      <c r="AR134"/>
    </row>
    <row r="135" spans="1:44" s="118" customFormat="1" ht="16.5" x14ac:dyDescent="0.3">
      <c r="A135" s="168" t="s">
        <v>1184</v>
      </c>
      <c r="B135" s="169">
        <f>COUNTIF(Table91315[I2.4],B$96)/$B$95</f>
        <v>0</v>
      </c>
      <c r="C135" s="169">
        <f>COUNTIF(Table91315[I2.4],C$96)/$B$95</f>
        <v>0.8571428571428571</v>
      </c>
      <c r="D135" s="169">
        <f>COUNTIF(Table91315[I2.4],D$96)/$B$95</f>
        <v>0</v>
      </c>
      <c r="E135" s="169">
        <f>COUNTIF(Table91315[I2.4],E$96)/$B$95</f>
        <v>0.14285714285714285</v>
      </c>
      <c r="F135" s="62">
        <f t="shared" si="7"/>
        <v>1</v>
      </c>
      <c r="H135" s="168" t="s">
        <v>1184</v>
      </c>
      <c r="I135" s="169">
        <f>COUNTIFS(Table91315[Prodi],"S1 Desain Komunikasi Visual",Table91315[I2.4],I$96)/$I$95</f>
        <v>0</v>
      </c>
      <c r="J135" s="169">
        <f>COUNTIFS(Table91315[Prodi],"S1 Desain Komunikasi Visual",Table91315[I2.4],J$96)/$I$95</f>
        <v>0.66666666666666663</v>
      </c>
      <c r="K135" s="169">
        <f>COUNTIFS(Table91315[Prodi],"S1 Desain Komunikasi Visual",Table91315[I2.4],K$96)/$I$95</f>
        <v>0</v>
      </c>
      <c r="L135" s="169">
        <f>COUNTIFS(Table91315[Prodi],"S1 Desain Komunikasi Visual",Table91315[I2.4],L$96)/$I$95</f>
        <v>0.33333333333333331</v>
      </c>
      <c r="M135" s="62">
        <f t="shared" si="11"/>
        <v>1</v>
      </c>
      <c r="O135" s="168" t="s">
        <v>1184</v>
      </c>
      <c r="P135" s="169">
        <f>COUNTIFS(Table91315[Prodi],$P$93,Table91315[I2.4],P$96)/$P$95</f>
        <v>0</v>
      </c>
      <c r="Q135" s="169">
        <f>COUNTIFS(Table91315[Prodi],$P$93,Table91315[I2.4],Q$96)/$P$95</f>
        <v>1</v>
      </c>
      <c r="R135" s="169">
        <f>COUNTIFS(Table91315[Prodi],$P$93,Table91315[I2.4],R$96)/$P$95</f>
        <v>0</v>
      </c>
      <c r="S135" s="169">
        <f>COUNTIFS(Table91315[Prodi],$P$93,Table91315[I2.4],S$96)/$P$95</f>
        <v>0</v>
      </c>
      <c r="T135" s="62">
        <f t="shared" si="12"/>
        <v>1</v>
      </c>
      <c r="U135"/>
      <c r="V135" s="168" t="s">
        <v>1184</v>
      </c>
      <c r="W135" s="169">
        <f>COUNTIFS(Table91315[Prodi],$W$93,Table91315[I2.4],W$96)/$W$95</f>
        <v>0</v>
      </c>
      <c r="X135" s="169">
        <f>COUNTIFS(Table91315[Prodi],$W$93,Table91315[I2.4],X$96)/$W$95</f>
        <v>1</v>
      </c>
      <c r="Y135" s="169">
        <f>COUNTIFS(Table91315[Prodi],$W$93,Table91315[I2.4],Y$96)/$W$95</f>
        <v>0</v>
      </c>
      <c r="Z135" s="169">
        <f>COUNTIFS(Table91315[Prodi],$W$93,Table91315[I2.4],Z$96)/$W$95</f>
        <v>0</v>
      </c>
      <c r="AA135" s="62">
        <f t="shared" si="13"/>
        <v>1</v>
      </c>
      <c r="AB135"/>
      <c r="AC135"/>
      <c r="AD135"/>
      <c r="AE135"/>
      <c r="AF135"/>
      <c r="AG135"/>
      <c r="AH135"/>
      <c r="AI135"/>
      <c r="AJ135"/>
      <c r="AK135"/>
      <c r="AL135"/>
      <c r="AM135"/>
      <c r="AN135"/>
      <c r="AO135"/>
      <c r="AP135"/>
      <c r="AQ135"/>
      <c r="AR135"/>
    </row>
    <row r="136" spans="1:44" s="118" customFormat="1" ht="17.25" thickBot="1" x14ac:dyDescent="0.35">
      <c r="A136" s="173"/>
      <c r="B136" s="68">
        <f>AVERAGE(B132:B135)</f>
        <v>0.14285714285714285</v>
      </c>
      <c r="C136" s="68">
        <f>AVERAGE(C132:C135)</f>
        <v>0.6428571428571429</v>
      </c>
      <c r="D136" s="68">
        <f>AVERAGE(D132:D135)</f>
        <v>0.10714285714285714</v>
      </c>
      <c r="E136" s="68">
        <f>AVERAGE(E132:E135)</f>
        <v>0.10714285714285714</v>
      </c>
      <c r="F136" s="174">
        <f t="shared" si="7"/>
        <v>1</v>
      </c>
      <c r="H136" s="173"/>
      <c r="I136" s="68">
        <f>AVERAGE(I132:I135)</f>
        <v>0.25</v>
      </c>
      <c r="J136" s="68">
        <f>AVERAGE(J132:J135)</f>
        <v>0.5</v>
      </c>
      <c r="K136" s="68">
        <f>AVERAGE(K132:K135)</f>
        <v>0</v>
      </c>
      <c r="L136" s="68">
        <f>AVERAGE(L132:L135)</f>
        <v>0.25</v>
      </c>
      <c r="M136" s="174">
        <f t="shared" si="11"/>
        <v>1</v>
      </c>
      <c r="O136" s="173"/>
      <c r="P136" s="68">
        <f>AVERAGE(P132:P135)</f>
        <v>8.3333333333333329E-2</v>
      </c>
      <c r="Q136" s="68">
        <f>AVERAGE(Q132:Q135)</f>
        <v>0.66666666666666663</v>
      </c>
      <c r="R136" s="68">
        <f>AVERAGE(R132:R135)</f>
        <v>0.25</v>
      </c>
      <c r="S136" s="68">
        <f>AVERAGE(S132:S135)</f>
        <v>0</v>
      </c>
      <c r="T136" s="174">
        <f t="shared" si="12"/>
        <v>1</v>
      </c>
      <c r="U136"/>
      <c r="V136" s="173"/>
      <c r="W136" s="68">
        <f>AVERAGE(W132:W135)</f>
        <v>0</v>
      </c>
      <c r="X136" s="68">
        <f>AVERAGE(X132:X135)</f>
        <v>1</v>
      </c>
      <c r="Y136" s="68">
        <f>AVERAGE(Y132:Y135)</f>
        <v>0</v>
      </c>
      <c r="Z136" s="68">
        <f>AVERAGE(Z132:Z135)</f>
        <v>0</v>
      </c>
      <c r="AA136" s="174">
        <f t="shared" si="13"/>
        <v>1</v>
      </c>
      <c r="AB136"/>
      <c r="AC136"/>
      <c r="AD136"/>
      <c r="AE136"/>
      <c r="AF136"/>
      <c r="AG136"/>
      <c r="AH136"/>
      <c r="AI136"/>
      <c r="AJ136"/>
      <c r="AK136"/>
      <c r="AL136"/>
      <c r="AM136"/>
      <c r="AN136"/>
      <c r="AO136"/>
      <c r="AP136"/>
      <c r="AQ136"/>
      <c r="AR136"/>
    </row>
    <row r="137" spans="1:44" s="118" customFormat="1" ht="15.75" thickBot="1" x14ac:dyDescent="0.3">
      <c r="A137" s="119"/>
      <c r="B137" s="119"/>
      <c r="C137"/>
      <c r="O137"/>
      <c r="P137"/>
      <c r="Q137"/>
      <c r="R137"/>
      <c r="S137"/>
      <c r="T137"/>
      <c r="U137"/>
      <c r="V137"/>
      <c r="W137"/>
      <c r="X137"/>
      <c r="Y137"/>
      <c r="Z137"/>
      <c r="AA137"/>
      <c r="AB137"/>
      <c r="AC137"/>
      <c r="AD137"/>
      <c r="AE137"/>
      <c r="AF137"/>
      <c r="AG137"/>
      <c r="AH137"/>
      <c r="AI137"/>
      <c r="AJ137"/>
      <c r="AK137"/>
      <c r="AL137"/>
      <c r="AM137"/>
      <c r="AN137"/>
      <c r="AO137"/>
      <c r="AP137"/>
      <c r="AQ137"/>
      <c r="AR137"/>
    </row>
    <row r="138" spans="1:44" s="118" customFormat="1" ht="17.25" thickBot="1" x14ac:dyDescent="0.3">
      <c r="A138" s="64" t="s">
        <v>14</v>
      </c>
      <c r="B138" s="65" t="s">
        <v>1185</v>
      </c>
      <c r="C138"/>
      <c r="D138"/>
      <c r="E138"/>
      <c r="F138"/>
      <c r="H138" s="64" t="s">
        <v>14</v>
      </c>
      <c r="I138" s="65" t="s">
        <v>1357</v>
      </c>
      <c r="J138"/>
      <c r="K138"/>
      <c r="L138"/>
      <c r="M138"/>
      <c r="N138"/>
      <c r="O138" s="64" t="s">
        <v>14</v>
      </c>
      <c r="P138" s="65" t="s">
        <v>1577</v>
      </c>
      <c r="Q138"/>
      <c r="R138"/>
      <c r="S138"/>
      <c r="T138"/>
      <c r="U138"/>
      <c r="V138" s="64" t="s">
        <v>14</v>
      </c>
      <c r="W138" s="65" t="s">
        <v>67</v>
      </c>
      <c r="X138"/>
      <c r="Y138"/>
      <c r="Z138"/>
      <c r="AA138"/>
      <c r="AB138"/>
      <c r="AC138"/>
      <c r="AD138"/>
      <c r="AE138"/>
      <c r="AF138"/>
      <c r="AG138"/>
      <c r="AH138"/>
      <c r="AI138"/>
      <c r="AJ138"/>
      <c r="AK138"/>
      <c r="AL138"/>
      <c r="AM138"/>
      <c r="AN138"/>
      <c r="AO138"/>
      <c r="AP138"/>
      <c r="AQ138"/>
      <c r="AR138"/>
    </row>
    <row r="139" spans="1:44" s="118" customFormat="1" ht="17.25" thickBot="1" x14ac:dyDescent="0.3">
      <c r="A139" s="64" t="s">
        <v>647</v>
      </c>
      <c r="B139" s="65">
        <v>2023</v>
      </c>
      <c r="C139"/>
      <c r="D139"/>
      <c r="E139"/>
      <c r="F139"/>
      <c r="H139" s="64" t="s">
        <v>647</v>
      </c>
      <c r="I139" s="65">
        <v>2023</v>
      </c>
      <c r="J139"/>
      <c r="K139"/>
      <c r="L139"/>
      <c r="M139"/>
      <c r="N139"/>
      <c r="O139" s="64" t="s">
        <v>647</v>
      </c>
      <c r="P139" s="65">
        <v>2023</v>
      </c>
      <c r="Q139"/>
      <c r="R139"/>
      <c r="S139"/>
      <c r="T139"/>
      <c r="U139"/>
      <c r="V139" s="64" t="s">
        <v>647</v>
      </c>
      <c r="W139" s="65">
        <v>2023</v>
      </c>
      <c r="X139"/>
      <c r="Y139"/>
      <c r="Z139"/>
      <c r="AA139"/>
      <c r="AB139"/>
      <c r="AC139"/>
      <c r="AD139"/>
      <c r="AE139"/>
      <c r="AF139"/>
      <c r="AG139"/>
      <c r="AH139"/>
      <c r="AI139"/>
      <c r="AJ139"/>
      <c r="AK139"/>
      <c r="AL139"/>
      <c r="AM139"/>
      <c r="AN139"/>
      <c r="AO139"/>
      <c r="AP139"/>
      <c r="AQ139"/>
      <c r="AR139"/>
    </row>
    <row r="140" spans="1:44" s="118" customFormat="1" ht="17.25" thickBot="1" x14ac:dyDescent="0.3">
      <c r="A140" s="64" t="s">
        <v>646</v>
      </c>
      <c r="B140" s="65">
        <f>I140+P140+W140</f>
        <v>2</v>
      </c>
      <c r="C140"/>
      <c r="D140"/>
      <c r="E140"/>
      <c r="F140"/>
      <c r="H140" s="64" t="s">
        <v>646</v>
      </c>
      <c r="I140" s="65">
        <f>COUNTIF(Table101416[Prodi],I138)</f>
        <v>1</v>
      </c>
      <c r="J140"/>
      <c r="K140"/>
      <c r="L140"/>
      <c r="M140"/>
      <c r="N140"/>
      <c r="O140" s="64" t="s">
        <v>646</v>
      </c>
      <c r="P140" s="65">
        <f>COUNTIF(Table101416[Prodi],P138)</f>
        <v>1</v>
      </c>
      <c r="Q140"/>
      <c r="R140"/>
      <c r="S140"/>
      <c r="T140"/>
      <c r="U140"/>
      <c r="V140" s="64" t="s">
        <v>646</v>
      </c>
      <c r="W140" s="65">
        <f>COUNTIF(Table101416[Prodi],W138)</f>
        <v>0</v>
      </c>
      <c r="X140"/>
      <c r="Y140"/>
      <c r="Z140"/>
      <c r="AA140"/>
      <c r="AB140"/>
      <c r="AC140"/>
      <c r="AD140"/>
      <c r="AE140"/>
      <c r="AF140"/>
      <c r="AG140"/>
      <c r="AH140"/>
      <c r="AI140"/>
      <c r="AJ140"/>
      <c r="AK140"/>
      <c r="AL140"/>
      <c r="AM140"/>
      <c r="AN140"/>
      <c r="AO140"/>
      <c r="AP140"/>
      <c r="AQ140"/>
      <c r="AR140"/>
    </row>
    <row r="141" spans="1:44" s="118" customFormat="1" ht="16.5" x14ac:dyDescent="0.3">
      <c r="A141" s="55"/>
      <c r="B141" s="56" t="s">
        <v>1205</v>
      </c>
      <c r="C141" s="56" t="s">
        <v>1206</v>
      </c>
      <c r="D141" s="56" t="s">
        <v>1229</v>
      </c>
      <c r="E141" s="56" t="s">
        <v>1436</v>
      </c>
      <c r="F141" s="56"/>
      <c r="H141" s="55"/>
      <c r="I141" s="56" t="s">
        <v>1205</v>
      </c>
      <c r="J141" s="56" t="s">
        <v>1206</v>
      </c>
      <c r="K141" s="56" t="s">
        <v>1229</v>
      </c>
      <c r="L141" s="56" t="s">
        <v>1436</v>
      </c>
      <c r="M141" s="56"/>
      <c r="N141"/>
      <c r="O141" s="55"/>
      <c r="P141" s="56" t="s">
        <v>1205</v>
      </c>
      <c r="Q141" s="56" t="s">
        <v>1206</v>
      </c>
      <c r="R141" s="56" t="s">
        <v>1229</v>
      </c>
      <c r="S141" s="56" t="s">
        <v>1436</v>
      </c>
      <c r="T141" s="56"/>
      <c r="U141"/>
      <c r="V141" s="55"/>
      <c r="W141" s="56" t="s">
        <v>1205</v>
      </c>
      <c r="X141" s="56" t="s">
        <v>1206</v>
      </c>
      <c r="Y141" s="56" t="s">
        <v>1229</v>
      </c>
      <c r="Z141" s="56" t="s">
        <v>1436</v>
      </c>
      <c r="AA141" s="56"/>
      <c r="AB141"/>
      <c r="AC141"/>
      <c r="AD141"/>
      <c r="AE141"/>
      <c r="AF141"/>
      <c r="AG141"/>
      <c r="AH141"/>
      <c r="AI141"/>
      <c r="AJ141"/>
      <c r="AK141"/>
      <c r="AL141"/>
      <c r="AM141"/>
      <c r="AN141"/>
      <c r="AO141"/>
      <c r="AP141"/>
      <c r="AQ141"/>
      <c r="AR141"/>
    </row>
    <row r="142" spans="1:44" s="118" customFormat="1" ht="16.5" x14ac:dyDescent="0.3">
      <c r="A142" s="57" t="s">
        <v>26</v>
      </c>
      <c r="B142" s="66">
        <f>COUNTIF(Table101416[B1],B$141)/$B$140</f>
        <v>0</v>
      </c>
      <c r="C142" s="66">
        <f>COUNTIF(Table101416[B1],C$141)/$B$140</f>
        <v>1</v>
      </c>
      <c r="D142" s="66">
        <f>COUNTIF(Table101416[B1],D$141)/$B$140</f>
        <v>0</v>
      </c>
      <c r="E142" s="66">
        <f>COUNTIF(Table101416[B1],E$141)/$B$140</f>
        <v>0</v>
      </c>
      <c r="F142" s="62">
        <f t="shared" ref="F142:F148" si="14">SUM(B142:E142)</f>
        <v>1</v>
      </c>
      <c r="H142" s="57" t="s">
        <v>26</v>
      </c>
      <c r="I142" s="66">
        <f>COUNTIFS(Table101416[Prodi],$I$138,Table101416[B1],I$141)/$I$140</f>
        <v>0</v>
      </c>
      <c r="J142" s="66">
        <f>COUNTIFS(Table101416[Prodi],$I$138,Table101416[B1],J$141)/$I$140</f>
        <v>1</v>
      </c>
      <c r="K142" s="66">
        <f>COUNTIFS(Table101416[Prodi],$I$138,Table101416[B1],K$141)/$I$140</f>
        <v>0</v>
      </c>
      <c r="L142" s="66">
        <f>COUNTIFS(Table101416[Prodi],$I$138,Table101416[B1],L$141)/$I$140</f>
        <v>0</v>
      </c>
      <c r="M142" s="62">
        <f t="shared" ref="M142:M148" si="15">SUM(I142:L142)</f>
        <v>1</v>
      </c>
      <c r="N142"/>
      <c r="O142" s="57" t="s">
        <v>26</v>
      </c>
      <c r="P142" s="66">
        <f>COUNTIFS(Table101416[Prodi],$P$138,Table101416[B1],P$141)/$P$140</f>
        <v>0</v>
      </c>
      <c r="Q142" s="66">
        <f>COUNTIFS(Table101416[Prodi],$P$138,Table101416[B1],Q$141)/$P$140</f>
        <v>1</v>
      </c>
      <c r="R142" s="66">
        <f>COUNTIFS(Table101416[Prodi],$P$138,Table101416[B1],R$141)/$P$140</f>
        <v>0</v>
      </c>
      <c r="S142" s="66">
        <f>COUNTIFS(Table101416[Prodi],$P$138,Table101416[B1],S$141)/$P$140</f>
        <v>0</v>
      </c>
      <c r="T142" s="62">
        <f t="shared" ref="T142:T148" si="16">SUM(P142:S142)</f>
        <v>1</v>
      </c>
      <c r="U142"/>
      <c r="V142" s="57" t="s">
        <v>26</v>
      </c>
      <c r="W142" s="66" t="e">
        <f>COUNTIFS(Table101416[Prodi],$W$138,Table101416[B1],W$141)/$W$140</f>
        <v>#DIV/0!</v>
      </c>
      <c r="X142" s="66" t="e">
        <f>COUNTIFS(Table101416[Prodi],$W$138,Table101416[B1],X$141)/$W$140</f>
        <v>#DIV/0!</v>
      </c>
      <c r="Y142" s="66" t="e">
        <f>COUNTIFS(Table101416[Prodi],$W$138,Table101416[B1],Y$141)/$W$140</f>
        <v>#DIV/0!</v>
      </c>
      <c r="Z142" s="66" t="e">
        <f>COUNTIFS(Table101416[Prodi],$W$138,Table101416[B1],Z$141)/$W$140</f>
        <v>#DIV/0!</v>
      </c>
      <c r="AA142" s="62" t="e">
        <f t="shared" ref="AA142:AA148" si="17">SUM(W142:Z142)</f>
        <v>#DIV/0!</v>
      </c>
      <c r="AB142"/>
      <c r="AC142"/>
      <c r="AD142"/>
      <c r="AE142"/>
      <c r="AF142"/>
      <c r="AG142"/>
      <c r="AH142"/>
      <c r="AI142"/>
      <c r="AJ142"/>
      <c r="AK142"/>
      <c r="AL142"/>
      <c r="AM142"/>
      <c r="AN142"/>
      <c r="AO142"/>
      <c r="AP142"/>
      <c r="AQ142"/>
      <c r="AR142"/>
    </row>
    <row r="143" spans="1:44" s="118" customFormat="1" ht="16.5" x14ac:dyDescent="0.3">
      <c r="A143" s="57" t="s">
        <v>27</v>
      </c>
      <c r="B143" s="66">
        <f>COUNTIF(Table101416[B2],B$141)/$B$140</f>
        <v>1</v>
      </c>
      <c r="C143" s="66">
        <f>COUNTIF(Table101416[B2],C$141)/$B$140</f>
        <v>0</v>
      </c>
      <c r="D143" s="66">
        <f>COUNTIF(Table101416[B2],D$141)/$B$140</f>
        <v>0</v>
      </c>
      <c r="E143" s="66">
        <f>COUNTIF(Table101416[B2],E$141)/$B$140</f>
        <v>0</v>
      </c>
      <c r="F143" s="62">
        <f t="shared" si="14"/>
        <v>1</v>
      </c>
      <c r="H143" s="57" t="s">
        <v>27</v>
      </c>
      <c r="I143" s="66">
        <f>COUNTIFS(Table101416[Prodi],$I$138,Table101416[B2],I$141)/$I$140</f>
        <v>1</v>
      </c>
      <c r="J143" s="66">
        <f>COUNTIFS(Table101416[Prodi],$I$138,Table101416[B2],J$141)/$I$140</f>
        <v>0</v>
      </c>
      <c r="K143" s="66">
        <f>COUNTIFS(Table101416[Prodi],$I$138,Table101416[B2],K$141)/$I$140</f>
        <v>0</v>
      </c>
      <c r="L143" s="66">
        <f>COUNTIFS(Table101416[Prodi],$I$138,Table101416[B2],L$141)/$I$140</f>
        <v>0</v>
      </c>
      <c r="M143" s="62">
        <f t="shared" si="15"/>
        <v>1</v>
      </c>
      <c r="N143"/>
      <c r="O143" s="57" t="s">
        <v>27</v>
      </c>
      <c r="P143" s="66">
        <f>COUNTIFS(Table101416[Prodi],$P$138,Table101416[B2],P$141)/$P$140</f>
        <v>1</v>
      </c>
      <c r="Q143" s="66">
        <f>COUNTIFS(Table101416[Prodi],$P$138,Table101416[B2],Q$141)/$P$140</f>
        <v>0</v>
      </c>
      <c r="R143" s="66">
        <f>COUNTIFS(Table101416[Prodi],$P$138,Table101416[B2],R$141)/$P$140</f>
        <v>0</v>
      </c>
      <c r="S143" s="66">
        <f>COUNTIFS(Table101416[Prodi],$P$138,Table101416[B2],S$141)/$P$140</f>
        <v>0</v>
      </c>
      <c r="T143" s="62">
        <f t="shared" si="16"/>
        <v>1</v>
      </c>
      <c r="U143"/>
      <c r="V143" s="57" t="s">
        <v>27</v>
      </c>
      <c r="W143" s="66" t="e">
        <f>COUNTIFS(Table101416[Prodi],$W$138,Table101416[B2],W$141)/$W$140</f>
        <v>#DIV/0!</v>
      </c>
      <c r="X143" s="66" t="e">
        <f>COUNTIFS(Table101416[Prodi],$W$138,Table101416[B2],X$141)/$W$140</f>
        <v>#DIV/0!</v>
      </c>
      <c r="Y143" s="66" t="e">
        <f>COUNTIFS(Table101416[Prodi],$W$138,Table101416[B2],Y$141)/$W$140</f>
        <v>#DIV/0!</v>
      </c>
      <c r="Z143" s="66" t="e">
        <f>COUNTIFS(Table101416[Prodi],$W$138,Table101416[B2],Z$141)/$W$140</f>
        <v>#DIV/0!</v>
      </c>
      <c r="AA143" s="62" t="e">
        <f t="shared" si="17"/>
        <v>#DIV/0!</v>
      </c>
      <c r="AB143"/>
      <c r="AC143"/>
      <c r="AD143"/>
      <c r="AE143"/>
      <c r="AF143"/>
      <c r="AG143"/>
      <c r="AH143"/>
      <c r="AI143"/>
      <c r="AJ143"/>
      <c r="AK143"/>
      <c r="AL143"/>
      <c r="AM143"/>
      <c r="AN143"/>
      <c r="AO143"/>
      <c r="AP143"/>
      <c r="AQ143"/>
      <c r="AR143"/>
    </row>
    <row r="144" spans="1:44" s="118" customFormat="1" ht="16.5" x14ac:dyDescent="0.3">
      <c r="A144" s="57" t="s">
        <v>28</v>
      </c>
      <c r="B144" s="66">
        <f>COUNTIF(Table101416[B3],B$141)/$B$140</f>
        <v>0</v>
      </c>
      <c r="C144" s="66">
        <f>COUNTIF(Table101416[B3],C$141)/$B$140</f>
        <v>1</v>
      </c>
      <c r="D144" s="66">
        <f>COUNTIF(Table101416[B3],D$141)/$B$140</f>
        <v>0</v>
      </c>
      <c r="E144" s="66">
        <f>COUNTIF(Table101416[B3],E$141)/$B$140</f>
        <v>0</v>
      </c>
      <c r="F144" s="62">
        <f t="shared" si="14"/>
        <v>1</v>
      </c>
      <c r="H144" s="57" t="s">
        <v>28</v>
      </c>
      <c r="I144" s="66">
        <f>COUNTIFS(Table101416[Prodi],$I$138,Table101416[B3],I$141)/$I$140</f>
        <v>0</v>
      </c>
      <c r="J144" s="66">
        <f>COUNTIFS(Table101416[Prodi],$I$138,Table101416[B3],J$141)/$I$140</f>
        <v>1</v>
      </c>
      <c r="K144" s="66">
        <f>COUNTIFS(Table101416[Prodi],$I$138,Table101416[B3],K$141)/$I$140</f>
        <v>0</v>
      </c>
      <c r="L144" s="66">
        <f>COUNTIFS(Table101416[Prodi],$I$138,Table101416[B3],L$141)/$I$140</f>
        <v>0</v>
      </c>
      <c r="M144" s="62">
        <f t="shared" si="15"/>
        <v>1</v>
      </c>
      <c r="N144"/>
      <c r="O144" s="57" t="s">
        <v>28</v>
      </c>
      <c r="P144" s="66">
        <f>COUNTIFS(Table101416[Prodi],$P$138,Table101416[B3],P$141)/$P$140</f>
        <v>0</v>
      </c>
      <c r="Q144" s="66">
        <f>COUNTIFS(Table101416[Prodi],$P$138,Table101416[B3],Q$141)/$P$140</f>
        <v>1</v>
      </c>
      <c r="R144" s="66">
        <f>COUNTIFS(Table101416[Prodi],$P$138,Table101416[B3],R$141)/$P$140</f>
        <v>0</v>
      </c>
      <c r="S144" s="66">
        <f>COUNTIFS(Table101416[Prodi],$P$138,Table101416[B3],S$141)/$P$140</f>
        <v>0</v>
      </c>
      <c r="T144" s="62">
        <f t="shared" si="16"/>
        <v>1</v>
      </c>
      <c r="U144"/>
      <c r="V144" s="57" t="s">
        <v>28</v>
      </c>
      <c r="W144" s="66" t="e">
        <f>COUNTIFS(Table101416[Prodi],$W$138,Table101416[B3],W$141)/$W$140</f>
        <v>#DIV/0!</v>
      </c>
      <c r="X144" s="66" t="e">
        <f>COUNTIFS(Table101416[Prodi],$W$138,Table101416[B3],X$141)/$W$140</f>
        <v>#DIV/0!</v>
      </c>
      <c r="Y144" s="66" t="e">
        <f>COUNTIFS(Table101416[Prodi],$W$138,Table101416[B3],Y$141)/$W$140</f>
        <v>#DIV/0!</v>
      </c>
      <c r="Z144" s="66" t="e">
        <f>COUNTIFS(Table101416[Prodi],$W$138,Table101416[B3],Z$141)/$W$140</f>
        <v>#DIV/0!</v>
      </c>
      <c r="AA144" s="62" t="e">
        <f t="shared" si="17"/>
        <v>#DIV/0!</v>
      </c>
      <c r="AB144"/>
      <c r="AC144"/>
      <c r="AD144"/>
      <c r="AE144"/>
      <c r="AF144"/>
      <c r="AG144"/>
      <c r="AH144"/>
      <c r="AI144"/>
      <c r="AJ144"/>
      <c r="AK144"/>
      <c r="AL144"/>
      <c r="AM144"/>
      <c r="AN144"/>
      <c r="AO144"/>
      <c r="AP144"/>
      <c r="AQ144"/>
      <c r="AR144"/>
    </row>
    <row r="145" spans="1:44" s="118" customFormat="1" ht="16.5" x14ac:dyDescent="0.3">
      <c r="A145" s="57" t="s">
        <v>29</v>
      </c>
      <c r="B145" s="66">
        <f>COUNTIF(Table101416[B4],B$141)/$B$140</f>
        <v>0</v>
      </c>
      <c r="C145" s="66">
        <f>COUNTIF(Table101416[B4],C$141)/$B$140</f>
        <v>1</v>
      </c>
      <c r="D145" s="66">
        <f>COUNTIF(Table101416[B4],D$141)/$B$140</f>
        <v>0</v>
      </c>
      <c r="E145" s="66">
        <f>COUNTIF(Table101416[B4],E$141)/$B$140</f>
        <v>0</v>
      </c>
      <c r="F145" s="62">
        <f t="shared" si="14"/>
        <v>1</v>
      </c>
      <c r="H145" s="57" t="s">
        <v>29</v>
      </c>
      <c r="I145" s="66">
        <f>COUNTIFS(Table101416[Prodi],$I$138,Table101416[B4],I$141)/$I$140</f>
        <v>0</v>
      </c>
      <c r="J145" s="66">
        <f>COUNTIFS(Table101416[Prodi],$I$138,Table101416[B4],J$141)/$I$140</f>
        <v>1</v>
      </c>
      <c r="K145" s="66">
        <f>COUNTIFS(Table101416[Prodi],$I$138,Table101416[B4],K$141)/$I$140</f>
        <v>0</v>
      </c>
      <c r="L145" s="66">
        <f>COUNTIFS(Table101416[Prodi],$I$138,Table101416[B4],L$141)/$I$140</f>
        <v>0</v>
      </c>
      <c r="M145" s="62">
        <f t="shared" si="15"/>
        <v>1</v>
      </c>
      <c r="N145"/>
      <c r="O145" s="57" t="s">
        <v>29</v>
      </c>
      <c r="P145" s="66">
        <f>COUNTIFS(Table101416[Prodi],$P$138,Table101416[B4],P$141)/$P$140</f>
        <v>0</v>
      </c>
      <c r="Q145" s="66">
        <f>COUNTIFS(Table101416[Prodi],$P$138,Table101416[B4],Q$141)/$P$140</f>
        <v>1</v>
      </c>
      <c r="R145" s="66">
        <f>COUNTIFS(Table101416[Prodi],$P$138,Table101416[B4],R$141)/$P$140</f>
        <v>0</v>
      </c>
      <c r="S145" s="66">
        <f>COUNTIFS(Table101416[Prodi],$P$138,Table101416[B4],S$141)/$P$140</f>
        <v>0</v>
      </c>
      <c r="T145" s="62">
        <f t="shared" si="16"/>
        <v>1</v>
      </c>
      <c r="U145"/>
      <c r="V145" s="57" t="s">
        <v>29</v>
      </c>
      <c r="W145" s="66" t="e">
        <f>COUNTIFS(Table101416[Prodi],$W$138,Table101416[B4],W$141)/$W$140</f>
        <v>#DIV/0!</v>
      </c>
      <c r="X145" s="66" t="e">
        <f>COUNTIFS(Table101416[Prodi],$W$138,Table101416[B4],X$141)/$W$140</f>
        <v>#DIV/0!</v>
      </c>
      <c r="Y145" s="66" t="e">
        <f>COUNTIFS(Table101416[Prodi],$W$138,Table101416[B4],Y$141)/$W$140</f>
        <v>#DIV/0!</v>
      </c>
      <c r="Z145" s="66" t="e">
        <f>COUNTIFS(Table101416[Prodi],$W$138,Table101416[B4],Z$141)/$W$140</f>
        <v>#DIV/0!</v>
      </c>
      <c r="AA145" s="62" t="e">
        <f t="shared" si="17"/>
        <v>#DIV/0!</v>
      </c>
      <c r="AB145"/>
      <c r="AC145"/>
      <c r="AD145"/>
      <c r="AE145"/>
      <c r="AF145"/>
      <c r="AG145"/>
      <c r="AH145"/>
      <c r="AI145"/>
      <c r="AJ145"/>
      <c r="AK145"/>
      <c r="AL145"/>
      <c r="AM145"/>
      <c r="AN145"/>
      <c r="AO145"/>
      <c r="AP145"/>
      <c r="AQ145"/>
      <c r="AR145"/>
    </row>
    <row r="146" spans="1:44" s="118" customFormat="1" ht="16.5" x14ac:dyDescent="0.3">
      <c r="A146" s="60"/>
      <c r="B146" s="61">
        <f>AVERAGE(B142:B145)</f>
        <v>0.25</v>
      </c>
      <c r="C146" s="61">
        <f>AVERAGE(C142:C145)</f>
        <v>0.75</v>
      </c>
      <c r="D146" s="61">
        <f>AVERAGE(D142:D145)</f>
        <v>0</v>
      </c>
      <c r="E146" s="61">
        <f>AVERAGE(E142:E145)</f>
        <v>0</v>
      </c>
      <c r="F146" s="62">
        <f t="shared" si="14"/>
        <v>1</v>
      </c>
      <c r="H146" s="60"/>
      <c r="I146" s="61">
        <f>AVERAGE(I142:I145)</f>
        <v>0.25</v>
      </c>
      <c r="J146" s="61">
        <f>AVERAGE(J142:J145)</f>
        <v>0.75</v>
      </c>
      <c r="K146" s="61">
        <f>AVERAGE(K142:K145)</f>
        <v>0</v>
      </c>
      <c r="L146" s="61">
        <f>AVERAGE(L142:L145)</f>
        <v>0</v>
      </c>
      <c r="M146" s="62">
        <f t="shared" si="15"/>
        <v>1</v>
      </c>
      <c r="N146"/>
      <c r="O146" s="60"/>
      <c r="P146" s="61">
        <f>AVERAGE(P142:P145)</f>
        <v>0.25</v>
      </c>
      <c r="Q146" s="61">
        <f>AVERAGE(Q142:Q145)</f>
        <v>0.75</v>
      </c>
      <c r="R146" s="61">
        <f>AVERAGE(R142:R145)</f>
        <v>0</v>
      </c>
      <c r="S146" s="61">
        <f>AVERAGE(S142:S145)</f>
        <v>0</v>
      </c>
      <c r="T146" s="62">
        <f t="shared" si="16"/>
        <v>1</v>
      </c>
      <c r="U146"/>
      <c r="V146" s="60"/>
      <c r="W146" s="61" t="e">
        <f>AVERAGE(W142:W145)</f>
        <v>#DIV/0!</v>
      </c>
      <c r="X146" s="61" t="e">
        <f>AVERAGE(X142:X145)</f>
        <v>#DIV/0!</v>
      </c>
      <c r="Y146" s="61" t="e">
        <f>AVERAGE(Y142:Y145)</f>
        <v>#DIV/0!</v>
      </c>
      <c r="Z146" s="61" t="e">
        <f>AVERAGE(Z142:Z145)</f>
        <v>#DIV/0!</v>
      </c>
      <c r="AA146" s="62" t="e">
        <f t="shared" si="17"/>
        <v>#DIV/0!</v>
      </c>
      <c r="AB146"/>
      <c r="AC146"/>
      <c r="AD146"/>
      <c r="AE146"/>
      <c r="AF146"/>
      <c r="AG146"/>
      <c r="AH146"/>
      <c r="AI146"/>
      <c r="AJ146"/>
      <c r="AK146"/>
      <c r="AL146"/>
      <c r="AM146"/>
      <c r="AN146"/>
      <c r="AO146"/>
      <c r="AP146"/>
      <c r="AQ146"/>
      <c r="AR146"/>
    </row>
    <row r="147" spans="1:44" s="118" customFormat="1" ht="16.5" x14ac:dyDescent="0.3">
      <c r="A147" s="57" t="s">
        <v>31</v>
      </c>
      <c r="B147" s="66">
        <f>COUNTIF(Table101416[C1],B$141)/$B$140</f>
        <v>0</v>
      </c>
      <c r="C147" s="66">
        <f>COUNTIF(Table101416[C1],C$141)/$B$140</f>
        <v>1</v>
      </c>
      <c r="D147" s="66">
        <f>COUNTIF(Table101416[C1],D$141)/$B$140</f>
        <v>0</v>
      </c>
      <c r="E147" s="66">
        <f>COUNTIF(Table101416[C1],E$141)/$B$140</f>
        <v>0</v>
      </c>
      <c r="F147" s="62">
        <f t="shared" si="14"/>
        <v>1</v>
      </c>
      <c r="H147" s="57" t="s">
        <v>31</v>
      </c>
      <c r="I147" s="66">
        <f>COUNTIFS(Table101416[Prodi],$I$138,Table101416[C1],I$141)/$I$140</f>
        <v>0</v>
      </c>
      <c r="J147" s="66">
        <f>COUNTIFS(Table101416[Prodi],$I$138,Table101416[C1],J$141)/$I$140</f>
        <v>1</v>
      </c>
      <c r="K147" s="66">
        <f>COUNTIFS(Table101416[Prodi],$I$138,Table101416[C1],K$141)/$I$140</f>
        <v>0</v>
      </c>
      <c r="L147" s="66">
        <f>COUNTIFS(Table101416[Prodi],$I$138,Table101416[C1],L$141)/$I$140</f>
        <v>0</v>
      </c>
      <c r="M147" s="62">
        <f t="shared" si="15"/>
        <v>1</v>
      </c>
      <c r="N147"/>
      <c r="O147" s="57" t="s">
        <v>31</v>
      </c>
      <c r="P147" s="66">
        <f>COUNTIFS(Table101416[Prodi],$P$138,Table101416[C1],P$141)/$P$140</f>
        <v>0</v>
      </c>
      <c r="Q147" s="66">
        <f>COUNTIFS(Table101416[Prodi],$P$138,Table101416[C1],Q$141)/$P$140</f>
        <v>1</v>
      </c>
      <c r="R147" s="66">
        <f>COUNTIFS(Table101416[Prodi],$P$138,Table101416[C1],R$141)/$P$140</f>
        <v>0</v>
      </c>
      <c r="S147" s="66">
        <f>COUNTIFS(Table101416[Prodi],$P$138,Table101416[C1],S$141)/$P$140</f>
        <v>0</v>
      </c>
      <c r="T147" s="62">
        <f t="shared" si="16"/>
        <v>1</v>
      </c>
      <c r="U147"/>
      <c r="V147" s="57" t="s">
        <v>31</v>
      </c>
      <c r="W147" s="66" t="e">
        <f>COUNTIFS(Table101416[Prodi],$W$138,Table101416[C1],W$141)/$W$140</f>
        <v>#DIV/0!</v>
      </c>
      <c r="X147" s="66" t="e">
        <f>COUNTIFS(Table101416[Prodi],$W$138,Table101416[C1],X$141)/$W$140</f>
        <v>#DIV/0!</v>
      </c>
      <c r="Y147" s="66" t="e">
        <f>COUNTIFS(Table101416[Prodi],$W$138,Table101416[C1],Y$141)/$W$140</f>
        <v>#DIV/0!</v>
      </c>
      <c r="Z147" s="66" t="e">
        <f>COUNTIFS(Table101416[Prodi],$W$138,Table101416[C1],Z$141)/$W$140</f>
        <v>#DIV/0!</v>
      </c>
      <c r="AA147" s="62" t="e">
        <f t="shared" si="17"/>
        <v>#DIV/0!</v>
      </c>
      <c r="AB147"/>
      <c r="AC147"/>
      <c r="AD147"/>
      <c r="AE147"/>
      <c r="AF147"/>
      <c r="AG147"/>
      <c r="AH147"/>
      <c r="AI147"/>
      <c r="AJ147"/>
      <c r="AK147"/>
      <c r="AL147"/>
      <c r="AM147"/>
      <c r="AN147"/>
      <c r="AO147"/>
      <c r="AP147"/>
      <c r="AQ147"/>
      <c r="AR147"/>
    </row>
    <row r="148" spans="1:44" s="118" customFormat="1" ht="16.5" x14ac:dyDescent="0.3">
      <c r="A148" s="57" t="s">
        <v>32</v>
      </c>
      <c r="B148" s="66">
        <f>COUNTIF(Table101416[C2],B$141)/$B$140</f>
        <v>1</v>
      </c>
      <c r="C148" s="66">
        <f>COUNTIF(Table101416[C2],C$141)/$B$140</f>
        <v>0</v>
      </c>
      <c r="D148" s="66">
        <f>COUNTIF(Table101416[C2],D$141)/$B$140</f>
        <v>0</v>
      </c>
      <c r="E148" s="66">
        <f>COUNTIF(Table101416[C2],E$141)/$B$140</f>
        <v>0</v>
      </c>
      <c r="F148" s="62">
        <f t="shared" si="14"/>
        <v>1</v>
      </c>
      <c r="H148" s="57" t="s">
        <v>32</v>
      </c>
      <c r="I148" s="66">
        <f>COUNTIFS(Table101416[Prodi],$I$138,Table101416[C2],I$141)/$I$140</f>
        <v>1</v>
      </c>
      <c r="J148" s="66">
        <f>COUNTIFS(Table101416[Prodi],$I$138,Table101416[C2],J$141)/$I$140</f>
        <v>0</v>
      </c>
      <c r="K148" s="66">
        <f>COUNTIFS(Table101416[Prodi],$I$138,Table101416[C2],K$141)/$I$140</f>
        <v>0</v>
      </c>
      <c r="L148" s="66">
        <f>COUNTIFS(Table101416[Prodi],$I$138,Table101416[C2],L$141)/$I$140</f>
        <v>0</v>
      </c>
      <c r="M148" s="62">
        <f t="shared" si="15"/>
        <v>1</v>
      </c>
      <c r="N148"/>
      <c r="O148" s="57" t="s">
        <v>32</v>
      </c>
      <c r="P148" s="66">
        <f>COUNTIFS(Table101416[Prodi],$P$138,Table101416[C2],P$141)/$P$140</f>
        <v>1</v>
      </c>
      <c r="Q148" s="66">
        <f>COUNTIFS(Table101416[Prodi],$P$138,Table101416[C2],Q$141)/$P$140</f>
        <v>0</v>
      </c>
      <c r="R148" s="66">
        <f>COUNTIFS(Table101416[Prodi],$P$138,Table101416[C2],R$141)/$P$140</f>
        <v>0</v>
      </c>
      <c r="S148" s="66">
        <f>COUNTIFS(Table101416[Prodi],$P$138,Table101416[C2],S$141)/$P$140</f>
        <v>0</v>
      </c>
      <c r="T148" s="62">
        <f t="shared" si="16"/>
        <v>1</v>
      </c>
      <c r="U148"/>
      <c r="V148" s="57" t="s">
        <v>32</v>
      </c>
      <c r="W148" s="66" t="e">
        <f>COUNTIFS(Table101416[Prodi],$W$138,Table101416[C2],W$141)/$W$140</f>
        <v>#DIV/0!</v>
      </c>
      <c r="X148" s="66" t="e">
        <f>COUNTIFS(Table101416[Prodi],$W$138,Table101416[C2],X$141)/$W$140</f>
        <v>#DIV/0!</v>
      </c>
      <c r="Y148" s="66" t="e">
        <f>COUNTIFS(Table101416[Prodi],$W$138,Table101416[C2],Y$141)/$W$140</f>
        <v>#DIV/0!</v>
      </c>
      <c r="Z148" s="66" t="e">
        <f>COUNTIFS(Table101416[Prodi],$W$138,Table101416[C2],Z$141)/$W$140</f>
        <v>#DIV/0!</v>
      </c>
      <c r="AA148" s="62" t="e">
        <f t="shared" si="17"/>
        <v>#DIV/0!</v>
      </c>
      <c r="AB148"/>
      <c r="AC148"/>
      <c r="AD148"/>
      <c r="AE148"/>
      <c r="AF148"/>
      <c r="AG148"/>
      <c r="AH148"/>
      <c r="AI148"/>
      <c r="AJ148"/>
      <c r="AK148"/>
      <c r="AL148"/>
      <c r="AM148"/>
      <c r="AN148"/>
      <c r="AO148"/>
      <c r="AP148"/>
      <c r="AQ148"/>
      <c r="AR148"/>
    </row>
    <row r="149" spans="1:44" s="118" customFormat="1" ht="16.5" x14ac:dyDescent="0.3">
      <c r="A149" s="60"/>
      <c r="B149" s="61">
        <f>AVERAGE(B147:B148)</f>
        <v>0.5</v>
      </c>
      <c r="C149" s="61">
        <f>AVERAGE(C147:C148)</f>
        <v>0.5</v>
      </c>
      <c r="D149" s="61">
        <f>AVERAGE(D147:D148)</f>
        <v>0</v>
      </c>
      <c r="E149" s="61">
        <f>AVERAGE(E147:E148)</f>
        <v>0</v>
      </c>
      <c r="F149" s="62">
        <f>SUM(B149:E149)</f>
        <v>1</v>
      </c>
      <c r="H149" s="60"/>
      <c r="I149" s="61">
        <f>AVERAGE(I147:I148)</f>
        <v>0.5</v>
      </c>
      <c r="J149" s="61">
        <f>AVERAGE(J147:J148)</f>
        <v>0.5</v>
      </c>
      <c r="K149" s="61">
        <f>AVERAGE(K147:K148)</f>
        <v>0</v>
      </c>
      <c r="L149" s="61">
        <f>AVERAGE(L147:L148)</f>
        <v>0</v>
      </c>
      <c r="M149" s="62">
        <f>SUM(I149:L149)</f>
        <v>1</v>
      </c>
      <c r="N149"/>
      <c r="O149" s="60"/>
      <c r="P149" s="61">
        <f>AVERAGE(P147:P148)</f>
        <v>0.5</v>
      </c>
      <c r="Q149" s="61">
        <f>AVERAGE(Q147:Q148)</f>
        <v>0.5</v>
      </c>
      <c r="R149" s="61">
        <f>AVERAGE(R147:R148)</f>
        <v>0</v>
      </c>
      <c r="S149" s="61">
        <f>AVERAGE(S147:S148)</f>
        <v>0</v>
      </c>
      <c r="T149" s="62">
        <f>SUM(P149:S149)</f>
        <v>1</v>
      </c>
      <c r="U149"/>
      <c r="V149" s="60"/>
      <c r="W149" s="61" t="e">
        <f>AVERAGE(W147:W148)</f>
        <v>#DIV/0!</v>
      </c>
      <c r="X149" s="61" t="e">
        <f>AVERAGE(X147:X148)</f>
        <v>#DIV/0!</v>
      </c>
      <c r="Y149" s="61" t="e">
        <f>AVERAGE(Y147:Y148)</f>
        <v>#DIV/0!</v>
      </c>
      <c r="Z149" s="61" t="e">
        <f>AVERAGE(Z147:Z148)</f>
        <v>#DIV/0!</v>
      </c>
      <c r="AA149" s="62" t="e">
        <f>SUM(W149:Z149)</f>
        <v>#DIV/0!</v>
      </c>
      <c r="AB149"/>
      <c r="AC149"/>
      <c r="AD149"/>
      <c r="AE149"/>
      <c r="AF149"/>
      <c r="AG149"/>
      <c r="AH149"/>
      <c r="AI149"/>
      <c r="AJ149"/>
      <c r="AK149"/>
      <c r="AL149"/>
      <c r="AM149"/>
      <c r="AN149"/>
      <c r="AO149"/>
      <c r="AP149"/>
      <c r="AQ149"/>
      <c r="AR149"/>
    </row>
    <row r="150" spans="1:44" s="118" customFormat="1" ht="16.5" x14ac:dyDescent="0.3">
      <c r="A150" s="57" t="s">
        <v>33</v>
      </c>
      <c r="B150" s="66">
        <f>COUNTIF(Table101416[D1],B$141)/$B$140</f>
        <v>0.5</v>
      </c>
      <c r="C150" s="66">
        <f>COUNTIF(Table101416[D1],C$141)/$B$140</f>
        <v>0.5</v>
      </c>
      <c r="D150" s="66">
        <f>COUNTIF(Table101416[D1],D$141)/$B$140</f>
        <v>0</v>
      </c>
      <c r="E150" s="66">
        <f>COUNTIF(Table101416[D1],E$141)/$B$140</f>
        <v>0</v>
      </c>
      <c r="F150" s="62">
        <f t="shared" ref="F150:F180" si="18">SUM(B150:E150)</f>
        <v>1</v>
      </c>
      <c r="H150" s="57" t="s">
        <v>33</v>
      </c>
      <c r="I150" s="66">
        <f>COUNTIFS(Table101416[Prodi],$I$138,Table101416[D1],I$141)/$I$140</f>
        <v>0</v>
      </c>
      <c r="J150" s="66">
        <f>COUNTIFS(Table101416[Prodi],$I$138,Table101416[D1],J$141)/$I$140</f>
        <v>1</v>
      </c>
      <c r="K150" s="66">
        <f>COUNTIFS(Table101416[Prodi],$I$138,Table101416[D1],K$141)/$I$140</f>
        <v>0</v>
      </c>
      <c r="L150" s="66">
        <f>COUNTIFS(Table101416[Prodi],$I$138,Table101416[D1],L$141)/$I$140</f>
        <v>0</v>
      </c>
      <c r="M150" s="62">
        <f t="shared" ref="M150:M180" si="19">SUM(I150:L150)</f>
        <v>1</v>
      </c>
      <c r="N150"/>
      <c r="O150" s="57" t="s">
        <v>33</v>
      </c>
      <c r="P150" s="66">
        <f>COUNTIFS(Table101416[Prodi],$P$138,Table101416[D1],P$141)/$P$140</f>
        <v>1</v>
      </c>
      <c r="Q150" s="66">
        <f>COUNTIFS(Table101416[Prodi],$P$138,Table101416[D1],Q$141)/$P$140</f>
        <v>0</v>
      </c>
      <c r="R150" s="66">
        <f>COUNTIFS(Table101416[Prodi],$P$138,Table101416[D1],R$141)/$P$140</f>
        <v>0</v>
      </c>
      <c r="S150" s="66">
        <f>COUNTIFS(Table101416[Prodi],$P$138,Table101416[D1],S$141)/$P$140</f>
        <v>0</v>
      </c>
      <c r="T150" s="62">
        <f t="shared" ref="T150:T180" si="20">SUM(P150:S150)</f>
        <v>1</v>
      </c>
      <c r="U150"/>
      <c r="V150" s="57" t="s">
        <v>33</v>
      </c>
      <c r="W150" s="66" t="e">
        <f>COUNTIFS(Table101416[Prodi],$W$138,Table101416[D1],W$141)/$W$140</f>
        <v>#DIV/0!</v>
      </c>
      <c r="X150" s="66" t="e">
        <f>COUNTIFS(Table101416[Prodi],$W$138,Table101416[D1],X$141)/$W$140</f>
        <v>#DIV/0!</v>
      </c>
      <c r="Y150" s="66" t="e">
        <f>COUNTIFS(Table101416[Prodi],$W$138,Table101416[D1],Y$141)/$W$140</f>
        <v>#DIV/0!</v>
      </c>
      <c r="Z150" s="66" t="e">
        <f>COUNTIFS(Table101416[Prodi],$W$138,Table101416[D1],Z$141)/$W$140</f>
        <v>#DIV/0!</v>
      </c>
      <c r="AA150" s="62" t="e">
        <f t="shared" ref="AA150:AA180" si="21">SUM(W150:Z150)</f>
        <v>#DIV/0!</v>
      </c>
      <c r="AB150"/>
      <c r="AC150"/>
      <c r="AD150"/>
      <c r="AE150"/>
      <c r="AF150"/>
      <c r="AG150"/>
      <c r="AH150"/>
      <c r="AI150"/>
      <c r="AJ150"/>
      <c r="AK150"/>
      <c r="AL150"/>
      <c r="AM150"/>
      <c r="AN150"/>
      <c r="AO150"/>
      <c r="AP150"/>
      <c r="AQ150"/>
      <c r="AR150"/>
    </row>
    <row r="151" spans="1:44" s="118" customFormat="1" ht="16.5" x14ac:dyDescent="0.3">
      <c r="A151" s="57" t="s">
        <v>34</v>
      </c>
      <c r="B151" s="66">
        <f>COUNTIF(Table101416[D2],B$141)/$B$140</f>
        <v>0.5</v>
      </c>
      <c r="C151" s="66">
        <f>COUNTIF(Table101416[D2],C$141)/$B$140</f>
        <v>0.5</v>
      </c>
      <c r="D151" s="66">
        <f>COUNTIF(Table101416[D2],D$141)/$B$140</f>
        <v>0</v>
      </c>
      <c r="E151" s="66">
        <f>COUNTIF(Table101416[D2],E$141)/$B$140</f>
        <v>0</v>
      </c>
      <c r="F151" s="62">
        <f t="shared" si="18"/>
        <v>1</v>
      </c>
      <c r="H151" s="57" t="s">
        <v>34</v>
      </c>
      <c r="I151" s="66">
        <f>COUNTIFS(Table101416[Prodi],$I$138,Table101416[D2],I$141)/$I$140</f>
        <v>1</v>
      </c>
      <c r="J151" s="66">
        <f>COUNTIFS(Table101416[Prodi],$I$138,Table101416[D2],J$141)/$I$140</f>
        <v>0</v>
      </c>
      <c r="K151" s="66">
        <f>COUNTIFS(Table101416[Prodi],$I$138,Table101416[D2],K$141)/$I$140</f>
        <v>0</v>
      </c>
      <c r="L151" s="66">
        <f>COUNTIFS(Table101416[Prodi],$I$138,Table101416[D2],L$141)/$I$140</f>
        <v>0</v>
      </c>
      <c r="M151" s="62">
        <f t="shared" si="19"/>
        <v>1</v>
      </c>
      <c r="N151"/>
      <c r="O151" s="57" t="s">
        <v>34</v>
      </c>
      <c r="P151" s="66">
        <f>COUNTIFS(Table101416[Prodi],$P$138,Table101416[D2],P$141)/$P$140</f>
        <v>0</v>
      </c>
      <c r="Q151" s="66">
        <f>COUNTIFS(Table101416[Prodi],$P$138,Table101416[D2],Q$141)/$P$140</f>
        <v>1</v>
      </c>
      <c r="R151" s="66">
        <f>COUNTIFS(Table101416[Prodi],$P$138,Table101416[D2],R$141)/$P$140</f>
        <v>0</v>
      </c>
      <c r="S151" s="66">
        <f>COUNTIFS(Table101416[Prodi],$P$138,Table101416[D2],S$141)/$P$140</f>
        <v>0</v>
      </c>
      <c r="T151" s="62">
        <f t="shared" si="20"/>
        <v>1</v>
      </c>
      <c r="U151"/>
      <c r="V151" s="57" t="s">
        <v>34</v>
      </c>
      <c r="W151" s="66" t="e">
        <f>COUNTIFS(Table101416[Prodi],$W$138,Table101416[D2],W$141)/$W$140</f>
        <v>#DIV/0!</v>
      </c>
      <c r="X151" s="66" t="e">
        <f>COUNTIFS(Table101416[Prodi],$W$138,Table101416[D2],X$141)/$W$140</f>
        <v>#DIV/0!</v>
      </c>
      <c r="Y151" s="66" t="e">
        <f>COUNTIFS(Table101416[Prodi],$W$138,Table101416[D2],Y$141)/$W$140</f>
        <v>#DIV/0!</v>
      </c>
      <c r="Z151" s="66" t="e">
        <f>COUNTIFS(Table101416[Prodi],$W$138,Table101416[D2],Z$141)/$W$140</f>
        <v>#DIV/0!</v>
      </c>
      <c r="AA151" s="62" t="e">
        <f t="shared" si="21"/>
        <v>#DIV/0!</v>
      </c>
      <c r="AB151"/>
      <c r="AC151"/>
      <c r="AD151"/>
      <c r="AE151"/>
      <c r="AF151"/>
      <c r="AG151"/>
      <c r="AH151"/>
      <c r="AI151"/>
      <c r="AJ151"/>
      <c r="AK151"/>
      <c r="AL151"/>
      <c r="AM151"/>
      <c r="AN151"/>
      <c r="AO151"/>
      <c r="AP151"/>
      <c r="AQ151"/>
      <c r="AR151"/>
    </row>
    <row r="152" spans="1:44" s="118" customFormat="1" ht="16.5" x14ac:dyDescent="0.3">
      <c r="A152" s="60"/>
      <c r="B152" s="61">
        <f>AVERAGE(B150:B151)</f>
        <v>0.5</v>
      </c>
      <c r="C152" s="61">
        <f>AVERAGE(C150:C151)</f>
        <v>0.5</v>
      </c>
      <c r="D152" s="61">
        <f>AVERAGE(D150:D151)</f>
        <v>0</v>
      </c>
      <c r="E152" s="61">
        <f>AVERAGE(E150:E151)</f>
        <v>0</v>
      </c>
      <c r="F152" s="62">
        <f t="shared" si="18"/>
        <v>1</v>
      </c>
      <c r="H152" s="60"/>
      <c r="I152" s="61">
        <f>AVERAGE(I150:I151)</f>
        <v>0.5</v>
      </c>
      <c r="J152" s="61">
        <f>AVERAGE(J150:J151)</f>
        <v>0.5</v>
      </c>
      <c r="K152" s="61">
        <f>AVERAGE(K150:K151)</f>
        <v>0</v>
      </c>
      <c r="L152" s="61">
        <f>AVERAGE(L150:L151)</f>
        <v>0</v>
      </c>
      <c r="M152" s="62">
        <f t="shared" si="19"/>
        <v>1</v>
      </c>
      <c r="N152"/>
      <c r="O152" s="60"/>
      <c r="P152" s="61">
        <f>AVERAGE(P150:P151)</f>
        <v>0.5</v>
      </c>
      <c r="Q152" s="61">
        <f>AVERAGE(Q150:Q151)</f>
        <v>0.5</v>
      </c>
      <c r="R152" s="61">
        <f>AVERAGE(R150:R151)</f>
        <v>0</v>
      </c>
      <c r="S152" s="61">
        <f>AVERAGE(S150:S151)</f>
        <v>0</v>
      </c>
      <c r="T152" s="62">
        <f t="shared" si="20"/>
        <v>1</v>
      </c>
      <c r="U152"/>
      <c r="V152" s="60"/>
      <c r="W152" s="61" t="e">
        <f>AVERAGE(W150:W151)</f>
        <v>#DIV/0!</v>
      </c>
      <c r="X152" s="61" t="e">
        <f>AVERAGE(X150:X151)</f>
        <v>#DIV/0!</v>
      </c>
      <c r="Y152" s="61" t="e">
        <f>AVERAGE(Y150:Y151)</f>
        <v>#DIV/0!</v>
      </c>
      <c r="Z152" s="61" t="e">
        <f>AVERAGE(Z150:Z151)</f>
        <v>#DIV/0!</v>
      </c>
      <c r="AA152" s="62" t="e">
        <f t="shared" si="21"/>
        <v>#DIV/0!</v>
      </c>
      <c r="AB152"/>
      <c r="AC152"/>
      <c r="AD152"/>
      <c r="AE152"/>
      <c r="AF152"/>
      <c r="AG152"/>
      <c r="AH152"/>
      <c r="AI152"/>
      <c r="AJ152"/>
      <c r="AK152"/>
      <c r="AL152"/>
      <c r="AM152"/>
      <c r="AN152"/>
      <c r="AO152"/>
      <c r="AP152"/>
      <c r="AQ152"/>
      <c r="AR152"/>
    </row>
    <row r="153" spans="1:44" s="118" customFormat="1" ht="16.5" x14ac:dyDescent="0.3">
      <c r="A153" s="57" t="s">
        <v>35</v>
      </c>
      <c r="B153" s="66">
        <f>COUNTIF(Table101416[E1],B$141)/$B$140</f>
        <v>0.5</v>
      </c>
      <c r="C153" s="66">
        <f>COUNTIF(Table101416[E1],C$141)/$B$140</f>
        <v>0.5</v>
      </c>
      <c r="D153" s="66">
        <f>COUNTIF(Table101416[E1],D$141)/$B$140</f>
        <v>0</v>
      </c>
      <c r="E153" s="66">
        <f>COUNTIF(Table101416[E1],E$141)/$B$140</f>
        <v>0</v>
      </c>
      <c r="F153" s="62">
        <f t="shared" si="18"/>
        <v>1</v>
      </c>
      <c r="H153" s="57" t="s">
        <v>35</v>
      </c>
      <c r="I153" s="66">
        <f>COUNTIFS(Table101416[Prodi],$I$138,Table101416[E1],I$141)/$I$140</f>
        <v>0</v>
      </c>
      <c r="J153" s="66">
        <f>COUNTIFS(Table101416[Prodi],$I$138,Table101416[E1],J$141)/$I$140</f>
        <v>1</v>
      </c>
      <c r="K153" s="66">
        <f>COUNTIFS(Table101416[Prodi],$I$138,Table101416[E1],K$141)/$I$140</f>
        <v>0</v>
      </c>
      <c r="L153" s="66">
        <f>COUNTIFS(Table101416[Prodi],$I$138,Table101416[E1],L$141)/$I$140</f>
        <v>0</v>
      </c>
      <c r="M153" s="62">
        <f t="shared" si="19"/>
        <v>1</v>
      </c>
      <c r="N153"/>
      <c r="O153" s="57" t="s">
        <v>35</v>
      </c>
      <c r="P153" s="66">
        <f>COUNTIFS(Table101416[Prodi],$P$138,Table101416[E1],P$141)/$P$140</f>
        <v>1</v>
      </c>
      <c r="Q153" s="66">
        <f>COUNTIFS(Table101416[Prodi],$P$138,Table101416[E1],Q$141)/$P$140</f>
        <v>0</v>
      </c>
      <c r="R153" s="66">
        <f>COUNTIFS(Table101416[Prodi],$P$138,Table101416[E1],R$141)/$P$140</f>
        <v>0</v>
      </c>
      <c r="S153" s="66">
        <f>COUNTIFS(Table101416[Prodi],$P$138,Table101416[E1],S$141)/$P$140</f>
        <v>0</v>
      </c>
      <c r="T153" s="62">
        <f t="shared" si="20"/>
        <v>1</v>
      </c>
      <c r="U153"/>
      <c r="V153" s="57" t="s">
        <v>35</v>
      </c>
      <c r="W153" s="66" t="e">
        <f>COUNTIFS(Table101416[Prodi],$W$138,Table101416[E1],W$141)/$W$140</f>
        <v>#DIV/0!</v>
      </c>
      <c r="X153" s="66" t="e">
        <f>COUNTIFS(Table101416[Prodi],$W$138,Table101416[E1],X$141)/$W$140</f>
        <v>#DIV/0!</v>
      </c>
      <c r="Y153" s="66" t="e">
        <f>COUNTIFS(Table101416[Prodi],$W$138,Table101416[E1],Y$141)/$W$140</f>
        <v>#DIV/0!</v>
      </c>
      <c r="Z153" s="66" t="e">
        <f>COUNTIFS(Table101416[Prodi],$W$138,Table101416[E1],Z$141)/$W$140</f>
        <v>#DIV/0!</v>
      </c>
      <c r="AA153" s="62" t="e">
        <f t="shared" si="21"/>
        <v>#DIV/0!</v>
      </c>
      <c r="AB153"/>
      <c r="AC153"/>
      <c r="AD153"/>
      <c r="AE153"/>
      <c r="AF153"/>
      <c r="AG153"/>
      <c r="AH153"/>
      <c r="AI153"/>
      <c r="AJ153"/>
      <c r="AK153"/>
      <c r="AL153"/>
      <c r="AM153"/>
      <c r="AN153"/>
      <c r="AO153"/>
      <c r="AP153"/>
      <c r="AQ153"/>
      <c r="AR153"/>
    </row>
    <row r="154" spans="1:44" s="118" customFormat="1" ht="16.5" x14ac:dyDescent="0.3">
      <c r="A154" s="57" t="s">
        <v>36</v>
      </c>
      <c r="B154" s="66">
        <f>COUNTIF(Table101416[E2],B$141)/$B$140</f>
        <v>0.5</v>
      </c>
      <c r="C154" s="66">
        <f>COUNTIF(Table101416[E2],C$141)/$B$140</f>
        <v>0.5</v>
      </c>
      <c r="D154" s="66">
        <f>COUNTIF(Table101416[E2],D$141)/$B$140</f>
        <v>0</v>
      </c>
      <c r="E154" s="66">
        <f>COUNTIF(Table101416[E2],E$141)/$B$140</f>
        <v>0</v>
      </c>
      <c r="F154" s="62">
        <f t="shared" si="18"/>
        <v>1</v>
      </c>
      <c r="H154" s="57" t="s">
        <v>36</v>
      </c>
      <c r="I154" s="66">
        <f>COUNTIFS(Table101416[Prodi],$I$138,Table101416[E2],I$141)/$I$140</f>
        <v>1</v>
      </c>
      <c r="J154" s="66">
        <f>COUNTIFS(Table101416[Prodi],$I$138,Table101416[E2],J$141)/$I$140</f>
        <v>0</v>
      </c>
      <c r="K154" s="66">
        <f>COUNTIFS(Table101416[Prodi],$I$138,Table101416[E2],K$141)/$I$140</f>
        <v>0</v>
      </c>
      <c r="L154" s="66">
        <f>COUNTIFS(Table101416[Prodi],$I$138,Table101416[E2],L$141)/$I$140</f>
        <v>0</v>
      </c>
      <c r="M154" s="62">
        <f t="shared" si="19"/>
        <v>1</v>
      </c>
      <c r="N154"/>
      <c r="O154" s="57" t="s">
        <v>36</v>
      </c>
      <c r="P154" s="66">
        <f>COUNTIFS(Table101416[Prodi],$P$138,Table101416[E2],P$141)/$P$140</f>
        <v>0</v>
      </c>
      <c r="Q154" s="66">
        <f>COUNTIFS(Table101416[Prodi],$P$138,Table101416[E2],Q$141)/$P$140</f>
        <v>1</v>
      </c>
      <c r="R154" s="66">
        <f>COUNTIFS(Table101416[Prodi],$P$138,Table101416[E2],R$141)/$P$140</f>
        <v>0</v>
      </c>
      <c r="S154" s="66">
        <f>COUNTIFS(Table101416[Prodi],$P$138,Table101416[E2],S$141)/$P$140</f>
        <v>0</v>
      </c>
      <c r="T154" s="62">
        <f t="shared" si="20"/>
        <v>1</v>
      </c>
      <c r="U154"/>
      <c r="V154" s="57" t="s">
        <v>36</v>
      </c>
      <c r="W154" s="66" t="e">
        <f>COUNTIFS(Table101416[Prodi],$W$138,Table101416[E2],W$141)/$W$140</f>
        <v>#DIV/0!</v>
      </c>
      <c r="X154" s="66" t="e">
        <f>COUNTIFS(Table101416[Prodi],$W$138,Table101416[E2],X$141)/$W$140</f>
        <v>#DIV/0!</v>
      </c>
      <c r="Y154" s="66" t="e">
        <f>COUNTIFS(Table101416[Prodi],$W$138,Table101416[E2],Y$141)/$W$140</f>
        <v>#DIV/0!</v>
      </c>
      <c r="Z154" s="66" t="e">
        <f>COUNTIFS(Table101416[Prodi],$W$138,Table101416[E2],Z$141)/$W$140</f>
        <v>#DIV/0!</v>
      </c>
      <c r="AA154" s="62" t="e">
        <f t="shared" si="21"/>
        <v>#DIV/0!</v>
      </c>
      <c r="AB154"/>
      <c r="AC154"/>
      <c r="AD154"/>
      <c r="AE154"/>
      <c r="AF154"/>
      <c r="AG154"/>
      <c r="AH154"/>
      <c r="AI154"/>
      <c r="AJ154"/>
      <c r="AK154"/>
      <c r="AL154"/>
      <c r="AM154"/>
      <c r="AN154"/>
      <c r="AO154"/>
      <c r="AP154"/>
      <c r="AQ154"/>
      <c r="AR154"/>
    </row>
    <row r="155" spans="1:44" s="118" customFormat="1" ht="16.5" x14ac:dyDescent="0.3">
      <c r="A155" s="60"/>
      <c r="B155" s="61">
        <f>AVERAGE(B153:B154)</f>
        <v>0.5</v>
      </c>
      <c r="C155" s="61">
        <f>AVERAGE(C153:C154)</f>
        <v>0.5</v>
      </c>
      <c r="D155" s="61">
        <f>AVERAGE(D153:D154)</f>
        <v>0</v>
      </c>
      <c r="E155" s="61">
        <f>AVERAGE(E153:E154)</f>
        <v>0</v>
      </c>
      <c r="F155" s="62">
        <f t="shared" si="18"/>
        <v>1</v>
      </c>
      <c r="H155" s="60"/>
      <c r="I155" s="61">
        <f>AVERAGE(I153:I154)</f>
        <v>0.5</v>
      </c>
      <c r="J155" s="61">
        <f>AVERAGE(J153:J154)</f>
        <v>0.5</v>
      </c>
      <c r="K155" s="61">
        <f>AVERAGE(K153:K154)</f>
        <v>0</v>
      </c>
      <c r="L155" s="61">
        <f>AVERAGE(L153:L154)</f>
        <v>0</v>
      </c>
      <c r="M155" s="62">
        <f t="shared" si="19"/>
        <v>1</v>
      </c>
      <c r="N155"/>
      <c r="O155" s="60"/>
      <c r="P155" s="61">
        <f>AVERAGE(P153:P154)</f>
        <v>0.5</v>
      </c>
      <c r="Q155" s="61">
        <f>AVERAGE(Q153:Q154)</f>
        <v>0.5</v>
      </c>
      <c r="R155" s="61">
        <f>AVERAGE(R153:R154)</f>
        <v>0</v>
      </c>
      <c r="S155" s="61">
        <f>AVERAGE(S153:S154)</f>
        <v>0</v>
      </c>
      <c r="T155" s="62">
        <f t="shared" si="20"/>
        <v>1</v>
      </c>
      <c r="U155"/>
      <c r="V155" s="60"/>
      <c r="W155" s="61" t="e">
        <f>AVERAGE(W153:W154)</f>
        <v>#DIV/0!</v>
      </c>
      <c r="X155" s="61" t="e">
        <f>AVERAGE(X153:X154)</f>
        <v>#DIV/0!</v>
      </c>
      <c r="Y155" s="61" t="e">
        <f>AVERAGE(Y153:Y154)</f>
        <v>#DIV/0!</v>
      </c>
      <c r="Z155" s="61" t="e">
        <f>AVERAGE(Z153:Z154)</f>
        <v>#DIV/0!</v>
      </c>
      <c r="AA155" s="62" t="e">
        <f t="shared" si="21"/>
        <v>#DIV/0!</v>
      </c>
      <c r="AB155"/>
      <c r="AC155"/>
      <c r="AD155"/>
      <c r="AE155"/>
      <c r="AF155"/>
      <c r="AG155"/>
      <c r="AH155"/>
      <c r="AI155"/>
      <c r="AJ155"/>
      <c r="AK155"/>
      <c r="AL155"/>
      <c r="AM155"/>
      <c r="AN155"/>
      <c r="AO155"/>
      <c r="AP155"/>
      <c r="AQ155"/>
      <c r="AR155"/>
    </row>
    <row r="156" spans="1:44" s="118" customFormat="1" ht="16.5" x14ac:dyDescent="0.3">
      <c r="A156" s="57" t="s">
        <v>37</v>
      </c>
      <c r="B156" s="66">
        <f>COUNTIF(Table101416[F1],B$141)/$B$140</f>
        <v>0.5</v>
      </c>
      <c r="C156" s="66">
        <f>COUNTIF(Table101416[F1],C$141)/$B$140</f>
        <v>0.5</v>
      </c>
      <c r="D156" s="66">
        <f>COUNTIF(Table101416[F1],D$141)/$B$140</f>
        <v>0</v>
      </c>
      <c r="E156" s="66">
        <f>COUNTIF(Table101416[F1],E$141)/$B$140</f>
        <v>0</v>
      </c>
      <c r="F156" s="62">
        <f t="shared" si="18"/>
        <v>1</v>
      </c>
      <c r="H156" s="57" t="s">
        <v>37</v>
      </c>
      <c r="I156" s="66">
        <f>COUNTIFS(Table101416[Prodi],$I$138,Table101416[F1],I$141)/$I$140</f>
        <v>1</v>
      </c>
      <c r="J156" s="66">
        <f>COUNTIFS(Table101416[Prodi],$I$138,Table101416[F1],J$141)/$I$140</f>
        <v>0</v>
      </c>
      <c r="K156" s="66">
        <f>COUNTIFS(Table101416[Prodi],$I$138,Table101416[F1],K$141)/$I$140</f>
        <v>0</v>
      </c>
      <c r="L156" s="66">
        <f>COUNTIFS(Table101416[Prodi],$I$138,Table101416[F1],L$141)/$I$140</f>
        <v>0</v>
      </c>
      <c r="M156" s="62">
        <f t="shared" si="19"/>
        <v>1</v>
      </c>
      <c r="N156"/>
      <c r="O156" s="57" t="s">
        <v>37</v>
      </c>
      <c r="P156" s="66">
        <f>COUNTIFS(Table101416[Prodi],$P$138,Table101416[F1],P$141)/$P$140</f>
        <v>0</v>
      </c>
      <c r="Q156" s="66">
        <f>COUNTIFS(Table101416[Prodi],$P$138,Table101416[F1],Q$141)/$P$140</f>
        <v>1</v>
      </c>
      <c r="R156" s="66">
        <f>COUNTIFS(Table101416[Prodi],$P$138,Table101416[F1],R$141)/$P$140</f>
        <v>0</v>
      </c>
      <c r="S156" s="66">
        <f>COUNTIFS(Table101416[Prodi],$P$138,Table101416[F1],S$141)/$P$140</f>
        <v>0</v>
      </c>
      <c r="T156" s="62">
        <f t="shared" si="20"/>
        <v>1</v>
      </c>
      <c r="U156"/>
      <c r="V156" s="57" t="s">
        <v>37</v>
      </c>
      <c r="W156" s="66" t="e">
        <f>COUNTIFS(Table101416[Prodi],$W$138,Table101416[F1],W$141)/$W$140</f>
        <v>#DIV/0!</v>
      </c>
      <c r="X156" s="66" t="e">
        <f>COUNTIFS(Table101416[Prodi],$W$138,Table101416[F1],X$141)/$W$140</f>
        <v>#DIV/0!</v>
      </c>
      <c r="Y156" s="66" t="e">
        <f>COUNTIFS(Table101416[Prodi],$W$138,Table101416[F1],Y$141)/$W$140</f>
        <v>#DIV/0!</v>
      </c>
      <c r="Z156" s="66" t="e">
        <f>COUNTIFS(Table101416[Prodi],$W$138,Table101416[F1],Z$141)/$W$140</f>
        <v>#DIV/0!</v>
      </c>
      <c r="AA156" s="62" t="e">
        <f t="shared" si="21"/>
        <v>#DIV/0!</v>
      </c>
      <c r="AB156"/>
      <c r="AC156"/>
      <c r="AD156"/>
      <c r="AE156"/>
      <c r="AF156"/>
      <c r="AG156"/>
      <c r="AH156"/>
      <c r="AI156"/>
      <c r="AJ156"/>
      <c r="AK156"/>
      <c r="AL156"/>
      <c r="AM156"/>
      <c r="AN156"/>
      <c r="AO156"/>
      <c r="AP156"/>
      <c r="AQ156"/>
      <c r="AR156"/>
    </row>
    <row r="157" spans="1:44" s="118" customFormat="1" ht="16.5" x14ac:dyDescent="0.3">
      <c r="A157" s="57" t="s">
        <v>38</v>
      </c>
      <c r="B157" s="66">
        <f>COUNTIF(Table101416[F2],B$141)/$B$140</f>
        <v>0.5</v>
      </c>
      <c r="C157" s="66">
        <f>COUNTIF(Table101416[F2],C$141)/$B$140</f>
        <v>0.5</v>
      </c>
      <c r="D157" s="66">
        <f>COUNTIF(Table101416[F2],D$141)/$B$140</f>
        <v>0</v>
      </c>
      <c r="E157" s="66">
        <f>COUNTIF(Table101416[F2],E$141)/$B$140</f>
        <v>0</v>
      </c>
      <c r="F157" s="62">
        <f t="shared" si="18"/>
        <v>1</v>
      </c>
      <c r="H157" s="57" t="s">
        <v>38</v>
      </c>
      <c r="I157" s="66">
        <f>COUNTIFS(Table101416[Prodi],$I$138,Table101416[F2],I$141)/$I$140</f>
        <v>0</v>
      </c>
      <c r="J157" s="66">
        <f>COUNTIFS(Table101416[Prodi],$I$138,Table101416[F2],J$141)/$I$140</f>
        <v>1</v>
      </c>
      <c r="K157" s="66">
        <f>COUNTIFS(Table101416[Prodi],$I$138,Table101416[F2],K$141)/$I$140</f>
        <v>0</v>
      </c>
      <c r="L157" s="66">
        <f>COUNTIFS(Table101416[Prodi],$I$138,Table101416[F2],L$141)/$I$140</f>
        <v>0</v>
      </c>
      <c r="M157" s="62">
        <f t="shared" si="19"/>
        <v>1</v>
      </c>
      <c r="N157"/>
      <c r="O157" s="57" t="s">
        <v>38</v>
      </c>
      <c r="P157" s="66">
        <f>COUNTIFS(Table101416[Prodi],$P$138,Table101416[F2],P$141)/$P$140</f>
        <v>1</v>
      </c>
      <c r="Q157" s="66">
        <f>COUNTIFS(Table101416[Prodi],$P$138,Table101416[F2],Q$141)/$P$140</f>
        <v>0</v>
      </c>
      <c r="R157" s="66">
        <f>COUNTIFS(Table101416[Prodi],$P$138,Table101416[F2],R$141)/$P$140</f>
        <v>0</v>
      </c>
      <c r="S157" s="66">
        <f>COUNTIFS(Table101416[Prodi],$P$138,Table101416[F2],S$141)/$P$140</f>
        <v>0</v>
      </c>
      <c r="T157" s="62">
        <f t="shared" si="20"/>
        <v>1</v>
      </c>
      <c r="U157"/>
      <c r="V157" s="57" t="s">
        <v>38</v>
      </c>
      <c r="W157" s="66" t="e">
        <f>COUNTIFS(Table101416[Prodi],$W$138,Table101416[F2],W$141)/$W$140</f>
        <v>#DIV/0!</v>
      </c>
      <c r="X157" s="66" t="e">
        <f>COUNTIFS(Table101416[Prodi],$W$138,Table101416[F2],X$141)/$W$140</f>
        <v>#DIV/0!</v>
      </c>
      <c r="Y157" s="66" t="e">
        <f>COUNTIFS(Table101416[Prodi],$W$138,Table101416[F2],Y$141)/$W$140</f>
        <v>#DIV/0!</v>
      </c>
      <c r="Z157" s="66" t="e">
        <f>COUNTIFS(Table101416[Prodi],$W$138,Table101416[F2],Z$141)/$W$140</f>
        <v>#DIV/0!</v>
      </c>
      <c r="AA157" s="62" t="e">
        <f t="shared" si="21"/>
        <v>#DIV/0!</v>
      </c>
      <c r="AB157"/>
      <c r="AC157"/>
      <c r="AD157"/>
      <c r="AE157"/>
      <c r="AF157"/>
      <c r="AG157"/>
      <c r="AH157"/>
      <c r="AI157"/>
      <c r="AJ157"/>
      <c r="AK157"/>
      <c r="AL157"/>
      <c r="AM157"/>
      <c r="AN157"/>
      <c r="AO157"/>
      <c r="AP157"/>
      <c r="AQ157"/>
      <c r="AR157"/>
    </row>
    <row r="158" spans="1:44" s="118" customFormat="1" ht="16.5" x14ac:dyDescent="0.3">
      <c r="A158" s="57" t="s">
        <v>39</v>
      </c>
      <c r="B158" s="66">
        <f>COUNTIF(Table101416[F3],B$141)/$B$140</f>
        <v>0.5</v>
      </c>
      <c r="C158" s="66">
        <f>COUNTIF(Table101416[F3],C$141)/$B$140</f>
        <v>0.5</v>
      </c>
      <c r="D158" s="66">
        <f>COUNTIF(Table101416[F3],D$141)/$B$140</f>
        <v>0</v>
      </c>
      <c r="E158" s="66">
        <f>COUNTIF(Table101416[F3],E$141)/$B$140</f>
        <v>0</v>
      </c>
      <c r="F158" s="62">
        <f t="shared" si="18"/>
        <v>1</v>
      </c>
      <c r="H158" s="57" t="s">
        <v>39</v>
      </c>
      <c r="I158" s="66">
        <f>COUNTIFS(Table101416[Prodi],$I$138,Table101416[F3],I$141)/$I$140</f>
        <v>1</v>
      </c>
      <c r="J158" s="66">
        <f>COUNTIFS(Table101416[Prodi],$I$138,Table101416[F3],J$141)/$I$140</f>
        <v>0</v>
      </c>
      <c r="K158" s="66">
        <f>COUNTIFS(Table101416[Prodi],$I$138,Table101416[F3],K$141)/$I$140</f>
        <v>0</v>
      </c>
      <c r="L158" s="66">
        <f>COUNTIFS(Table101416[Prodi],$I$138,Table101416[F3],L$141)/$I$140</f>
        <v>0</v>
      </c>
      <c r="M158" s="62">
        <f t="shared" si="19"/>
        <v>1</v>
      </c>
      <c r="N158"/>
      <c r="O158" s="57" t="s">
        <v>39</v>
      </c>
      <c r="P158" s="66">
        <f>COUNTIFS(Table101416[Prodi],$P$138,Table101416[F3],P$141)/$P$140</f>
        <v>0</v>
      </c>
      <c r="Q158" s="66">
        <f>COUNTIFS(Table101416[Prodi],$P$138,Table101416[F3],Q$141)/$P$140</f>
        <v>1</v>
      </c>
      <c r="R158" s="66">
        <f>COUNTIFS(Table101416[Prodi],$P$138,Table101416[F3],R$141)/$P$140</f>
        <v>0</v>
      </c>
      <c r="S158" s="66">
        <f>COUNTIFS(Table101416[Prodi],$P$138,Table101416[F3],S$141)/$P$140</f>
        <v>0</v>
      </c>
      <c r="T158" s="62">
        <f t="shared" si="20"/>
        <v>1</v>
      </c>
      <c r="U158"/>
      <c r="V158" s="57" t="s">
        <v>39</v>
      </c>
      <c r="W158" s="66" t="e">
        <f>COUNTIFS(Table101416[Prodi],$W$138,Table101416[F3],W$141)/$W$140</f>
        <v>#DIV/0!</v>
      </c>
      <c r="X158" s="66" t="e">
        <f>COUNTIFS(Table101416[Prodi],$W$138,Table101416[F3],X$141)/$W$140</f>
        <v>#DIV/0!</v>
      </c>
      <c r="Y158" s="66" t="e">
        <f>COUNTIFS(Table101416[Prodi],$W$138,Table101416[F3],Y$141)/$W$140</f>
        <v>#DIV/0!</v>
      </c>
      <c r="Z158" s="66" t="e">
        <f>COUNTIFS(Table101416[Prodi],$W$138,Table101416[F3],Z$141)/$W$140</f>
        <v>#DIV/0!</v>
      </c>
      <c r="AA158" s="62" t="e">
        <f t="shared" si="21"/>
        <v>#DIV/0!</v>
      </c>
      <c r="AB158"/>
      <c r="AC158"/>
      <c r="AD158"/>
      <c r="AE158"/>
      <c r="AF158"/>
      <c r="AG158"/>
      <c r="AH158"/>
      <c r="AI158"/>
      <c r="AJ158"/>
      <c r="AK158"/>
      <c r="AL158"/>
      <c r="AM158"/>
      <c r="AN158"/>
      <c r="AO158"/>
      <c r="AP158"/>
      <c r="AQ158"/>
      <c r="AR158"/>
    </row>
    <row r="159" spans="1:44" s="118" customFormat="1" ht="16.5" x14ac:dyDescent="0.3">
      <c r="A159" s="57" t="s">
        <v>1170</v>
      </c>
      <c r="B159" s="66">
        <f>COUNTIF(Table101416[F4],B$141)/$B$140</f>
        <v>0.5</v>
      </c>
      <c r="C159" s="66">
        <f>COUNTIF(Table101416[F4],C$141)/$B$140</f>
        <v>0.5</v>
      </c>
      <c r="D159" s="66">
        <f>COUNTIF(Table101416[F4],D$141)/$B$140</f>
        <v>0</v>
      </c>
      <c r="E159" s="66">
        <f>COUNTIF(Table101416[F4],E$141)/$B$140</f>
        <v>0</v>
      </c>
      <c r="F159" s="62">
        <f t="shared" si="18"/>
        <v>1</v>
      </c>
      <c r="H159" s="57" t="s">
        <v>1170</v>
      </c>
      <c r="I159" s="66">
        <f>COUNTIFS(Table101416[Prodi],$I$138,Table101416[F4],I$141)/$I$140</f>
        <v>1</v>
      </c>
      <c r="J159" s="66">
        <f>COUNTIFS(Table101416[Prodi],$I$138,Table101416[F4],J$141)/$I$140</f>
        <v>0</v>
      </c>
      <c r="K159" s="66">
        <f>COUNTIFS(Table101416[Prodi],$I$138,Table101416[F4],K$141)/$I$140</f>
        <v>0</v>
      </c>
      <c r="L159" s="66">
        <f>COUNTIFS(Table101416[Prodi],$I$138,Table101416[F4],L$141)/$I$140</f>
        <v>0</v>
      </c>
      <c r="M159" s="62">
        <f t="shared" si="19"/>
        <v>1</v>
      </c>
      <c r="N159"/>
      <c r="O159" s="57" t="s">
        <v>1170</v>
      </c>
      <c r="P159" s="66">
        <f>COUNTIFS(Table101416[Prodi],$P$138,Table101416[F4],P$141)/$P$140</f>
        <v>0</v>
      </c>
      <c r="Q159" s="66">
        <f>COUNTIFS(Table101416[Prodi],$P$138,Table101416[F4],Q$141)/$P$140</f>
        <v>1</v>
      </c>
      <c r="R159" s="66">
        <f>COUNTIFS(Table101416[Prodi],$P$138,Table101416[F4],R$141)/$P$140</f>
        <v>0</v>
      </c>
      <c r="S159" s="66">
        <f>COUNTIFS(Table101416[Prodi],$P$138,Table101416[F4],S$141)/$P$140</f>
        <v>0</v>
      </c>
      <c r="T159" s="62">
        <f t="shared" si="20"/>
        <v>1</v>
      </c>
      <c r="U159"/>
      <c r="V159" s="57" t="s">
        <v>1170</v>
      </c>
      <c r="W159" s="66" t="e">
        <f>COUNTIFS(Table101416[Prodi],$W$138,Table101416[F4],W$141)/$W$140</f>
        <v>#DIV/0!</v>
      </c>
      <c r="X159" s="66" t="e">
        <f>COUNTIFS(Table101416[Prodi],$W$138,Table101416[F4],X$141)/$W$140</f>
        <v>#DIV/0!</v>
      </c>
      <c r="Y159" s="66" t="e">
        <f>COUNTIFS(Table101416[Prodi],$W$138,Table101416[F4],Y$141)/$W$140</f>
        <v>#DIV/0!</v>
      </c>
      <c r="Z159" s="66" t="e">
        <f>COUNTIFS(Table101416[Prodi],$W$138,Table101416[F4],Z$141)/$W$140</f>
        <v>#DIV/0!</v>
      </c>
      <c r="AA159" s="62" t="e">
        <f t="shared" si="21"/>
        <v>#DIV/0!</v>
      </c>
      <c r="AB159"/>
      <c r="AC159"/>
      <c r="AD159"/>
      <c r="AE159"/>
      <c r="AF159"/>
      <c r="AG159"/>
      <c r="AH159"/>
      <c r="AI159"/>
      <c r="AJ159"/>
      <c r="AK159"/>
      <c r="AL159"/>
      <c r="AM159"/>
      <c r="AN159"/>
      <c r="AO159"/>
      <c r="AP159"/>
      <c r="AQ159"/>
      <c r="AR159"/>
    </row>
    <row r="160" spans="1:44" s="118" customFormat="1" ht="16.5" x14ac:dyDescent="0.3">
      <c r="A160" s="60"/>
      <c r="B160" s="61">
        <f>AVERAGE(B156:B159)</f>
        <v>0.5</v>
      </c>
      <c r="C160" s="61">
        <f>AVERAGE(C156:C159)</f>
        <v>0.5</v>
      </c>
      <c r="D160" s="61">
        <f>AVERAGE(D156:D159)</f>
        <v>0</v>
      </c>
      <c r="E160" s="61">
        <f>AVERAGE(E156:E159)</f>
        <v>0</v>
      </c>
      <c r="F160" s="62">
        <f t="shared" si="18"/>
        <v>1</v>
      </c>
      <c r="H160" s="60"/>
      <c r="I160" s="61">
        <f>AVERAGE(I156:I159)</f>
        <v>0.75</v>
      </c>
      <c r="J160" s="61">
        <f>AVERAGE(J156:J159)</f>
        <v>0.25</v>
      </c>
      <c r="K160" s="61">
        <f>AVERAGE(K156:K159)</f>
        <v>0</v>
      </c>
      <c r="L160" s="61">
        <f>AVERAGE(L156:L159)</f>
        <v>0</v>
      </c>
      <c r="M160" s="62">
        <f t="shared" si="19"/>
        <v>1</v>
      </c>
      <c r="N160"/>
      <c r="O160" s="60"/>
      <c r="P160" s="61">
        <f>AVERAGE(P156:P159)</f>
        <v>0.25</v>
      </c>
      <c r="Q160" s="61">
        <f>AVERAGE(Q156:Q159)</f>
        <v>0.75</v>
      </c>
      <c r="R160" s="61">
        <f>AVERAGE(R156:R159)</f>
        <v>0</v>
      </c>
      <c r="S160" s="61">
        <f>AVERAGE(S156:S159)</f>
        <v>0</v>
      </c>
      <c r="T160" s="62">
        <f t="shared" si="20"/>
        <v>1</v>
      </c>
      <c r="U160"/>
      <c r="V160" s="60"/>
      <c r="W160" s="61" t="e">
        <f>AVERAGE(W156:W159)</f>
        <v>#DIV/0!</v>
      </c>
      <c r="X160" s="61" t="e">
        <f>AVERAGE(X156:X159)</f>
        <v>#DIV/0!</v>
      </c>
      <c r="Y160" s="61" t="e">
        <f>AVERAGE(Y156:Y159)</f>
        <v>#DIV/0!</v>
      </c>
      <c r="Z160" s="61" t="e">
        <f>AVERAGE(Z156:Z159)</f>
        <v>#DIV/0!</v>
      </c>
      <c r="AA160" s="62" t="e">
        <f t="shared" si="21"/>
        <v>#DIV/0!</v>
      </c>
      <c r="AB160"/>
      <c r="AC160"/>
      <c r="AD160"/>
      <c r="AE160"/>
      <c r="AF160"/>
      <c r="AG160"/>
      <c r="AH160"/>
      <c r="AI160"/>
      <c r="AJ160"/>
      <c r="AK160"/>
      <c r="AL160"/>
      <c r="AM160"/>
      <c r="AN160"/>
      <c r="AO160"/>
      <c r="AP160"/>
      <c r="AQ160"/>
      <c r="AR160"/>
    </row>
    <row r="161" spans="1:44" s="118" customFormat="1" ht="16.5" x14ac:dyDescent="0.3">
      <c r="A161" s="57" t="s">
        <v>40</v>
      </c>
      <c r="B161" s="66">
        <f>COUNTIF(Table101416[G1],B$141)/$B$140</f>
        <v>0.5</v>
      </c>
      <c r="C161" s="66">
        <f>COUNTIF(Table101416[G1],C$141)/$B$140</f>
        <v>0.5</v>
      </c>
      <c r="D161" s="66">
        <f>COUNTIF(Table101416[G1],D$141)/$B$140</f>
        <v>0</v>
      </c>
      <c r="E161" s="66">
        <f>COUNTIF(Table101416[G1],E$141)/$B$140</f>
        <v>0</v>
      </c>
      <c r="F161" s="62">
        <f t="shared" si="18"/>
        <v>1</v>
      </c>
      <c r="H161" s="57" t="s">
        <v>40</v>
      </c>
      <c r="I161" s="66">
        <f>COUNTIFS(Table101416[Prodi],$I$138,Table101416[G1],I$141)/$I$140</f>
        <v>1</v>
      </c>
      <c r="J161" s="66">
        <f>COUNTIFS(Table101416[Prodi],$I$138,Table101416[G1],J$141)/$I$140</f>
        <v>0</v>
      </c>
      <c r="K161" s="66">
        <f>COUNTIFS(Table101416[Prodi],$I$138,Table101416[G1],K$141)/$I$140</f>
        <v>0</v>
      </c>
      <c r="L161" s="66">
        <f>COUNTIFS(Table101416[Prodi],$I$138,Table101416[G1],L$141)/$I$140</f>
        <v>0</v>
      </c>
      <c r="M161" s="62">
        <f t="shared" si="19"/>
        <v>1</v>
      </c>
      <c r="N161"/>
      <c r="O161" s="57" t="s">
        <v>40</v>
      </c>
      <c r="P161" s="66">
        <f>COUNTIFS(Table101416[Prodi],$P$138,Table101416[G1],P$141)/$P$140</f>
        <v>0</v>
      </c>
      <c r="Q161" s="66">
        <f>COUNTIFS(Table101416[Prodi],$P$138,Table101416[G1],Q$141)/$P$140</f>
        <v>1</v>
      </c>
      <c r="R161" s="66">
        <f>COUNTIFS(Table101416[Prodi],$P$138,Table101416[G1],R$141)/$P$140</f>
        <v>0</v>
      </c>
      <c r="S161" s="66">
        <f>COUNTIFS(Table101416[Prodi],$P$138,Table101416[G1],S$141)/$P$140</f>
        <v>0</v>
      </c>
      <c r="T161" s="62">
        <f t="shared" si="20"/>
        <v>1</v>
      </c>
      <c r="U161"/>
      <c r="V161" s="57" t="s">
        <v>40</v>
      </c>
      <c r="W161" s="66" t="e">
        <f>COUNTIFS(Table101416[Prodi],$W$138,Table101416[G1],W$141)/$W$140</f>
        <v>#DIV/0!</v>
      </c>
      <c r="X161" s="66" t="e">
        <f>COUNTIFS(Table101416[Prodi],$W$138,Table101416[G1],X$141)/$W$140</f>
        <v>#DIV/0!</v>
      </c>
      <c r="Y161" s="66" t="e">
        <f>COUNTIFS(Table101416[Prodi],$W$138,Table101416[G1],Y$141)/$W$140</f>
        <v>#DIV/0!</v>
      </c>
      <c r="Z161" s="66" t="e">
        <f>COUNTIFS(Table101416[Prodi],$W$138,Table101416[G1],Z$141)/$W$140</f>
        <v>#DIV/0!</v>
      </c>
      <c r="AA161" s="62" t="e">
        <f t="shared" si="21"/>
        <v>#DIV/0!</v>
      </c>
      <c r="AB161"/>
      <c r="AC161"/>
      <c r="AD161"/>
      <c r="AE161"/>
      <c r="AF161"/>
      <c r="AG161"/>
      <c r="AH161"/>
      <c r="AI161"/>
      <c r="AJ161"/>
      <c r="AK161"/>
      <c r="AL161"/>
      <c r="AM161"/>
      <c r="AN161"/>
      <c r="AO161"/>
      <c r="AP161"/>
      <c r="AQ161"/>
      <c r="AR161"/>
    </row>
    <row r="162" spans="1:44" s="118" customFormat="1" ht="16.5" x14ac:dyDescent="0.3">
      <c r="A162" s="57" t="s">
        <v>41</v>
      </c>
      <c r="B162" s="66">
        <f>COUNTIF(Table101416[G2],B$141)/$B$140</f>
        <v>0.5</v>
      </c>
      <c r="C162" s="66">
        <f>COUNTIF(Table101416[G2],C$141)/$B$140</f>
        <v>0.5</v>
      </c>
      <c r="D162" s="66">
        <f>COUNTIF(Table101416[G2],D$141)/$B$140</f>
        <v>0</v>
      </c>
      <c r="E162" s="66">
        <f>COUNTIF(Table101416[G2],E$141)/$B$140</f>
        <v>0</v>
      </c>
      <c r="F162" s="62">
        <f t="shared" si="18"/>
        <v>1</v>
      </c>
      <c r="H162" s="57" t="s">
        <v>41</v>
      </c>
      <c r="I162" s="66">
        <f>COUNTIFS(Table101416[Prodi],$I$138,Table101416[G2],I$141)/$I$140</f>
        <v>0</v>
      </c>
      <c r="J162" s="66">
        <f>COUNTIFS(Table101416[Prodi],$I$138,Table101416[G2],J$141)/$I$140</f>
        <v>1</v>
      </c>
      <c r="K162" s="66">
        <f>COUNTIFS(Table101416[Prodi],$I$138,Table101416[G2],K$141)/$I$140</f>
        <v>0</v>
      </c>
      <c r="L162" s="66">
        <f>COUNTIFS(Table101416[Prodi],$I$138,Table101416[G2],L$141)/$I$140</f>
        <v>0</v>
      </c>
      <c r="M162" s="62">
        <f t="shared" si="19"/>
        <v>1</v>
      </c>
      <c r="N162"/>
      <c r="O162" s="57" t="s">
        <v>41</v>
      </c>
      <c r="P162" s="66">
        <f>COUNTIFS(Table101416[Prodi],$P$138,Table101416[G2],P$141)/$P$140</f>
        <v>1</v>
      </c>
      <c r="Q162" s="66">
        <f>COUNTIFS(Table101416[Prodi],$P$138,Table101416[G2],Q$141)/$P$140</f>
        <v>0</v>
      </c>
      <c r="R162" s="66">
        <f>COUNTIFS(Table101416[Prodi],$P$138,Table101416[G2],R$141)/$P$140</f>
        <v>0</v>
      </c>
      <c r="S162" s="66">
        <f>COUNTIFS(Table101416[Prodi],$P$138,Table101416[G2],S$141)/$P$140</f>
        <v>0</v>
      </c>
      <c r="T162" s="62">
        <f t="shared" si="20"/>
        <v>1</v>
      </c>
      <c r="U162"/>
      <c r="V162" s="57" t="s">
        <v>41</v>
      </c>
      <c r="W162" s="66" t="e">
        <f>COUNTIFS(Table101416[Prodi],$W$138,Table101416[G2],W$141)/$W$140</f>
        <v>#DIV/0!</v>
      </c>
      <c r="X162" s="66" t="e">
        <f>COUNTIFS(Table101416[Prodi],$W$138,Table101416[G2],X$141)/$W$140</f>
        <v>#DIV/0!</v>
      </c>
      <c r="Y162" s="66" t="e">
        <f>COUNTIFS(Table101416[Prodi],$W$138,Table101416[G2],Y$141)/$W$140</f>
        <v>#DIV/0!</v>
      </c>
      <c r="Z162" s="66" t="e">
        <f>COUNTIFS(Table101416[Prodi],$W$138,Table101416[G2],Z$141)/$W$140</f>
        <v>#DIV/0!</v>
      </c>
      <c r="AA162" s="62" t="e">
        <f t="shared" si="21"/>
        <v>#DIV/0!</v>
      </c>
      <c r="AB162"/>
      <c r="AC162"/>
      <c r="AD162"/>
      <c r="AE162"/>
      <c r="AF162"/>
      <c r="AG162"/>
      <c r="AH162"/>
      <c r="AI162"/>
      <c r="AJ162"/>
      <c r="AK162"/>
      <c r="AL162"/>
      <c r="AM162"/>
      <c r="AN162"/>
      <c r="AO162"/>
      <c r="AP162"/>
      <c r="AQ162"/>
      <c r="AR162"/>
    </row>
    <row r="163" spans="1:44" s="118" customFormat="1" ht="16.5" x14ac:dyDescent="0.3">
      <c r="A163" s="57" t="s">
        <v>1172</v>
      </c>
      <c r="B163" s="66">
        <f>COUNTIF(Table101416[G3],B$141)/$B$140</f>
        <v>0.5</v>
      </c>
      <c r="C163" s="66">
        <f>COUNTIF(Table101416[G3],C$141)/$B$140</f>
        <v>0.5</v>
      </c>
      <c r="D163" s="66">
        <f>COUNTIF(Table101416[G3],D$141)/$B$140</f>
        <v>0</v>
      </c>
      <c r="E163" s="66">
        <f>COUNTIF(Table101416[G3],E$141)/$B$140</f>
        <v>0</v>
      </c>
      <c r="F163" s="62">
        <f t="shared" si="18"/>
        <v>1</v>
      </c>
      <c r="H163" s="57" t="s">
        <v>1172</v>
      </c>
      <c r="I163" s="66">
        <f>COUNTIFS(Table101416[Prodi],$I$138,Table101416[G3],I$141)/$I$140</f>
        <v>1</v>
      </c>
      <c r="J163" s="66">
        <f>COUNTIFS(Table101416[Prodi],$I$138,Table101416[G3],J$141)/$I$140</f>
        <v>0</v>
      </c>
      <c r="K163" s="66">
        <f>COUNTIFS(Table101416[Prodi],$I$138,Table101416[G3],K$141)/$I$140</f>
        <v>0</v>
      </c>
      <c r="L163" s="66">
        <f>COUNTIFS(Table101416[Prodi],$I$138,Table101416[G3],L$141)/$I$140</f>
        <v>0</v>
      </c>
      <c r="M163" s="62">
        <f t="shared" si="19"/>
        <v>1</v>
      </c>
      <c r="N163"/>
      <c r="O163" s="57" t="s">
        <v>1172</v>
      </c>
      <c r="P163" s="66">
        <f>COUNTIFS(Table101416[Prodi],$P$138,Table101416[G3],P$141)/$P$140</f>
        <v>0</v>
      </c>
      <c r="Q163" s="66">
        <f>COUNTIFS(Table101416[Prodi],$P$138,Table101416[G3],Q$141)/$P$140</f>
        <v>1</v>
      </c>
      <c r="R163" s="66">
        <f>COUNTIFS(Table101416[Prodi],$P$138,Table101416[G3],R$141)/$P$140</f>
        <v>0</v>
      </c>
      <c r="S163" s="66">
        <f>COUNTIFS(Table101416[Prodi],$P$138,Table101416[G3],S$141)/$P$140</f>
        <v>0</v>
      </c>
      <c r="T163" s="62">
        <f t="shared" si="20"/>
        <v>1</v>
      </c>
      <c r="U163"/>
      <c r="V163" s="57" t="s">
        <v>1172</v>
      </c>
      <c r="W163" s="66" t="e">
        <f>COUNTIFS(Table101416[Prodi],$W$138,Table101416[G3],W$141)/$W$140</f>
        <v>#DIV/0!</v>
      </c>
      <c r="X163" s="66" t="e">
        <f>COUNTIFS(Table101416[Prodi],$W$138,Table101416[G3],X$141)/$W$140</f>
        <v>#DIV/0!</v>
      </c>
      <c r="Y163" s="66" t="e">
        <f>COUNTIFS(Table101416[Prodi],$W$138,Table101416[G3],Y$141)/$W$140</f>
        <v>#DIV/0!</v>
      </c>
      <c r="Z163" s="66" t="e">
        <f>COUNTIFS(Table101416[Prodi],$W$138,Table101416[G3],Z$141)/$W$140</f>
        <v>#DIV/0!</v>
      </c>
      <c r="AA163" s="62" t="e">
        <f t="shared" si="21"/>
        <v>#DIV/0!</v>
      </c>
      <c r="AB163"/>
      <c r="AC163"/>
      <c r="AD163"/>
      <c r="AE163"/>
      <c r="AF163"/>
      <c r="AG163"/>
      <c r="AH163"/>
      <c r="AI163"/>
      <c r="AJ163"/>
      <c r="AK163"/>
      <c r="AL163"/>
      <c r="AM163"/>
      <c r="AN163"/>
      <c r="AO163"/>
      <c r="AP163"/>
      <c r="AQ163"/>
      <c r="AR163"/>
    </row>
    <row r="164" spans="1:44" s="118" customFormat="1" ht="16.5" x14ac:dyDescent="0.3">
      <c r="A164" s="60"/>
      <c r="B164" s="61">
        <f>AVERAGE(B161:B163)</f>
        <v>0.5</v>
      </c>
      <c r="C164" s="61">
        <f>AVERAGE(C161:C163)</f>
        <v>0.5</v>
      </c>
      <c r="D164" s="61">
        <f>AVERAGE(D161:D163)</f>
        <v>0</v>
      </c>
      <c r="E164" s="61">
        <f>AVERAGE(E161:E163)</f>
        <v>0</v>
      </c>
      <c r="F164" s="62">
        <f t="shared" si="18"/>
        <v>1</v>
      </c>
      <c r="H164" s="60"/>
      <c r="I164" s="61">
        <f>AVERAGE(I161:I163)</f>
        <v>0.66666666666666663</v>
      </c>
      <c r="J164" s="61">
        <f>AVERAGE(J161:J163)</f>
        <v>0.33333333333333331</v>
      </c>
      <c r="K164" s="61">
        <f>AVERAGE(K161:K163)</f>
        <v>0</v>
      </c>
      <c r="L164" s="61">
        <f>AVERAGE(L161:L163)</f>
        <v>0</v>
      </c>
      <c r="M164" s="62">
        <f t="shared" si="19"/>
        <v>1</v>
      </c>
      <c r="N164"/>
      <c r="O164" s="60"/>
      <c r="P164" s="61">
        <f>AVERAGE(P161:P163)</f>
        <v>0.33333333333333331</v>
      </c>
      <c r="Q164" s="61">
        <f>AVERAGE(Q161:Q163)</f>
        <v>0.66666666666666663</v>
      </c>
      <c r="R164" s="61">
        <f>AVERAGE(R161:R163)</f>
        <v>0</v>
      </c>
      <c r="S164" s="61">
        <f>AVERAGE(S161:S163)</f>
        <v>0</v>
      </c>
      <c r="T164" s="62">
        <f t="shared" si="20"/>
        <v>1</v>
      </c>
      <c r="U164"/>
      <c r="V164" s="60"/>
      <c r="W164" s="61" t="e">
        <f>AVERAGE(W161:W163)</f>
        <v>#DIV/0!</v>
      </c>
      <c r="X164" s="61" t="e">
        <f>AVERAGE(X161:X163)</f>
        <v>#DIV/0!</v>
      </c>
      <c r="Y164" s="61" t="e">
        <f>AVERAGE(Y161:Y163)</f>
        <v>#DIV/0!</v>
      </c>
      <c r="Z164" s="61" t="e">
        <f>AVERAGE(Z161:Z163)</f>
        <v>#DIV/0!</v>
      </c>
      <c r="AA164" s="62" t="e">
        <f t="shared" si="21"/>
        <v>#DIV/0!</v>
      </c>
      <c r="AB164"/>
      <c r="AC164"/>
      <c r="AD164"/>
      <c r="AE164"/>
      <c r="AF164"/>
      <c r="AG164"/>
      <c r="AH164"/>
      <c r="AI164"/>
      <c r="AJ164"/>
      <c r="AK164"/>
      <c r="AL164"/>
      <c r="AM164"/>
      <c r="AN164"/>
      <c r="AO164"/>
      <c r="AP164"/>
      <c r="AQ164"/>
      <c r="AR164"/>
    </row>
    <row r="165" spans="1:44" s="118" customFormat="1" ht="16.5" x14ac:dyDescent="0.3">
      <c r="A165" s="57" t="s">
        <v>42</v>
      </c>
      <c r="B165" s="66">
        <f>COUNTIF(Table101416[H1],B$141)/$B$140</f>
        <v>0.5</v>
      </c>
      <c r="C165" s="66">
        <f>COUNTIF(Table101416[H1],C$141)/$B$140</f>
        <v>0.5</v>
      </c>
      <c r="D165" s="66">
        <f>COUNTIF(Table101416[H1],D$141)/$B$140</f>
        <v>0</v>
      </c>
      <c r="E165" s="66">
        <f>COUNTIF(Table101416[H1],E$141)/$B$140</f>
        <v>0</v>
      </c>
      <c r="F165" s="62">
        <f t="shared" si="18"/>
        <v>1</v>
      </c>
      <c r="H165" s="57" t="s">
        <v>42</v>
      </c>
      <c r="I165" s="66">
        <f>COUNTIFS(Table101416[Prodi],$I$138,Table101416[H1],I$141)/$I$140</f>
        <v>0</v>
      </c>
      <c r="J165" s="66">
        <f>COUNTIFS(Table101416[Prodi],$I$138,Table101416[H1],J$141)/$I$140</f>
        <v>1</v>
      </c>
      <c r="K165" s="66">
        <f>COUNTIFS(Table101416[Prodi],$I$138,Table101416[H1],K$141)/$I$140</f>
        <v>0</v>
      </c>
      <c r="L165" s="66">
        <f>COUNTIFS(Table101416[Prodi],$I$138,Table101416[H1],L$141)/$I$140</f>
        <v>0</v>
      </c>
      <c r="M165" s="62">
        <f t="shared" si="19"/>
        <v>1</v>
      </c>
      <c r="N165"/>
      <c r="O165" s="57" t="s">
        <v>42</v>
      </c>
      <c r="P165" s="66">
        <f>COUNTIFS(Table101416[Prodi],$P$138,Table101416[H1],P$141)/$P$140</f>
        <v>1</v>
      </c>
      <c r="Q165" s="66">
        <f>COUNTIFS(Table101416[Prodi],$P$138,Table101416[H1],Q$141)/$P$140</f>
        <v>0</v>
      </c>
      <c r="R165" s="66">
        <f>COUNTIFS(Table101416[Prodi],$P$138,Table101416[H1],R$141)/$P$140</f>
        <v>0</v>
      </c>
      <c r="S165" s="66">
        <f>COUNTIFS(Table101416[Prodi],$P$138,Table101416[H1],S$141)/$P$140</f>
        <v>0</v>
      </c>
      <c r="T165" s="62">
        <f t="shared" si="20"/>
        <v>1</v>
      </c>
      <c r="U165"/>
      <c r="V165" s="57" t="s">
        <v>42</v>
      </c>
      <c r="W165" s="66" t="e">
        <f>COUNTIFS(Table101416[Prodi],$W$138,Table101416[H1],W$141)/$W$140</f>
        <v>#DIV/0!</v>
      </c>
      <c r="X165" s="66" t="e">
        <f>COUNTIFS(Table101416[Prodi],$W$138,Table101416[H1],X$141)/$W$140</f>
        <v>#DIV/0!</v>
      </c>
      <c r="Y165" s="66" t="e">
        <f>COUNTIFS(Table101416[Prodi],$W$138,Table101416[H1],Y$141)/$W$140</f>
        <v>#DIV/0!</v>
      </c>
      <c r="Z165" s="66" t="e">
        <f>COUNTIFS(Table101416[Prodi],$W$138,Table101416[H1],Z$141)/$W$140</f>
        <v>#DIV/0!</v>
      </c>
      <c r="AA165" s="62" t="e">
        <f t="shared" si="21"/>
        <v>#DIV/0!</v>
      </c>
      <c r="AB165"/>
      <c r="AC165"/>
      <c r="AD165"/>
      <c r="AE165"/>
      <c r="AF165"/>
      <c r="AG165"/>
      <c r="AH165"/>
      <c r="AI165"/>
      <c r="AJ165"/>
      <c r="AK165"/>
      <c r="AL165"/>
      <c r="AM165"/>
      <c r="AN165"/>
      <c r="AO165"/>
      <c r="AP165"/>
      <c r="AQ165"/>
      <c r="AR165"/>
    </row>
    <row r="166" spans="1:44" s="118" customFormat="1" ht="16.5" x14ac:dyDescent="0.3">
      <c r="A166" s="57" t="s">
        <v>43</v>
      </c>
      <c r="B166" s="66">
        <f>COUNTIF(Table101416[H2],B$141)/$B$140</f>
        <v>0.5</v>
      </c>
      <c r="C166" s="66">
        <f>COUNTIF(Table101416[H2],C$141)/$B$140</f>
        <v>0.5</v>
      </c>
      <c r="D166" s="66">
        <f>COUNTIF(Table101416[H2],D$141)/$B$140</f>
        <v>0</v>
      </c>
      <c r="E166" s="66">
        <f>COUNTIF(Table101416[H2],E$141)/$B$140</f>
        <v>0</v>
      </c>
      <c r="F166" s="62">
        <f t="shared" si="18"/>
        <v>1</v>
      </c>
      <c r="H166" s="57" t="s">
        <v>43</v>
      </c>
      <c r="I166" s="66">
        <f>COUNTIFS(Table101416[Prodi],$I$138,Table101416[H2],I$141)/$I$140</f>
        <v>1</v>
      </c>
      <c r="J166" s="66">
        <f>COUNTIFS(Table101416[Prodi],$I$138,Table101416[H2],J$141)/$I$140</f>
        <v>0</v>
      </c>
      <c r="K166" s="66">
        <f>COUNTIFS(Table101416[Prodi],$I$138,Table101416[H2],K$141)/$I$140</f>
        <v>0</v>
      </c>
      <c r="L166" s="66">
        <f>COUNTIFS(Table101416[Prodi],$I$138,Table101416[H2],L$141)/$I$140</f>
        <v>0</v>
      </c>
      <c r="M166" s="62">
        <f t="shared" si="19"/>
        <v>1</v>
      </c>
      <c r="N166"/>
      <c r="O166" s="57" t="s">
        <v>43</v>
      </c>
      <c r="P166" s="66">
        <f>COUNTIFS(Table101416[Prodi],$P$138,Table101416[H2],P$141)/$P$140</f>
        <v>0</v>
      </c>
      <c r="Q166" s="66">
        <f>COUNTIFS(Table101416[Prodi],$P$138,Table101416[H2],Q$141)/$P$140</f>
        <v>1</v>
      </c>
      <c r="R166" s="66">
        <f>COUNTIFS(Table101416[Prodi],$P$138,Table101416[H2],R$141)/$P$140</f>
        <v>0</v>
      </c>
      <c r="S166" s="66">
        <f>COUNTIFS(Table101416[Prodi],$P$138,Table101416[H2],S$141)/$P$140</f>
        <v>0</v>
      </c>
      <c r="T166" s="62">
        <f t="shared" si="20"/>
        <v>1</v>
      </c>
      <c r="U166"/>
      <c r="V166" s="57" t="s">
        <v>43</v>
      </c>
      <c r="W166" s="66" t="e">
        <f>COUNTIFS(Table101416[Prodi],$W$138,Table101416[H2],W$141)/$W$140</f>
        <v>#DIV/0!</v>
      </c>
      <c r="X166" s="66" t="e">
        <f>COUNTIFS(Table101416[Prodi],$W$138,Table101416[H2],X$141)/$W$140</f>
        <v>#DIV/0!</v>
      </c>
      <c r="Y166" s="66" t="e">
        <f>COUNTIFS(Table101416[Prodi],$W$138,Table101416[H2],Y$141)/$W$140</f>
        <v>#DIV/0!</v>
      </c>
      <c r="Z166" s="66" t="e">
        <f>COUNTIFS(Table101416[Prodi],$W$138,Table101416[H2],Z$141)/$W$140</f>
        <v>#DIV/0!</v>
      </c>
      <c r="AA166" s="62" t="e">
        <f t="shared" si="21"/>
        <v>#DIV/0!</v>
      </c>
      <c r="AB166"/>
      <c r="AC166"/>
      <c r="AD166"/>
      <c r="AE166"/>
      <c r="AF166"/>
      <c r="AG166"/>
      <c r="AH166"/>
      <c r="AI166"/>
      <c r="AJ166"/>
      <c r="AK166"/>
      <c r="AL166"/>
      <c r="AM166"/>
      <c r="AN166"/>
      <c r="AO166"/>
      <c r="AP166"/>
      <c r="AQ166"/>
      <c r="AR166"/>
    </row>
    <row r="167" spans="1:44" s="118" customFormat="1" ht="16.5" x14ac:dyDescent="0.3">
      <c r="A167" s="57" t="s">
        <v>44</v>
      </c>
      <c r="B167" s="66">
        <f>COUNTIF(Table101416[H3],B$141)/$B$140</f>
        <v>0.5</v>
      </c>
      <c r="C167" s="66">
        <f>COUNTIF(Table101416[H3],C$141)/$B$140</f>
        <v>0.5</v>
      </c>
      <c r="D167" s="66">
        <f>COUNTIF(Table101416[H3],D$141)/$B$140</f>
        <v>0</v>
      </c>
      <c r="E167" s="66">
        <f>COUNTIF(Table101416[H3],E$141)/$B$140</f>
        <v>0</v>
      </c>
      <c r="F167" s="62">
        <f t="shared" si="18"/>
        <v>1</v>
      </c>
      <c r="H167" s="57" t="s">
        <v>44</v>
      </c>
      <c r="I167" s="66">
        <f>COUNTIFS(Table101416[Prodi],$I$138,Table101416[H3],I$141)/$I$140</f>
        <v>0</v>
      </c>
      <c r="J167" s="66">
        <f>COUNTIFS(Table101416[Prodi],$I$138,Table101416[H3],J$141)/$I$140</f>
        <v>1</v>
      </c>
      <c r="K167" s="66">
        <f>COUNTIFS(Table101416[Prodi],$I$138,Table101416[H3],K$141)/$I$140</f>
        <v>0</v>
      </c>
      <c r="L167" s="66">
        <f>COUNTIFS(Table101416[Prodi],$I$138,Table101416[H3],L$141)/$I$140</f>
        <v>0</v>
      </c>
      <c r="M167" s="62">
        <f t="shared" si="19"/>
        <v>1</v>
      </c>
      <c r="N167"/>
      <c r="O167" s="57" t="s">
        <v>44</v>
      </c>
      <c r="P167" s="66">
        <f>COUNTIFS(Table101416[Prodi],$P$138,Table101416[H3],P$141)/$P$140</f>
        <v>1</v>
      </c>
      <c r="Q167" s="66">
        <f>COUNTIFS(Table101416[Prodi],$P$138,Table101416[H3],Q$141)/$P$140</f>
        <v>0</v>
      </c>
      <c r="R167" s="66">
        <f>COUNTIFS(Table101416[Prodi],$P$138,Table101416[H3],R$141)/$P$140</f>
        <v>0</v>
      </c>
      <c r="S167" s="66">
        <f>COUNTIFS(Table101416[Prodi],$P$138,Table101416[H3],S$141)/$P$140</f>
        <v>0</v>
      </c>
      <c r="T167" s="62">
        <f t="shared" si="20"/>
        <v>1</v>
      </c>
      <c r="U167"/>
      <c r="V167" s="57" t="s">
        <v>44</v>
      </c>
      <c r="W167" s="66" t="e">
        <f>COUNTIFS(Table101416[Prodi],$W$138,Table101416[H3],W$141)/$W$140</f>
        <v>#DIV/0!</v>
      </c>
      <c r="X167" s="66" t="e">
        <f>COUNTIFS(Table101416[Prodi],$W$138,Table101416[H3],X$141)/$W$140</f>
        <v>#DIV/0!</v>
      </c>
      <c r="Y167" s="66" t="e">
        <f>COUNTIFS(Table101416[Prodi],$W$138,Table101416[H3],Y$141)/$W$140</f>
        <v>#DIV/0!</v>
      </c>
      <c r="Z167" s="66" t="e">
        <f>COUNTIFS(Table101416[Prodi],$W$138,Table101416[H3],Z$141)/$W$140</f>
        <v>#DIV/0!</v>
      </c>
      <c r="AA167" s="62" t="e">
        <f t="shared" si="21"/>
        <v>#DIV/0!</v>
      </c>
      <c r="AB167"/>
      <c r="AC167"/>
      <c r="AD167"/>
      <c r="AE167"/>
      <c r="AF167"/>
      <c r="AG167"/>
      <c r="AH167"/>
      <c r="AI167"/>
      <c r="AJ167"/>
      <c r="AK167"/>
      <c r="AL167"/>
      <c r="AM167"/>
      <c r="AN167"/>
      <c r="AO167"/>
      <c r="AP167"/>
      <c r="AQ167"/>
      <c r="AR167"/>
    </row>
    <row r="168" spans="1:44" s="118" customFormat="1" ht="16.5" x14ac:dyDescent="0.3">
      <c r="A168" s="57" t="s">
        <v>45</v>
      </c>
      <c r="B168" s="66">
        <f>COUNTIF(Table101416[H4],B$141)/$B$140</f>
        <v>0.5</v>
      </c>
      <c r="C168" s="66">
        <f>COUNTIF(Table101416[H4],C$141)/$B$140</f>
        <v>0.5</v>
      </c>
      <c r="D168" s="66">
        <f>COUNTIF(Table101416[H4],D$141)/$B$140</f>
        <v>0</v>
      </c>
      <c r="E168" s="66">
        <f>COUNTIF(Table101416[H4],E$141)/$B$140</f>
        <v>0</v>
      </c>
      <c r="F168" s="62">
        <f t="shared" si="18"/>
        <v>1</v>
      </c>
      <c r="H168" s="57" t="s">
        <v>45</v>
      </c>
      <c r="I168" s="66">
        <f>COUNTIFS(Table101416[Prodi],$I$138,Table101416[H4],I$141)/$I$140</f>
        <v>1</v>
      </c>
      <c r="J168" s="66">
        <f>COUNTIFS(Table101416[Prodi],$I$138,Table101416[H4],J$141)/$I$140</f>
        <v>0</v>
      </c>
      <c r="K168" s="66">
        <f>COUNTIFS(Table101416[Prodi],$I$138,Table101416[H4],K$141)/$I$140</f>
        <v>0</v>
      </c>
      <c r="L168" s="66">
        <f>COUNTIFS(Table101416[Prodi],$I$138,Table101416[H4],L$141)/$I$140</f>
        <v>0</v>
      </c>
      <c r="M168" s="62">
        <f t="shared" si="19"/>
        <v>1</v>
      </c>
      <c r="N168"/>
      <c r="O168" s="57" t="s">
        <v>45</v>
      </c>
      <c r="P168" s="66">
        <f>COUNTIFS(Table101416[Prodi],$P$138,Table101416[H4],P$141)/$P$140</f>
        <v>0</v>
      </c>
      <c r="Q168" s="66">
        <f>COUNTIFS(Table101416[Prodi],$P$138,Table101416[H4],Q$141)/$P$140</f>
        <v>1</v>
      </c>
      <c r="R168" s="66">
        <f>COUNTIFS(Table101416[Prodi],$P$138,Table101416[H4],R$141)/$P$140</f>
        <v>0</v>
      </c>
      <c r="S168" s="66">
        <f>COUNTIFS(Table101416[Prodi],$P$138,Table101416[H4],S$141)/$P$140</f>
        <v>0</v>
      </c>
      <c r="T168" s="62">
        <f t="shared" si="20"/>
        <v>1</v>
      </c>
      <c r="U168"/>
      <c r="V168" s="57" t="s">
        <v>45</v>
      </c>
      <c r="W168" s="66" t="e">
        <f>COUNTIFS(Table101416[Prodi],$W$138,Table101416[H4],W$141)/$W$140</f>
        <v>#DIV/0!</v>
      </c>
      <c r="X168" s="66" t="e">
        <f>COUNTIFS(Table101416[Prodi],$W$138,Table101416[H4],X$141)/$W$140</f>
        <v>#DIV/0!</v>
      </c>
      <c r="Y168" s="66" t="e">
        <f>COUNTIFS(Table101416[Prodi],$W$138,Table101416[H4],Y$141)/$W$140</f>
        <v>#DIV/0!</v>
      </c>
      <c r="Z168" s="66" t="e">
        <f>COUNTIFS(Table101416[Prodi],$W$138,Table101416[H4],Z$141)/$W$140</f>
        <v>#DIV/0!</v>
      </c>
      <c r="AA168" s="62" t="e">
        <f t="shared" si="21"/>
        <v>#DIV/0!</v>
      </c>
      <c r="AB168"/>
      <c r="AC168"/>
      <c r="AD168"/>
      <c r="AE168"/>
      <c r="AF168"/>
      <c r="AG168"/>
      <c r="AH168"/>
      <c r="AI168"/>
      <c r="AJ168"/>
      <c r="AK168"/>
      <c r="AL168"/>
      <c r="AM168"/>
      <c r="AN168"/>
      <c r="AO168"/>
      <c r="AP168"/>
      <c r="AQ168"/>
      <c r="AR168"/>
    </row>
    <row r="169" spans="1:44" s="118" customFormat="1" ht="16.5" x14ac:dyDescent="0.3">
      <c r="A169" s="60"/>
      <c r="B169" s="61">
        <f>AVERAGE(B165:B168)</f>
        <v>0.5</v>
      </c>
      <c r="C169" s="61">
        <f>AVERAGE(C165:C168)</f>
        <v>0.5</v>
      </c>
      <c r="D169" s="61">
        <f>AVERAGE(D165:D168)</f>
        <v>0</v>
      </c>
      <c r="E169" s="61">
        <f>AVERAGE(E165:E168)</f>
        <v>0</v>
      </c>
      <c r="F169" s="62">
        <f t="shared" si="18"/>
        <v>1</v>
      </c>
      <c r="H169" s="60"/>
      <c r="I169" s="61">
        <f>AVERAGE(I165:I168)</f>
        <v>0.5</v>
      </c>
      <c r="J169" s="61">
        <f>AVERAGE(J165:J168)</f>
        <v>0.5</v>
      </c>
      <c r="K169" s="61">
        <f>AVERAGE(K165:K168)</f>
        <v>0</v>
      </c>
      <c r="L169" s="61">
        <f>AVERAGE(L165:L168)</f>
        <v>0</v>
      </c>
      <c r="M169" s="62">
        <f t="shared" si="19"/>
        <v>1</v>
      </c>
      <c r="N169"/>
      <c r="O169" s="60"/>
      <c r="P169" s="61">
        <f>AVERAGE(P165:P168)</f>
        <v>0.5</v>
      </c>
      <c r="Q169" s="61">
        <f>AVERAGE(Q165:Q168)</f>
        <v>0.5</v>
      </c>
      <c r="R169" s="61">
        <f>AVERAGE(R165:R168)</f>
        <v>0</v>
      </c>
      <c r="S169" s="61">
        <f>AVERAGE(S165:S168)</f>
        <v>0</v>
      </c>
      <c r="T169" s="62">
        <f t="shared" si="20"/>
        <v>1</v>
      </c>
      <c r="U169"/>
      <c r="V169" s="60"/>
      <c r="W169" s="61" t="e">
        <f>AVERAGE(W165:W168)</f>
        <v>#DIV/0!</v>
      </c>
      <c r="X169" s="61" t="e">
        <f>AVERAGE(X165:X168)</f>
        <v>#DIV/0!</v>
      </c>
      <c r="Y169" s="61" t="e">
        <f>AVERAGE(Y165:Y168)</f>
        <v>#DIV/0!</v>
      </c>
      <c r="Z169" s="61" t="e">
        <f>AVERAGE(Z165:Z168)</f>
        <v>#DIV/0!</v>
      </c>
      <c r="AA169" s="62" t="e">
        <f t="shared" si="21"/>
        <v>#DIV/0!</v>
      </c>
      <c r="AB169"/>
      <c r="AC169"/>
      <c r="AD169"/>
      <c r="AE169"/>
      <c r="AF169"/>
      <c r="AG169"/>
      <c r="AH169"/>
      <c r="AI169"/>
      <c r="AJ169"/>
      <c r="AK169"/>
      <c r="AL169"/>
      <c r="AM169"/>
      <c r="AN169"/>
      <c r="AO169"/>
      <c r="AP169"/>
      <c r="AQ169"/>
      <c r="AR169"/>
    </row>
    <row r="170" spans="1:44" s="118" customFormat="1" ht="16.5" x14ac:dyDescent="0.3">
      <c r="A170" s="57" t="s">
        <v>648</v>
      </c>
      <c r="B170" s="66">
        <f>COUNTIF(Table101416[I1.1],B$141)/$B$140</f>
        <v>0.5</v>
      </c>
      <c r="C170" s="66">
        <f>COUNTIF(Table101416[I1.1],C$141)/$B$140</f>
        <v>0.5</v>
      </c>
      <c r="D170" s="66">
        <f>COUNTIF(Table101416[I1.1],D$141)/$B$140</f>
        <v>0</v>
      </c>
      <c r="E170" s="66">
        <f>COUNTIF(Table101416[I1.1],E$141)/$B$140</f>
        <v>0</v>
      </c>
      <c r="F170" s="62">
        <f t="shared" si="18"/>
        <v>1</v>
      </c>
      <c r="H170" s="57" t="s">
        <v>648</v>
      </c>
      <c r="I170" s="66">
        <f>COUNTIFS(Table101416[Prodi],$I$138,Table101416[I1.1],I$141)/$I$140</f>
        <v>0</v>
      </c>
      <c r="J170" s="66">
        <f>COUNTIFS(Table101416[Prodi],$I$138,Table101416[I1.1],J$141)/$I$140</f>
        <v>1</v>
      </c>
      <c r="K170" s="66">
        <f>COUNTIFS(Table101416[Prodi],$I$138,Table101416[I1.1],K$141)/$I$140</f>
        <v>0</v>
      </c>
      <c r="L170" s="66">
        <f>COUNTIFS(Table101416[Prodi],$I$138,Table101416[I1.1],L$141)/$I$140</f>
        <v>0</v>
      </c>
      <c r="M170" s="62">
        <f t="shared" si="19"/>
        <v>1</v>
      </c>
      <c r="N170"/>
      <c r="O170" s="57" t="s">
        <v>648</v>
      </c>
      <c r="P170" s="66">
        <f>COUNTIFS(Table101416[Prodi],$P$138,Table101416[I1.1],P$141)/$P$140</f>
        <v>1</v>
      </c>
      <c r="Q170" s="66">
        <f>COUNTIFS(Table101416[Prodi],$P$138,Table101416[I1.1],Q$141)/$P$140</f>
        <v>0</v>
      </c>
      <c r="R170" s="66">
        <f>COUNTIFS(Table101416[Prodi],$P$138,Table101416[I1.1],R$141)/$P$140</f>
        <v>0</v>
      </c>
      <c r="S170" s="66">
        <f>COUNTIFS(Table101416[Prodi],$P$138,Table101416[I1.1],S$141)/$P$140</f>
        <v>0</v>
      </c>
      <c r="T170" s="62">
        <f t="shared" si="20"/>
        <v>1</v>
      </c>
      <c r="U170"/>
      <c r="V170" s="57" t="s">
        <v>648</v>
      </c>
      <c r="W170" s="66" t="e">
        <f>COUNTIFS(Table101416[Prodi],$W$138,Table101416[I1.1],W$141)/$W$140</f>
        <v>#DIV/0!</v>
      </c>
      <c r="X170" s="66" t="e">
        <f>COUNTIFS(Table101416[Prodi],$W$138,Table101416[I1.1],X$141)/$W$140</f>
        <v>#DIV/0!</v>
      </c>
      <c r="Y170" s="66" t="e">
        <f>COUNTIFS(Table101416[Prodi],$W$138,Table101416[I1.1],Y$141)/$W$140</f>
        <v>#DIV/0!</v>
      </c>
      <c r="Z170" s="66" t="e">
        <f>COUNTIFS(Table101416[Prodi],$W$138,Table101416[I1.1],Z$141)/$W$140</f>
        <v>#DIV/0!</v>
      </c>
      <c r="AA170" s="62" t="e">
        <f t="shared" si="21"/>
        <v>#DIV/0!</v>
      </c>
      <c r="AB170"/>
      <c r="AC170"/>
      <c r="AD170"/>
      <c r="AE170"/>
      <c r="AF170"/>
      <c r="AG170"/>
      <c r="AH170"/>
      <c r="AI170"/>
      <c r="AJ170"/>
      <c r="AK170"/>
      <c r="AL170"/>
      <c r="AM170"/>
      <c r="AN170"/>
      <c r="AO170"/>
      <c r="AP170"/>
      <c r="AQ170"/>
      <c r="AR170"/>
    </row>
    <row r="171" spans="1:44" s="118" customFormat="1" ht="16.5" x14ac:dyDescent="0.3">
      <c r="A171" s="57" t="s">
        <v>649</v>
      </c>
      <c r="B171" s="66">
        <f>COUNTIF(Table101416[I1.2],B$141)/$B$140</f>
        <v>0.5</v>
      </c>
      <c r="C171" s="66">
        <f>COUNTIF(Table101416[I1.2],C$141)/$B$140</f>
        <v>0.5</v>
      </c>
      <c r="D171" s="66">
        <f>COUNTIF(Table101416[I1.2],D$141)/$B$140</f>
        <v>0</v>
      </c>
      <c r="E171" s="66">
        <f>COUNTIF(Table101416[I1.2],E$141)/$B$140</f>
        <v>0</v>
      </c>
      <c r="F171" s="62">
        <f t="shared" si="18"/>
        <v>1</v>
      </c>
      <c r="H171" s="57" t="s">
        <v>649</v>
      </c>
      <c r="I171" s="66">
        <f>COUNTIFS(Table101416[Prodi],$I$138,Table101416[I1.2],I$141)/$I$140</f>
        <v>1</v>
      </c>
      <c r="J171" s="66">
        <f>COUNTIFS(Table101416[Prodi],$I$138,Table101416[I1.2],J$141)/$I$140</f>
        <v>0</v>
      </c>
      <c r="K171" s="66">
        <f>COUNTIFS(Table101416[Prodi],$I$138,Table101416[I1.2],K$141)/$I$140</f>
        <v>0</v>
      </c>
      <c r="L171" s="66">
        <f>COUNTIFS(Table101416[Prodi],$I$138,Table101416[I1.2],L$141)/$I$140</f>
        <v>0</v>
      </c>
      <c r="M171" s="62">
        <f t="shared" si="19"/>
        <v>1</v>
      </c>
      <c r="N171"/>
      <c r="O171" s="57" t="s">
        <v>649</v>
      </c>
      <c r="P171" s="66">
        <f>COUNTIFS(Table101416[Prodi],$P$138,Table101416[I1.2],P$141)/$P$140</f>
        <v>0</v>
      </c>
      <c r="Q171" s="66">
        <f>COUNTIFS(Table101416[Prodi],$P$138,Table101416[I1.2],Q$141)/$P$140</f>
        <v>1</v>
      </c>
      <c r="R171" s="66">
        <f>COUNTIFS(Table101416[Prodi],$P$138,Table101416[I1.2],R$141)/$P$140</f>
        <v>0</v>
      </c>
      <c r="S171" s="66">
        <f>COUNTIFS(Table101416[Prodi],$P$138,Table101416[I1.2],S$141)/$P$140</f>
        <v>0</v>
      </c>
      <c r="T171" s="62">
        <f t="shared" si="20"/>
        <v>1</v>
      </c>
      <c r="U171"/>
      <c r="V171" s="57" t="s">
        <v>649</v>
      </c>
      <c r="W171" s="66" t="e">
        <f>COUNTIFS(Table101416[Prodi],$W$138,Table101416[I1.2],W$141)/$W$140</f>
        <v>#DIV/0!</v>
      </c>
      <c r="X171" s="66" t="e">
        <f>COUNTIFS(Table101416[Prodi],$W$138,Table101416[I1.2],X$141)/$W$140</f>
        <v>#DIV/0!</v>
      </c>
      <c r="Y171" s="66" t="e">
        <f>COUNTIFS(Table101416[Prodi],$W$138,Table101416[I1.2],Y$141)/$W$140</f>
        <v>#DIV/0!</v>
      </c>
      <c r="Z171" s="66" t="e">
        <f>COUNTIFS(Table101416[Prodi],$W$138,Table101416[I1.2],Z$141)/$W$140</f>
        <v>#DIV/0!</v>
      </c>
      <c r="AA171" s="62" t="e">
        <f t="shared" si="21"/>
        <v>#DIV/0!</v>
      </c>
      <c r="AB171"/>
      <c r="AC171"/>
      <c r="AD171"/>
      <c r="AE171"/>
      <c r="AF171"/>
      <c r="AG171"/>
      <c r="AH171"/>
      <c r="AI171"/>
      <c r="AJ171"/>
      <c r="AK171"/>
      <c r="AL171"/>
      <c r="AM171"/>
      <c r="AN171"/>
      <c r="AO171"/>
      <c r="AP171"/>
      <c r="AQ171"/>
      <c r="AR171"/>
    </row>
    <row r="172" spans="1:44" s="118" customFormat="1" ht="16.5" x14ac:dyDescent="0.3">
      <c r="A172" s="57" t="s">
        <v>650</v>
      </c>
      <c r="B172" s="66">
        <f>COUNTIF(Table101416[I1.3],B$141)/$B$140</f>
        <v>0.5</v>
      </c>
      <c r="C172" s="66">
        <f>COUNTIF(Table101416[I1.3],C$141)/$B$140</f>
        <v>0.5</v>
      </c>
      <c r="D172" s="66">
        <f>COUNTIF(Table101416[I1.3],D$141)/$B$140</f>
        <v>0</v>
      </c>
      <c r="E172" s="66">
        <f>COUNTIF(Table101416[I1.3],E$141)/$B$140</f>
        <v>0</v>
      </c>
      <c r="F172" s="62">
        <f t="shared" si="18"/>
        <v>1</v>
      </c>
      <c r="H172" s="57" t="s">
        <v>650</v>
      </c>
      <c r="I172" s="66">
        <f>COUNTIFS(Table101416[Prodi],$I$138,Table101416[I1.3],I$141)/$I$140</f>
        <v>0</v>
      </c>
      <c r="J172" s="66">
        <f>COUNTIFS(Table101416[Prodi],$I$138,Table101416[I1.3],J$141)/$I$140</f>
        <v>1</v>
      </c>
      <c r="K172" s="66">
        <f>COUNTIFS(Table101416[Prodi],$I$138,Table101416[I1.3],K$141)/$I$140</f>
        <v>0</v>
      </c>
      <c r="L172" s="66">
        <f>COUNTIFS(Table101416[Prodi],$I$138,Table101416[I1.3],L$141)/$I$140</f>
        <v>0</v>
      </c>
      <c r="M172" s="62">
        <f t="shared" si="19"/>
        <v>1</v>
      </c>
      <c r="N172"/>
      <c r="O172" s="57" t="s">
        <v>650</v>
      </c>
      <c r="P172" s="66">
        <f>COUNTIFS(Table101416[Prodi],$P$138,Table101416[I1.3],P$141)/$P$140</f>
        <v>1</v>
      </c>
      <c r="Q172" s="66">
        <f>COUNTIFS(Table101416[Prodi],$P$138,Table101416[I1.3],Q$141)/$P$140</f>
        <v>0</v>
      </c>
      <c r="R172" s="66">
        <f>COUNTIFS(Table101416[Prodi],$P$138,Table101416[I1.3],R$141)/$P$140</f>
        <v>0</v>
      </c>
      <c r="S172" s="66">
        <f>COUNTIFS(Table101416[Prodi],$P$138,Table101416[I1.3],S$141)/$P$140</f>
        <v>0</v>
      </c>
      <c r="T172" s="62">
        <f t="shared" si="20"/>
        <v>1</v>
      </c>
      <c r="U172"/>
      <c r="V172" s="57" t="s">
        <v>650</v>
      </c>
      <c r="W172" s="66" t="e">
        <f>COUNTIFS(Table101416[Prodi],$W$138,Table101416[I1.3],W$141)/$W$140</f>
        <v>#DIV/0!</v>
      </c>
      <c r="X172" s="66" t="e">
        <f>COUNTIFS(Table101416[Prodi],$W$138,Table101416[I1.3],X$141)/$W$140</f>
        <v>#DIV/0!</v>
      </c>
      <c r="Y172" s="66" t="e">
        <f>COUNTIFS(Table101416[Prodi],$W$138,Table101416[I1.3],Y$141)/$W$140</f>
        <v>#DIV/0!</v>
      </c>
      <c r="Z172" s="66" t="e">
        <f>COUNTIFS(Table101416[Prodi],$W$138,Table101416[I1.3],Z$141)/$W$140</f>
        <v>#DIV/0!</v>
      </c>
      <c r="AA172" s="62" t="e">
        <f t="shared" si="21"/>
        <v>#DIV/0!</v>
      </c>
      <c r="AB172"/>
      <c r="AC172"/>
      <c r="AD172"/>
      <c r="AE172"/>
      <c r="AF172"/>
      <c r="AG172"/>
      <c r="AH172"/>
      <c r="AI172"/>
      <c r="AJ172"/>
      <c r="AK172"/>
      <c r="AL172"/>
      <c r="AM172"/>
      <c r="AN172"/>
      <c r="AO172"/>
      <c r="AP172"/>
      <c r="AQ172"/>
      <c r="AR172"/>
    </row>
    <row r="173" spans="1:44" s="118" customFormat="1" ht="16.5" x14ac:dyDescent="0.3">
      <c r="A173" s="57" t="s">
        <v>651</v>
      </c>
      <c r="B173" s="66">
        <f>COUNTIF(Table101416[I1.4],B$141)/$B$140</f>
        <v>0.5</v>
      </c>
      <c r="C173" s="66">
        <f>COUNTIF(Table101416[I1.4],C$141)/$B$140</f>
        <v>0.5</v>
      </c>
      <c r="D173" s="66">
        <f>COUNTIF(Table101416[I1.4],D$141)/$B$140</f>
        <v>0</v>
      </c>
      <c r="E173" s="66">
        <f>COUNTIF(Table101416[I1.4],E$141)/$B$140</f>
        <v>0</v>
      </c>
      <c r="F173" s="62">
        <f t="shared" si="18"/>
        <v>1</v>
      </c>
      <c r="H173" s="57" t="s">
        <v>651</v>
      </c>
      <c r="I173" s="66">
        <f>COUNTIFS(Table101416[Prodi],$I$138,Table101416[I1.4],I$141)/$I$140</f>
        <v>1</v>
      </c>
      <c r="J173" s="66">
        <f>COUNTIFS(Table101416[Prodi],$I$138,Table101416[I1.4],J$141)/$I$140</f>
        <v>0</v>
      </c>
      <c r="K173" s="66">
        <f>COUNTIFS(Table101416[Prodi],$I$138,Table101416[I1.4],K$141)/$I$140</f>
        <v>0</v>
      </c>
      <c r="L173" s="66">
        <f>COUNTIFS(Table101416[Prodi],$I$138,Table101416[I1.4],L$141)/$I$140</f>
        <v>0</v>
      </c>
      <c r="M173" s="62">
        <f t="shared" si="19"/>
        <v>1</v>
      </c>
      <c r="N173"/>
      <c r="O173" s="57" t="s">
        <v>651</v>
      </c>
      <c r="P173" s="66">
        <f>COUNTIFS(Table101416[Prodi],$P$138,Table101416[I1.4],P$141)/$P$140</f>
        <v>0</v>
      </c>
      <c r="Q173" s="66">
        <f>COUNTIFS(Table101416[Prodi],$P$138,Table101416[I1.4],Q$141)/$P$140</f>
        <v>1</v>
      </c>
      <c r="R173" s="66">
        <f>COUNTIFS(Table101416[Prodi],$P$138,Table101416[I1.4],R$141)/$P$140</f>
        <v>0</v>
      </c>
      <c r="S173" s="66">
        <f>COUNTIFS(Table101416[Prodi],$P$138,Table101416[I1.4],S$141)/$P$140</f>
        <v>0</v>
      </c>
      <c r="T173" s="62">
        <f t="shared" si="20"/>
        <v>1</v>
      </c>
      <c r="U173"/>
      <c r="V173" s="57" t="s">
        <v>651</v>
      </c>
      <c r="W173" s="66" t="e">
        <f>COUNTIFS(Table101416[Prodi],$W$138,Table101416[I1.4],W$141)/$W$140</f>
        <v>#DIV/0!</v>
      </c>
      <c r="X173" s="66" t="e">
        <f>COUNTIFS(Table101416[Prodi],$W$138,Table101416[I1.4],X$141)/$W$140</f>
        <v>#DIV/0!</v>
      </c>
      <c r="Y173" s="66" t="e">
        <f>COUNTIFS(Table101416[Prodi],$W$138,Table101416[I1.4],Y$141)/$W$140</f>
        <v>#DIV/0!</v>
      </c>
      <c r="Z173" s="66" t="e">
        <f>COUNTIFS(Table101416[Prodi],$W$138,Table101416[I1.4],Z$141)/$W$140</f>
        <v>#DIV/0!</v>
      </c>
      <c r="AA173" s="62" t="e">
        <f t="shared" si="21"/>
        <v>#DIV/0!</v>
      </c>
      <c r="AB173"/>
      <c r="AC173"/>
      <c r="AD173"/>
      <c r="AE173"/>
      <c r="AF173"/>
      <c r="AG173"/>
      <c r="AH173"/>
      <c r="AI173"/>
      <c r="AJ173"/>
      <c r="AK173"/>
      <c r="AL173"/>
      <c r="AM173"/>
      <c r="AN173"/>
      <c r="AO173"/>
      <c r="AP173"/>
      <c r="AQ173"/>
      <c r="AR173"/>
    </row>
    <row r="174" spans="1:44" s="118" customFormat="1" ht="16.5" x14ac:dyDescent="0.3">
      <c r="A174" s="57" t="s">
        <v>652</v>
      </c>
      <c r="B174" s="66">
        <f>COUNTIF(Table101416[I1.5],B$141)/$B$140</f>
        <v>0.5</v>
      </c>
      <c r="C174" s="66">
        <f>COUNTIF(Table101416[I1.5],C$141)/$B$140</f>
        <v>0.5</v>
      </c>
      <c r="D174" s="66">
        <f>COUNTIF(Table101416[I1.5],D$141)/$B$140</f>
        <v>0</v>
      </c>
      <c r="E174" s="66">
        <f>COUNTIF(Table101416[I1.5],E$141)/$B$140</f>
        <v>0</v>
      </c>
      <c r="F174" s="62">
        <f t="shared" si="18"/>
        <v>1</v>
      </c>
      <c r="H174" s="57" t="s">
        <v>652</v>
      </c>
      <c r="I174" s="66">
        <f>COUNTIFS(Table101416[Prodi],$I$138,Table101416[I1.5],I$141)/$I$140</f>
        <v>0</v>
      </c>
      <c r="J174" s="66">
        <f>COUNTIFS(Table101416[Prodi],$I$138,Table101416[I1.5],J$141)/$I$140</f>
        <v>1</v>
      </c>
      <c r="K174" s="66">
        <f>COUNTIFS(Table101416[Prodi],$I$138,Table101416[I1.5],K$141)/$I$140</f>
        <v>0</v>
      </c>
      <c r="L174" s="66">
        <f>COUNTIFS(Table101416[Prodi],$I$138,Table101416[I1.5],L$141)/$I$140</f>
        <v>0</v>
      </c>
      <c r="M174" s="62">
        <f t="shared" si="19"/>
        <v>1</v>
      </c>
      <c r="N174"/>
      <c r="O174" s="57" t="s">
        <v>652</v>
      </c>
      <c r="P174" s="66">
        <f>COUNTIFS(Table101416[Prodi],$P$138,Table101416[I1.5],P$141)/$P$140</f>
        <v>1</v>
      </c>
      <c r="Q174" s="66">
        <f>COUNTIFS(Table101416[Prodi],$P$138,Table101416[I1.5],Q$141)/$P$140</f>
        <v>0</v>
      </c>
      <c r="R174" s="66">
        <f>COUNTIFS(Table101416[Prodi],$P$138,Table101416[I1.5],R$141)/$P$140</f>
        <v>0</v>
      </c>
      <c r="S174" s="66">
        <f>COUNTIFS(Table101416[Prodi],$P$138,Table101416[I1.5],S$141)/$P$140</f>
        <v>0</v>
      </c>
      <c r="T174" s="62">
        <f t="shared" si="20"/>
        <v>1</v>
      </c>
      <c r="U174"/>
      <c r="V174" s="57" t="s">
        <v>652</v>
      </c>
      <c r="W174" s="66" t="e">
        <f>COUNTIFS(Table101416[Prodi],$W$138,Table101416[I1.5],W$141)/$W$140</f>
        <v>#DIV/0!</v>
      </c>
      <c r="X174" s="66" t="e">
        <f>COUNTIFS(Table101416[Prodi],$W$138,Table101416[I1.5],X$141)/$W$140</f>
        <v>#DIV/0!</v>
      </c>
      <c r="Y174" s="66" t="e">
        <f>COUNTIFS(Table101416[Prodi],$W$138,Table101416[I1.5],Y$141)/$W$140</f>
        <v>#DIV/0!</v>
      </c>
      <c r="Z174" s="66" t="e">
        <f>COUNTIFS(Table101416[Prodi],$W$138,Table101416[I1.5],Z$141)/$W$140</f>
        <v>#DIV/0!</v>
      </c>
      <c r="AA174" s="62" t="e">
        <f t="shared" si="21"/>
        <v>#DIV/0!</v>
      </c>
      <c r="AB174"/>
      <c r="AC174"/>
      <c r="AD174"/>
      <c r="AE174"/>
      <c r="AF174"/>
      <c r="AG174"/>
      <c r="AH174"/>
      <c r="AI174"/>
      <c r="AJ174"/>
      <c r="AK174"/>
      <c r="AL174"/>
      <c r="AM174"/>
      <c r="AN174"/>
      <c r="AO174"/>
      <c r="AP174"/>
      <c r="AQ174"/>
      <c r="AR174"/>
    </row>
    <row r="175" spans="1:44" s="118" customFormat="1" ht="16.5" x14ac:dyDescent="0.3">
      <c r="A175" s="60"/>
      <c r="B175" s="61">
        <f>AVERAGE(B171:B174)</f>
        <v>0.5</v>
      </c>
      <c r="C175" s="61">
        <f>AVERAGE(C171:C174)</f>
        <v>0.5</v>
      </c>
      <c r="D175" s="61">
        <f>AVERAGE(D171:D174)</f>
        <v>0</v>
      </c>
      <c r="E175" s="61">
        <f>AVERAGE(E171:E174)</f>
        <v>0</v>
      </c>
      <c r="F175" s="62">
        <f t="shared" si="18"/>
        <v>1</v>
      </c>
      <c r="H175" s="60"/>
      <c r="I175" s="61">
        <f>AVERAGE(I171:I174)</f>
        <v>0.5</v>
      </c>
      <c r="J175" s="61">
        <f>AVERAGE(J171:J174)</f>
        <v>0.5</v>
      </c>
      <c r="K175" s="61">
        <f>AVERAGE(K171:K174)</f>
        <v>0</v>
      </c>
      <c r="L175" s="61">
        <f>AVERAGE(L171:L174)</f>
        <v>0</v>
      </c>
      <c r="M175" s="62">
        <f t="shared" si="19"/>
        <v>1</v>
      </c>
      <c r="N175"/>
      <c r="O175" s="60"/>
      <c r="P175" s="61">
        <f>AVERAGE(P171:P174)</f>
        <v>0.5</v>
      </c>
      <c r="Q175" s="61">
        <f>AVERAGE(Q171:Q174)</f>
        <v>0.5</v>
      </c>
      <c r="R175" s="61">
        <f>AVERAGE(R171:R174)</f>
        <v>0</v>
      </c>
      <c r="S175" s="61">
        <f>AVERAGE(S171:S174)</f>
        <v>0</v>
      </c>
      <c r="T175" s="62">
        <f t="shared" si="20"/>
        <v>1</v>
      </c>
      <c r="U175"/>
      <c r="V175" s="60"/>
      <c r="W175" s="61" t="e">
        <f>AVERAGE(W171:W174)</f>
        <v>#DIV/0!</v>
      </c>
      <c r="X175" s="61" t="e">
        <f>AVERAGE(X171:X174)</f>
        <v>#DIV/0!</v>
      </c>
      <c r="Y175" s="61" t="e">
        <f>AVERAGE(Y171:Y174)</f>
        <v>#DIV/0!</v>
      </c>
      <c r="Z175" s="61" t="e">
        <f>AVERAGE(Z171:Z174)</f>
        <v>#DIV/0!</v>
      </c>
      <c r="AA175" s="62" t="e">
        <f t="shared" si="21"/>
        <v>#DIV/0!</v>
      </c>
      <c r="AB175"/>
      <c r="AC175"/>
      <c r="AD175"/>
      <c r="AE175"/>
      <c r="AF175"/>
      <c r="AG175"/>
      <c r="AH175"/>
      <c r="AI175"/>
      <c r="AJ175"/>
      <c r="AK175"/>
      <c r="AL175"/>
      <c r="AM175"/>
      <c r="AN175"/>
      <c r="AO175"/>
      <c r="AP175"/>
      <c r="AQ175"/>
      <c r="AR175"/>
    </row>
    <row r="176" spans="1:44" ht="16.5" x14ac:dyDescent="0.3">
      <c r="A176" s="57" t="s">
        <v>653</v>
      </c>
      <c r="B176" s="66">
        <f>COUNTIF(Table101416[I2.1],B$141)/$B$140</f>
        <v>0.5</v>
      </c>
      <c r="C176" s="66">
        <f>COUNTIF(Table101416[I2.1],C$141)/$B$140</f>
        <v>0.5</v>
      </c>
      <c r="D176" s="66">
        <f>COUNTIF(Table101416[I2.1],D$141)/$B$140</f>
        <v>0</v>
      </c>
      <c r="E176" s="66">
        <f>COUNTIF(Table101416[I2.1],E$141)/$B$140</f>
        <v>0</v>
      </c>
      <c r="F176" s="62">
        <f t="shared" si="18"/>
        <v>1</v>
      </c>
      <c r="H176" s="57" t="s">
        <v>653</v>
      </c>
      <c r="I176" s="66">
        <f>COUNTIFS(Table101416[Prodi],$I$138,Table101416[I2.1],I$141)/$I$140</f>
        <v>1</v>
      </c>
      <c r="J176" s="66">
        <f>COUNTIFS(Table101416[Prodi],$I$138,Table101416[I2.1],J$141)/$I$140</f>
        <v>0</v>
      </c>
      <c r="K176" s="66">
        <f>COUNTIFS(Table101416[Prodi],$I$138,Table101416[I2.1],K$141)/$I$140</f>
        <v>0</v>
      </c>
      <c r="L176" s="66">
        <f>COUNTIFS(Table101416[Prodi],$I$138,Table101416[I2.1],L$141)/$I$140</f>
        <v>0</v>
      </c>
      <c r="M176" s="62">
        <f t="shared" si="19"/>
        <v>1</v>
      </c>
      <c r="O176" s="57" t="s">
        <v>653</v>
      </c>
      <c r="P176" s="66">
        <f>COUNTIFS(Table101416[Prodi],$P$138,Table101416[I2.1],P$141)/$P$140</f>
        <v>0</v>
      </c>
      <c r="Q176" s="66">
        <f>COUNTIFS(Table101416[Prodi],$P$138,Table101416[I2.1],Q$141)/$P$140</f>
        <v>1</v>
      </c>
      <c r="R176" s="66">
        <f>COUNTIFS(Table101416[Prodi],$P$138,Table101416[I2.1],R$141)/$P$140</f>
        <v>0</v>
      </c>
      <c r="S176" s="66">
        <f>COUNTIFS(Table101416[Prodi],$P$138,Table101416[I2.1],S$141)/$P$140</f>
        <v>0</v>
      </c>
      <c r="T176" s="62">
        <f t="shared" si="20"/>
        <v>1</v>
      </c>
      <c r="V176" s="57" t="s">
        <v>653</v>
      </c>
      <c r="W176" s="66" t="e">
        <f>COUNTIFS(Table101416[Prodi],$W$138,Table101416[I2.1],W$141)/$W$140</f>
        <v>#DIV/0!</v>
      </c>
      <c r="X176" s="66" t="e">
        <f>COUNTIFS(Table101416[Prodi],$W$138,Table101416[I2.1],X$141)/$W$140</f>
        <v>#DIV/0!</v>
      </c>
      <c r="Y176" s="66" t="e">
        <f>COUNTIFS(Table101416[Prodi],$W$138,Table101416[I2.1],Y$141)/$W$140</f>
        <v>#DIV/0!</v>
      </c>
      <c r="Z176" s="66" t="e">
        <f>COUNTIFS(Table101416[Prodi],$W$138,Table101416[I2.1],Z$141)/$W$140</f>
        <v>#DIV/0!</v>
      </c>
      <c r="AA176" s="62" t="e">
        <f t="shared" si="21"/>
        <v>#DIV/0!</v>
      </c>
    </row>
    <row r="177" spans="1:44" ht="16.5" x14ac:dyDescent="0.3">
      <c r="A177" s="57" t="s">
        <v>654</v>
      </c>
      <c r="B177" s="66">
        <f>COUNTIF(Table101416[I2.2],B$141)/$B$140</f>
        <v>0.5</v>
      </c>
      <c r="C177" s="66">
        <f>COUNTIF(Table101416[I2.2],C$141)/$B$140</f>
        <v>0.5</v>
      </c>
      <c r="D177" s="66">
        <f>COUNTIF(Table101416[I2.2],D$141)/$B$140</f>
        <v>0</v>
      </c>
      <c r="E177" s="66">
        <f>COUNTIF(Table101416[I2.2],E$141)/$B$140</f>
        <v>0</v>
      </c>
      <c r="F177" s="62">
        <f t="shared" si="18"/>
        <v>1</v>
      </c>
      <c r="H177" s="57" t="s">
        <v>654</v>
      </c>
      <c r="I177" s="66">
        <f>COUNTIFS(Table101416[Prodi],$I$138,Table101416[I2.2],I$141)/$I$140</f>
        <v>0</v>
      </c>
      <c r="J177" s="66">
        <f>COUNTIFS(Table101416[Prodi],$I$138,Table101416[I2.2],J$141)/$I$140</f>
        <v>1</v>
      </c>
      <c r="K177" s="66">
        <f>COUNTIFS(Table101416[Prodi],$I$138,Table101416[I2.2],K$141)/$I$140</f>
        <v>0</v>
      </c>
      <c r="L177" s="66">
        <f>COUNTIFS(Table101416[Prodi],$I$138,Table101416[I2.2],L$141)/$I$140</f>
        <v>0</v>
      </c>
      <c r="M177" s="62">
        <f t="shared" si="19"/>
        <v>1</v>
      </c>
      <c r="O177" s="57" t="s">
        <v>654</v>
      </c>
      <c r="P177" s="66">
        <f>COUNTIFS(Table101416[Prodi],$P$138,Table101416[I2.2],P$141)/$P$140</f>
        <v>1</v>
      </c>
      <c r="Q177" s="66">
        <f>COUNTIFS(Table101416[Prodi],$P$138,Table101416[I2.2],Q$141)/$P$140</f>
        <v>0</v>
      </c>
      <c r="R177" s="66">
        <f>COUNTIFS(Table101416[Prodi],$P$138,Table101416[I2.2],R$141)/$P$140</f>
        <v>0</v>
      </c>
      <c r="S177" s="66">
        <f>COUNTIFS(Table101416[Prodi],$P$138,Table101416[I2.2],S$141)/$P$140</f>
        <v>0</v>
      </c>
      <c r="T177" s="62">
        <f t="shared" si="20"/>
        <v>1</v>
      </c>
      <c r="V177" s="57" t="s">
        <v>654</v>
      </c>
      <c r="W177" s="66" t="e">
        <f>COUNTIFS(Table101416[Prodi],$W$138,Table101416[I2.2],W$141)/$W$140</f>
        <v>#DIV/0!</v>
      </c>
      <c r="X177" s="66" t="e">
        <f>COUNTIFS(Table101416[Prodi],$W$138,Table101416[I2.2],X$141)/$W$140</f>
        <v>#DIV/0!</v>
      </c>
      <c r="Y177" s="66" t="e">
        <f>COUNTIFS(Table101416[Prodi],$W$138,Table101416[I2.2],Y$141)/$W$140</f>
        <v>#DIV/0!</v>
      </c>
      <c r="Z177" s="66" t="e">
        <f>COUNTIFS(Table101416[Prodi],$W$138,Table101416[I2.2],Z$141)/$W$140</f>
        <v>#DIV/0!</v>
      </c>
      <c r="AA177" s="62" t="e">
        <f t="shared" si="21"/>
        <v>#DIV/0!</v>
      </c>
    </row>
    <row r="178" spans="1:44" ht="16.5" x14ac:dyDescent="0.3">
      <c r="A178" s="57" t="s">
        <v>655</v>
      </c>
      <c r="B178" s="66">
        <f>COUNTIF(Table101416[I2.3],B$141)/$B$140</f>
        <v>0.5</v>
      </c>
      <c r="C178" s="66">
        <f>COUNTIF(Table101416[I2.3],C$141)/$B$140</f>
        <v>0.5</v>
      </c>
      <c r="D178" s="66">
        <f>COUNTIF(Table101416[I2.3],D$141)/$B$140</f>
        <v>0</v>
      </c>
      <c r="E178" s="66">
        <f>COUNTIF(Table101416[I2.3],E$141)/$B$140</f>
        <v>0</v>
      </c>
      <c r="F178" s="62">
        <f t="shared" si="18"/>
        <v>1</v>
      </c>
      <c r="H178" s="57" t="s">
        <v>655</v>
      </c>
      <c r="I178" s="66">
        <f>COUNTIFS(Table101416[Prodi],$I$138,Table101416[I2.3],I$141)/$I$140</f>
        <v>1</v>
      </c>
      <c r="J178" s="66">
        <f>COUNTIFS(Table101416[Prodi],$I$138,Table101416[I2.3],J$141)/$I$140</f>
        <v>0</v>
      </c>
      <c r="K178" s="66">
        <f>COUNTIFS(Table101416[Prodi],$I$138,Table101416[I2.3],K$141)/$I$140</f>
        <v>0</v>
      </c>
      <c r="L178" s="66">
        <f>COUNTIFS(Table101416[Prodi],$I$138,Table101416[I2.3],L$141)/$I$140</f>
        <v>0</v>
      </c>
      <c r="M178" s="62">
        <f t="shared" si="19"/>
        <v>1</v>
      </c>
      <c r="O178" s="57" t="s">
        <v>655</v>
      </c>
      <c r="P178" s="66">
        <f>COUNTIFS(Table101416[Prodi],$P$138,Table101416[I2.3],P$141)/$P$140</f>
        <v>0</v>
      </c>
      <c r="Q178" s="66">
        <f>COUNTIFS(Table101416[Prodi],$P$138,Table101416[I2.3],Q$141)/$P$140</f>
        <v>1</v>
      </c>
      <c r="R178" s="66">
        <f>COUNTIFS(Table101416[Prodi],$P$138,Table101416[I2.3],R$141)/$P$140</f>
        <v>0</v>
      </c>
      <c r="S178" s="66">
        <f>COUNTIFS(Table101416[Prodi],$P$138,Table101416[I2.3],S$141)/$P$140</f>
        <v>0</v>
      </c>
      <c r="T178" s="62">
        <f t="shared" si="20"/>
        <v>1</v>
      </c>
      <c r="V178" s="57" t="s">
        <v>655</v>
      </c>
      <c r="W178" s="66" t="e">
        <f>COUNTIFS(Table101416[Prodi],$W$138,Table101416[I2.3],W$141)/$W$140</f>
        <v>#DIV/0!</v>
      </c>
      <c r="X178" s="66" t="e">
        <f>COUNTIFS(Table101416[Prodi],$W$138,Table101416[I2.3],X$141)/$W$140</f>
        <v>#DIV/0!</v>
      </c>
      <c r="Y178" s="66" t="e">
        <f>COUNTIFS(Table101416[Prodi],$W$138,Table101416[I2.3],Y$141)/$W$140</f>
        <v>#DIV/0!</v>
      </c>
      <c r="Z178" s="66" t="e">
        <f>COUNTIFS(Table101416[Prodi],$W$138,Table101416[I2.3],Z$141)/$W$140</f>
        <v>#DIV/0!</v>
      </c>
      <c r="AA178" s="62" t="e">
        <f t="shared" si="21"/>
        <v>#DIV/0!</v>
      </c>
    </row>
    <row r="179" spans="1:44" ht="16.5" x14ac:dyDescent="0.3">
      <c r="A179" s="57" t="s">
        <v>656</v>
      </c>
      <c r="B179" s="66">
        <f>COUNTIF(Table101416[I2.4],B$141)/$B$140</f>
        <v>0.5</v>
      </c>
      <c r="C179" s="66">
        <f>COUNTIF(Table101416[I2.4],C$141)/$B$140</f>
        <v>0.5</v>
      </c>
      <c r="D179" s="66">
        <f>COUNTIF(Table101416[I2.4],D$141)/$B$140</f>
        <v>0</v>
      </c>
      <c r="E179" s="66">
        <f>COUNTIF(Table101416[I2.4],E$141)/$B$140</f>
        <v>0</v>
      </c>
      <c r="F179" s="62">
        <f t="shared" si="18"/>
        <v>1</v>
      </c>
      <c r="H179" s="57" t="s">
        <v>656</v>
      </c>
      <c r="I179" s="66">
        <f>COUNTIFS(Table101416[Prodi],$I$138,Table101416[I2.4],I$141)/$I$140</f>
        <v>0</v>
      </c>
      <c r="J179" s="66">
        <f>COUNTIFS(Table101416[Prodi],$I$138,Table101416[I2.4],J$141)/$I$140</f>
        <v>1</v>
      </c>
      <c r="K179" s="66">
        <f>COUNTIFS(Table101416[Prodi],$I$138,Table101416[I2.4],K$141)/$I$140</f>
        <v>0</v>
      </c>
      <c r="L179" s="66">
        <f>COUNTIFS(Table101416[Prodi],$I$138,Table101416[I2.4],L$141)/$I$140</f>
        <v>0</v>
      </c>
      <c r="M179" s="62">
        <f t="shared" si="19"/>
        <v>1</v>
      </c>
      <c r="O179" s="57" t="s">
        <v>656</v>
      </c>
      <c r="P179" s="66">
        <f>COUNTIFS(Table101416[Prodi],$P$138,Table101416[I2.4],P$141)/$P$140</f>
        <v>1</v>
      </c>
      <c r="Q179" s="66">
        <f>COUNTIFS(Table101416[Prodi],$P$138,Table101416[I2.4],Q$141)/$P$140</f>
        <v>0</v>
      </c>
      <c r="R179" s="66">
        <f>COUNTIFS(Table101416[Prodi],$P$138,Table101416[I2.4],R$141)/$P$140</f>
        <v>0</v>
      </c>
      <c r="S179" s="66">
        <f>COUNTIFS(Table101416[Prodi],$P$138,Table101416[I2.4],S$141)/$P$140</f>
        <v>0</v>
      </c>
      <c r="T179" s="62">
        <f t="shared" si="20"/>
        <v>1</v>
      </c>
      <c r="V179" s="57" t="s">
        <v>656</v>
      </c>
      <c r="W179" s="66" t="e">
        <f>COUNTIFS(Table101416[Prodi],$W$138,Table101416[I2.4],W$141)/$W$140</f>
        <v>#DIV/0!</v>
      </c>
      <c r="X179" s="66" t="e">
        <f>COUNTIFS(Table101416[Prodi],$W$138,Table101416[I2.4],X$141)/$W$140</f>
        <v>#DIV/0!</v>
      </c>
      <c r="Y179" s="66" t="e">
        <f>COUNTIFS(Table101416[Prodi],$W$138,Table101416[I2.4],Y$141)/$W$140</f>
        <v>#DIV/0!</v>
      </c>
      <c r="Z179" s="66" t="e">
        <f>COUNTIFS(Table101416[Prodi],$W$138,Table101416[I2.4],Z$141)/$W$140</f>
        <v>#DIV/0!</v>
      </c>
      <c r="AA179" s="62" t="e">
        <f t="shared" si="21"/>
        <v>#DIV/0!</v>
      </c>
    </row>
    <row r="180" spans="1:44" ht="17.25" thickBot="1" x14ac:dyDescent="0.35">
      <c r="A180" s="67"/>
      <c r="B180" s="61">
        <f>AVERAGE(B176:B179)</f>
        <v>0.5</v>
      </c>
      <c r="C180" s="61">
        <f>AVERAGE(C176:C179)</f>
        <v>0.5</v>
      </c>
      <c r="D180" s="61">
        <f>AVERAGE(D176:D179)</f>
        <v>0</v>
      </c>
      <c r="E180" s="61">
        <f>AVERAGE(E176:E179)</f>
        <v>0</v>
      </c>
      <c r="F180" s="62">
        <f t="shared" si="18"/>
        <v>1</v>
      </c>
      <c r="H180" s="67"/>
      <c r="I180" s="61">
        <f>AVERAGE(I176:I179)</f>
        <v>0.5</v>
      </c>
      <c r="J180" s="61">
        <f>AVERAGE(J176:J179)</f>
        <v>0.5</v>
      </c>
      <c r="K180" s="61">
        <f>AVERAGE(K176:K179)</f>
        <v>0</v>
      </c>
      <c r="L180" s="61">
        <f>AVERAGE(L176:L179)</f>
        <v>0</v>
      </c>
      <c r="M180" s="62">
        <f t="shared" si="19"/>
        <v>1</v>
      </c>
      <c r="O180" s="67"/>
      <c r="P180" s="61">
        <f>AVERAGE(P176:P179)</f>
        <v>0.5</v>
      </c>
      <c r="Q180" s="61">
        <f>AVERAGE(Q176:Q179)</f>
        <v>0.5</v>
      </c>
      <c r="R180" s="61">
        <f>AVERAGE(R176:R179)</f>
        <v>0</v>
      </c>
      <c r="S180" s="61">
        <f>AVERAGE(S176:S179)</f>
        <v>0</v>
      </c>
      <c r="T180" s="62">
        <f t="shared" si="20"/>
        <v>1</v>
      </c>
      <c r="V180" s="67"/>
      <c r="W180" s="61" t="e">
        <f>AVERAGE(W176:W179)</f>
        <v>#DIV/0!</v>
      </c>
      <c r="X180" s="61" t="e">
        <f>AVERAGE(X176:X179)</f>
        <v>#DIV/0!</v>
      </c>
      <c r="Y180" s="61" t="e">
        <f>AVERAGE(Y176:Y179)</f>
        <v>#DIV/0!</v>
      </c>
      <c r="Z180" s="61" t="e">
        <f>AVERAGE(Z176:Z179)</f>
        <v>#DIV/0!</v>
      </c>
      <c r="AA180" s="62" t="e">
        <f t="shared" si="21"/>
        <v>#DIV/0!</v>
      </c>
    </row>
    <row r="182" spans="1:44" s="176" customFormat="1" x14ac:dyDescent="0.25">
      <c r="A182" s="175"/>
      <c r="B182" s="175"/>
      <c r="D182" s="177"/>
      <c r="E182" s="177"/>
      <c r="F182" s="177"/>
      <c r="G182" s="177"/>
      <c r="H182" s="177"/>
      <c r="I182" s="177"/>
    </row>
    <row r="183" spans="1:44" ht="15.75" thickBot="1" x14ac:dyDescent="0.3"/>
    <row r="184" spans="1:44" ht="17.25" customHeight="1" thickBot="1" x14ac:dyDescent="0.3">
      <c r="A184" s="64" t="s">
        <v>647</v>
      </c>
      <c r="B184" s="65">
        <f>B48</f>
        <v>2023</v>
      </c>
      <c r="C184" s="237" t="str">
        <f>B47</f>
        <v>FTI</v>
      </c>
      <c r="D184" s="238"/>
      <c r="E184" s="239"/>
      <c r="H184" s="64" t="s">
        <v>647</v>
      </c>
      <c r="I184" s="65">
        <f>I48</f>
        <v>2023</v>
      </c>
      <c r="J184" s="237" t="str">
        <f>I47</f>
        <v>S1 Sistem Informasi</v>
      </c>
      <c r="K184" s="238"/>
      <c r="L184" s="239"/>
      <c r="O184" s="64" t="s">
        <v>647</v>
      </c>
      <c r="P184" s="65">
        <f>P48</f>
        <v>2023</v>
      </c>
      <c r="Q184" s="237" t="str">
        <f>P47</f>
        <v>S1 Teknik Komputer</v>
      </c>
      <c r="R184" s="238"/>
      <c r="S184" s="239"/>
      <c r="V184" s="64" t="s">
        <v>647</v>
      </c>
      <c r="W184" s="65">
        <f>W48</f>
        <v>2023</v>
      </c>
      <c r="X184" s="237" t="str">
        <f>W47</f>
        <v>D3 Sistem Informasi</v>
      </c>
      <c r="Y184" s="238"/>
      <c r="Z184" s="239"/>
    </row>
    <row r="185" spans="1:44" ht="17.25" customHeight="1" thickBot="1" x14ac:dyDescent="0.3">
      <c r="A185" s="69" t="s">
        <v>646</v>
      </c>
      <c r="B185" s="70">
        <f>B49</f>
        <v>16</v>
      </c>
      <c r="C185" s="240"/>
      <c r="D185" s="241"/>
      <c r="E185" s="242"/>
      <c r="H185" s="69" t="s">
        <v>646</v>
      </c>
      <c r="I185" s="70">
        <f>I49</f>
        <v>7</v>
      </c>
      <c r="J185" s="240"/>
      <c r="K185" s="241"/>
      <c r="L185" s="242"/>
      <c r="O185" s="69" t="s">
        <v>646</v>
      </c>
      <c r="P185" s="70">
        <f>P49</f>
        <v>4</v>
      </c>
      <c r="Q185" s="240"/>
      <c r="R185" s="241"/>
      <c r="S185" s="242"/>
      <c r="V185" s="69" t="s">
        <v>646</v>
      </c>
      <c r="W185" s="70">
        <f>W49</f>
        <v>5</v>
      </c>
      <c r="X185" s="240"/>
      <c r="Y185" s="241"/>
      <c r="Z185" s="242"/>
    </row>
    <row r="186" spans="1:44" ht="33" customHeight="1" thickBot="1" x14ac:dyDescent="0.3">
      <c r="A186" s="222" t="s">
        <v>658</v>
      </c>
      <c r="B186" s="223" t="s">
        <v>664</v>
      </c>
      <c r="C186" s="223"/>
      <c r="D186" s="223"/>
      <c r="E186" s="223"/>
      <c r="H186" s="222" t="s">
        <v>658</v>
      </c>
      <c r="I186" s="223" t="s">
        <v>664</v>
      </c>
      <c r="J186" s="223"/>
      <c r="K186" s="223"/>
      <c r="L186" s="223"/>
      <c r="O186" s="222" t="s">
        <v>658</v>
      </c>
      <c r="P186" s="223" t="s">
        <v>664</v>
      </c>
      <c r="Q186" s="223"/>
      <c r="R186" s="223"/>
      <c r="S186" s="223"/>
      <c r="V186" s="222" t="s">
        <v>658</v>
      </c>
      <c r="W186" s="223" t="s">
        <v>664</v>
      </c>
      <c r="X186" s="223"/>
      <c r="Y186" s="223"/>
      <c r="Z186" s="223"/>
    </row>
    <row r="187" spans="1:44" ht="15.75" thickBot="1" x14ac:dyDescent="0.3">
      <c r="A187" s="222"/>
      <c r="B187" s="72" t="s">
        <v>645</v>
      </c>
      <c r="C187" s="72" t="s">
        <v>665</v>
      </c>
      <c r="D187" s="72" t="s">
        <v>666</v>
      </c>
      <c r="E187" s="72" t="s">
        <v>667</v>
      </c>
      <c r="H187" s="222"/>
      <c r="I187" s="72" t="s">
        <v>645</v>
      </c>
      <c r="J187" s="72" t="s">
        <v>665</v>
      </c>
      <c r="K187" s="72" t="s">
        <v>666</v>
      </c>
      <c r="L187" s="72" t="s">
        <v>667</v>
      </c>
      <c r="O187" s="222"/>
      <c r="P187" s="72" t="s">
        <v>645</v>
      </c>
      <c r="Q187" s="72" t="s">
        <v>665</v>
      </c>
      <c r="R187" s="72" t="s">
        <v>666</v>
      </c>
      <c r="S187" s="72" t="s">
        <v>667</v>
      </c>
      <c r="V187" s="222"/>
      <c r="W187" s="72" t="s">
        <v>645</v>
      </c>
      <c r="X187" s="72" t="s">
        <v>665</v>
      </c>
      <c r="Y187" s="72" t="s">
        <v>666</v>
      </c>
      <c r="Z187" s="72" t="s">
        <v>667</v>
      </c>
    </row>
    <row r="188" spans="1:44" x14ac:dyDescent="0.25">
      <c r="A188" s="73">
        <v>2</v>
      </c>
      <c r="B188" s="71">
        <v>3</v>
      </c>
      <c r="C188" s="71">
        <v>4</v>
      </c>
      <c r="D188" s="71">
        <v>5</v>
      </c>
      <c r="E188" s="74"/>
      <c r="H188" s="73">
        <v>2</v>
      </c>
      <c r="I188" s="71">
        <v>3</v>
      </c>
      <c r="J188" s="71">
        <v>4</v>
      </c>
      <c r="K188" s="71">
        <v>5</v>
      </c>
      <c r="L188" s="74"/>
      <c r="O188" s="73">
        <v>2</v>
      </c>
      <c r="P188" s="71">
        <v>3</v>
      </c>
      <c r="Q188" s="71">
        <v>4</v>
      </c>
      <c r="R188" s="71">
        <v>5</v>
      </c>
      <c r="S188" s="74"/>
      <c r="V188" s="73">
        <v>2</v>
      </c>
      <c r="W188" s="71">
        <v>3</v>
      </c>
      <c r="X188" s="71">
        <v>4</v>
      </c>
      <c r="Y188" s="71">
        <v>5</v>
      </c>
      <c r="Z188" s="74"/>
    </row>
    <row r="189" spans="1:44" x14ac:dyDescent="0.25">
      <c r="A189" s="75" t="s">
        <v>1441</v>
      </c>
      <c r="B189" s="58">
        <f>B55</f>
        <v>0.375</v>
      </c>
      <c r="C189" s="58">
        <f>C55</f>
        <v>0.3125</v>
      </c>
      <c r="D189" s="58">
        <f>D55</f>
        <v>0.1875</v>
      </c>
      <c r="E189" s="58">
        <f>E55</f>
        <v>0.125</v>
      </c>
      <c r="H189" s="75" t="s">
        <v>1441</v>
      </c>
      <c r="I189" s="66">
        <f>I55</f>
        <v>0.49999999999999994</v>
      </c>
      <c r="J189" s="66">
        <f>J55</f>
        <v>0.3214285714285714</v>
      </c>
      <c r="K189" s="66">
        <f>K55</f>
        <v>0.10714285714285714</v>
      </c>
      <c r="L189" s="66">
        <f>L55</f>
        <v>7.1428571428571425E-2</v>
      </c>
      <c r="O189" s="75" t="s">
        <v>1441</v>
      </c>
      <c r="P189" s="66">
        <f>P55</f>
        <v>0.9375</v>
      </c>
      <c r="Q189" s="66">
        <f>Q55</f>
        <v>6.25E-2</v>
      </c>
      <c r="R189" s="66">
        <f>R55</f>
        <v>0</v>
      </c>
      <c r="S189" s="66">
        <f>S55</f>
        <v>0</v>
      </c>
      <c r="V189" s="75" t="s">
        <v>1441</v>
      </c>
      <c r="W189" s="66">
        <f>W55</f>
        <v>0.25</v>
      </c>
      <c r="X189" s="66">
        <f>X55</f>
        <v>0.75</v>
      </c>
      <c r="Y189" s="66">
        <f>Y55</f>
        <v>0</v>
      </c>
      <c r="Z189" s="66">
        <f>Z55</f>
        <v>0</v>
      </c>
    </row>
    <row r="190" spans="1:44" x14ac:dyDescent="0.25">
      <c r="A190" s="75" t="s">
        <v>1582</v>
      </c>
      <c r="B190" s="58">
        <f>B59</f>
        <v>0.8125</v>
      </c>
      <c r="C190" s="58">
        <f>C59</f>
        <v>0.16666666666666666</v>
      </c>
      <c r="D190" s="58">
        <f>D59</f>
        <v>2.0833333333333332E-2</v>
      </c>
      <c r="E190" s="58">
        <f>E59</f>
        <v>0</v>
      </c>
      <c r="H190" s="75" t="s">
        <v>1582</v>
      </c>
      <c r="I190" s="66">
        <f>I59</f>
        <v>0.80952380952380942</v>
      </c>
      <c r="J190" s="66">
        <f>J59</f>
        <v>0.19047619047619047</v>
      </c>
      <c r="K190" s="66">
        <f>K59</f>
        <v>0</v>
      </c>
      <c r="L190" s="66">
        <f>L59</f>
        <v>0</v>
      </c>
      <c r="O190" s="75" t="s">
        <v>1582</v>
      </c>
      <c r="P190" s="66">
        <f>P59</f>
        <v>0.91666666666666663</v>
      </c>
      <c r="Q190" s="66">
        <f>Q59</f>
        <v>8.3333333333333329E-2</v>
      </c>
      <c r="R190" s="66">
        <f>R59</f>
        <v>0</v>
      </c>
      <c r="S190" s="66">
        <f>S59</f>
        <v>0</v>
      </c>
      <c r="V190" s="75" t="s">
        <v>1582</v>
      </c>
      <c r="W190" s="66">
        <f>W59</f>
        <v>0.73333333333333339</v>
      </c>
      <c r="X190" s="66">
        <f>X59</f>
        <v>0.20000000000000004</v>
      </c>
      <c r="Y190" s="66">
        <f>Y59</f>
        <v>6.6666666666666666E-2</v>
      </c>
      <c r="Z190" s="66">
        <f>Z59</f>
        <v>0</v>
      </c>
    </row>
    <row r="191" spans="1:44" x14ac:dyDescent="0.25">
      <c r="A191" s="75" t="s">
        <v>1583</v>
      </c>
      <c r="B191" s="58">
        <f>B62</f>
        <v>0.25</v>
      </c>
      <c r="C191" s="58">
        <f>C62</f>
        <v>0.46875</v>
      </c>
      <c r="D191" s="58">
        <f>D62</f>
        <v>0.1875</v>
      </c>
      <c r="E191" s="58">
        <f>E62</f>
        <v>9.375E-2</v>
      </c>
      <c r="H191" s="75" t="s">
        <v>1583</v>
      </c>
      <c r="I191" s="66">
        <f>I62</f>
        <v>0</v>
      </c>
      <c r="J191" s="66">
        <f>J62</f>
        <v>0.42857142857142855</v>
      </c>
      <c r="K191" s="66">
        <f>K62</f>
        <v>0.3571428571428571</v>
      </c>
      <c r="L191" s="66">
        <f>L62</f>
        <v>0.21428571428571427</v>
      </c>
      <c r="O191" s="75" t="s">
        <v>1583</v>
      </c>
      <c r="P191" s="66">
        <f>P62</f>
        <v>0.875</v>
      </c>
      <c r="Q191" s="66">
        <f>Q62</f>
        <v>0.125</v>
      </c>
      <c r="R191" s="66">
        <f>R62</f>
        <v>0</v>
      </c>
      <c r="S191" s="66">
        <f>S62</f>
        <v>0</v>
      </c>
      <c r="V191" s="75" t="s">
        <v>1583</v>
      </c>
      <c r="W191" s="66">
        <f>W62</f>
        <v>0.1</v>
      </c>
      <c r="X191" s="66">
        <f>X62</f>
        <v>0.8</v>
      </c>
      <c r="Y191" s="66">
        <f>Y62</f>
        <v>0.1</v>
      </c>
      <c r="Z191" s="66">
        <f>Z62</f>
        <v>0</v>
      </c>
    </row>
    <row r="192" spans="1:44" s="118" customFormat="1" x14ac:dyDescent="0.25">
      <c r="A192" s="75" t="s">
        <v>663</v>
      </c>
      <c r="B192" s="58">
        <f>B66</f>
        <v>0.60416666666666663</v>
      </c>
      <c r="C192" s="58">
        <f>C66</f>
        <v>0.3125</v>
      </c>
      <c r="D192" s="58">
        <f>D66</f>
        <v>4.1666666666666664E-2</v>
      </c>
      <c r="E192" s="58">
        <f>E66</f>
        <v>4.1666666666666664E-2</v>
      </c>
      <c r="H192" s="75" t="s">
        <v>663</v>
      </c>
      <c r="I192" s="66">
        <f>I66</f>
        <v>0.42857142857142855</v>
      </c>
      <c r="J192" s="66">
        <f>J66</f>
        <v>0.38095238095238093</v>
      </c>
      <c r="K192" s="66">
        <f>K66</f>
        <v>9.5238095238095233E-2</v>
      </c>
      <c r="L192" s="66">
        <f>L66</f>
        <v>9.5238095238095233E-2</v>
      </c>
      <c r="M192"/>
      <c r="N192"/>
      <c r="O192" s="75" t="s">
        <v>663</v>
      </c>
      <c r="P192" s="66">
        <f>P66</f>
        <v>0.83333333333333337</v>
      </c>
      <c r="Q192" s="66">
        <f>Q66</f>
        <v>0.16666666666666666</v>
      </c>
      <c r="R192" s="66">
        <f>R66</f>
        <v>0</v>
      </c>
      <c r="S192" s="66">
        <f>S66</f>
        <v>0</v>
      </c>
      <c r="T192"/>
      <c r="U192"/>
      <c r="V192" s="75" t="s">
        <v>663</v>
      </c>
      <c r="W192" s="66">
        <f>W66</f>
        <v>0.66666666666666663</v>
      </c>
      <c r="X192" s="66">
        <f>X66</f>
        <v>0.33333333333333331</v>
      </c>
      <c r="Y192" s="66">
        <f>Y66</f>
        <v>0</v>
      </c>
      <c r="Z192" s="66">
        <f>Z66</f>
        <v>0</v>
      </c>
      <c r="AA192"/>
      <c r="AB192"/>
      <c r="AC192"/>
      <c r="AD192"/>
      <c r="AE192"/>
      <c r="AF192"/>
      <c r="AG192"/>
      <c r="AH192"/>
      <c r="AI192"/>
      <c r="AJ192"/>
      <c r="AK192"/>
      <c r="AL192"/>
      <c r="AM192"/>
      <c r="AN192"/>
      <c r="AO192"/>
      <c r="AP192"/>
      <c r="AQ192"/>
      <c r="AR192"/>
    </row>
    <row r="193" spans="1:44" s="118" customFormat="1" x14ac:dyDescent="0.25">
      <c r="A193" s="75" t="s">
        <v>330</v>
      </c>
      <c r="B193" s="58">
        <f>B71</f>
        <v>0.46875</v>
      </c>
      <c r="C193" s="58">
        <f>C71</f>
        <v>0.53125</v>
      </c>
      <c r="D193" s="58">
        <f>D71</f>
        <v>0</v>
      </c>
      <c r="E193" s="58">
        <f>E71</f>
        <v>0</v>
      </c>
      <c r="H193" s="75" t="s">
        <v>330</v>
      </c>
      <c r="I193" s="66">
        <f>I71</f>
        <v>0.39285714285714285</v>
      </c>
      <c r="J193" s="66">
        <f>J71</f>
        <v>0.6071428571428571</v>
      </c>
      <c r="K193" s="66">
        <f>K71</f>
        <v>0</v>
      </c>
      <c r="L193" s="66">
        <f>L71</f>
        <v>0</v>
      </c>
      <c r="M193"/>
      <c r="N193"/>
      <c r="O193" s="75" t="s">
        <v>330</v>
      </c>
      <c r="P193" s="66">
        <f>P71</f>
        <v>0.6875</v>
      </c>
      <c r="Q193" s="66">
        <f>Q71</f>
        <v>0.3125</v>
      </c>
      <c r="R193" s="66">
        <f>R71</f>
        <v>0</v>
      </c>
      <c r="S193" s="66">
        <f>S71</f>
        <v>0</v>
      </c>
      <c r="T193"/>
      <c r="U193"/>
      <c r="V193" s="75" t="s">
        <v>330</v>
      </c>
      <c r="W193" s="66">
        <f>W71</f>
        <v>0.39999999999999997</v>
      </c>
      <c r="X193" s="66">
        <f>X71</f>
        <v>0.60000000000000009</v>
      </c>
      <c r="Y193" s="66">
        <f>Y71</f>
        <v>0</v>
      </c>
      <c r="Z193" s="66">
        <f>Z71</f>
        <v>0</v>
      </c>
      <c r="AA193"/>
      <c r="AB193"/>
      <c r="AC193"/>
      <c r="AD193"/>
      <c r="AE193"/>
      <c r="AF193"/>
      <c r="AG193"/>
      <c r="AH193"/>
      <c r="AI193"/>
      <c r="AJ193"/>
      <c r="AK193"/>
      <c r="AL193"/>
      <c r="AM193"/>
      <c r="AN193"/>
      <c r="AO193"/>
      <c r="AP193"/>
      <c r="AQ193"/>
      <c r="AR193"/>
    </row>
    <row r="194" spans="1:44" s="118" customFormat="1" x14ac:dyDescent="0.25">
      <c r="A194" s="75" t="s">
        <v>1228</v>
      </c>
      <c r="B194" s="58">
        <f>B75</f>
        <v>0.85416666666666663</v>
      </c>
      <c r="C194" s="58">
        <f>C75</f>
        <v>0.14583333333333334</v>
      </c>
      <c r="D194" s="58">
        <f>D75</f>
        <v>0</v>
      </c>
      <c r="E194" s="58">
        <f>E75</f>
        <v>0</v>
      </c>
      <c r="H194" s="75" t="s">
        <v>1228</v>
      </c>
      <c r="I194" s="66">
        <f>I75</f>
        <v>1</v>
      </c>
      <c r="J194" s="66">
        <f>J75</f>
        <v>0</v>
      </c>
      <c r="K194" s="66">
        <f>K75</f>
        <v>0</v>
      </c>
      <c r="L194" s="66">
        <f>L75</f>
        <v>0</v>
      </c>
      <c r="M194"/>
      <c r="N194"/>
      <c r="O194" s="75" t="s">
        <v>1228</v>
      </c>
      <c r="P194" s="66">
        <f>P75</f>
        <v>0.91666666666666663</v>
      </c>
      <c r="Q194" s="66">
        <f>Q75</f>
        <v>8.3333333333333329E-2</v>
      </c>
      <c r="R194" s="66">
        <f>R75</f>
        <v>0</v>
      </c>
      <c r="S194" s="66">
        <f>S75</f>
        <v>0</v>
      </c>
      <c r="T194"/>
      <c r="U194"/>
      <c r="V194" s="75" t="s">
        <v>1228</v>
      </c>
      <c r="W194" s="66">
        <f>W75</f>
        <v>0.6</v>
      </c>
      <c r="X194" s="66">
        <f>X75</f>
        <v>0.40000000000000008</v>
      </c>
      <c r="Y194" s="66">
        <f>Y75</f>
        <v>0</v>
      </c>
      <c r="Z194" s="66">
        <f>Z75</f>
        <v>0</v>
      </c>
      <c r="AA194"/>
      <c r="AB194"/>
      <c r="AC194"/>
      <c r="AD194"/>
      <c r="AE194"/>
      <c r="AF194"/>
      <c r="AG194"/>
      <c r="AH194"/>
      <c r="AI194"/>
      <c r="AJ194"/>
      <c r="AK194"/>
      <c r="AL194"/>
      <c r="AM194"/>
      <c r="AN194"/>
      <c r="AO194"/>
      <c r="AP194"/>
      <c r="AQ194"/>
      <c r="AR194"/>
    </row>
    <row r="195" spans="1:44" s="118" customFormat="1" x14ac:dyDescent="0.25">
      <c r="A195" s="75" t="s">
        <v>1440</v>
      </c>
      <c r="B195" s="58">
        <f>B80</f>
        <v>0.625</v>
      </c>
      <c r="C195" s="58">
        <f>C80</f>
        <v>0.265625</v>
      </c>
      <c r="D195" s="58">
        <f>D80</f>
        <v>6.25E-2</v>
      </c>
      <c r="E195" s="58">
        <f>E80</f>
        <v>4.6875E-2</v>
      </c>
      <c r="H195" s="75" t="s">
        <v>1440</v>
      </c>
      <c r="I195" s="66">
        <f>I80</f>
        <v>0.5714285714285714</v>
      </c>
      <c r="J195" s="66">
        <f>J80</f>
        <v>0.17857142857142855</v>
      </c>
      <c r="K195" s="66">
        <f>K80</f>
        <v>0.14285714285714285</v>
      </c>
      <c r="L195" s="66">
        <f>L80</f>
        <v>0.10714285714285714</v>
      </c>
      <c r="M195"/>
      <c r="N195"/>
      <c r="O195" s="75" t="s">
        <v>1440</v>
      </c>
      <c r="P195" s="66">
        <f>P80</f>
        <v>0.875</v>
      </c>
      <c r="Q195" s="66">
        <f>Q80</f>
        <v>0.125</v>
      </c>
      <c r="R195" s="66">
        <f>R80</f>
        <v>0</v>
      </c>
      <c r="S195" s="66">
        <f>S80</f>
        <v>0</v>
      </c>
      <c r="T195"/>
      <c r="U195"/>
      <c r="V195" s="75" t="s">
        <v>1440</v>
      </c>
      <c r="W195" s="66">
        <f>W80</f>
        <v>0.5</v>
      </c>
      <c r="X195" s="66">
        <f>X80</f>
        <v>0.5</v>
      </c>
      <c r="Y195" s="66">
        <f>Y80</f>
        <v>0</v>
      </c>
      <c r="Z195" s="66">
        <f>Z80</f>
        <v>0</v>
      </c>
      <c r="AA195"/>
      <c r="AB195"/>
      <c r="AC195"/>
      <c r="AD195"/>
      <c r="AE195"/>
      <c r="AF195"/>
      <c r="AG195"/>
      <c r="AH195"/>
      <c r="AI195"/>
      <c r="AJ195"/>
      <c r="AK195"/>
      <c r="AL195"/>
      <c r="AM195"/>
      <c r="AN195"/>
      <c r="AO195"/>
      <c r="AP195"/>
      <c r="AQ195"/>
      <c r="AR195"/>
    </row>
    <row r="196" spans="1:44" s="118" customFormat="1" x14ac:dyDescent="0.25">
      <c r="A196" s="75" t="s">
        <v>1431</v>
      </c>
      <c r="B196" s="58">
        <f>B86</f>
        <v>0.421875</v>
      </c>
      <c r="C196" s="58">
        <f>C86</f>
        <v>0.578125</v>
      </c>
      <c r="D196" s="58">
        <f>D86</f>
        <v>0</v>
      </c>
      <c r="E196" s="58">
        <f>E86</f>
        <v>0</v>
      </c>
      <c r="H196" s="75" t="s">
        <v>1431</v>
      </c>
      <c r="I196" s="66">
        <f>I86</f>
        <v>0.39285714285714285</v>
      </c>
      <c r="J196" s="66">
        <f>J86</f>
        <v>0.60714285714285721</v>
      </c>
      <c r="K196" s="66">
        <f>K86</f>
        <v>0</v>
      </c>
      <c r="L196" s="66">
        <f>L86</f>
        <v>0</v>
      </c>
      <c r="M196"/>
      <c r="N196"/>
      <c r="O196" s="75" t="s">
        <v>1431</v>
      </c>
      <c r="P196" s="66">
        <f>P86</f>
        <v>0.5</v>
      </c>
      <c r="Q196" s="66">
        <f>Q86</f>
        <v>0.5</v>
      </c>
      <c r="R196" s="66">
        <f>R86</f>
        <v>0</v>
      </c>
      <c r="S196" s="66">
        <f>S86</f>
        <v>0</v>
      </c>
      <c r="T196"/>
      <c r="U196"/>
      <c r="V196" s="75" t="s">
        <v>1431</v>
      </c>
      <c r="W196" s="66">
        <f>W86</f>
        <v>0.4</v>
      </c>
      <c r="X196" s="66">
        <f>X86</f>
        <v>0.60000000000000009</v>
      </c>
      <c r="Y196" s="66">
        <f>Y86</f>
        <v>0</v>
      </c>
      <c r="Z196" s="66">
        <f>Z86</f>
        <v>0</v>
      </c>
      <c r="AA196"/>
      <c r="AB196"/>
      <c r="AC196"/>
      <c r="AD196"/>
      <c r="AE196"/>
      <c r="AF196"/>
      <c r="AG196"/>
      <c r="AH196"/>
      <c r="AI196"/>
      <c r="AJ196"/>
      <c r="AK196"/>
      <c r="AL196"/>
      <c r="AM196"/>
      <c r="AN196"/>
      <c r="AO196"/>
      <c r="AP196"/>
      <c r="AQ196"/>
      <c r="AR196"/>
    </row>
    <row r="197" spans="1:44" s="118" customFormat="1" ht="15.75" thickBot="1" x14ac:dyDescent="0.3">
      <c r="A197" s="76" t="s">
        <v>1432</v>
      </c>
      <c r="B197" s="77">
        <f>B91</f>
        <v>0.53125</v>
      </c>
      <c r="C197" s="77">
        <f>C91</f>
        <v>0.40625</v>
      </c>
      <c r="D197" s="77">
        <f>D91</f>
        <v>6.25E-2</v>
      </c>
      <c r="E197" s="77">
        <f>E91</f>
        <v>0</v>
      </c>
      <c r="H197" s="76" t="s">
        <v>1432</v>
      </c>
      <c r="I197" s="185">
        <f>I91</f>
        <v>0.4642857142857143</v>
      </c>
      <c r="J197" s="185">
        <f>J91</f>
        <v>0.46428571428571419</v>
      </c>
      <c r="K197" s="185">
        <f>K91</f>
        <v>7.1428571428571425E-2</v>
      </c>
      <c r="L197" s="185">
        <f>L91</f>
        <v>0</v>
      </c>
      <c r="M197"/>
      <c r="N197"/>
      <c r="O197" s="76" t="s">
        <v>1432</v>
      </c>
      <c r="P197" s="185">
        <f>P91</f>
        <v>0.75</v>
      </c>
      <c r="Q197" s="185">
        <f>Q91</f>
        <v>0.25</v>
      </c>
      <c r="R197" s="185">
        <f>R91</f>
        <v>0</v>
      </c>
      <c r="S197" s="185">
        <f>S91</f>
        <v>0</v>
      </c>
      <c r="T197"/>
      <c r="U197"/>
      <c r="V197" s="76" t="s">
        <v>1432</v>
      </c>
      <c r="W197" s="185">
        <f>W91</f>
        <v>0.45000000000000007</v>
      </c>
      <c r="X197" s="185">
        <f>X91</f>
        <v>0.44999999999999996</v>
      </c>
      <c r="Y197" s="185">
        <f>Y91</f>
        <v>0.1</v>
      </c>
      <c r="Z197" s="185">
        <f>Z91</f>
        <v>0</v>
      </c>
      <c r="AA197"/>
      <c r="AB197"/>
      <c r="AC197"/>
      <c r="AD197"/>
      <c r="AE197"/>
      <c r="AF197"/>
      <c r="AG197"/>
      <c r="AH197"/>
      <c r="AI197"/>
      <c r="AJ197"/>
      <c r="AK197"/>
      <c r="AL197"/>
      <c r="AM197"/>
      <c r="AN197"/>
      <c r="AO197"/>
      <c r="AP197"/>
      <c r="AQ197"/>
      <c r="AR197"/>
    </row>
    <row r="198" spans="1:44" s="118" customFormat="1" x14ac:dyDescent="0.25">
      <c r="A198" s="79" t="s">
        <v>669</v>
      </c>
      <c r="B198" s="81">
        <f>SUM(B189:B197)</f>
        <v>4.942708333333333</v>
      </c>
      <c r="C198" s="81">
        <f>SUM(C189:C197)</f>
        <v>3.1875</v>
      </c>
      <c r="D198" s="81">
        <f>SUM(D189:D197)</f>
        <v>0.5625</v>
      </c>
      <c r="E198" s="84">
        <f>SUM(E189:E197)</f>
        <v>0.30729166666666669</v>
      </c>
      <c r="H198" s="79" t="s">
        <v>669</v>
      </c>
      <c r="I198" s="81">
        <f>SUM(I189:I197)</f>
        <v>4.5595238095238102</v>
      </c>
      <c r="J198" s="81">
        <f>SUM(J189:J197)</f>
        <v>3.1785714285714279</v>
      </c>
      <c r="K198" s="81">
        <f>SUM(K189:K197)</f>
        <v>0.77380952380952372</v>
      </c>
      <c r="L198" s="84">
        <f>SUM(L189:L197)</f>
        <v>0.48809523809523808</v>
      </c>
      <c r="M198"/>
      <c r="N198"/>
      <c r="O198" s="79" t="s">
        <v>669</v>
      </c>
      <c r="P198" s="81">
        <f>SUM(P189:P197)</f>
        <v>7.291666666666667</v>
      </c>
      <c r="Q198" s="81">
        <f>SUM(Q189:Q197)</f>
        <v>1.7083333333333335</v>
      </c>
      <c r="R198" s="81">
        <f>SUM(R189:R197)</f>
        <v>0</v>
      </c>
      <c r="S198" s="84">
        <f>SUM(S189:S197)</f>
        <v>0</v>
      </c>
      <c r="T198"/>
      <c r="U198"/>
      <c r="V198" s="79" t="s">
        <v>669</v>
      </c>
      <c r="W198" s="81">
        <f>SUM(W189:W197)</f>
        <v>4.0999999999999996</v>
      </c>
      <c r="X198" s="81">
        <f>SUM(X189:X197)</f>
        <v>4.6333333333333337</v>
      </c>
      <c r="Y198" s="81">
        <f>SUM(Y189:Y197)</f>
        <v>0.26666666666666672</v>
      </c>
      <c r="Z198" s="84">
        <f>SUM(Z189:Z197)</f>
        <v>0</v>
      </c>
      <c r="AA198"/>
      <c r="AB198"/>
      <c r="AC198"/>
      <c r="AD198"/>
      <c r="AE198"/>
      <c r="AF198"/>
      <c r="AG198"/>
      <c r="AH198"/>
      <c r="AI198"/>
      <c r="AJ198"/>
      <c r="AK198"/>
      <c r="AL198"/>
      <c r="AM198"/>
      <c r="AN198"/>
      <c r="AO198"/>
      <c r="AP198"/>
      <c r="AQ198"/>
      <c r="AR198"/>
    </row>
    <row r="199" spans="1:44" s="118" customFormat="1" ht="15.75" thickBot="1" x14ac:dyDescent="0.3">
      <c r="A199" s="80" t="s">
        <v>670</v>
      </c>
      <c r="B199" s="82">
        <f>AVERAGE(B189:B197)</f>
        <v>0.54918981481481477</v>
      </c>
      <c r="C199" s="82">
        <f>AVERAGE(C189:C197)</f>
        <v>0.35416666666666669</v>
      </c>
      <c r="D199" s="82">
        <f>AVERAGE(D189:D197)</f>
        <v>6.25E-2</v>
      </c>
      <c r="E199" s="85">
        <f>AVERAGE(E189:E197)</f>
        <v>3.4143518518518517E-2</v>
      </c>
      <c r="H199" s="80" t="s">
        <v>670</v>
      </c>
      <c r="I199" s="82">
        <f>AVERAGE(I189:I197)</f>
        <v>0.50661375661375674</v>
      </c>
      <c r="J199" s="82">
        <f>AVERAGE(J189:J197)</f>
        <v>0.35317460317460309</v>
      </c>
      <c r="K199" s="82">
        <f>AVERAGE(K189:K197)</f>
        <v>8.5978835978835974E-2</v>
      </c>
      <c r="L199" s="82">
        <f>AVERAGE(L189:L197)</f>
        <v>5.423280423280423E-2</v>
      </c>
      <c r="M199"/>
      <c r="N199"/>
      <c r="O199" s="80" t="s">
        <v>670</v>
      </c>
      <c r="P199" s="82">
        <f>AVERAGE(P189:P197)</f>
        <v>0.81018518518518523</v>
      </c>
      <c r="Q199" s="82">
        <f>AVERAGE(Q189:Q197)</f>
        <v>0.18981481481481483</v>
      </c>
      <c r="R199" s="82">
        <f>AVERAGE(R189:R197)</f>
        <v>0</v>
      </c>
      <c r="S199" s="85">
        <f>AVERAGE(S189:S197)</f>
        <v>0</v>
      </c>
      <c r="T199"/>
      <c r="U199"/>
      <c r="V199" s="80" t="s">
        <v>670</v>
      </c>
      <c r="W199" s="82">
        <f>AVERAGE(W189:W197)</f>
        <v>0.45555555555555549</v>
      </c>
      <c r="X199" s="82">
        <f>AVERAGE(X189:X197)</f>
        <v>0.51481481481481484</v>
      </c>
      <c r="Y199" s="82">
        <f>AVERAGE(Y189:Y197)</f>
        <v>2.9629629629629634E-2</v>
      </c>
      <c r="Z199" s="85">
        <f>AVERAGE(Z189:Z197)</f>
        <v>0</v>
      </c>
      <c r="AA199"/>
      <c r="AB199"/>
      <c r="AC199"/>
      <c r="AD199"/>
      <c r="AE199"/>
      <c r="AF199"/>
      <c r="AG199"/>
      <c r="AH199"/>
      <c r="AI199"/>
      <c r="AJ199"/>
      <c r="AK199"/>
      <c r="AL199"/>
      <c r="AM199"/>
      <c r="AN199"/>
      <c r="AO199"/>
      <c r="AP199"/>
      <c r="AQ199"/>
      <c r="AR199"/>
    </row>
    <row r="200" spans="1:44" s="118" customFormat="1" ht="15.75" thickBot="1" x14ac:dyDescent="0.3">
      <c r="A200" s="119"/>
      <c r="B200" s="119"/>
      <c r="C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row>
    <row r="201" spans="1:44" s="118" customFormat="1" ht="17.25" thickBot="1" x14ac:dyDescent="0.3">
      <c r="A201" s="64" t="s">
        <v>647</v>
      </c>
      <c r="B201" s="65">
        <v>2023</v>
      </c>
      <c r="C201" s="237" t="s">
        <v>1161</v>
      </c>
      <c r="D201" s="238"/>
      <c r="E201" s="239"/>
      <c r="H201" s="64" t="s">
        <v>647</v>
      </c>
      <c r="I201" s="65">
        <v>2023</v>
      </c>
      <c r="J201" s="237" t="s">
        <v>1576</v>
      </c>
      <c r="K201" s="238"/>
      <c r="L201" s="239"/>
      <c r="M201"/>
      <c r="N201"/>
      <c r="O201" s="64" t="s">
        <v>647</v>
      </c>
      <c r="P201" s="65">
        <v>2023</v>
      </c>
      <c r="Q201" s="237" t="s">
        <v>1578</v>
      </c>
      <c r="R201" s="238"/>
      <c r="S201" s="239"/>
      <c r="T201"/>
      <c r="U201"/>
      <c r="V201" s="64" t="s">
        <v>647</v>
      </c>
      <c r="W201" s="65">
        <v>2023</v>
      </c>
      <c r="X201" s="237" t="s">
        <v>1579</v>
      </c>
      <c r="Y201" s="238"/>
      <c r="Z201" s="239"/>
      <c r="AA201"/>
      <c r="AB201"/>
      <c r="AC201"/>
      <c r="AD201"/>
      <c r="AE201"/>
      <c r="AF201"/>
      <c r="AG201"/>
      <c r="AH201"/>
      <c r="AI201"/>
      <c r="AJ201"/>
      <c r="AK201"/>
      <c r="AL201"/>
      <c r="AM201"/>
      <c r="AN201"/>
      <c r="AO201"/>
      <c r="AP201"/>
      <c r="AQ201"/>
      <c r="AR201"/>
    </row>
    <row r="202" spans="1:44" s="118" customFormat="1" ht="17.25" thickBot="1" x14ac:dyDescent="0.3">
      <c r="A202" s="69" t="s">
        <v>646</v>
      </c>
      <c r="B202" s="70">
        <f>B95</f>
        <v>7</v>
      </c>
      <c r="C202" s="240"/>
      <c r="D202" s="241"/>
      <c r="E202" s="242"/>
      <c r="H202" s="69" t="s">
        <v>646</v>
      </c>
      <c r="I202" s="70">
        <f>I95</f>
        <v>3</v>
      </c>
      <c r="J202" s="240"/>
      <c r="K202" s="241"/>
      <c r="L202" s="242"/>
      <c r="M202"/>
      <c r="N202"/>
      <c r="O202" s="69" t="s">
        <v>646</v>
      </c>
      <c r="P202" s="70">
        <f>P95</f>
        <v>3</v>
      </c>
      <c r="Q202" s="240"/>
      <c r="R202" s="241"/>
      <c r="S202" s="242"/>
      <c r="T202"/>
      <c r="U202"/>
      <c r="V202" s="69" t="s">
        <v>646</v>
      </c>
      <c r="W202" s="70">
        <f>W95</f>
        <v>1</v>
      </c>
      <c r="X202" s="240"/>
      <c r="Y202" s="241"/>
      <c r="Z202" s="242"/>
      <c r="AA202"/>
      <c r="AB202"/>
      <c r="AC202"/>
      <c r="AD202"/>
      <c r="AE202"/>
      <c r="AF202"/>
      <c r="AG202"/>
      <c r="AH202"/>
      <c r="AI202"/>
      <c r="AJ202"/>
      <c r="AK202"/>
      <c r="AL202"/>
      <c r="AM202"/>
      <c r="AN202"/>
      <c r="AO202"/>
      <c r="AP202"/>
      <c r="AQ202"/>
      <c r="AR202"/>
    </row>
    <row r="203" spans="1:44" s="118" customFormat="1" ht="27.75" customHeight="1" thickBot="1" x14ac:dyDescent="0.3">
      <c r="A203" s="222" t="s">
        <v>658</v>
      </c>
      <c r="B203" s="243" t="s">
        <v>664</v>
      </c>
      <c r="C203" s="243"/>
      <c r="D203" s="243"/>
      <c r="E203" s="243"/>
      <c r="H203" s="222" t="s">
        <v>658</v>
      </c>
      <c r="I203" s="243" t="s">
        <v>664</v>
      </c>
      <c r="J203" s="243"/>
      <c r="K203" s="243"/>
      <c r="L203" s="243"/>
      <c r="M203"/>
      <c r="N203"/>
      <c r="O203" s="222" t="s">
        <v>658</v>
      </c>
      <c r="P203" s="243" t="s">
        <v>664</v>
      </c>
      <c r="Q203" s="243"/>
      <c r="R203" s="243"/>
      <c r="S203" s="243"/>
      <c r="T203"/>
      <c r="U203"/>
      <c r="V203" s="222" t="s">
        <v>658</v>
      </c>
      <c r="W203" s="243" t="s">
        <v>664</v>
      </c>
      <c r="X203" s="243"/>
      <c r="Y203" s="243"/>
      <c r="Z203" s="243"/>
      <c r="AA203"/>
      <c r="AB203"/>
      <c r="AC203"/>
      <c r="AD203"/>
      <c r="AE203"/>
      <c r="AF203"/>
      <c r="AG203"/>
      <c r="AH203"/>
      <c r="AI203"/>
      <c r="AJ203"/>
      <c r="AK203"/>
      <c r="AL203"/>
      <c r="AM203"/>
      <c r="AN203"/>
      <c r="AO203"/>
      <c r="AP203"/>
      <c r="AQ203"/>
      <c r="AR203"/>
    </row>
    <row r="204" spans="1:44" s="118" customFormat="1" ht="15.75" thickBot="1" x14ac:dyDescent="0.3">
      <c r="A204" s="222"/>
      <c r="B204" s="72" t="s">
        <v>645</v>
      </c>
      <c r="C204" s="72" t="s">
        <v>665</v>
      </c>
      <c r="D204" s="72" t="s">
        <v>666</v>
      </c>
      <c r="E204" s="72" t="s">
        <v>667</v>
      </c>
      <c r="H204" s="222"/>
      <c r="I204" s="72" t="s">
        <v>645</v>
      </c>
      <c r="J204" s="72" t="s">
        <v>665</v>
      </c>
      <c r="K204" s="72" t="s">
        <v>666</v>
      </c>
      <c r="L204" s="72" t="s">
        <v>667</v>
      </c>
      <c r="M204"/>
      <c r="N204"/>
      <c r="O204" s="222"/>
      <c r="P204" s="72" t="s">
        <v>645</v>
      </c>
      <c r="Q204" s="72" t="s">
        <v>665</v>
      </c>
      <c r="R204" s="72" t="s">
        <v>666</v>
      </c>
      <c r="S204" s="72" t="s">
        <v>667</v>
      </c>
      <c r="T204"/>
      <c r="U204"/>
      <c r="V204" s="222"/>
      <c r="W204" s="72" t="s">
        <v>645</v>
      </c>
      <c r="X204" s="72" t="s">
        <v>665</v>
      </c>
      <c r="Y204" s="72" t="s">
        <v>666</v>
      </c>
      <c r="Z204" s="72" t="s">
        <v>667</v>
      </c>
      <c r="AA204"/>
      <c r="AB204"/>
      <c r="AC204"/>
      <c r="AD204"/>
      <c r="AE204"/>
      <c r="AF204"/>
      <c r="AG204"/>
      <c r="AH204"/>
      <c r="AI204"/>
      <c r="AJ204"/>
      <c r="AK204"/>
      <c r="AL204"/>
      <c r="AM204"/>
      <c r="AN204"/>
      <c r="AO204"/>
      <c r="AP204"/>
      <c r="AQ204"/>
      <c r="AR204"/>
    </row>
    <row r="205" spans="1:44" s="118" customFormat="1" x14ac:dyDescent="0.25">
      <c r="A205" s="73">
        <v>2</v>
      </c>
      <c r="B205" s="71">
        <v>3</v>
      </c>
      <c r="C205" s="71">
        <v>4</v>
      </c>
      <c r="D205" s="71">
        <v>5</v>
      </c>
      <c r="E205" s="74">
        <v>6</v>
      </c>
      <c r="H205" s="73">
        <v>2</v>
      </c>
      <c r="I205" s="71">
        <v>3</v>
      </c>
      <c r="J205" s="71">
        <v>4</v>
      </c>
      <c r="K205" s="71">
        <v>5</v>
      </c>
      <c r="L205" s="74">
        <v>6</v>
      </c>
      <c r="M205"/>
      <c r="N205"/>
      <c r="O205" s="73">
        <v>2</v>
      </c>
      <c r="P205" s="71">
        <v>3</v>
      </c>
      <c r="Q205" s="71">
        <v>4</v>
      </c>
      <c r="R205" s="71">
        <v>5</v>
      </c>
      <c r="S205" s="74">
        <v>6</v>
      </c>
      <c r="T205"/>
      <c r="U205"/>
      <c r="V205" s="73">
        <v>2</v>
      </c>
      <c r="W205" s="71">
        <v>3</v>
      </c>
      <c r="X205" s="71">
        <v>4</v>
      </c>
      <c r="Y205" s="71">
        <v>5</v>
      </c>
      <c r="Z205" s="74">
        <v>6</v>
      </c>
      <c r="AA205"/>
      <c r="AB205"/>
      <c r="AC205"/>
      <c r="AD205"/>
      <c r="AE205"/>
      <c r="AF205"/>
      <c r="AG205"/>
      <c r="AH205"/>
      <c r="AI205"/>
      <c r="AJ205"/>
      <c r="AK205"/>
      <c r="AL205"/>
      <c r="AM205"/>
      <c r="AN205"/>
      <c r="AO205"/>
      <c r="AP205"/>
      <c r="AQ205"/>
      <c r="AR205"/>
    </row>
    <row r="206" spans="1:44" s="118" customFormat="1" x14ac:dyDescent="0.25">
      <c r="A206" s="75" t="s">
        <v>1442</v>
      </c>
      <c r="B206" s="58">
        <f>B102</f>
        <v>0.54285714285714282</v>
      </c>
      <c r="C206" s="58">
        <f>C102</f>
        <v>0.45714285714285713</v>
      </c>
      <c r="D206" s="58">
        <f>D102</f>
        <v>0</v>
      </c>
      <c r="E206" s="58">
        <f>E102</f>
        <v>0</v>
      </c>
      <c r="H206" s="75" t="s">
        <v>1442</v>
      </c>
      <c r="I206" s="66">
        <f>I102</f>
        <v>0.46666666666666667</v>
      </c>
      <c r="J206" s="66">
        <f>J102</f>
        <v>0.53333333333333333</v>
      </c>
      <c r="K206" s="66">
        <f>K102</f>
        <v>0</v>
      </c>
      <c r="L206" s="66">
        <f>L102</f>
        <v>0</v>
      </c>
      <c r="M206"/>
      <c r="N206"/>
      <c r="O206" s="75" t="s">
        <v>1442</v>
      </c>
      <c r="P206" s="66">
        <f>P102</f>
        <v>0.66666666666666663</v>
      </c>
      <c r="Q206" s="66">
        <f>Q102</f>
        <v>0.33333333333333331</v>
      </c>
      <c r="R206" s="66">
        <f>R102</f>
        <v>0</v>
      </c>
      <c r="S206" s="66">
        <f>S102</f>
        <v>0</v>
      </c>
      <c r="T206"/>
      <c r="U206"/>
      <c r="V206" s="75" t="s">
        <v>1442</v>
      </c>
      <c r="W206" s="66">
        <f>W102</f>
        <v>0.4</v>
      </c>
      <c r="X206" s="66">
        <f>X102</f>
        <v>0.6</v>
      </c>
      <c r="Y206" s="66">
        <f>Y102</f>
        <v>0</v>
      </c>
      <c r="Z206" s="66">
        <f>Z102</f>
        <v>0</v>
      </c>
      <c r="AA206"/>
      <c r="AB206"/>
      <c r="AC206"/>
      <c r="AD206"/>
      <c r="AE206"/>
      <c r="AF206"/>
      <c r="AG206"/>
      <c r="AH206"/>
      <c r="AI206"/>
      <c r="AJ206"/>
      <c r="AK206"/>
      <c r="AL206"/>
      <c r="AM206"/>
      <c r="AN206"/>
      <c r="AO206"/>
      <c r="AP206"/>
      <c r="AQ206"/>
      <c r="AR206"/>
    </row>
    <row r="207" spans="1:44" s="118" customFormat="1" x14ac:dyDescent="0.25">
      <c r="A207" s="75" t="s">
        <v>1443</v>
      </c>
      <c r="B207" s="58">
        <f>B105</f>
        <v>0.5714285714285714</v>
      </c>
      <c r="C207" s="58">
        <f>C105</f>
        <v>0.42857142857142855</v>
      </c>
      <c r="D207" s="58">
        <f>D105</f>
        <v>0</v>
      </c>
      <c r="E207" s="58">
        <f>E105</f>
        <v>0</v>
      </c>
      <c r="H207" s="75" t="s">
        <v>1443</v>
      </c>
      <c r="I207" s="66">
        <f>I105</f>
        <v>0.5</v>
      </c>
      <c r="J207" s="66">
        <f>J105</f>
        <v>0.5</v>
      </c>
      <c r="K207" s="66">
        <f>K105</f>
        <v>0</v>
      </c>
      <c r="L207" s="66">
        <f>L105</f>
        <v>0</v>
      </c>
      <c r="M207"/>
      <c r="N207"/>
      <c r="O207" s="75" t="s">
        <v>1443</v>
      </c>
      <c r="P207" s="66">
        <f>P105</f>
        <v>0.66666666666666663</v>
      </c>
      <c r="Q207" s="66">
        <f>Q105</f>
        <v>0.33333333333333331</v>
      </c>
      <c r="R207" s="66">
        <f>R105</f>
        <v>0</v>
      </c>
      <c r="S207" s="66">
        <f>S105</f>
        <v>0</v>
      </c>
      <c r="T207"/>
      <c r="U207"/>
      <c r="V207" s="75" t="s">
        <v>1443</v>
      </c>
      <c r="W207" s="66">
        <f>W105</f>
        <v>0.5</v>
      </c>
      <c r="X207" s="66">
        <f>X105</f>
        <v>0.5</v>
      </c>
      <c r="Y207" s="66">
        <f>Y105</f>
        <v>0</v>
      </c>
      <c r="Z207" s="66">
        <f>Z105</f>
        <v>0</v>
      </c>
      <c r="AA207"/>
      <c r="AB207"/>
      <c r="AC207"/>
      <c r="AD207"/>
      <c r="AE207"/>
      <c r="AF207"/>
      <c r="AG207"/>
      <c r="AH207"/>
      <c r="AI207"/>
      <c r="AJ207"/>
      <c r="AK207"/>
      <c r="AL207"/>
      <c r="AM207"/>
      <c r="AN207"/>
      <c r="AO207"/>
      <c r="AP207"/>
      <c r="AQ207"/>
      <c r="AR207"/>
    </row>
    <row r="208" spans="1:44" s="118" customFormat="1" x14ac:dyDescent="0.25">
      <c r="A208" s="75" t="s">
        <v>661</v>
      </c>
      <c r="B208" s="58">
        <f>B108</f>
        <v>0.42857142857142855</v>
      </c>
      <c r="C208" s="58">
        <f>C108</f>
        <v>0.42857142857142855</v>
      </c>
      <c r="D208" s="58">
        <f>D108</f>
        <v>0.14285714285714285</v>
      </c>
      <c r="E208" s="58">
        <f>E108</f>
        <v>0</v>
      </c>
      <c r="H208" s="75" t="s">
        <v>661</v>
      </c>
      <c r="I208" s="66">
        <f>I108</f>
        <v>0.5</v>
      </c>
      <c r="J208" s="66">
        <f>J108</f>
        <v>0.33333333333333331</v>
      </c>
      <c r="K208" s="66">
        <f>K108</f>
        <v>0.16666666666666666</v>
      </c>
      <c r="L208" s="66">
        <f>L108</f>
        <v>0</v>
      </c>
      <c r="M208"/>
      <c r="N208"/>
      <c r="O208" s="75" t="s">
        <v>661</v>
      </c>
      <c r="P208" s="66">
        <f>P108</f>
        <v>0.16666666666666666</v>
      </c>
      <c r="Q208" s="66">
        <f>Q108</f>
        <v>0.66666666666666663</v>
      </c>
      <c r="R208" s="66">
        <f>R108</f>
        <v>0.16666666666666666</v>
      </c>
      <c r="S208" s="66">
        <f>S108</f>
        <v>0</v>
      </c>
      <c r="T208"/>
      <c r="U208"/>
      <c r="V208" s="75" t="s">
        <v>661</v>
      </c>
      <c r="W208" s="66">
        <f>W108</f>
        <v>1</v>
      </c>
      <c r="X208" s="66">
        <f>X108</f>
        <v>0</v>
      </c>
      <c r="Y208" s="66">
        <f>Y108</f>
        <v>0</v>
      </c>
      <c r="Z208" s="66">
        <f>Z108</f>
        <v>0</v>
      </c>
      <c r="AA208"/>
      <c r="AB208"/>
      <c r="AC208"/>
      <c r="AD208"/>
      <c r="AE208"/>
      <c r="AF208"/>
      <c r="AG208"/>
      <c r="AH208"/>
      <c r="AI208"/>
      <c r="AJ208"/>
      <c r="AK208"/>
      <c r="AL208"/>
      <c r="AM208"/>
      <c r="AN208"/>
      <c r="AO208"/>
      <c r="AP208"/>
      <c r="AQ208"/>
      <c r="AR208"/>
    </row>
    <row r="209" spans="1:44" s="118" customFormat="1" x14ac:dyDescent="0.25">
      <c r="A209" s="75" t="s">
        <v>1444</v>
      </c>
      <c r="B209" s="58">
        <f>B112</f>
        <v>0.61904761904761896</v>
      </c>
      <c r="C209" s="58">
        <f>C112</f>
        <v>0.38095238095238093</v>
      </c>
      <c r="D209" s="58">
        <f>D112</f>
        <v>0</v>
      </c>
      <c r="E209" s="58">
        <f>E112</f>
        <v>0</v>
      </c>
      <c r="H209" s="75" t="s">
        <v>1444</v>
      </c>
      <c r="I209" s="66">
        <f>I112</f>
        <v>0.66666666666666663</v>
      </c>
      <c r="J209" s="66">
        <f>J112</f>
        <v>0.33333333333333331</v>
      </c>
      <c r="K209" s="66">
        <f>K112</f>
        <v>0</v>
      </c>
      <c r="L209" s="66">
        <f>L112</f>
        <v>0</v>
      </c>
      <c r="M209"/>
      <c r="N209"/>
      <c r="O209" s="75" t="s">
        <v>1444</v>
      </c>
      <c r="P209" s="66">
        <f>P112</f>
        <v>0.66666666666666663</v>
      </c>
      <c r="Q209" s="66">
        <f>Q112</f>
        <v>0.33333333333333331</v>
      </c>
      <c r="R209" s="66">
        <f>R112</f>
        <v>0</v>
      </c>
      <c r="S209" s="66">
        <f>S112</f>
        <v>0</v>
      </c>
      <c r="T209"/>
      <c r="U209"/>
      <c r="V209" s="75" t="s">
        <v>1444</v>
      </c>
      <c r="W209" s="66">
        <f>W112</f>
        <v>0.33333333333333331</v>
      </c>
      <c r="X209" s="66">
        <f>X112</f>
        <v>0.66666666666666663</v>
      </c>
      <c r="Y209" s="66">
        <f>Y112</f>
        <v>0</v>
      </c>
      <c r="Z209" s="66">
        <f>Z112</f>
        <v>0</v>
      </c>
      <c r="AA209"/>
      <c r="AB209"/>
      <c r="AC209"/>
      <c r="AD209"/>
      <c r="AE209"/>
      <c r="AF209"/>
      <c r="AG209"/>
      <c r="AH209"/>
      <c r="AI209"/>
      <c r="AJ209"/>
      <c r="AK209"/>
      <c r="AL209"/>
      <c r="AM209"/>
      <c r="AN209"/>
      <c r="AO209"/>
      <c r="AP209"/>
      <c r="AQ209"/>
      <c r="AR209"/>
    </row>
    <row r="210" spans="1:44" s="118" customFormat="1" x14ac:dyDescent="0.25">
      <c r="A210" s="75" t="s">
        <v>663</v>
      </c>
      <c r="B210" s="58">
        <f>B116</f>
        <v>0.23809523809523805</v>
      </c>
      <c r="C210" s="58">
        <f>C116</f>
        <v>0.57142857142857151</v>
      </c>
      <c r="D210" s="58">
        <f>D116</f>
        <v>0.19047619047619047</v>
      </c>
      <c r="E210" s="58">
        <f>E116</f>
        <v>0</v>
      </c>
      <c r="H210" s="75" t="s">
        <v>663</v>
      </c>
      <c r="I210" s="66">
        <f>I116</f>
        <v>0.33333333333333331</v>
      </c>
      <c r="J210" s="66">
        <f>J116</f>
        <v>0.55555555555555547</v>
      </c>
      <c r="K210" s="66">
        <f>K116</f>
        <v>0.1111111111111111</v>
      </c>
      <c r="L210" s="66">
        <f>L116</f>
        <v>0</v>
      </c>
      <c r="M210"/>
      <c r="N210"/>
      <c r="O210" s="75" t="s">
        <v>663</v>
      </c>
      <c r="P210" s="66">
        <f>P116</f>
        <v>0.22222222222222221</v>
      </c>
      <c r="Q210" s="66">
        <f>Q116</f>
        <v>0.55555555555555547</v>
      </c>
      <c r="R210" s="66">
        <f>R116</f>
        <v>0.22222222222222221</v>
      </c>
      <c r="S210" s="66">
        <f>S116</f>
        <v>0</v>
      </c>
      <c r="T210"/>
      <c r="U210"/>
      <c r="V210" s="75" t="s">
        <v>663</v>
      </c>
      <c r="W210" s="66">
        <f>W116</f>
        <v>0</v>
      </c>
      <c r="X210" s="66">
        <f>X116</f>
        <v>0.66666666666666663</v>
      </c>
      <c r="Y210" s="66">
        <f>Y116</f>
        <v>0.33333333333333331</v>
      </c>
      <c r="Z210" s="66">
        <f>Z116</f>
        <v>0</v>
      </c>
      <c r="AA210"/>
      <c r="AB210"/>
      <c r="AC210"/>
      <c r="AD210"/>
      <c r="AE210"/>
      <c r="AF210"/>
      <c r="AG210"/>
      <c r="AH210"/>
      <c r="AI210"/>
      <c r="AJ210"/>
      <c r="AK210"/>
      <c r="AL210"/>
      <c r="AM210"/>
      <c r="AN210"/>
      <c r="AO210"/>
      <c r="AP210"/>
      <c r="AQ210"/>
      <c r="AR210"/>
    </row>
    <row r="211" spans="1:44" s="118" customFormat="1" x14ac:dyDescent="0.25">
      <c r="A211" s="75" t="s">
        <v>1441</v>
      </c>
      <c r="B211" s="58">
        <f>B120</f>
        <v>0.19047619047619047</v>
      </c>
      <c r="C211" s="58">
        <f>C120</f>
        <v>0.80952380952380942</v>
      </c>
      <c r="D211" s="58">
        <f>D120</f>
        <v>0</v>
      </c>
      <c r="E211" s="58">
        <f>E120</f>
        <v>0</v>
      </c>
      <c r="H211" s="75" t="s">
        <v>1441</v>
      </c>
      <c r="I211" s="66">
        <f>I120</f>
        <v>0.44444444444444442</v>
      </c>
      <c r="J211" s="66">
        <f>J120</f>
        <v>0.55555555555555547</v>
      </c>
      <c r="K211" s="66">
        <f>K120</f>
        <v>0</v>
      </c>
      <c r="L211" s="66">
        <f>L120</f>
        <v>0</v>
      </c>
      <c r="M211"/>
      <c r="N211"/>
      <c r="O211" s="75" t="s">
        <v>1441</v>
      </c>
      <c r="P211" s="66">
        <f>P120</f>
        <v>0</v>
      </c>
      <c r="Q211" s="66">
        <f>Q120</f>
        <v>1</v>
      </c>
      <c r="R211" s="66">
        <f>R120</f>
        <v>0</v>
      </c>
      <c r="S211" s="66">
        <f>S120</f>
        <v>0</v>
      </c>
      <c r="T211"/>
      <c r="U211"/>
      <c r="V211" s="75" t="s">
        <v>1441</v>
      </c>
      <c r="W211" s="66">
        <f>W120</f>
        <v>0</v>
      </c>
      <c r="X211" s="66">
        <f>X120</f>
        <v>1</v>
      </c>
      <c r="Y211" s="66">
        <f>Y120</f>
        <v>0</v>
      </c>
      <c r="Z211" s="66">
        <f>Z120</f>
        <v>0</v>
      </c>
      <c r="AA211"/>
      <c r="AB211"/>
      <c r="AC211"/>
      <c r="AD211"/>
      <c r="AE211"/>
      <c r="AF211"/>
      <c r="AG211"/>
      <c r="AH211"/>
      <c r="AI211"/>
      <c r="AJ211"/>
      <c r="AK211"/>
      <c r="AL211"/>
      <c r="AM211"/>
      <c r="AN211"/>
      <c r="AO211"/>
      <c r="AP211"/>
      <c r="AQ211"/>
      <c r="AR211"/>
    </row>
    <row r="212" spans="1:44" s="118" customFormat="1" x14ac:dyDescent="0.25">
      <c r="A212" s="75" t="s">
        <v>91</v>
      </c>
      <c r="B212" s="58">
        <f>B125</f>
        <v>0.4642857142857143</v>
      </c>
      <c r="C212" s="58">
        <f>C125</f>
        <v>0.39285714285714279</v>
      </c>
      <c r="D212" s="58">
        <f>D125</f>
        <v>0.14285714285714285</v>
      </c>
      <c r="E212" s="58">
        <f>E125</f>
        <v>0</v>
      </c>
      <c r="H212" s="75" t="s">
        <v>91</v>
      </c>
      <c r="I212" s="66">
        <f>I125</f>
        <v>0.41666666666666663</v>
      </c>
      <c r="J212" s="66">
        <f>J125</f>
        <v>0.49999999999999994</v>
      </c>
      <c r="K212" s="66">
        <f>K125</f>
        <v>8.3333333333333329E-2</v>
      </c>
      <c r="L212" s="66">
        <f>L125</f>
        <v>0</v>
      </c>
      <c r="M212"/>
      <c r="N212"/>
      <c r="O212" s="75" t="s">
        <v>91</v>
      </c>
      <c r="P212" s="66">
        <f>P125</f>
        <v>0.5</v>
      </c>
      <c r="Q212" s="66">
        <f>Q125</f>
        <v>0.33333333333333331</v>
      </c>
      <c r="R212" s="66">
        <f>R125</f>
        <v>0.16666666666666666</v>
      </c>
      <c r="S212" s="66">
        <f>S125</f>
        <v>0</v>
      </c>
      <c r="T212"/>
      <c r="U212"/>
      <c r="V212" s="75" t="s">
        <v>91</v>
      </c>
      <c r="W212" s="66">
        <f>W125</f>
        <v>0.5</v>
      </c>
      <c r="X212" s="66">
        <f>X125</f>
        <v>0.25</v>
      </c>
      <c r="Y212" s="66">
        <f>Y125</f>
        <v>0.25</v>
      </c>
      <c r="Z212" s="66">
        <f>Z125</f>
        <v>0</v>
      </c>
      <c r="AA212"/>
      <c r="AB212"/>
      <c r="AC212"/>
      <c r="AD212"/>
      <c r="AE212"/>
      <c r="AF212"/>
      <c r="AG212"/>
      <c r="AH212"/>
      <c r="AI212"/>
      <c r="AJ212"/>
      <c r="AK212"/>
      <c r="AL212"/>
      <c r="AM212"/>
      <c r="AN212"/>
      <c r="AO212"/>
      <c r="AP212"/>
      <c r="AQ212"/>
      <c r="AR212"/>
    </row>
    <row r="213" spans="1:44" s="118" customFormat="1" x14ac:dyDescent="0.25">
      <c r="A213" s="75" t="s">
        <v>1431</v>
      </c>
      <c r="B213" s="58">
        <f>B131</f>
        <v>0.54285714285714293</v>
      </c>
      <c r="C213" s="58">
        <f>C131</f>
        <v>0.37142857142857139</v>
      </c>
      <c r="D213" s="58">
        <f>D131</f>
        <v>0</v>
      </c>
      <c r="E213" s="58">
        <f>E131</f>
        <v>8.5714285714285715E-2</v>
      </c>
      <c r="H213" s="75" t="s">
        <v>1431</v>
      </c>
      <c r="I213" s="66">
        <f>I131</f>
        <v>0.46666666666666662</v>
      </c>
      <c r="J213" s="66">
        <f>J131</f>
        <v>0.33333333333333331</v>
      </c>
      <c r="K213" s="66">
        <f>K131</f>
        <v>0</v>
      </c>
      <c r="L213" s="66">
        <f>L131</f>
        <v>0.2</v>
      </c>
      <c r="M213"/>
      <c r="N213"/>
      <c r="O213" s="75" t="s">
        <v>1431</v>
      </c>
      <c r="P213" s="66">
        <f>P131</f>
        <v>0.6</v>
      </c>
      <c r="Q213" s="66">
        <f>Q131</f>
        <v>0.4</v>
      </c>
      <c r="R213" s="66">
        <f>R131</f>
        <v>0</v>
      </c>
      <c r="S213" s="66">
        <f>S131</f>
        <v>0</v>
      </c>
      <c r="T213"/>
      <c r="U213"/>
      <c r="V213" s="75" t="s">
        <v>1431</v>
      </c>
      <c r="W213" s="66">
        <f>W131</f>
        <v>0.6</v>
      </c>
      <c r="X213" s="66">
        <f>X131</f>
        <v>0.4</v>
      </c>
      <c r="Y213" s="66">
        <f>Y131</f>
        <v>0</v>
      </c>
      <c r="Z213" s="66">
        <f>Z131</f>
        <v>0</v>
      </c>
      <c r="AA213"/>
      <c r="AB213"/>
      <c r="AC213"/>
      <c r="AD213"/>
      <c r="AE213"/>
      <c r="AF213"/>
      <c r="AG213"/>
      <c r="AH213"/>
      <c r="AI213"/>
      <c r="AJ213"/>
      <c r="AK213"/>
      <c r="AL213"/>
      <c r="AM213"/>
      <c r="AN213"/>
      <c r="AO213"/>
      <c r="AP213"/>
      <c r="AQ213"/>
      <c r="AR213"/>
    </row>
    <row r="214" spans="1:44" s="118" customFormat="1" ht="15.75" thickBot="1" x14ac:dyDescent="0.3">
      <c r="A214" s="76" t="s">
        <v>1432</v>
      </c>
      <c r="B214" s="77">
        <f>B136</f>
        <v>0.14285714285714285</v>
      </c>
      <c r="C214" s="77">
        <f>C136</f>
        <v>0.6428571428571429</v>
      </c>
      <c r="D214" s="77">
        <f>D136</f>
        <v>0.10714285714285714</v>
      </c>
      <c r="E214" s="77">
        <f>E136</f>
        <v>0.10714285714285714</v>
      </c>
      <c r="H214" s="76" t="s">
        <v>1432</v>
      </c>
      <c r="I214" s="185">
        <f>I136</f>
        <v>0.25</v>
      </c>
      <c r="J214" s="185">
        <f>J136</f>
        <v>0.5</v>
      </c>
      <c r="K214" s="185">
        <f>K136</f>
        <v>0</v>
      </c>
      <c r="L214" s="185">
        <f>L136</f>
        <v>0.25</v>
      </c>
      <c r="M214"/>
      <c r="N214"/>
      <c r="O214" s="76" t="s">
        <v>1432</v>
      </c>
      <c r="P214" s="185">
        <f>P136</f>
        <v>8.3333333333333329E-2</v>
      </c>
      <c r="Q214" s="185">
        <f>Q136</f>
        <v>0.66666666666666663</v>
      </c>
      <c r="R214" s="185">
        <f>R136</f>
        <v>0.25</v>
      </c>
      <c r="S214" s="185">
        <f>S136</f>
        <v>0</v>
      </c>
      <c r="T214"/>
      <c r="U214"/>
      <c r="V214" s="76" t="s">
        <v>1432</v>
      </c>
      <c r="W214" s="185">
        <f>W136</f>
        <v>0</v>
      </c>
      <c r="X214" s="185">
        <f>X136</f>
        <v>1</v>
      </c>
      <c r="Y214" s="185">
        <f>Y136</f>
        <v>0</v>
      </c>
      <c r="Z214" s="185">
        <f>Z136</f>
        <v>0</v>
      </c>
      <c r="AA214"/>
      <c r="AB214"/>
      <c r="AC214"/>
      <c r="AD214"/>
      <c r="AE214"/>
      <c r="AF214"/>
      <c r="AG214"/>
      <c r="AH214"/>
      <c r="AI214"/>
      <c r="AJ214"/>
      <c r="AK214"/>
      <c r="AL214"/>
      <c r="AM214"/>
      <c r="AN214"/>
      <c r="AO214"/>
      <c r="AP214"/>
      <c r="AQ214"/>
      <c r="AR214"/>
    </row>
    <row r="215" spans="1:44" s="118" customFormat="1" x14ac:dyDescent="0.25">
      <c r="A215" s="79" t="s">
        <v>669</v>
      </c>
      <c r="B215" s="81">
        <f>SUM(B206:B214)</f>
        <v>3.7404761904761901</v>
      </c>
      <c r="C215" s="81">
        <f>SUM(C206:C214)</f>
        <v>4.4833333333333334</v>
      </c>
      <c r="D215" s="81">
        <f>SUM(D206:D214)</f>
        <v>0.58333333333333326</v>
      </c>
      <c r="E215" s="84">
        <f>SUM(E206:E214)</f>
        <v>0.19285714285714284</v>
      </c>
      <c r="H215" s="79" t="s">
        <v>669</v>
      </c>
      <c r="I215" s="81">
        <f>SUM(I206:I214)</f>
        <v>4.0444444444444443</v>
      </c>
      <c r="J215" s="81">
        <f>SUM(J206:J214)</f>
        <v>4.1444444444444439</v>
      </c>
      <c r="K215" s="81">
        <f>SUM(K206:K214)</f>
        <v>0.3611111111111111</v>
      </c>
      <c r="L215" s="84">
        <f>SUM(L206:L214)</f>
        <v>0.45</v>
      </c>
      <c r="M215"/>
      <c r="N215"/>
      <c r="O215" s="79" t="s">
        <v>669</v>
      </c>
      <c r="P215" s="81">
        <f>SUM(P206:P214)</f>
        <v>3.5722222222222224</v>
      </c>
      <c r="Q215" s="81">
        <f>SUM(Q206:Q214)</f>
        <v>4.6222222222222218</v>
      </c>
      <c r="R215" s="81">
        <f>SUM(R206:R214)</f>
        <v>0.80555555555555547</v>
      </c>
      <c r="S215" s="84">
        <f>SUM(S206:S214)</f>
        <v>0</v>
      </c>
      <c r="T215"/>
      <c r="U215"/>
      <c r="V215" s="79" t="s">
        <v>669</v>
      </c>
      <c r="W215" s="81">
        <f>SUM(W206:W214)</f>
        <v>3.3333333333333335</v>
      </c>
      <c r="X215" s="81">
        <f>SUM(X206:X214)</f>
        <v>5.083333333333333</v>
      </c>
      <c r="Y215" s="81">
        <f>SUM(Y206:Y214)</f>
        <v>0.58333333333333326</v>
      </c>
      <c r="Z215" s="84">
        <f>SUM(Z206:Z214)</f>
        <v>0</v>
      </c>
      <c r="AA215"/>
      <c r="AB215"/>
      <c r="AC215"/>
      <c r="AD215"/>
      <c r="AE215"/>
      <c r="AF215"/>
      <c r="AG215"/>
      <c r="AH215"/>
      <c r="AI215"/>
      <c r="AJ215"/>
      <c r="AK215"/>
      <c r="AL215"/>
      <c r="AM215"/>
      <c r="AN215"/>
      <c r="AO215"/>
      <c r="AP215"/>
      <c r="AQ215"/>
      <c r="AR215"/>
    </row>
    <row r="216" spans="1:44" s="118" customFormat="1" ht="15.75" thickBot="1" x14ac:dyDescent="0.3">
      <c r="A216" s="80" t="s">
        <v>670</v>
      </c>
      <c r="B216" s="82">
        <f>AVERAGE(B206:B214)</f>
        <v>0.41560846560846554</v>
      </c>
      <c r="C216" s="82">
        <f>AVERAGE(C206:C214)</f>
        <v>0.49814814814814817</v>
      </c>
      <c r="D216" s="82">
        <f>AVERAGE(D206:D214)</f>
        <v>6.4814814814814811E-2</v>
      </c>
      <c r="E216" s="85">
        <f>AVERAGE(E206:E214)</f>
        <v>2.1428571428571425E-2</v>
      </c>
      <c r="H216" s="80" t="s">
        <v>670</v>
      </c>
      <c r="I216" s="82">
        <f>AVERAGE(I206:I214)</f>
        <v>0.44938271604938268</v>
      </c>
      <c r="J216" s="82">
        <f>AVERAGE(J206:J214)</f>
        <v>0.46049382716049375</v>
      </c>
      <c r="K216" s="82">
        <f>AVERAGE(K206:K214)</f>
        <v>4.0123456790123455E-2</v>
      </c>
      <c r="L216" s="82">
        <f>AVERAGE(L206:L214)</f>
        <v>0.05</v>
      </c>
      <c r="M216"/>
      <c r="N216"/>
      <c r="O216" s="80" t="s">
        <v>670</v>
      </c>
      <c r="P216" s="82">
        <f>AVERAGE(P206:P214)</f>
        <v>0.39691358024691359</v>
      </c>
      <c r="Q216" s="82">
        <f>AVERAGE(Q206:Q214)</f>
        <v>0.51358024691358017</v>
      </c>
      <c r="R216" s="82">
        <f>AVERAGE(R206:R214)</f>
        <v>8.9506172839506168E-2</v>
      </c>
      <c r="S216" s="85">
        <f>AVERAGE(S206:S214)</f>
        <v>0</v>
      </c>
      <c r="T216"/>
      <c r="U216"/>
      <c r="V216" s="80" t="s">
        <v>670</v>
      </c>
      <c r="W216" s="82">
        <f>AVERAGE(W206:W214)</f>
        <v>0.37037037037037041</v>
      </c>
      <c r="X216" s="82">
        <f>AVERAGE(X206:X214)</f>
        <v>0.56481481481481477</v>
      </c>
      <c r="Y216" s="82">
        <f>AVERAGE(Y206:Y214)</f>
        <v>6.4814814814814811E-2</v>
      </c>
      <c r="Z216" s="85">
        <f>AVERAGE(Z206:Z214)</f>
        <v>0</v>
      </c>
      <c r="AA216"/>
      <c r="AB216"/>
      <c r="AC216"/>
      <c r="AD216"/>
      <c r="AE216"/>
      <c r="AF216"/>
      <c r="AG216"/>
      <c r="AH216"/>
      <c r="AI216"/>
      <c r="AJ216"/>
      <c r="AK216"/>
      <c r="AL216"/>
      <c r="AM216"/>
      <c r="AN216"/>
      <c r="AO216"/>
      <c r="AP216"/>
      <c r="AQ216"/>
      <c r="AR216"/>
    </row>
    <row r="217" spans="1:44" s="118" customFormat="1" ht="15.75" thickBot="1" x14ac:dyDescent="0.3">
      <c r="A217" s="119"/>
      <c r="B217" s="119"/>
      <c r="C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row>
    <row r="218" spans="1:44" s="118" customFormat="1" ht="17.25" thickBot="1" x14ac:dyDescent="0.3">
      <c r="A218" s="64" t="s">
        <v>647</v>
      </c>
      <c r="B218" s="65">
        <v>2023</v>
      </c>
      <c r="C218" s="237" t="s">
        <v>1185</v>
      </c>
      <c r="D218" s="238"/>
      <c r="E218" s="239"/>
      <c r="H218" s="64" t="s">
        <v>647</v>
      </c>
      <c r="I218" s="65">
        <v>2023</v>
      </c>
      <c r="J218" s="237" t="s">
        <v>1357</v>
      </c>
      <c r="K218" s="238"/>
      <c r="L218" s="239"/>
      <c r="M218"/>
      <c r="N218"/>
      <c r="O218" s="64" t="s">
        <v>647</v>
      </c>
      <c r="P218" s="65">
        <v>2023</v>
      </c>
      <c r="Q218" s="237" t="s">
        <v>1577</v>
      </c>
      <c r="R218" s="238"/>
      <c r="S218" s="239"/>
      <c r="T218"/>
      <c r="U218"/>
      <c r="V218" s="64" t="s">
        <v>647</v>
      </c>
      <c r="W218" s="65">
        <v>2023</v>
      </c>
      <c r="X218" s="237" t="s">
        <v>67</v>
      </c>
      <c r="Y218" s="238"/>
      <c r="Z218" s="239"/>
      <c r="AA218"/>
      <c r="AB218"/>
      <c r="AC218"/>
      <c r="AD218"/>
      <c r="AE218"/>
      <c r="AF218"/>
      <c r="AG218"/>
      <c r="AH218"/>
      <c r="AI218"/>
      <c r="AJ218"/>
      <c r="AK218"/>
      <c r="AL218"/>
      <c r="AM218"/>
      <c r="AN218"/>
      <c r="AO218"/>
      <c r="AP218"/>
      <c r="AQ218"/>
      <c r="AR218"/>
    </row>
    <row r="219" spans="1:44" s="118" customFormat="1" ht="17.25" thickBot="1" x14ac:dyDescent="0.3">
      <c r="A219" s="69" t="s">
        <v>646</v>
      </c>
      <c r="B219" s="70">
        <f>B140</f>
        <v>2</v>
      </c>
      <c r="C219" s="240"/>
      <c r="D219" s="241"/>
      <c r="E219" s="242"/>
      <c r="H219" s="69" t="s">
        <v>646</v>
      </c>
      <c r="I219" s="70">
        <f>I140</f>
        <v>1</v>
      </c>
      <c r="J219" s="240"/>
      <c r="K219" s="241"/>
      <c r="L219" s="242"/>
      <c r="M219"/>
      <c r="N219"/>
      <c r="O219" s="69" t="s">
        <v>646</v>
      </c>
      <c r="P219" s="70">
        <f>P140</f>
        <v>1</v>
      </c>
      <c r="Q219" s="240"/>
      <c r="R219" s="241"/>
      <c r="S219" s="242"/>
      <c r="T219"/>
      <c r="U219"/>
      <c r="V219" s="69" t="s">
        <v>646</v>
      </c>
      <c r="W219" s="70">
        <f>W140</f>
        <v>0</v>
      </c>
      <c r="X219" s="240"/>
      <c r="Y219" s="241"/>
      <c r="Z219" s="242"/>
      <c r="AA219"/>
      <c r="AB219"/>
      <c r="AC219"/>
      <c r="AD219"/>
      <c r="AE219"/>
      <c r="AF219"/>
      <c r="AG219"/>
      <c r="AH219"/>
      <c r="AI219"/>
      <c r="AJ219"/>
      <c r="AK219"/>
      <c r="AL219"/>
      <c r="AM219"/>
      <c r="AN219"/>
      <c r="AO219"/>
      <c r="AP219"/>
      <c r="AQ219"/>
      <c r="AR219"/>
    </row>
    <row r="220" spans="1:44" s="118" customFormat="1" ht="15.75" thickBot="1" x14ac:dyDescent="0.3">
      <c r="A220" s="222" t="s">
        <v>658</v>
      </c>
      <c r="B220" s="243" t="s">
        <v>664</v>
      </c>
      <c r="C220" s="243"/>
      <c r="D220" s="243"/>
      <c r="E220" s="243"/>
      <c r="H220" s="222" t="s">
        <v>658</v>
      </c>
      <c r="I220" s="243" t="s">
        <v>664</v>
      </c>
      <c r="J220" s="243"/>
      <c r="K220" s="243"/>
      <c r="L220" s="243"/>
      <c r="M220"/>
      <c r="N220"/>
      <c r="O220" s="222" t="s">
        <v>658</v>
      </c>
      <c r="P220" s="243" t="s">
        <v>664</v>
      </c>
      <c r="Q220" s="243"/>
      <c r="R220" s="243"/>
      <c r="S220" s="243"/>
      <c r="T220"/>
      <c r="U220"/>
      <c r="V220" s="222" t="s">
        <v>658</v>
      </c>
      <c r="W220" s="243" t="s">
        <v>664</v>
      </c>
      <c r="X220" s="243"/>
      <c r="Y220" s="243"/>
      <c r="Z220" s="243"/>
      <c r="AA220"/>
      <c r="AB220"/>
      <c r="AC220"/>
      <c r="AD220"/>
      <c r="AE220"/>
      <c r="AF220"/>
      <c r="AG220"/>
      <c r="AH220"/>
      <c r="AI220"/>
      <c r="AJ220"/>
      <c r="AK220"/>
      <c r="AL220"/>
      <c r="AM220"/>
      <c r="AN220"/>
      <c r="AO220"/>
      <c r="AP220"/>
      <c r="AQ220"/>
      <c r="AR220"/>
    </row>
    <row r="221" spans="1:44" s="118" customFormat="1" ht="15.75" thickBot="1" x14ac:dyDescent="0.3">
      <c r="A221" s="222"/>
      <c r="B221" s="72" t="s">
        <v>645</v>
      </c>
      <c r="C221" s="72" t="s">
        <v>665</v>
      </c>
      <c r="D221" s="72" t="s">
        <v>666</v>
      </c>
      <c r="E221" s="72" t="s">
        <v>667</v>
      </c>
      <c r="H221" s="222"/>
      <c r="I221" s="72" t="s">
        <v>645</v>
      </c>
      <c r="J221" s="72" t="s">
        <v>665</v>
      </c>
      <c r="K221" s="72" t="s">
        <v>666</v>
      </c>
      <c r="L221" s="72" t="s">
        <v>667</v>
      </c>
      <c r="M221"/>
      <c r="N221"/>
      <c r="O221" s="222"/>
      <c r="P221" s="72" t="s">
        <v>645</v>
      </c>
      <c r="Q221" s="72" t="s">
        <v>665</v>
      </c>
      <c r="R221" s="72" t="s">
        <v>666</v>
      </c>
      <c r="S221" s="72" t="s">
        <v>667</v>
      </c>
      <c r="T221"/>
      <c r="U221"/>
      <c r="V221" s="222"/>
      <c r="W221" s="72" t="s">
        <v>645</v>
      </c>
      <c r="X221" s="72" t="s">
        <v>665</v>
      </c>
      <c r="Y221" s="72" t="s">
        <v>666</v>
      </c>
      <c r="Z221" s="72" t="s">
        <v>667</v>
      </c>
      <c r="AA221"/>
      <c r="AB221"/>
      <c r="AC221"/>
      <c r="AD221"/>
      <c r="AE221"/>
      <c r="AF221"/>
      <c r="AG221"/>
      <c r="AH221"/>
      <c r="AI221"/>
      <c r="AJ221"/>
      <c r="AK221"/>
      <c r="AL221"/>
      <c r="AM221"/>
      <c r="AN221"/>
      <c r="AO221"/>
      <c r="AP221"/>
      <c r="AQ221"/>
      <c r="AR221"/>
    </row>
    <row r="222" spans="1:44" s="118" customFormat="1" x14ac:dyDescent="0.25">
      <c r="A222" s="73">
        <v>2</v>
      </c>
      <c r="B222" s="71">
        <v>3</v>
      </c>
      <c r="C222" s="71">
        <v>4</v>
      </c>
      <c r="D222" s="71">
        <v>5</v>
      </c>
      <c r="E222" s="74">
        <v>6</v>
      </c>
      <c r="H222" s="73">
        <v>2</v>
      </c>
      <c r="I222" s="71">
        <v>3</v>
      </c>
      <c r="J222" s="71">
        <v>4</v>
      </c>
      <c r="K222" s="71">
        <v>5</v>
      </c>
      <c r="L222" s="74">
        <v>6</v>
      </c>
      <c r="M222"/>
      <c r="N222"/>
      <c r="O222" s="73">
        <v>2</v>
      </c>
      <c r="P222" s="71">
        <v>3</v>
      </c>
      <c r="Q222" s="71">
        <v>4</v>
      </c>
      <c r="R222" s="71">
        <v>5</v>
      </c>
      <c r="S222" s="74">
        <v>6</v>
      </c>
      <c r="T222"/>
      <c r="U222"/>
      <c r="V222" s="73">
        <v>2</v>
      </c>
      <c r="W222" s="71">
        <v>3</v>
      </c>
      <c r="X222" s="71">
        <v>4</v>
      </c>
      <c r="Y222" s="71">
        <v>5</v>
      </c>
      <c r="Z222" s="74">
        <v>6</v>
      </c>
      <c r="AA222"/>
      <c r="AB222"/>
      <c r="AC222"/>
      <c r="AD222"/>
      <c r="AE222"/>
      <c r="AF222"/>
      <c r="AG222"/>
      <c r="AH222"/>
      <c r="AI222"/>
      <c r="AJ222"/>
      <c r="AK222"/>
      <c r="AL222"/>
      <c r="AM222"/>
      <c r="AN222"/>
      <c r="AO222"/>
      <c r="AP222"/>
      <c r="AQ222"/>
      <c r="AR222"/>
    </row>
    <row r="223" spans="1:44" s="118" customFormat="1" x14ac:dyDescent="0.25">
      <c r="A223" s="75" t="s">
        <v>1445</v>
      </c>
      <c r="B223" s="58">
        <f>B146</f>
        <v>0.25</v>
      </c>
      <c r="C223" s="58">
        <f>C146</f>
        <v>0.75</v>
      </c>
      <c r="D223" s="58">
        <f>D146</f>
        <v>0</v>
      </c>
      <c r="E223" s="58">
        <f>E146</f>
        <v>0</v>
      </c>
      <c r="H223" s="75" t="s">
        <v>1445</v>
      </c>
      <c r="I223" s="66">
        <f>I146</f>
        <v>0.25</v>
      </c>
      <c r="J223" s="66">
        <f>J146</f>
        <v>0.75</v>
      </c>
      <c r="K223" s="66">
        <f>K146</f>
        <v>0</v>
      </c>
      <c r="L223" s="66">
        <f>L146</f>
        <v>0</v>
      </c>
      <c r="M223"/>
      <c r="N223"/>
      <c r="O223" s="75" t="s">
        <v>1445</v>
      </c>
      <c r="P223" s="66">
        <f>P146</f>
        <v>0.25</v>
      </c>
      <c r="Q223" s="66">
        <f>Q146</f>
        <v>0.75</v>
      </c>
      <c r="R223" s="66">
        <f>R146</f>
        <v>0</v>
      </c>
      <c r="S223" s="66">
        <f>S146</f>
        <v>0</v>
      </c>
      <c r="T223"/>
      <c r="U223"/>
      <c r="V223" s="75" t="s">
        <v>1445</v>
      </c>
      <c r="W223" s="58" t="e">
        <f>W146</f>
        <v>#DIV/0!</v>
      </c>
      <c r="X223" s="58" t="e">
        <f>X146</f>
        <v>#DIV/0!</v>
      </c>
      <c r="Y223" s="58" t="e">
        <f>Y146</f>
        <v>#DIV/0!</v>
      </c>
      <c r="Z223" s="58" t="e">
        <f>Z146</f>
        <v>#DIV/0!</v>
      </c>
      <c r="AA223"/>
      <c r="AB223"/>
      <c r="AC223"/>
      <c r="AD223"/>
      <c r="AE223"/>
      <c r="AF223"/>
      <c r="AG223"/>
      <c r="AH223"/>
      <c r="AI223"/>
      <c r="AJ223"/>
      <c r="AK223"/>
      <c r="AL223"/>
      <c r="AM223"/>
      <c r="AN223"/>
      <c r="AO223"/>
      <c r="AP223"/>
      <c r="AQ223"/>
      <c r="AR223"/>
    </row>
    <row r="224" spans="1:44" s="118" customFormat="1" x14ac:dyDescent="0.25">
      <c r="A224" s="75" t="s">
        <v>1443</v>
      </c>
      <c r="B224" s="58">
        <f>B149</f>
        <v>0.5</v>
      </c>
      <c r="C224" s="58">
        <f>C149</f>
        <v>0.5</v>
      </c>
      <c r="D224" s="58">
        <f>D149</f>
        <v>0</v>
      </c>
      <c r="E224" s="58">
        <f>E149</f>
        <v>0</v>
      </c>
      <c r="H224" s="75" t="s">
        <v>1443</v>
      </c>
      <c r="I224" s="66">
        <f>I149</f>
        <v>0.5</v>
      </c>
      <c r="J224" s="66">
        <f>J149</f>
        <v>0.5</v>
      </c>
      <c r="K224" s="66">
        <f>K149</f>
        <v>0</v>
      </c>
      <c r="L224" s="66">
        <f>L149</f>
        <v>0</v>
      </c>
      <c r="M224"/>
      <c r="N224"/>
      <c r="O224" s="75" t="s">
        <v>1443</v>
      </c>
      <c r="P224" s="66">
        <f>P149</f>
        <v>0.5</v>
      </c>
      <c r="Q224" s="66">
        <f>Q149</f>
        <v>0.5</v>
      </c>
      <c r="R224" s="66">
        <f>R149</f>
        <v>0</v>
      </c>
      <c r="S224" s="66">
        <f>S149</f>
        <v>0</v>
      </c>
      <c r="T224"/>
      <c r="U224"/>
      <c r="V224" s="75" t="s">
        <v>1443</v>
      </c>
      <c r="W224" s="58" t="e">
        <f>W149</f>
        <v>#DIV/0!</v>
      </c>
      <c r="X224" s="58" t="e">
        <f>X149</f>
        <v>#DIV/0!</v>
      </c>
      <c r="Y224" s="58" t="e">
        <f>Y149</f>
        <v>#DIV/0!</v>
      </c>
      <c r="Z224" s="58" t="e">
        <f>Z149</f>
        <v>#DIV/0!</v>
      </c>
      <c r="AA224"/>
      <c r="AB224"/>
      <c r="AC224"/>
      <c r="AD224"/>
      <c r="AE224"/>
      <c r="AF224"/>
      <c r="AG224"/>
      <c r="AH224"/>
      <c r="AI224"/>
      <c r="AJ224"/>
      <c r="AK224"/>
      <c r="AL224"/>
      <c r="AM224"/>
      <c r="AN224"/>
      <c r="AO224"/>
      <c r="AP224"/>
      <c r="AQ224"/>
      <c r="AR224"/>
    </row>
    <row r="225" spans="1:44" s="118" customFormat="1" x14ac:dyDescent="0.25">
      <c r="A225" s="75" t="s">
        <v>661</v>
      </c>
      <c r="B225" s="58">
        <f>B152</f>
        <v>0.5</v>
      </c>
      <c r="C225" s="58">
        <f>C152</f>
        <v>0.5</v>
      </c>
      <c r="D225" s="58">
        <f>D152</f>
        <v>0</v>
      </c>
      <c r="E225" s="58">
        <f>E152</f>
        <v>0</v>
      </c>
      <c r="H225" s="75" t="s">
        <v>661</v>
      </c>
      <c r="I225" s="66">
        <f>I152</f>
        <v>0.5</v>
      </c>
      <c r="J225" s="66">
        <f>J152</f>
        <v>0.5</v>
      </c>
      <c r="K225" s="66">
        <f>K152</f>
        <v>0</v>
      </c>
      <c r="L225" s="66">
        <f>L152</f>
        <v>0</v>
      </c>
      <c r="M225"/>
      <c r="N225"/>
      <c r="O225" s="75" t="s">
        <v>661</v>
      </c>
      <c r="P225" s="66">
        <f>P152</f>
        <v>0.5</v>
      </c>
      <c r="Q225" s="66">
        <f>Q152</f>
        <v>0.5</v>
      </c>
      <c r="R225" s="66">
        <f>R152</f>
        <v>0</v>
      </c>
      <c r="S225" s="66">
        <f>S152</f>
        <v>0</v>
      </c>
      <c r="T225"/>
      <c r="U225"/>
      <c r="V225" s="75" t="s">
        <v>661</v>
      </c>
      <c r="W225" s="58" t="e">
        <f>W152</f>
        <v>#DIV/0!</v>
      </c>
      <c r="X225" s="58" t="e">
        <f>X152</f>
        <v>#DIV/0!</v>
      </c>
      <c r="Y225" s="58" t="e">
        <f>Y152</f>
        <v>#DIV/0!</v>
      </c>
      <c r="Z225" s="58" t="e">
        <f>Z152</f>
        <v>#DIV/0!</v>
      </c>
      <c r="AA225"/>
      <c r="AB225"/>
      <c r="AC225"/>
      <c r="AD225"/>
      <c r="AE225"/>
      <c r="AF225"/>
      <c r="AG225"/>
      <c r="AH225"/>
      <c r="AI225"/>
      <c r="AJ225"/>
      <c r="AK225"/>
      <c r="AL225"/>
      <c r="AM225"/>
      <c r="AN225"/>
      <c r="AO225"/>
      <c r="AP225"/>
      <c r="AQ225"/>
      <c r="AR225"/>
    </row>
    <row r="226" spans="1:44" s="118" customFormat="1" x14ac:dyDescent="0.25">
      <c r="A226" s="75" t="s">
        <v>1444</v>
      </c>
      <c r="B226" s="58">
        <f>B155</f>
        <v>0.5</v>
      </c>
      <c r="C226" s="58">
        <f>C155</f>
        <v>0.5</v>
      </c>
      <c r="D226" s="58">
        <f>D155</f>
        <v>0</v>
      </c>
      <c r="E226" s="58">
        <f>E155</f>
        <v>0</v>
      </c>
      <c r="H226" s="75" t="s">
        <v>1444</v>
      </c>
      <c r="I226" s="66">
        <f>I155</f>
        <v>0.5</v>
      </c>
      <c r="J226" s="66">
        <f>J155</f>
        <v>0.5</v>
      </c>
      <c r="K226" s="66">
        <f>K155</f>
        <v>0</v>
      </c>
      <c r="L226" s="66">
        <f>L155</f>
        <v>0</v>
      </c>
      <c r="M226"/>
      <c r="N226"/>
      <c r="O226" s="75" t="s">
        <v>1444</v>
      </c>
      <c r="P226" s="66">
        <f>P155</f>
        <v>0.5</v>
      </c>
      <c r="Q226" s="66">
        <f>Q155</f>
        <v>0.5</v>
      </c>
      <c r="R226" s="66">
        <f>R155</f>
        <v>0</v>
      </c>
      <c r="S226" s="66">
        <f>S155</f>
        <v>0</v>
      </c>
      <c r="T226"/>
      <c r="U226"/>
      <c r="V226" s="75" t="s">
        <v>1444</v>
      </c>
      <c r="W226" s="58" t="e">
        <f>W155</f>
        <v>#DIV/0!</v>
      </c>
      <c r="X226" s="58" t="e">
        <f>X155</f>
        <v>#DIV/0!</v>
      </c>
      <c r="Y226" s="58" t="e">
        <f>Y155</f>
        <v>#DIV/0!</v>
      </c>
      <c r="Z226" s="58" t="e">
        <f>Z155</f>
        <v>#DIV/0!</v>
      </c>
      <c r="AA226"/>
      <c r="AB226"/>
      <c r="AC226"/>
      <c r="AD226"/>
      <c r="AE226"/>
      <c r="AF226"/>
      <c r="AG226"/>
      <c r="AH226"/>
      <c r="AI226"/>
      <c r="AJ226"/>
      <c r="AK226"/>
      <c r="AL226"/>
      <c r="AM226"/>
      <c r="AN226"/>
      <c r="AO226"/>
      <c r="AP226"/>
      <c r="AQ226"/>
      <c r="AR226"/>
    </row>
    <row r="227" spans="1:44" s="118" customFormat="1" x14ac:dyDescent="0.25">
      <c r="A227" s="75" t="s">
        <v>663</v>
      </c>
      <c r="B227" s="58">
        <f>B160</f>
        <v>0.5</v>
      </c>
      <c r="C227" s="58">
        <f>C160</f>
        <v>0.5</v>
      </c>
      <c r="D227" s="58">
        <f>D160</f>
        <v>0</v>
      </c>
      <c r="E227" s="58">
        <f>E160</f>
        <v>0</v>
      </c>
      <c r="H227" s="75" t="s">
        <v>663</v>
      </c>
      <c r="I227" s="66">
        <f>I160</f>
        <v>0.75</v>
      </c>
      <c r="J227" s="66">
        <f>J160</f>
        <v>0.25</v>
      </c>
      <c r="K227" s="66">
        <f>K160</f>
        <v>0</v>
      </c>
      <c r="L227" s="66">
        <f>L160</f>
        <v>0</v>
      </c>
      <c r="M227"/>
      <c r="N227"/>
      <c r="O227" s="75" t="s">
        <v>663</v>
      </c>
      <c r="P227" s="66">
        <f>P160</f>
        <v>0.25</v>
      </c>
      <c r="Q227" s="66">
        <f>Q160</f>
        <v>0.75</v>
      </c>
      <c r="R227" s="66">
        <f>R160</f>
        <v>0</v>
      </c>
      <c r="S227" s="66">
        <f>S160</f>
        <v>0</v>
      </c>
      <c r="T227"/>
      <c r="U227"/>
      <c r="V227" s="75" t="s">
        <v>663</v>
      </c>
      <c r="W227" s="58" t="e">
        <f>W160</f>
        <v>#DIV/0!</v>
      </c>
      <c r="X227" s="58" t="e">
        <f>X160</f>
        <v>#DIV/0!</v>
      </c>
      <c r="Y227" s="58" t="e">
        <f>Y160</f>
        <v>#DIV/0!</v>
      </c>
      <c r="Z227" s="58" t="e">
        <f>Z160</f>
        <v>#DIV/0!</v>
      </c>
      <c r="AA227"/>
      <c r="AB227"/>
      <c r="AC227"/>
      <c r="AD227"/>
      <c r="AE227"/>
      <c r="AF227"/>
      <c r="AG227"/>
      <c r="AH227"/>
      <c r="AI227"/>
      <c r="AJ227"/>
      <c r="AK227"/>
      <c r="AL227"/>
      <c r="AM227"/>
      <c r="AN227"/>
      <c r="AO227"/>
      <c r="AP227"/>
      <c r="AQ227"/>
      <c r="AR227"/>
    </row>
    <row r="228" spans="1:44" s="118" customFormat="1" x14ac:dyDescent="0.25">
      <c r="A228" s="75" t="s">
        <v>1441</v>
      </c>
      <c r="B228" s="58">
        <f>B164</f>
        <v>0.5</v>
      </c>
      <c r="C228" s="58">
        <f>C164</f>
        <v>0.5</v>
      </c>
      <c r="D228" s="58">
        <f>D164</f>
        <v>0</v>
      </c>
      <c r="E228" s="58">
        <f>E164</f>
        <v>0</v>
      </c>
      <c r="H228" s="75" t="s">
        <v>1441</v>
      </c>
      <c r="I228" s="66">
        <f>I164</f>
        <v>0.66666666666666663</v>
      </c>
      <c r="J228" s="66">
        <f>J164</f>
        <v>0.33333333333333331</v>
      </c>
      <c r="K228" s="66">
        <f>K164</f>
        <v>0</v>
      </c>
      <c r="L228" s="66">
        <f>L164</f>
        <v>0</v>
      </c>
      <c r="M228"/>
      <c r="N228"/>
      <c r="O228" s="75" t="s">
        <v>1441</v>
      </c>
      <c r="P228" s="66">
        <f>P164</f>
        <v>0.33333333333333331</v>
      </c>
      <c r="Q228" s="66">
        <f>Q164</f>
        <v>0.66666666666666663</v>
      </c>
      <c r="R228" s="66">
        <f>R164</f>
        <v>0</v>
      </c>
      <c r="S228" s="66">
        <f>S164</f>
        <v>0</v>
      </c>
      <c r="T228"/>
      <c r="U228"/>
      <c r="V228" s="75" t="s">
        <v>1441</v>
      </c>
      <c r="W228" s="58" t="e">
        <f>W164</f>
        <v>#DIV/0!</v>
      </c>
      <c r="X228" s="58" t="e">
        <f>X164</f>
        <v>#DIV/0!</v>
      </c>
      <c r="Y228" s="58" t="e">
        <f>Y164</f>
        <v>#DIV/0!</v>
      </c>
      <c r="Z228" s="58" t="e">
        <f>Z164</f>
        <v>#DIV/0!</v>
      </c>
      <c r="AA228"/>
      <c r="AB228"/>
      <c r="AC228"/>
      <c r="AD228"/>
      <c r="AE228"/>
      <c r="AF228"/>
      <c r="AG228"/>
      <c r="AH228"/>
      <c r="AI228"/>
      <c r="AJ228"/>
      <c r="AK228"/>
      <c r="AL228"/>
      <c r="AM228"/>
      <c r="AN228"/>
      <c r="AO228"/>
      <c r="AP228"/>
      <c r="AQ228"/>
      <c r="AR228"/>
    </row>
    <row r="229" spans="1:44" s="118" customFormat="1" x14ac:dyDescent="0.25">
      <c r="A229" s="75" t="s">
        <v>91</v>
      </c>
      <c r="B229" s="58">
        <f>B169</f>
        <v>0.5</v>
      </c>
      <c r="C229" s="58">
        <f>C169</f>
        <v>0.5</v>
      </c>
      <c r="D229" s="58">
        <f>D169</f>
        <v>0</v>
      </c>
      <c r="E229" s="58">
        <f>E169</f>
        <v>0</v>
      </c>
      <c r="H229" s="75" t="s">
        <v>91</v>
      </c>
      <c r="I229" s="66">
        <f>I169</f>
        <v>0.5</v>
      </c>
      <c r="J229" s="66">
        <f>J169</f>
        <v>0.5</v>
      </c>
      <c r="K229" s="66">
        <f>K169</f>
        <v>0</v>
      </c>
      <c r="L229" s="66">
        <f>L169</f>
        <v>0</v>
      </c>
      <c r="M229"/>
      <c r="N229"/>
      <c r="O229" s="75" t="s">
        <v>91</v>
      </c>
      <c r="P229" s="66">
        <f>P169</f>
        <v>0.5</v>
      </c>
      <c r="Q229" s="66">
        <f>Q169</f>
        <v>0.5</v>
      </c>
      <c r="R229" s="66">
        <f>R169</f>
        <v>0</v>
      </c>
      <c r="S229" s="66">
        <f>S169</f>
        <v>0</v>
      </c>
      <c r="T229"/>
      <c r="U229"/>
      <c r="V229" s="75" t="s">
        <v>91</v>
      </c>
      <c r="W229" s="58" t="e">
        <f>W169</f>
        <v>#DIV/0!</v>
      </c>
      <c r="X229" s="58" t="e">
        <f>X169</f>
        <v>#DIV/0!</v>
      </c>
      <c r="Y229" s="58" t="e">
        <f>Y169</f>
        <v>#DIV/0!</v>
      </c>
      <c r="Z229" s="58" t="e">
        <f>Z169</f>
        <v>#DIV/0!</v>
      </c>
      <c r="AA229"/>
      <c r="AB229"/>
      <c r="AC229"/>
      <c r="AD229"/>
      <c r="AE229"/>
      <c r="AF229"/>
      <c r="AG229"/>
      <c r="AH229"/>
      <c r="AI229"/>
      <c r="AJ229"/>
      <c r="AK229"/>
      <c r="AL229"/>
      <c r="AM229"/>
      <c r="AN229"/>
      <c r="AO229"/>
      <c r="AP229"/>
      <c r="AQ229"/>
      <c r="AR229"/>
    </row>
    <row r="230" spans="1:44" s="118" customFormat="1" x14ac:dyDescent="0.25">
      <c r="A230" s="75" t="s">
        <v>1431</v>
      </c>
      <c r="B230" s="58">
        <f>B175</f>
        <v>0.5</v>
      </c>
      <c r="C230" s="58">
        <f>C175</f>
        <v>0.5</v>
      </c>
      <c r="D230" s="58">
        <f>D175</f>
        <v>0</v>
      </c>
      <c r="E230" s="58">
        <f>E175</f>
        <v>0</v>
      </c>
      <c r="H230" s="75" t="s">
        <v>1431</v>
      </c>
      <c r="I230" s="66">
        <f>I175</f>
        <v>0.5</v>
      </c>
      <c r="J230" s="66">
        <f>J175</f>
        <v>0.5</v>
      </c>
      <c r="K230" s="66">
        <f>K175</f>
        <v>0</v>
      </c>
      <c r="L230" s="66">
        <f>L175</f>
        <v>0</v>
      </c>
      <c r="M230"/>
      <c r="N230"/>
      <c r="O230" s="75" t="s">
        <v>1431</v>
      </c>
      <c r="P230" s="66">
        <f>P175</f>
        <v>0.5</v>
      </c>
      <c r="Q230" s="66">
        <f>Q175</f>
        <v>0.5</v>
      </c>
      <c r="R230" s="66">
        <f>R175</f>
        <v>0</v>
      </c>
      <c r="S230" s="66">
        <f>S175</f>
        <v>0</v>
      </c>
      <c r="T230"/>
      <c r="U230"/>
      <c r="V230" s="75" t="s">
        <v>1431</v>
      </c>
      <c r="W230" s="58" t="e">
        <f>W175</f>
        <v>#DIV/0!</v>
      </c>
      <c r="X230" s="58" t="e">
        <f>X175</f>
        <v>#DIV/0!</v>
      </c>
      <c r="Y230" s="58" t="e">
        <f>Y175</f>
        <v>#DIV/0!</v>
      </c>
      <c r="Z230" s="58" t="e">
        <f>Z175</f>
        <v>#DIV/0!</v>
      </c>
      <c r="AA230"/>
      <c r="AB230"/>
      <c r="AC230"/>
      <c r="AD230"/>
      <c r="AE230"/>
      <c r="AF230"/>
      <c r="AG230"/>
      <c r="AH230"/>
      <c r="AI230"/>
      <c r="AJ230"/>
      <c r="AK230"/>
      <c r="AL230"/>
      <c r="AM230"/>
      <c r="AN230"/>
      <c r="AO230"/>
      <c r="AP230"/>
      <c r="AQ230"/>
      <c r="AR230"/>
    </row>
    <row r="231" spans="1:44" s="118" customFormat="1" ht="15.75" thickBot="1" x14ac:dyDescent="0.3">
      <c r="A231" s="76" t="s">
        <v>1432</v>
      </c>
      <c r="B231" s="77">
        <f>B180</f>
        <v>0.5</v>
      </c>
      <c r="C231" s="77">
        <f>C180</f>
        <v>0.5</v>
      </c>
      <c r="D231" s="77">
        <f>D180</f>
        <v>0</v>
      </c>
      <c r="E231" s="77">
        <f>E180</f>
        <v>0</v>
      </c>
      <c r="H231" s="76" t="s">
        <v>1432</v>
      </c>
      <c r="I231" s="185">
        <f>I180</f>
        <v>0.5</v>
      </c>
      <c r="J231" s="185">
        <f>J180</f>
        <v>0.5</v>
      </c>
      <c r="K231" s="185">
        <f>K180</f>
        <v>0</v>
      </c>
      <c r="L231" s="185">
        <f>L180</f>
        <v>0</v>
      </c>
      <c r="M231"/>
      <c r="N231"/>
      <c r="O231" s="76" t="s">
        <v>1432</v>
      </c>
      <c r="P231" s="185">
        <f>P180</f>
        <v>0.5</v>
      </c>
      <c r="Q231" s="185">
        <f>Q180</f>
        <v>0.5</v>
      </c>
      <c r="R231" s="185">
        <f>R180</f>
        <v>0</v>
      </c>
      <c r="S231" s="185">
        <f>S180</f>
        <v>0</v>
      </c>
      <c r="T231"/>
      <c r="U231"/>
      <c r="V231" s="76" t="s">
        <v>1432</v>
      </c>
      <c r="W231" s="77" t="e">
        <f>W180</f>
        <v>#DIV/0!</v>
      </c>
      <c r="X231" s="77" t="e">
        <f>X180</f>
        <v>#DIV/0!</v>
      </c>
      <c r="Y231" s="77" t="e">
        <f>Y180</f>
        <v>#DIV/0!</v>
      </c>
      <c r="Z231" s="77" t="e">
        <f>Z180</f>
        <v>#DIV/0!</v>
      </c>
      <c r="AA231"/>
      <c r="AB231"/>
      <c r="AC231"/>
      <c r="AD231"/>
      <c r="AE231"/>
      <c r="AF231"/>
      <c r="AG231"/>
      <c r="AH231"/>
      <c r="AI231"/>
      <c r="AJ231"/>
      <c r="AK231"/>
      <c r="AL231"/>
      <c r="AM231"/>
      <c r="AN231"/>
      <c r="AO231"/>
      <c r="AP231"/>
      <c r="AQ231"/>
      <c r="AR231"/>
    </row>
    <row r="232" spans="1:44" s="118" customFormat="1" x14ac:dyDescent="0.25">
      <c r="A232" s="79" t="s">
        <v>669</v>
      </c>
      <c r="B232" s="81">
        <f>SUM(B223:B231)</f>
        <v>4.25</v>
      </c>
      <c r="C232" s="81">
        <f>SUM(C223:C231)</f>
        <v>4.75</v>
      </c>
      <c r="D232" s="81">
        <f>SUM(D223:D231)</f>
        <v>0</v>
      </c>
      <c r="E232" s="84">
        <f>SUM(E223:E231)</f>
        <v>0</v>
      </c>
      <c r="H232" s="79" t="s">
        <v>669</v>
      </c>
      <c r="I232" s="81">
        <f>SUM(I223:I231)</f>
        <v>4.6666666666666661</v>
      </c>
      <c r="J232" s="81">
        <f>SUM(J223:J231)</f>
        <v>4.3333333333333339</v>
      </c>
      <c r="K232" s="81">
        <f>SUM(K223:K231)</f>
        <v>0</v>
      </c>
      <c r="L232" s="84">
        <f>SUM(L223:L231)</f>
        <v>0</v>
      </c>
      <c r="M232"/>
      <c r="N232"/>
      <c r="O232" s="79" t="s">
        <v>669</v>
      </c>
      <c r="P232" s="81">
        <f>SUM(P223:P231)</f>
        <v>3.8333333333333335</v>
      </c>
      <c r="Q232" s="81">
        <f>SUM(Q223:Q231)</f>
        <v>5.1666666666666661</v>
      </c>
      <c r="R232" s="81">
        <f>SUM(R223:R231)</f>
        <v>0</v>
      </c>
      <c r="S232" s="84">
        <f>SUM(S223:S231)</f>
        <v>0</v>
      </c>
      <c r="T232"/>
      <c r="U232"/>
      <c r="V232" s="79" t="s">
        <v>669</v>
      </c>
      <c r="W232" s="81" t="e">
        <f>SUM(W223:W231)</f>
        <v>#DIV/0!</v>
      </c>
      <c r="X232" s="81" t="e">
        <f>SUM(X223:X231)</f>
        <v>#DIV/0!</v>
      </c>
      <c r="Y232" s="81" t="e">
        <f>SUM(Y223:Y231)</f>
        <v>#DIV/0!</v>
      </c>
      <c r="Z232" s="84" t="e">
        <f>SUM(Z223:Z231)</f>
        <v>#DIV/0!</v>
      </c>
      <c r="AA232"/>
      <c r="AB232"/>
      <c r="AC232"/>
      <c r="AD232"/>
      <c r="AE232"/>
      <c r="AF232"/>
      <c r="AG232"/>
      <c r="AH232"/>
      <c r="AI232"/>
      <c r="AJ232"/>
      <c r="AK232"/>
      <c r="AL232"/>
      <c r="AM232"/>
      <c r="AN232"/>
      <c r="AO232"/>
      <c r="AP232"/>
      <c r="AQ232"/>
      <c r="AR232"/>
    </row>
    <row r="233" spans="1:44" s="118" customFormat="1" ht="15.75" thickBot="1" x14ac:dyDescent="0.3">
      <c r="A233" s="80" t="s">
        <v>670</v>
      </c>
      <c r="B233" s="82">
        <f>AVERAGE(B223:B231)</f>
        <v>0.47222222222222221</v>
      </c>
      <c r="C233" s="82">
        <f>AVERAGE(C223:C231)</f>
        <v>0.52777777777777779</v>
      </c>
      <c r="D233" s="82">
        <f>AVERAGE(D223:D231)</f>
        <v>0</v>
      </c>
      <c r="E233" s="85">
        <f>AVERAGE(E223:E231)</f>
        <v>0</v>
      </c>
      <c r="H233" s="80" t="s">
        <v>670</v>
      </c>
      <c r="I233" s="82">
        <f>AVERAGE(I223:I231)</f>
        <v>0.51851851851851849</v>
      </c>
      <c r="J233" s="82">
        <f>AVERAGE(J223:J231)</f>
        <v>0.48148148148148157</v>
      </c>
      <c r="K233" s="82">
        <f>AVERAGE(K223:K231)</f>
        <v>0</v>
      </c>
      <c r="L233" s="85">
        <f>AVERAGE(L223:L231)</f>
        <v>0</v>
      </c>
      <c r="M233"/>
      <c r="N233"/>
      <c r="O233" s="80" t="s">
        <v>670</v>
      </c>
      <c r="P233" s="82">
        <f>AVERAGE(P223:P231)</f>
        <v>0.42592592592592593</v>
      </c>
      <c r="Q233" s="82">
        <f>AVERAGE(Q223:Q231)</f>
        <v>0.57407407407407396</v>
      </c>
      <c r="R233" s="82">
        <f>AVERAGE(R223:R231)</f>
        <v>0</v>
      </c>
      <c r="S233" s="85">
        <f>AVERAGE(S223:S231)</f>
        <v>0</v>
      </c>
      <c r="T233"/>
      <c r="U233"/>
      <c r="V233" s="80" t="s">
        <v>670</v>
      </c>
      <c r="W233" s="82" t="e">
        <f>AVERAGE(W223:W231)</f>
        <v>#DIV/0!</v>
      </c>
      <c r="X233" s="82" t="e">
        <f>AVERAGE(X223:X231)</f>
        <v>#DIV/0!</v>
      </c>
      <c r="Y233" s="82" t="e">
        <f>AVERAGE(Y223:Y231)</f>
        <v>#DIV/0!</v>
      </c>
      <c r="Z233" s="85" t="e">
        <f>AVERAGE(Z223:Z231)</f>
        <v>#DIV/0!</v>
      </c>
      <c r="AA233"/>
      <c r="AB233"/>
      <c r="AC233"/>
      <c r="AD233"/>
      <c r="AE233"/>
      <c r="AF233"/>
      <c r="AG233"/>
      <c r="AH233"/>
      <c r="AI233"/>
      <c r="AJ233"/>
      <c r="AK233"/>
      <c r="AL233"/>
      <c r="AM233"/>
      <c r="AN233"/>
      <c r="AO233"/>
      <c r="AP233"/>
      <c r="AQ233"/>
      <c r="AR233"/>
    </row>
    <row r="234" spans="1:44" s="118" customFormat="1" ht="15.75" thickBot="1" x14ac:dyDescent="0.3">
      <c r="A234" s="119"/>
      <c r="B234" s="119"/>
      <c r="C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row>
    <row r="235" spans="1:44" s="118" customFormat="1" ht="17.25" thickBot="1" x14ac:dyDescent="0.3">
      <c r="A235" s="64" t="s">
        <v>647</v>
      </c>
      <c r="B235" s="65">
        <v>2023</v>
      </c>
      <c r="C235" s="237" t="s">
        <v>1446</v>
      </c>
      <c r="D235" s="238"/>
      <c r="E235" s="239"/>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row>
    <row r="236" spans="1:44" s="118" customFormat="1" ht="17.25" thickBot="1" x14ac:dyDescent="0.3">
      <c r="A236" s="69" t="s">
        <v>646</v>
      </c>
      <c r="B236" s="70">
        <f>B219+B202+B185</f>
        <v>25</v>
      </c>
      <c r="C236" s="240"/>
      <c r="D236" s="241"/>
      <c r="E236" s="242"/>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row>
    <row r="237" spans="1:44" s="118" customFormat="1" ht="15.75" thickBot="1" x14ac:dyDescent="0.3">
      <c r="A237" s="222" t="s">
        <v>658</v>
      </c>
      <c r="B237" s="243" t="s">
        <v>664</v>
      </c>
      <c r="C237" s="243"/>
      <c r="D237" s="243"/>
      <c r="E237" s="243"/>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row>
    <row r="238" spans="1:44" s="118" customFormat="1" ht="15.75" thickBot="1" x14ac:dyDescent="0.3">
      <c r="A238" s="222"/>
      <c r="B238" s="72" t="s">
        <v>645</v>
      </c>
      <c r="C238" s="72" t="s">
        <v>665</v>
      </c>
      <c r="D238" s="72" t="s">
        <v>666</v>
      </c>
      <c r="E238" s="72" t="s">
        <v>667</v>
      </c>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row>
    <row r="239" spans="1:44" s="118" customFormat="1" x14ac:dyDescent="0.25">
      <c r="A239" s="73">
        <v>2</v>
      </c>
      <c r="B239" s="71">
        <v>3</v>
      </c>
      <c r="C239" s="71">
        <v>4</v>
      </c>
      <c r="D239" s="71">
        <v>5</v>
      </c>
      <c r="E239" s="74">
        <v>6</v>
      </c>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row>
    <row r="240" spans="1:44" s="118" customFormat="1" x14ac:dyDescent="0.25">
      <c r="A240" s="75" t="s">
        <v>1445</v>
      </c>
      <c r="B240" s="66">
        <f>(B223+B206+B189)/3</f>
        <v>0.38928571428571423</v>
      </c>
      <c r="C240" s="66">
        <f t="shared" ref="C240:E241" si="22">(C223+C206+C189)/3</f>
        <v>0.50654761904761902</v>
      </c>
      <c r="D240" s="66">
        <f t="shared" si="22"/>
        <v>6.25E-2</v>
      </c>
      <c r="E240" s="66">
        <f t="shared" si="22"/>
        <v>4.1666666666666664E-2</v>
      </c>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row>
    <row r="241" spans="1:44" s="118" customFormat="1" x14ac:dyDescent="0.25">
      <c r="A241" s="75" t="s">
        <v>1443</v>
      </c>
      <c r="B241" s="66">
        <f>(B224+B207+B190)/3</f>
        <v>0.62797619047619047</v>
      </c>
      <c r="C241" s="66">
        <f t="shared" si="22"/>
        <v>0.36507936507936511</v>
      </c>
      <c r="D241" s="66">
        <f t="shared" si="22"/>
        <v>6.9444444444444441E-3</v>
      </c>
      <c r="E241" s="66">
        <f t="shared" si="22"/>
        <v>0</v>
      </c>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row>
    <row r="242" spans="1:44" s="118" customFormat="1" x14ac:dyDescent="0.25">
      <c r="A242" s="75" t="s">
        <v>661</v>
      </c>
      <c r="B242" s="66">
        <f t="shared" ref="B242:E248" si="23">(B225+B208+B191)/3</f>
        <v>0.39285714285714285</v>
      </c>
      <c r="C242" s="66">
        <f t="shared" si="23"/>
        <v>0.46577380952380953</v>
      </c>
      <c r="D242" s="66">
        <f t="shared" si="23"/>
        <v>0.11011904761904762</v>
      </c>
      <c r="E242" s="66">
        <f t="shared" si="23"/>
        <v>3.125E-2</v>
      </c>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row>
    <row r="243" spans="1:44" s="118" customFormat="1" x14ac:dyDescent="0.25">
      <c r="A243" s="75" t="s">
        <v>1444</v>
      </c>
      <c r="B243" s="66">
        <f t="shared" si="23"/>
        <v>0.57440476190476186</v>
      </c>
      <c r="C243" s="66">
        <f t="shared" si="23"/>
        <v>0.39781746031746029</v>
      </c>
      <c r="D243" s="66">
        <f t="shared" si="23"/>
        <v>1.3888888888888888E-2</v>
      </c>
      <c r="E243" s="66">
        <f t="shared" si="23"/>
        <v>1.3888888888888888E-2</v>
      </c>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row>
    <row r="244" spans="1:44" s="118" customFormat="1" x14ac:dyDescent="0.25">
      <c r="A244" s="75" t="s">
        <v>663</v>
      </c>
      <c r="B244" s="66">
        <f t="shared" si="23"/>
        <v>0.40228174603174605</v>
      </c>
      <c r="C244" s="66">
        <f t="shared" si="23"/>
        <v>0.53422619047619058</v>
      </c>
      <c r="D244" s="66">
        <f t="shared" si="23"/>
        <v>6.3492063492063489E-2</v>
      </c>
      <c r="E244" s="66">
        <f t="shared" si="23"/>
        <v>0</v>
      </c>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row>
    <row r="245" spans="1:44" s="118" customFormat="1" x14ac:dyDescent="0.25">
      <c r="A245" s="75" t="s">
        <v>1441</v>
      </c>
      <c r="B245" s="66">
        <f t="shared" si="23"/>
        <v>0.51488095238095244</v>
      </c>
      <c r="C245" s="66">
        <f t="shared" si="23"/>
        <v>0.48511904761904751</v>
      </c>
      <c r="D245" s="66">
        <f t="shared" si="23"/>
        <v>0</v>
      </c>
      <c r="E245" s="66">
        <f t="shared" si="23"/>
        <v>0</v>
      </c>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row>
    <row r="246" spans="1:44" s="118" customFormat="1" x14ac:dyDescent="0.25">
      <c r="A246" s="75" t="s">
        <v>91</v>
      </c>
      <c r="B246" s="66">
        <f t="shared" si="23"/>
        <v>0.52976190476190477</v>
      </c>
      <c r="C246" s="66">
        <f t="shared" si="23"/>
        <v>0.38616071428571425</v>
      </c>
      <c r="D246" s="66">
        <f t="shared" si="23"/>
        <v>6.8452380952380945E-2</v>
      </c>
      <c r="E246" s="66">
        <f t="shared" si="23"/>
        <v>1.5625E-2</v>
      </c>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row>
    <row r="247" spans="1:44" s="118" customFormat="1" x14ac:dyDescent="0.25">
      <c r="A247" s="75" t="s">
        <v>1431</v>
      </c>
      <c r="B247" s="66">
        <f t="shared" si="23"/>
        <v>0.48824404761904766</v>
      </c>
      <c r="C247" s="66">
        <f t="shared" si="23"/>
        <v>0.48318452380952381</v>
      </c>
      <c r="D247" s="66">
        <f t="shared" si="23"/>
        <v>0</v>
      </c>
      <c r="E247" s="66">
        <f t="shared" si="23"/>
        <v>2.8571428571428571E-2</v>
      </c>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row>
    <row r="248" spans="1:44" s="118" customFormat="1" ht="15.75" thickBot="1" x14ac:dyDescent="0.3">
      <c r="A248" s="76" t="s">
        <v>1432</v>
      </c>
      <c r="B248" s="66">
        <f>(B231+B214+B197)/3</f>
        <v>0.39136904761904762</v>
      </c>
      <c r="C248" s="66">
        <f t="shared" si="23"/>
        <v>0.51636904761904756</v>
      </c>
      <c r="D248" s="66">
        <f t="shared" si="23"/>
        <v>5.6547619047619048E-2</v>
      </c>
      <c r="E248" s="66">
        <f>(E231+E214+E197)/3</f>
        <v>3.5714285714285712E-2</v>
      </c>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row>
    <row r="249" spans="1:44" s="118" customFormat="1" x14ac:dyDescent="0.25">
      <c r="A249" s="79" t="s">
        <v>669</v>
      </c>
      <c r="B249" s="81">
        <f>SUM(B240:B248)</f>
        <v>4.3110615079365076</v>
      </c>
      <c r="C249" s="81">
        <f>SUM(C240:C248)</f>
        <v>4.1402777777777775</v>
      </c>
      <c r="D249" s="81">
        <f>SUM(D240:D248)</f>
        <v>0.38194444444444442</v>
      </c>
      <c r="E249" s="84">
        <f>SUM(E240:E248)</f>
        <v>0.16671626984126986</v>
      </c>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row>
    <row r="250" spans="1:44" s="118" customFormat="1" ht="15.75" thickBot="1" x14ac:dyDescent="0.3">
      <c r="A250" s="80" t="s">
        <v>670</v>
      </c>
      <c r="B250" s="82">
        <f>AVERAGE(B240:B248)</f>
        <v>0.47900683421516749</v>
      </c>
      <c r="C250" s="82">
        <f>AVERAGE(C240:C248)</f>
        <v>0.46003086419753081</v>
      </c>
      <c r="D250" s="82">
        <f>AVERAGE(D240:D248)</f>
        <v>4.2438271604938266E-2</v>
      </c>
      <c r="E250" s="85">
        <f>AVERAGE(E240:E248)</f>
        <v>1.8524029982363317E-2</v>
      </c>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row>
  </sheetData>
  <mergeCells count="39">
    <mergeCell ref="C184:E185"/>
    <mergeCell ref="J184:L185"/>
    <mergeCell ref="Q184:S185"/>
    <mergeCell ref="X184:Z185"/>
    <mergeCell ref="A186:A187"/>
    <mergeCell ref="B186:E186"/>
    <mergeCell ref="H186:H187"/>
    <mergeCell ref="I186:L186"/>
    <mergeCell ref="O186:O187"/>
    <mergeCell ref="P186:S186"/>
    <mergeCell ref="V186:V187"/>
    <mergeCell ref="W186:Z186"/>
    <mergeCell ref="C201:E202"/>
    <mergeCell ref="J201:L202"/>
    <mergeCell ref="Q201:S202"/>
    <mergeCell ref="X201:Z202"/>
    <mergeCell ref="A203:A204"/>
    <mergeCell ref="B203:E203"/>
    <mergeCell ref="H203:H204"/>
    <mergeCell ref="I203:L203"/>
    <mergeCell ref="O203:O204"/>
    <mergeCell ref="V203:V204"/>
    <mergeCell ref="W203:Z203"/>
    <mergeCell ref="C218:E219"/>
    <mergeCell ref="J218:L219"/>
    <mergeCell ref="Q218:S219"/>
    <mergeCell ref="X218:Z219"/>
    <mergeCell ref="P203:S203"/>
    <mergeCell ref="V220:V221"/>
    <mergeCell ref="W220:Z220"/>
    <mergeCell ref="C235:E236"/>
    <mergeCell ref="A237:A238"/>
    <mergeCell ref="B237:E237"/>
    <mergeCell ref="A220:A221"/>
    <mergeCell ref="B220:E220"/>
    <mergeCell ref="H220:H221"/>
    <mergeCell ref="I220:L220"/>
    <mergeCell ref="O220:O221"/>
    <mergeCell ref="P220:S220"/>
  </mergeCell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F90"/>
  <sheetViews>
    <sheetView topLeftCell="A25" zoomScale="85" zoomScaleNormal="85" workbookViewId="0">
      <selection activeCell="K81" sqref="K81"/>
    </sheetView>
  </sheetViews>
  <sheetFormatPr defaultRowHeight="15" x14ac:dyDescent="0.25"/>
  <cols>
    <col min="1" max="1" width="2.5703125" customWidth="1"/>
    <col min="2" max="2" width="24.42578125" customWidth="1"/>
    <col min="3" max="3" width="32.85546875" bestFit="1" customWidth="1"/>
    <col min="4" max="4" width="34.140625" customWidth="1"/>
    <col min="5" max="5" width="24.5703125" customWidth="1"/>
    <col min="6" max="6" width="31.7109375" bestFit="1" customWidth="1"/>
    <col min="7" max="7" width="29" customWidth="1"/>
    <col min="8" max="8" width="8" customWidth="1"/>
    <col min="9" max="9" width="12.5703125" customWidth="1"/>
    <col min="10" max="10" width="10.5703125" customWidth="1"/>
    <col min="11" max="11" width="18.42578125" customWidth="1"/>
    <col min="12" max="12" width="10.7109375" customWidth="1"/>
    <col min="13" max="13" width="18.28515625" customWidth="1"/>
    <col min="14" max="14" width="14" customWidth="1"/>
    <col min="15" max="15" width="6.28515625" customWidth="1"/>
    <col min="16" max="16" width="46.7109375" bestFit="1" customWidth="1"/>
    <col min="17" max="17" width="16.85546875" bestFit="1" customWidth="1"/>
    <col min="18" max="18" width="10.5703125" customWidth="1"/>
    <col min="19" max="19" width="8.7109375" customWidth="1"/>
    <col min="20" max="20" width="11.85546875" customWidth="1"/>
    <col min="21" max="21" width="9.85546875" customWidth="1"/>
    <col min="22" max="22" width="7.85546875" bestFit="1" customWidth="1"/>
    <col min="23" max="23" width="46.7109375" bestFit="1" customWidth="1"/>
    <col min="24" max="24" width="19.7109375" customWidth="1"/>
    <col min="25" max="25" width="10.140625" customWidth="1"/>
    <col min="26" max="26" width="10.28515625" customWidth="1"/>
    <col min="27" max="27" width="10" customWidth="1"/>
    <col min="28" max="28" width="11.7109375" customWidth="1"/>
    <col min="29" max="29" width="7.7109375" bestFit="1" customWidth="1"/>
    <col min="30" max="30" width="21.5703125" customWidth="1"/>
    <col min="31" max="31" width="30.42578125" customWidth="1"/>
    <col min="32" max="32" width="7.85546875" bestFit="1" customWidth="1"/>
    <col min="33" max="33" width="10" customWidth="1"/>
    <col min="34" max="34" width="12.7109375" customWidth="1"/>
    <col min="35" max="35" width="14.5703125" customWidth="1"/>
    <col min="36" max="36" width="9" bestFit="1" customWidth="1"/>
    <col min="37" max="37" width="25" bestFit="1" customWidth="1"/>
    <col min="38" max="38" width="30" bestFit="1" customWidth="1"/>
    <col min="39" max="40" width="9" bestFit="1" customWidth="1"/>
    <col min="44" max="44" width="16.140625" customWidth="1"/>
    <col min="45" max="45" width="29.28515625" bestFit="1" customWidth="1"/>
    <col min="46" max="46" width="24.28515625" customWidth="1"/>
    <col min="47" max="47" width="7.5703125" bestFit="1" customWidth="1"/>
    <col min="48" max="48" width="30.7109375" customWidth="1"/>
    <col min="49" max="49" width="30" customWidth="1"/>
    <col min="50" max="50" width="7.85546875" bestFit="1" customWidth="1"/>
    <col min="51" max="51" width="17" customWidth="1"/>
    <col min="52" max="52" width="19.5703125" customWidth="1"/>
    <col min="53" max="53" width="7.85546875" bestFit="1" customWidth="1"/>
    <col min="54" max="54" width="39.28515625" customWidth="1"/>
    <col min="55" max="55" width="10.42578125" bestFit="1" customWidth="1"/>
    <col min="56" max="56" width="73.7109375" customWidth="1"/>
    <col min="57" max="57" width="65.7109375" customWidth="1"/>
    <col min="58" max="58" width="19.7109375" customWidth="1"/>
    <col min="59" max="59" width="16.7109375" bestFit="1" customWidth="1"/>
    <col min="60" max="60" width="10.28515625" bestFit="1" customWidth="1"/>
    <col min="61" max="62" width="8.85546875" bestFit="1" customWidth="1"/>
  </cols>
  <sheetData>
    <row r="1" spans="2:58" ht="16.5" x14ac:dyDescent="0.25">
      <c r="B1" s="39"/>
      <c r="C1" s="39"/>
      <c r="D1" s="39"/>
      <c r="E1" s="39"/>
      <c r="F1" s="39"/>
      <c r="G1" s="232" t="s">
        <v>0</v>
      </c>
      <c r="H1" s="232"/>
      <c r="I1" s="232"/>
      <c r="J1" s="232"/>
      <c r="K1" s="232"/>
      <c r="L1" s="232"/>
      <c r="M1" s="232"/>
      <c r="N1" s="232"/>
      <c r="O1" s="232"/>
      <c r="P1" s="233" t="s">
        <v>1</v>
      </c>
      <c r="Q1" s="233"/>
      <c r="R1" s="233"/>
      <c r="S1" s="233"/>
      <c r="T1" s="233"/>
      <c r="U1" s="234" t="s">
        <v>2</v>
      </c>
      <c r="V1" s="234"/>
      <c r="W1" s="235" t="s">
        <v>3</v>
      </c>
      <c r="X1" s="235"/>
      <c r="Y1" s="236" t="s">
        <v>4</v>
      </c>
      <c r="Z1" s="236"/>
      <c r="AA1" s="224" t="s">
        <v>5</v>
      </c>
      <c r="AB1" s="224"/>
      <c r="AC1" s="224"/>
      <c r="AD1" s="226" t="s">
        <v>6</v>
      </c>
      <c r="AE1" s="226"/>
      <c r="AF1" s="227" t="s">
        <v>7</v>
      </c>
      <c r="AG1" s="227"/>
      <c r="AH1" s="227"/>
      <c r="AI1" s="227"/>
      <c r="AJ1" s="228" t="s">
        <v>8</v>
      </c>
      <c r="AK1" s="228"/>
      <c r="AL1" s="228"/>
      <c r="AM1" s="228"/>
      <c r="AN1" s="228"/>
      <c r="AO1" s="229" t="s">
        <v>9</v>
      </c>
      <c r="AP1" s="229"/>
      <c r="AQ1" s="229"/>
      <c r="AR1" s="229"/>
      <c r="AS1" s="230" t="s">
        <v>10</v>
      </c>
      <c r="AT1" s="230"/>
      <c r="AU1" s="230"/>
      <c r="AV1" s="230"/>
      <c r="AW1" s="231" t="s">
        <v>11</v>
      </c>
      <c r="AX1" s="231"/>
      <c r="AY1" s="231"/>
      <c r="AZ1" s="231"/>
      <c r="BA1" s="231"/>
      <c r="BB1" s="231"/>
      <c r="BC1" s="225" t="s">
        <v>12</v>
      </c>
      <c r="BD1" s="225"/>
      <c r="BE1" s="225"/>
    </row>
    <row r="2" spans="2:58" ht="33" x14ac:dyDescent="0.25">
      <c r="B2" s="1" t="s">
        <v>13</v>
      </c>
      <c r="C2" s="1" t="s">
        <v>66</v>
      </c>
      <c r="D2" s="1" t="s">
        <v>14</v>
      </c>
      <c r="E2" s="1" t="s">
        <v>15</v>
      </c>
      <c r="F2" s="1" t="s">
        <v>16</v>
      </c>
      <c r="G2" s="40" t="s">
        <v>17</v>
      </c>
      <c r="H2" s="40" t="s">
        <v>18</v>
      </c>
      <c r="I2" s="40" t="s">
        <v>19</v>
      </c>
      <c r="J2" s="40" t="s">
        <v>20</v>
      </c>
      <c r="K2" s="40" t="s">
        <v>21</v>
      </c>
      <c r="L2" s="40" t="s">
        <v>22</v>
      </c>
      <c r="M2" s="40" t="s">
        <v>23</v>
      </c>
      <c r="N2" s="40" t="s">
        <v>24</v>
      </c>
      <c r="O2" s="40" t="s">
        <v>25</v>
      </c>
      <c r="P2" s="41" t="s">
        <v>26</v>
      </c>
      <c r="Q2" s="41" t="s">
        <v>27</v>
      </c>
      <c r="R2" s="41" t="s">
        <v>28</v>
      </c>
      <c r="S2" s="41" t="s">
        <v>29</v>
      </c>
      <c r="T2" s="41" t="s">
        <v>30</v>
      </c>
      <c r="U2" s="42" t="s">
        <v>31</v>
      </c>
      <c r="V2" s="42" t="s">
        <v>32</v>
      </c>
      <c r="W2" s="43" t="s">
        <v>33</v>
      </c>
      <c r="X2" s="43" t="s">
        <v>34</v>
      </c>
      <c r="Y2" s="44" t="s">
        <v>35</v>
      </c>
      <c r="Z2" s="44" t="s">
        <v>36</v>
      </c>
      <c r="AA2" s="45" t="s">
        <v>37</v>
      </c>
      <c r="AB2" s="45" t="s">
        <v>38</v>
      </c>
      <c r="AC2" s="45" t="s">
        <v>39</v>
      </c>
      <c r="AD2" s="46" t="s">
        <v>40</v>
      </c>
      <c r="AE2" s="46" t="s">
        <v>41</v>
      </c>
      <c r="AF2" s="47" t="s">
        <v>42</v>
      </c>
      <c r="AG2" s="47" t="s">
        <v>43</v>
      </c>
      <c r="AH2" s="47" t="s">
        <v>44</v>
      </c>
      <c r="AI2" s="47" t="s">
        <v>45</v>
      </c>
      <c r="AJ2" s="48" t="s">
        <v>46</v>
      </c>
      <c r="AK2" s="48" t="s">
        <v>47</v>
      </c>
      <c r="AL2" s="48" t="s">
        <v>48</v>
      </c>
      <c r="AM2" s="48" t="s">
        <v>49</v>
      </c>
      <c r="AN2" s="48" t="s">
        <v>50</v>
      </c>
      <c r="AO2" s="49" t="s">
        <v>51</v>
      </c>
      <c r="AP2" s="49" t="s">
        <v>52</v>
      </c>
      <c r="AQ2" s="49" t="s">
        <v>53</v>
      </c>
      <c r="AR2" s="49" t="s">
        <v>54</v>
      </c>
      <c r="AS2" s="50" t="s">
        <v>55</v>
      </c>
      <c r="AT2" s="50" t="s">
        <v>56</v>
      </c>
      <c r="AU2" s="50" t="s">
        <v>57</v>
      </c>
      <c r="AV2" s="50" t="s">
        <v>58</v>
      </c>
      <c r="AW2" s="51" t="s">
        <v>11</v>
      </c>
      <c r="AX2" s="51" t="s">
        <v>59</v>
      </c>
      <c r="AY2" s="51" t="s">
        <v>60</v>
      </c>
      <c r="AZ2" s="51" t="s">
        <v>61</v>
      </c>
      <c r="BA2" s="51" t="s">
        <v>62</v>
      </c>
      <c r="BB2" s="51" t="s">
        <v>63</v>
      </c>
      <c r="BC2" s="52" t="s">
        <v>12</v>
      </c>
      <c r="BD2" s="52" t="s">
        <v>64</v>
      </c>
      <c r="BE2" s="53" t="s">
        <v>65</v>
      </c>
      <c r="BF2" s="112" t="s">
        <v>1077</v>
      </c>
    </row>
    <row r="3" spans="2:58" ht="82.5" hidden="1" x14ac:dyDescent="0.25">
      <c r="B3" s="1">
        <v>2019</v>
      </c>
      <c r="C3" s="1" t="s">
        <v>73</v>
      </c>
      <c r="D3" s="1" t="s">
        <v>90</v>
      </c>
      <c r="E3" s="134">
        <v>16390100001</v>
      </c>
      <c r="F3" s="134" t="s">
        <v>1312</v>
      </c>
      <c r="G3" s="135" t="s">
        <v>1283</v>
      </c>
      <c r="H3" s="136" t="s">
        <v>68</v>
      </c>
      <c r="I3" s="137" t="s">
        <v>68</v>
      </c>
      <c r="J3" s="135" t="s">
        <v>1315</v>
      </c>
      <c r="K3" s="136" t="s">
        <v>1318</v>
      </c>
      <c r="L3" s="136" t="s">
        <v>68</v>
      </c>
      <c r="M3" s="136" t="s">
        <v>1352</v>
      </c>
      <c r="N3" s="136">
        <v>1</v>
      </c>
      <c r="O3" s="136">
        <v>3</v>
      </c>
      <c r="P3" s="7" t="s">
        <v>1</v>
      </c>
      <c r="Q3" s="7" t="s">
        <v>1</v>
      </c>
      <c r="R3" s="7" t="s">
        <v>1</v>
      </c>
      <c r="S3" s="7" t="s">
        <v>1</v>
      </c>
      <c r="T3" s="7" t="s">
        <v>69</v>
      </c>
      <c r="U3" s="8" t="s">
        <v>1</v>
      </c>
      <c r="V3" s="8" t="s">
        <v>1</v>
      </c>
      <c r="W3" s="9" t="s">
        <v>75</v>
      </c>
      <c r="X3" s="9" t="s">
        <v>75</v>
      </c>
      <c r="Y3" s="10" t="s">
        <v>1</v>
      </c>
      <c r="Z3" s="10" t="s">
        <v>1</v>
      </c>
      <c r="AA3" s="11" t="s">
        <v>1</v>
      </c>
      <c r="AB3" s="11" t="s">
        <v>1</v>
      </c>
      <c r="AC3" s="11" t="s">
        <v>1</v>
      </c>
      <c r="AD3" s="12" t="s">
        <v>1</v>
      </c>
      <c r="AE3" s="12" t="s">
        <v>1</v>
      </c>
      <c r="AF3" s="13" t="s">
        <v>1</v>
      </c>
      <c r="AG3" s="13" t="s">
        <v>1</v>
      </c>
      <c r="AH3" s="13" t="s">
        <v>1</v>
      </c>
      <c r="AI3" s="13" t="s">
        <v>1</v>
      </c>
      <c r="AJ3" s="14" t="s">
        <v>1</v>
      </c>
      <c r="AK3" s="14" t="s">
        <v>1</v>
      </c>
      <c r="AL3" s="14" t="s">
        <v>1</v>
      </c>
      <c r="AM3" s="14" t="s">
        <v>1</v>
      </c>
      <c r="AN3" s="14" t="s">
        <v>1</v>
      </c>
      <c r="AO3" s="15" t="s">
        <v>1</v>
      </c>
      <c r="AP3" s="15" t="s">
        <v>1</v>
      </c>
      <c r="AQ3" s="15" t="s">
        <v>1</v>
      </c>
      <c r="AR3" s="15" t="s">
        <v>1</v>
      </c>
      <c r="AS3" s="16" t="s">
        <v>70</v>
      </c>
      <c r="AT3" s="16" t="s">
        <v>102</v>
      </c>
      <c r="AU3" s="16" t="s">
        <v>71</v>
      </c>
      <c r="AV3" s="16" t="s">
        <v>103</v>
      </c>
      <c r="AW3" s="17" t="s">
        <v>72</v>
      </c>
      <c r="AX3" s="17" t="s">
        <v>72</v>
      </c>
      <c r="AY3" s="17" t="s">
        <v>71</v>
      </c>
      <c r="AZ3" s="17" t="s">
        <v>72</v>
      </c>
      <c r="BA3" s="17" t="s">
        <v>72</v>
      </c>
      <c r="BB3" s="17"/>
      <c r="BC3" s="18" t="s">
        <v>1</v>
      </c>
      <c r="BD3" s="19" t="s">
        <v>104</v>
      </c>
      <c r="BE3" s="20" t="s">
        <v>105</v>
      </c>
      <c r="BF3" s="90"/>
    </row>
    <row r="4" spans="2:58" ht="66" hidden="1" x14ac:dyDescent="0.25">
      <c r="B4" s="1">
        <v>2019</v>
      </c>
      <c r="C4" s="1" t="s">
        <v>73</v>
      </c>
      <c r="D4" s="1" t="s">
        <v>90</v>
      </c>
      <c r="E4" s="134">
        <v>16390100005</v>
      </c>
      <c r="F4" s="134" t="s">
        <v>1313</v>
      </c>
      <c r="G4" s="135" t="s">
        <v>1283</v>
      </c>
      <c r="H4" s="136" t="s">
        <v>68</v>
      </c>
      <c r="I4" s="137" t="s">
        <v>68</v>
      </c>
      <c r="J4" s="135" t="s">
        <v>1316</v>
      </c>
      <c r="K4" s="136" t="s">
        <v>1319</v>
      </c>
      <c r="L4" s="136" t="s">
        <v>68</v>
      </c>
      <c r="M4" s="136" t="s">
        <v>1338</v>
      </c>
      <c r="N4" s="136">
        <v>1</v>
      </c>
      <c r="O4" s="136">
        <v>3</v>
      </c>
      <c r="P4" s="7" t="s">
        <v>1</v>
      </c>
      <c r="Q4" s="7" t="s">
        <v>1</v>
      </c>
      <c r="R4" s="7" t="s">
        <v>1</v>
      </c>
      <c r="S4" s="7" t="s">
        <v>1</v>
      </c>
      <c r="T4" s="7" t="s">
        <v>69</v>
      </c>
      <c r="U4" s="8" t="s">
        <v>1</v>
      </c>
      <c r="V4" s="8" t="s">
        <v>1</v>
      </c>
      <c r="W4" s="9" t="s">
        <v>75</v>
      </c>
      <c r="X4" s="9" t="s">
        <v>75</v>
      </c>
      <c r="Y4" s="10" t="s">
        <v>69</v>
      </c>
      <c r="Z4" s="10" t="s">
        <v>69</v>
      </c>
      <c r="AA4" s="11" t="s">
        <v>69</v>
      </c>
      <c r="AB4" s="11" t="s">
        <v>69</v>
      </c>
      <c r="AC4" s="11" t="s">
        <v>69</v>
      </c>
      <c r="AD4" s="12" t="s">
        <v>69</v>
      </c>
      <c r="AE4" s="12" t="s">
        <v>69</v>
      </c>
      <c r="AF4" s="13" t="s">
        <v>1</v>
      </c>
      <c r="AG4" s="13" t="s">
        <v>1</v>
      </c>
      <c r="AH4" s="13" t="s">
        <v>1</v>
      </c>
      <c r="AI4" s="13" t="s">
        <v>1</v>
      </c>
      <c r="AJ4" s="14" t="s">
        <v>1</v>
      </c>
      <c r="AK4" s="14" t="s">
        <v>1</v>
      </c>
      <c r="AL4" s="14" t="s">
        <v>1</v>
      </c>
      <c r="AM4" s="14" t="s">
        <v>1</v>
      </c>
      <c r="AN4" s="14" t="s">
        <v>1</v>
      </c>
      <c r="AO4" s="15" t="s">
        <v>69</v>
      </c>
      <c r="AP4" s="15" t="s">
        <v>69</v>
      </c>
      <c r="AQ4" s="15" t="s">
        <v>69</v>
      </c>
      <c r="AR4" s="15" t="s">
        <v>69</v>
      </c>
      <c r="AS4" s="16" t="s">
        <v>70</v>
      </c>
      <c r="AT4" s="16" t="s">
        <v>68</v>
      </c>
      <c r="AU4" s="16" t="s">
        <v>71</v>
      </c>
      <c r="AV4" s="16" t="s">
        <v>68</v>
      </c>
      <c r="AW4" s="17" t="s">
        <v>72</v>
      </c>
      <c r="AX4" s="17" t="s">
        <v>72</v>
      </c>
      <c r="AY4" s="17" t="s">
        <v>72</v>
      </c>
      <c r="AZ4" s="17" t="s">
        <v>72</v>
      </c>
      <c r="BA4" s="17" t="s">
        <v>72</v>
      </c>
      <c r="BB4" s="17" t="s">
        <v>68</v>
      </c>
      <c r="BC4" s="18" t="s">
        <v>1</v>
      </c>
      <c r="BD4" s="19" t="s">
        <v>68</v>
      </c>
      <c r="BE4" s="20" t="s">
        <v>68</v>
      </c>
      <c r="BF4" s="90"/>
    </row>
    <row r="5" spans="2:58" ht="49.5" hidden="1" x14ac:dyDescent="0.25">
      <c r="B5" s="1">
        <v>2016</v>
      </c>
      <c r="C5" s="1" t="s">
        <v>73</v>
      </c>
      <c r="D5" s="1" t="s">
        <v>90</v>
      </c>
      <c r="E5" s="2">
        <v>13390100013</v>
      </c>
      <c r="F5" s="2" t="s">
        <v>110</v>
      </c>
      <c r="G5" s="3" t="s">
        <v>111</v>
      </c>
      <c r="H5" s="6"/>
      <c r="I5" s="5" t="s">
        <v>112</v>
      </c>
      <c r="J5" s="6" t="s">
        <v>113</v>
      </c>
      <c r="K5" s="6" t="s">
        <v>114</v>
      </c>
      <c r="L5" s="6">
        <v>2981040</v>
      </c>
      <c r="M5" s="6" t="s">
        <v>74</v>
      </c>
      <c r="N5" s="6">
        <v>4</v>
      </c>
      <c r="O5" s="6">
        <v>60</v>
      </c>
      <c r="P5" s="7" t="s">
        <v>69</v>
      </c>
      <c r="Q5" s="7" t="s">
        <v>69</v>
      </c>
      <c r="R5" s="7" t="s">
        <v>1</v>
      </c>
      <c r="S5" s="7" t="s">
        <v>1</v>
      </c>
      <c r="T5" s="7" t="s">
        <v>1</v>
      </c>
      <c r="U5" s="8" t="s">
        <v>69</v>
      </c>
      <c r="V5" s="8" t="s">
        <v>69</v>
      </c>
      <c r="W5" s="9" t="s">
        <v>1</v>
      </c>
      <c r="X5" s="9" t="s">
        <v>1</v>
      </c>
      <c r="Y5" s="10" t="s">
        <v>69</v>
      </c>
      <c r="Z5" s="10" t="s">
        <v>69</v>
      </c>
      <c r="AA5" s="11" t="s">
        <v>69</v>
      </c>
      <c r="AB5" s="11" t="s">
        <v>69</v>
      </c>
      <c r="AC5" s="11" t="s">
        <v>69</v>
      </c>
      <c r="AD5" s="12" t="s">
        <v>69</v>
      </c>
      <c r="AE5" s="12" t="s">
        <v>69</v>
      </c>
      <c r="AF5" s="13" t="s">
        <v>69</v>
      </c>
      <c r="AG5" s="13" t="s">
        <v>69</v>
      </c>
      <c r="AH5" s="13" t="s">
        <v>69</v>
      </c>
      <c r="AI5" s="13" t="s">
        <v>69</v>
      </c>
      <c r="AJ5" s="14" t="s">
        <v>69</v>
      </c>
      <c r="AK5" s="14" t="s">
        <v>69</v>
      </c>
      <c r="AL5" s="14" t="s">
        <v>69</v>
      </c>
      <c r="AM5" s="14" t="s">
        <v>69</v>
      </c>
      <c r="AN5" s="14" t="s">
        <v>69</v>
      </c>
      <c r="AO5" s="15" t="s">
        <v>69</v>
      </c>
      <c r="AP5" s="15" t="s">
        <v>69</v>
      </c>
      <c r="AQ5" s="15" t="s">
        <v>69</v>
      </c>
      <c r="AR5" s="15" t="s">
        <v>69</v>
      </c>
      <c r="AS5" s="16" t="s">
        <v>70</v>
      </c>
      <c r="AT5" s="16" t="s">
        <v>115</v>
      </c>
      <c r="AU5" s="16" t="s">
        <v>71</v>
      </c>
      <c r="AV5" s="16" t="s">
        <v>116</v>
      </c>
      <c r="AW5" s="17" t="s">
        <v>71</v>
      </c>
      <c r="AX5" s="17" t="s">
        <v>72</v>
      </c>
      <c r="AY5" s="17" t="s">
        <v>71</v>
      </c>
      <c r="AZ5" s="17" t="s">
        <v>72</v>
      </c>
      <c r="BA5" s="17" t="s">
        <v>72</v>
      </c>
      <c r="BB5" s="17" t="s">
        <v>117</v>
      </c>
      <c r="BC5" s="18" t="s">
        <v>1</v>
      </c>
      <c r="BD5" s="19" t="s">
        <v>118</v>
      </c>
      <c r="BE5" s="20" t="s">
        <v>119</v>
      </c>
      <c r="BF5" s="90"/>
    </row>
    <row r="6" spans="2:58" ht="49.5" hidden="1" x14ac:dyDescent="0.25">
      <c r="B6" s="113">
        <v>2017</v>
      </c>
      <c r="C6" s="113" t="s">
        <v>73</v>
      </c>
      <c r="D6" s="113" t="s">
        <v>90</v>
      </c>
      <c r="E6" s="114">
        <v>14390100023</v>
      </c>
      <c r="F6" s="114" t="s">
        <v>725</v>
      </c>
      <c r="G6" s="3" t="s">
        <v>726</v>
      </c>
      <c r="H6" s="4" t="s">
        <v>727</v>
      </c>
      <c r="I6" s="88" t="s">
        <v>728</v>
      </c>
      <c r="J6" s="6" t="s">
        <v>729</v>
      </c>
      <c r="K6" s="4" t="s">
        <v>730</v>
      </c>
      <c r="L6" s="4" t="s">
        <v>731</v>
      </c>
      <c r="M6" s="4" t="s">
        <v>732</v>
      </c>
      <c r="N6" s="6">
        <v>1</v>
      </c>
      <c r="O6" s="6">
        <v>12</v>
      </c>
      <c r="P6" s="7" t="s">
        <v>1</v>
      </c>
      <c r="Q6" s="7" t="s">
        <v>69</v>
      </c>
      <c r="R6" s="7" t="s">
        <v>1</v>
      </c>
      <c r="S6" s="7" t="s">
        <v>1</v>
      </c>
      <c r="T6" s="7" t="s">
        <v>69</v>
      </c>
      <c r="U6" s="8" t="s">
        <v>1</v>
      </c>
      <c r="V6" s="8" t="s">
        <v>69</v>
      </c>
      <c r="W6" s="9" t="s">
        <v>1</v>
      </c>
      <c r="X6" s="9" t="s">
        <v>1</v>
      </c>
      <c r="Y6" s="10" t="s">
        <v>69</v>
      </c>
      <c r="Z6" s="10" t="s">
        <v>1</v>
      </c>
      <c r="AA6" s="11" t="s">
        <v>1</v>
      </c>
      <c r="AB6" s="11" t="s">
        <v>1</v>
      </c>
      <c r="AC6" s="11" t="s">
        <v>1</v>
      </c>
      <c r="AD6" s="12" t="s">
        <v>69</v>
      </c>
      <c r="AE6" s="12" t="s">
        <v>1</v>
      </c>
      <c r="AF6" s="13" t="s">
        <v>1</v>
      </c>
      <c r="AG6" s="13" t="s">
        <v>1</v>
      </c>
      <c r="AH6" s="13" t="s">
        <v>1</v>
      </c>
      <c r="AI6" s="13" t="s">
        <v>1</v>
      </c>
      <c r="AJ6" s="14" t="s">
        <v>1</v>
      </c>
      <c r="AK6" s="14" t="s">
        <v>1</v>
      </c>
      <c r="AL6" s="14" t="s">
        <v>69</v>
      </c>
      <c r="AM6" s="14" t="s">
        <v>1</v>
      </c>
      <c r="AN6" s="14" t="s">
        <v>1</v>
      </c>
      <c r="AO6" s="15" t="s">
        <v>1</v>
      </c>
      <c r="AP6" s="15" t="s">
        <v>1</v>
      </c>
      <c r="AQ6" s="15" t="s">
        <v>1</v>
      </c>
      <c r="AR6" s="15" t="s">
        <v>1</v>
      </c>
      <c r="AS6" s="16" t="s">
        <v>70</v>
      </c>
      <c r="AT6" s="16" t="s">
        <v>733</v>
      </c>
      <c r="AU6" s="16" t="s">
        <v>71</v>
      </c>
      <c r="AV6" s="16" t="s">
        <v>734</v>
      </c>
      <c r="AW6" s="17" t="s">
        <v>71</v>
      </c>
      <c r="AX6" s="17" t="s">
        <v>71</v>
      </c>
      <c r="AY6" s="17" t="s">
        <v>71</v>
      </c>
      <c r="AZ6" s="17" t="s">
        <v>71</v>
      </c>
      <c r="BA6" s="17" t="s">
        <v>72</v>
      </c>
      <c r="BB6" s="17" t="s">
        <v>68</v>
      </c>
      <c r="BC6" s="18" t="s">
        <v>69</v>
      </c>
      <c r="BD6" s="19" t="s">
        <v>91</v>
      </c>
      <c r="BE6" s="109" t="s">
        <v>68</v>
      </c>
      <c r="BF6" s="90"/>
    </row>
    <row r="7" spans="2:58" ht="49.5" hidden="1" x14ac:dyDescent="0.25">
      <c r="B7" s="1">
        <v>2017</v>
      </c>
      <c r="C7" s="1" t="s">
        <v>73</v>
      </c>
      <c r="D7" s="1" t="s">
        <v>90</v>
      </c>
      <c r="E7" s="2">
        <v>12390100019</v>
      </c>
      <c r="F7" s="2" t="s">
        <v>735</v>
      </c>
      <c r="G7" s="3" t="s">
        <v>736</v>
      </c>
      <c r="H7" s="6">
        <v>81574266656</v>
      </c>
      <c r="I7" s="88" t="s">
        <v>737</v>
      </c>
      <c r="J7" s="6" t="s">
        <v>738</v>
      </c>
      <c r="K7" s="6" t="s">
        <v>739</v>
      </c>
      <c r="L7" s="6" t="s">
        <v>740</v>
      </c>
      <c r="M7" s="6" t="s">
        <v>74</v>
      </c>
      <c r="N7" s="6">
        <v>1</v>
      </c>
      <c r="O7" s="6">
        <v>6</v>
      </c>
      <c r="P7" s="7" t="s">
        <v>69</v>
      </c>
      <c r="Q7" s="7" t="s">
        <v>1</v>
      </c>
      <c r="R7" s="7" t="s">
        <v>69</v>
      </c>
      <c r="S7" s="7" t="s">
        <v>1</v>
      </c>
      <c r="T7" s="7" t="s">
        <v>1</v>
      </c>
      <c r="U7" s="8" t="s">
        <v>1</v>
      </c>
      <c r="V7" s="8" t="s">
        <v>69</v>
      </c>
      <c r="W7" s="9" t="s">
        <v>1</v>
      </c>
      <c r="X7" s="9" t="s">
        <v>1</v>
      </c>
      <c r="Y7" s="10" t="s">
        <v>69</v>
      </c>
      <c r="Z7" s="10" t="s">
        <v>69</v>
      </c>
      <c r="AA7" s="11" t="s">
        <v>1</v>
      </c>
      <c r="AB7" s="11" t="s">
        <v>1</v>
      </c>
      <c r="AC7" s="11" t="s">
        <v>1</v>
      </c>
      <c r="AD7" s="12" t="s">
        <v>69</v>
      </c>
      <c r="AE7" s="12" t="s">
        <v>69</v>
      </c>
      <c r="AF7" s="13" t="s">
        <v>1</v>
      </c>
      <c r="AG7" s="13" t="s">
        <v>69</v>
      </c>
      <c r="AH7" s="13" t="s">
        <v>1</v>
      </c>
      <c r="AI7" s="13" t="s">
        <v>69</v>
      </c>
      <c r="AJ7" s="14" t="s">
        <v>1</v>
      </c>
      <c r="AK7" s="14" t="s">
        <v>1</v>
      </c>
      <c r="AL7" s="14" t="s">
        <v>69</v>
      </c>
      <c r="AM7" s="14" t="s">
        <v>1</v>
      </c>
      <c r="AN7" s="14" t="s">
        <v>1</v>
      </c>
      <c r="AO7" s="15" t="s">
        <v>69</v>
      </c>
      <c r="AP7" s="15" t="s">
        <v>69</v>
      </c>
      <c r="AQ7" s="15" t="s">
        <v>69</v>
      </c>
      <c r="AR7" s="15" t="s">
        <v>69</v>
      </c>
      <c r="AS7" s="16" t="s">
        <v>70</v>
      </c>
      <c r="AT7" s="16"/>
      <c r="AU7" s="16" t="s">
        <v>71</v>
      </c>
      <c r="AV7" s="16"/>
      <c r="AW7" s="17" t="s">
        <v>72</v>
      </c>
      <c r="AX7" s="17" t="s">
        <v>71</v>
      </c>
      <c r="AY7" s="17" t="s">
        <v>71</v>
      </c>
      <c r="AZ7" s="17" t="s">
        <v>71</v>
      </c>
      <c r="BA7" s="17" t="s">
        <v>72</v>
      </c>
      <c r="BB7" s="17" t="s">
        <v>741</v>
      </c>
      <c r="BC7" s="18" t="s">
        <v>1</v>
      </c>
      <c r="BD7" s="19" t="s">
        <v>91</v>
      </c>
      <c r="BE7" s="109" t="s">
        <v>742</v>
      </c>
      <c r="BF7" s="90"/>
    </row>
    <row r="8" spans="2:58" ht="49.5" hidden="1" x14ac:dyDescent="0.25">
      <c r="B8" s="113">
        <v>2017</v>
      </c>
      <c r="C8" s="113" t="s">
        <v>73</v>
      </c>
      <c r="D8" s="113" t="s">
        <v>90</v>
      </c>
      <c r="E8" s="114">
        <v>14390100021</v>
      </c>
      <c r="F8" s="114" t="s">
        <v>743</v>
      </c>
      <c r="G8" s="3" t="s">
        <v>744</v>
      </c>
      <c r="H8" s="4" t="s">
        <v>745</v>
      </c>
      <c r="I8" s="88" t="s">
        <v>746</v>
      </c>
      <c r="J8" s="6" t="s">
        <v>92</v>
      </c>
      <c r="K8" s="6" t="s">
        <v>747</v>
      </c>
      <c r="L8" s="4" t="s">
        <v>748</v>
      </c>
      <c r="M8" s="6" t="s">
        <v>749</v>
      </c>
      <c r="N8" s="6">
        <v>5</v>
      </c>
      <c r="O8" s="6">
        <v>24</v>
      </c>
      <c r="P8" s="7" t="s">
        <v>1</v>
      </c>
      <c r="Q8" s="7" t="s">
        <v>69</v>
      </c>
      <c r="R8" s="7" t="s">
        <v>1</v>
      </c>
      <c r="S8" s="7" t="s">
        <v>1</v>
      </c>
      <c r="T8" s="7" t="s">
        <v>69</v>
      </c>
      <c r="U8" s="8" t="s">
        <v>1</v>
      </c>
      <c r="V8" s="8" t="s">
        <v>69</v>
      </c>
      <c r="W8" s="9" t="s">
        <v>1</v>
      </c>
      <c r="X8" s="9" t="s">
        <v>1</v>
      </c>
      <c r="Y8" s="10" t="s">
        <v>69</v>
      </c>
      <c r="Z8" s="10" t="s">
        <v>1</v>
      </c>
      <c r="AA8" s="11" t="s">
        <v>1</v>
      </c>
      <c r="AB8" s="11" t="s">
        <v>1</v>
      </c>
      <c r="AC8" s="11" t="s">
        <v>1</v>
      </c>
      <c r="AD8" s="12" t="s">
        <v>69</v>
      </c>
      <c r="AE8" s="12" t="s">
        <v>1</v>
      </c>
      <c r="AF8" s="13" t="s">
        <v>1</v>
      </c>
      <c r="AG8" s="13" t="s">
        <v>1</v>
      </c>
      <c r="AH8" s="13" t="s">
        <v>1</v>
      </c>
      <c r="AI8" s="13" t="s">
        <v>1</v>
      </c>
      <c r="AJ8" s="14" t="s">
        <v>1</v>
      </c>
      <c r="AK8" s="14" t="s">
        <v>1</v>
      </c>
      <c r="AL8" s="14" t="s">
        <v>69</v>
      </c>
      <c r="AM8" s="14" t="s">
        <v>1</v>
      </c>
      <c r="AN8" s="14" t="s">
        <v>1</v>
      </c>
      <c r="AO8" s="15" t="s">
        <v>1</v>
      </c>
      <c r="AP8" s="15" t="s">
        <v>1</v>
      </c>
      <c r="AQ8" s="15" t="s">
        <v>1</v>
      </c>
      <c r="AR8" s="15" t="s">
        <v>1</v>
      </c>
      <c r="AS8" s="16" t="s">
        <v>70</v>
      </c>
      <c r="AT8" s="16" t="s">
        <v>733</v>
      </c>
      <c r="AU8" s="16" t="s">
        <v>71</v>
      </c>
      <c r="AV8" s="16" t="s">
        <v>734</v>
      </c>
      <c r="AW8" s="17" t="s">
        <v>71</v>
      </c>
      <c r="AX8" s="17" t="s">
        <v>71</v>
      </c>
      <c r="AY8" s="17" t="s">
        <v>71</v>
      </c>
      <c r="AZ8" s="17" t="s">
        <v>71</v>
      </c>
      <c r="BA8" s="17" t="s">
        <v>72</v>
      </c>
      <c r="BB8" s="17" t="s">
        <v>68</v>
      </c>
      <c r="BC8" s="18" t="s">
        <v>1</v>
      </c>
      <c r="BD8" s="19" t="s">
        <v>750</v>
      </c>
      <c r="BE8" s="109" t="s">
        <v>751</v>
      </c>
      <c r="BF8" s="90"/>
    </row>
    <row r="9" spans="2:58" ht="49.5" hidden="1" x14ac:dyDescent="0.25">
      <c r="B9" s="1">
        <v>2017</v>
      </c>
      <c r="C9" s="1" t="s">
        <v>73</v>
      </c>
      <c r="D9" s="1" t="s">
        <v>90</v>
      </c>
      <c r="E9" s="2">
        <v>14390100025</v>
      </c>
      <c r="F9" s="2" t="s">
        <v>752</v>
      </c>
      <c r="G9" s="3" t="s">
        <v>753</v>
      </c>
      <c r="H9" s="4" t="s">
        <v>754</v>
      </c>
      <c r="I9" s="88" t="s">
        <v>755</v>
      </c>
      <c r="J9" s="6" t="s">
        <v>756</v>
      </c>
      <c r="K9" s="6" t="s">
        <v>757</v>
      </c>
      <c r="L9" s="4" t="s">
        <v>758</v>
      </c>
      <c r="M9" s="6" t="s">
        <v>93</v>
      </c>
      <c r="N9" s="6">
        <v>1</v>
      </c>
      <c r="O9" s="6">
        <v>6</v>
      </c>
      <c r="P9" s="7" t="s">
        <v>1</v>
      </c>
      <c r="Q9" s="7" t="s">
        <v>1</v>
      </c>
      <c r="R9" s="7" t="s">
        <v>1</v>
      </c>
      <c r="S9" s="7" t="s">
        <v>1</v>
      </c>
      <c r="T9" s="7" t="s">
        <v>1</v>
      </c>
      <c r="U9" s="8" t="s">
        <v>1</v>
      </c>
      <c r="V9" s="8" t="s">
        <v>1</v>
      </c>
      <c r="W9" s="9" t="s">
        <v>1</v>
      </c>
      <c r="X9" s="9" t="s">
        <v>1</v>
      </c>
      <c r="Y9" s="10" t="s">
        <v>1</v>
      </c>
      <c r="Z9" s="10" t="s">
        <v>1</v>
      </c>
      <c r="AA9" s="11" t="s">
        <v>1</v>
      </c>
      <c r="AB9" s="11" t="s">
        <v>1</v>
      </c>
      <c r="AC9" s="11" t="s">
        <v>1</v>
      </c>
      <c r="AD9" s="12" t="s">
        <v>1</v>
      </c>
      <c r="AE9" s="12" t="s">
        <v>1</v>
      </c>
      <c r="AF9" s="13" t="s">
        <v>1</v>
      </c>
      <c r="AG9" s="13" t="s">
        <v>1</v>
      </c>
      <c r="AH9" s="13" t="s">
        <v>1</v>
      </c>
      <c r="AI9" s="13" t="s">
        <v>1</v>
      </c>
      <c r="AJ9" s="14" t="s">
        <v>1</v>
      </c>
      <c r="AK9" s="14" t="s">
        <v>1</v>
      </c>
      <c r="AL9" s="14" t="s">
        <v>1</v>
      </c>
      <c r="AM9" s="14" t="s">
        <v>1</v>
      </c>
      <c r="AN9" s="14" t="s">
        <v>1</v>
      </c>
      <c r="AO9" s="15" t="s">
        <v>1</v>
      </c>
      <c r="AP9" s="15" t="s">
        <v>1</v>
      </c>
      <c r="AQ9" s="15" t="s">
        <v>1</v>
      </c>
      <c r="AR9" s="15" t="s">
        <v>1</v>
      </c>
      <c r="AS9" s="16" t="s">
        <v>70</v>
      </c>
      <c r="AT9" s="16" t="s">
        <v>68</v>
      </c>
      <c r="AU9" s="16" t="s">
        <v>71</v>
      </c>
      <c r="AV9" s="16" t="s">
        <v>68</v>
      </c>
      <c r="AW9" s="17" t="s">
        <v>72</v>
      </c>
      <c r="AX9" s="17" t="s">
        <v>72</v>
      </c>
      <c r="AY9" s="17" t="s">
        <v>71</v>
      </c>
      <c r="AZ9" s="17" t="s">
        <v>72</v>
      </c>
      <c r="BA9" s="17" t="s">
        <v>72</v>
      </c>
      <c r="BB9" s="89" t="s">
        <v>759</v>
      </c>
      <c r="BC9" s="18" t="s">
        <v>1</v>
      </c>
      <c r="BD9" s="19" t="s">
        <v>94</v>
      </c>
      <c r="BE9" s="109" t="s">
        <v>68</v>
      </c>
      <c r="BF9" s="90"/>
    </row>
    <row r="10" spans="2:58" ht="49.5" hidden="1" x14ac:dyDescent="0.25">
      <c r="B10" s="1">
        <v>2017</v>
      </c>
      <c r="C10" s="1" t="s">
        <v>73</v>
      </c>
      <c r="D10" s="1" t="s">
        <v>90</v>
      </c>
      <c r="E10" s="2">
        <v>14390100016</v>
      </c>
      <c r="F10" s="2" t="s">
        <v>1074</v>
      </c>
      <c r="G10" s="3" t="s">
        <v>68</v>
      </c>
      <c r="H10" s="4">
        <v>315947505</v>
      </c>
      <c r="I10" s="88" t="s">
        <v>68</v>
      </c>
      <c r="J10" s="6" t="s">
        <v>1075</v>
      </c>
      <c r="K10" s="6" t="s">
        <v>1076</v>
      </c>
      <c r="L10" s="4">
        <v>315947505</v>
      </c>
      <c r="M10" s="6" t="s">
        <v>74</v>
      </c>
      <c r="N10" s="6">
        <v>2</v>
      </c>
      <c r="O10" s="6">
        <v>12</v>
      </c>
      <c r="P10" s="7" t="s">
        <v>69</v>
      </c>
      <c r="Q10" s="7" t="s">
        <v>69</v>
      </c>
      <c r="R10" s="7" t="s">
        <v>69</v>
      </c>
      <c r="S10" s="7" t="s">
        <v>69</v>
      </c>
      <c r="T10" s="7" t="s">
        <v>69</v>
      </c>
      <c r="U10" s="8" t="s">
        <v>1</v>
      </c>
      <c r="V10" s="8" t="s">
        <v>69</v>
      </c>
      <c r="W10" s="9" t="s">
        <v>69</v>
      </c>
      <c r="X10" s="9" t="s">
        <v>69</v>
      </c>
      <c r="Y10" s="10" t="s">
        <v>1</v>
      </c>
      <c r="Z10" s="10" t="s">
        <v>69</v>
      </c>
      <c r="AA10" s="11" t="s">
        <v>69</v>
      </c>
      <c r="AB10" s="11" t="s">
        <v>69</v>
      </c>
      <c r="AC10" s="11" t="s">
        <v>69</v>
      </c>
      <c r="AD10" s="12" t="s">
        <v>69</v>
      </c>
      <c r="AE10" s="12" t="s">
        <v>69</v>
      </c>
      <c r="AF10" s="13" t="s">
        <v>69</v>
      </c>
      <c r="AG10" s="13" t="s">
        <v>69</v>
      </c>
      <c r="AH10" s="13" t="s">
        <v>1</v>
      </c>
      <c r="AI10" s="13" t="s">
        <v>69</v>
      </c>
      <c r="AJ10" s="14" t="s">
        <v>69</v>
      </c>
      <c r="AK10" s="14" t="s">
        <v>69</v>
      </c>
      <c r="AL10" s="14" t="s">
        <v>69</v>
      </c>
      <c r="AM10" s="14" t="s">
        <v>69</v>
      </c>
      <c r="AN10" s="14" t="s">
        <v>69</v>
      </c>
      <c r="AO10" s="15" t="s">
        <v>69</v>
      </c>
      <c r="AP10" s="15" t="s">
        <v>1</v>
      </c>
      <c r="AQ10" s="15" t="s">
        <v>69</v>
      </c>
      <c r="AR10" s="15" t="s">
        <v>69</v>
      </c>
      <c r="AS10" s="16" t="s">
        <v>76</v>
      </c>
      <c r="AT10" s="16" t="s">
        <v>68</v>
      </c>
      <c r="AU10" s="16" t="s">
        <v>72</v>
      </c>
      <c r="AV10" s="16" t="s">
        <v>68</v>
      </c>
      <c r="AW10" s="17" t="s">
        <v>71</v>
      </c>
      <c r="AX10" s="17" t="s">
        <v>71</v>
      </c>
      <c r="AY10" s="17" t="s">
        <v>72</v>
      </c>
      <c r="AZ10" s="17" t="s">
        <v>72</v>
      </c>
      <c r="BA10" s="17" t="s">
        <v>71</v>
      </c>
      <c r="BB10" s="17" t="s">
        <v>68</v>
      </c>
      <c r="BC10" s="18" t="s">
        <v>645</v>
      </c>
      <c r="BD10" s="19" t="s">
        <v>89</v>
      </c>
      <c r="BE10" s="109" t="s">
        <v>68</v>
      </c>
      <c r="BF10" s="90"/>
    </row>
    <row r="11" spans="2:58" ht="66" hidden="1" x14ac:dyDescent="0.25">
      <c r="B11" s="113">
        <v>2018</v>
      </c>
      <c r="C11" s="113" t="s">
        <v>1240</v>
      </c>
      <c r="D11" s="130" t="s">
        <v>90</v>
      </c>
      <c r="E11" s="124">
        <v>14390100012</v>
      </c>
      <c r="F11" s="117" t="s">
        <v>1273</v>
      </c>
      <c r="G11" s="3" t="s">
        <v>1276</v>
      </c>
      <c r="H11" s="4" t="s">
        <v>1277</v>
      </c>
      <c r="I11" s="131" t="s">
        <v>1278</v>
      </c>
      <c r="J11" s="6" t="s">
        <v>1274</v>
      </c>
      <c r="K11" s="6" t="s">
        <v>1275</v>
      </c>
      <c r="L11" s="4" t="s">
        <v>1277</v>
      </c>
      <c r="M11" s="6" t="s">
        <v>1279</v>
      </c>
      <c r="N11" s="6">
        <v>5</v>
      </c>
      <c r="O11" s="6">
        <v>12</v>
      </c>
      <c r="P11" s="7" t="s">
        <v>1</v>
      </c>
      <c r="Q11" s="7" t="s">
        <v>1</v>
      </c>
      <c r="R11" s="7" t="s">
        <v>69</v>
      </c>
      <c r="S11" s="7" t="s">
        <v>1</v>
      </c>
      <c r="T11" s="7" t="s">
        <v>1</v>
      </c>
      <c r="U11" s="8" t="s">
        <v>69</v>
      </c>
      <c r="V11" s="8" t="s">
        <v>69</v>
      </c>
      <c r="W11" s="9" t="s">
        <v>1</v>
      </c>
      <c r="X11" s="9" t="s">
        <v>1</v>
      </c>
      <c r="Y11" s="10" t="s">
        <v>1</v>
      </c>
      <c r="Z11" s="10" t="s">
        <v>1</v>
      </c>
      <c r="AA11" s="11" t="s">
        <v>1</v>
      </c>
      <c r="AB11" s="11" t="s">
        <v>1</v>
      </c>
      <c r="AC11" s="11" t="s">
        <v>1</v>
      </c>
      <c r="AD11" s="12" t="s">
        <v>69</v>
      </c>
      <c r="AE11" s="12" t="s">
        <v>69</v>
      </c>
      <c r="AF11" s="13" t="s">
        <v>1</v>
      </c>
      <c r="AG11" s="13" t="s">
        <v>1</v>
      </c>
      <c r="AH11" s="13" t="s">
        <v>1</v>
      </c>
      <c r="AI11" s="13" t="s">
        <v>1</v>
      </c>
      <c r="AJ11" s="14" t="s">
        <v>1</v>
      </c>
      <c r="AK11" s="14" t="s">
        <v>1</v>
      </c>
      <c r="AL11" s="14" t="s">
        <v>1</v>
      </c>
      <c r="AM11" s="14" t="s">
        <v>1</v>
      </c>
      <c r="AN11" s="14" t="s">
        <v>1</v>
      </c>
      <c r="AO11" s="15" t="s">
        <v>1</v>
      </c>
      <c r="AP11" s="15" t="s">
        <v>1</v>
      </c>
      <c r="AQ11" s="15" t="s">
        <v>1</v>
      </c>
      <c r="AR11" s="15" t="s">
        <v>1</v>
      </c>
      <c r="AS11" s="16" t="s">
        <v>70</v>
      </c>
      <c r="AT11" s="16" t="s">
        <v>579</v>
      </c>
      <c r="AU11" s="16" t="s">
        <v>71</v>
      </c>
      <c r="AV11" s="16" t="s">
        <v>580</v>
      </c>
      <c r="AW11" s="17" t="s">
        <v>72</v>
      </c>
      <c r="AX11" s="17" t="s">
        <v>72</v>
      </c>
      <c r="AY11" s="17" t="s">
        <v>71</v>
      </c>
      <c r="AZ11" s="17" t="s">
        <v>71</v>
      </c>
      <c r="BA11" s="17" t="s">
        <v>71</v>
      </c>
      <c r="BB11" s="17" t="s">
        <v>581</v>
      </c>
      <c r="BC11" s="18" t="s">
        <v>1</v>
      </c>
      <c r="BD11" s="19" t="s">
        <v>1281</v>
      </c>
      <c r="BE11" s="20" t="s">
        <v>1280</v>
      </c>
      <c r="BF11" s="90"/>
    </row>
    <row r="12" spans="2:58" ht="33" hidden="1" x14ac:dyDescent="0.25">
      <c r="B12" s="87">
        <v>2019</v>
      </c>
      <c r="C12" s="1" t="s">
        <v>73</v>
      </c>
      <c r="D12" s="87" t="s">
        <v>90</v>
      </c>
      <c r="E12" s="124">
        <v>14390100029</v>
      </c>
      <c r="F12" s="91" t="s">
        <v>1243</v>
      </c>
      <c r="G12" s="3" t="s">
        <v>422</v>
      </c>
      <c r="H12" s="6" t="s">
        <v>68</v>
      </c>
      <c r="I12" s="5" t="s">
        <v>68</v>
      </c>
      <c r="J12" s="3" t="s">
        <v>1241</v>
      </c>
      <c r="K12" s="6" t="s">
        <v>1242</v>
      </c>
      <c r="L12" s="4" t="s">
        <v>1244</v>
      </c>
      <c r="M12" s="6" t="s">
        <v>1245</v>
      </c>
      <c r="N12" s="6">
        <v>4</v>
      </c>
      <c r="O12" s="6">
        <v>12</v>
      </c>
      <c r="P12" s="7" t="s">
        <v>1</v>
      </c>
      <c r="Q12" s="7" t="s">
        <v>69</v>
      </c>
      <c r="R12" s="7" t="s">
        <v>1</v>
      </c>
      <c r="S12" s="7" t="s">
        <v>1</v>
      </c>
      <c r="T12" s="7" t="s">
        <v>1</v>
      </c>
      <c r="U12" s="8" t="s">
        <v>69</v>
      </c>
      <c r="V12" s="8" t="s">
        <v>1</v>
      </c>
      <c r="W12" s="9" t="s">
        <v>1</v>
      </c>
      <c r="X12" s="9" t="s">
        <v>1</v>
      </c>
      <c r="Y12" s="10" t="s">
        <v>1</v>
      </c>
      <c r="Z12" s="10" t="s">
        <v>1</v>
      </c>
      <c r="AA12" s="11" t="s">
        <v>1</v>
      </c>
      <c r="AB12" s="11" t="s">
        <v>1</v>
      </c>
      <c r="AC12" s="11" t="s">
        <v>1</v>
      </c>
      <c r="AD12" s="12" t="s">
        <v>1</v>
      </c>
      <c r="AE12" s="12" t="s">
        <v>1</v>
      </c>
      <c r="AF12" s="13" t="s">
        <v>1</v>
      </c>
      <c r="AG12" s="13" t="s">
        <v>1</v>
      </c>
      <c r="AH12" s="13" t="s">
        <v>1</v>
      </c>
      <c r="AI12" s="13" t="s">
        <v>1</v>
      </c>
      <c r="AJ12" s="14" t="s">
        <v>69</v>
      </c>
      <c r="AK12" s="14" t="s">
        <v>1</v>
      </c>
      <c r="AL12" s="14" t="s">
        <v>69</v>
      </c>
      <c r="AM12" s="14" t="s">
        <v>1</v>
      </c>
      <c r="AN12" s="14" t="s">
        <v>1</v>
      </c>
      <c r="AO12" s="15" t="s">
        <v>1</v>
      </c>
      <c r="AP12" s="15" t="s">
        <v>1</v>
      </c>
      <c r="AQ12" s="15" t="s">
        <v>1</v>
      </c>
      <c r="AR12" s="15" t="s">
        <v>1</v>
      </c>
      <c r="AS12" s="16" t="s">
        <v>71</v>
      </c>
      <c r="AT12" s="16" t="s">
        <v>1246</v>
      </c>
      <c r="AU12" s="16" t="s">
        <v>71</v>
      </c>
      <c r="AV12" s="16" t="s">
        <v>68</v>
      </c>
      <c r="AW12" s="17" t="s">
        <v>71</v>
      </c>
      <c r="AX12" s="17" t="s">
        <v>71</v>
      </c>
      <c r="AY12" s="17" t="s">
        <v>71</v>
      </c>
      <c r="AZ12" s="17" t="s">
        <v>71</v>
      </c>
      <c r="BA12" s="17" t="s">
        <v>72</v>
      </c>
      <c r="BB12" s="17" t="s">
        <v>68</v>
      </c>
      <c r="BC12" s="18" t="s">
        <v>69</v>
      </c>
      <c r="BD12" s="19" t="s">
        <v>68</v>
      </c>
      <c r="BE12" s="20" t="s">
        <v>1247</v>
      </c>
      <c r="BF12" s="90"/>
    </row>
    <row r="13" spans="2:58" ht="66" x14ac:dyDescent="0.25">
      <c r="B13" s="87">
        <v>2020</v>
      </c>
      <c r="C13" s="1" t="s">
        <v>73</v>
      </c>
      <c r="D13" s="87" t="s">
        <v>90</v>
      </c>
      <c r="E13" s="91">
        <v>17390100015</v>
      </c>
      <c r="F13" s="91" t="s">
        <v>1282</v>
      </c>
      <c r="G13" s="3" t="s">
        <v>1283</v>
      </c>
      <c r="H13" s="4" t="s">
        <v>1287</v>
      </c>
      <c r="I13" s="131" t="s">
        <v>1286</v>
      </c>
      <c r="J13" s="3" t="s">
        <v>1284</v>
      </c>
      <c r="K13" s="6" t="s">
        <v>1285</v>
      </c>
      <c r="L13" s="4" t="s">
        <v>1287</v>
      </c>
      <c r="M13" s="6" t="s">
        <v>1288</v>
      </c>
      <c r="N13" s="6">
        <v>1</v>
      </c>
      <c r="O13" s="6">
        <v>6</v>
      </c>
      <c r="P13" s="24" t="s">
        <v>69</v>
      </c>
      <c r="Q13" s="24" t="s">
        <v>1</v>
      </c>
      <c r="R13" s="24" t="s">
        <v>1</v>
      </c>
      <c r="S13" s="24" t="s">
        <v>1</v>
      </c>
      <c r="T13" s="24" t="s">
        <v>1</v>
      </c>
      <c r="U13" s="25" t="s">
        <v>69</v>
      </c>
      <c r="V13" s="25" t="s">
        <v>1</v>
      </c>
      <c r="W13" s="9" t="s">
        <v>1</v>
      </c>
      <c r="X13" s="9" t="s">
        <v>1</v>
      </c>
      <c r="Y13" s="10" t="s">
        <v>69</v>
      </c>
      <c r="Z13" s="10" t="s">
        <v>69</v>
      </c>
      <c r="AA13" s="11" t="s">
        <v>1</v>
      </c>
      <c r="AB13" s="11" t="s">
        <v>1</v>
      </c>
      <c r="AC13" s="11" t="s">
        <v>1</v>
      </c>
      <c r="AD13" s="12" t="s">
        <v>1</v>
      </c>
      <c r="AE13" s="12" t="s">
        <v>1</v>
      </c>
      <c r="AF13" s="13" t="s">
        <v>1</v>
      </c>
      <c r="AG13" s="13" t="s">
        <v>1</v>
      </c>
      <c r="AH13" s="13" t="s">
        <v>75</v>
      </c>
      <c r="AI13" s="13" t="s">
        <v>75</v>
      </c>
      <c r="AJ13" s="31" t="s">
        <v>1</v>
      </c>
      <c r="AK13" s="31" t="s">
        <v>1</v>
      </c>
      <c r="AL13" s="31" t="s">
        <v>69</v>
      </c>
      <c r="AM13" s="31" t="s">
        <v>1</v>
      </c>
      <c r="AN13" s="31" t="s">
        <v>1</v>
      </c>
      <c r="AO13" s="32" t="s">
        <v>1</v>
      </c>
      <c r="AP13" s="32" t="s">
        <v>1</v>
      </c>
      <c r="AQ13" s="32" t="s">
        <v>69</v>
      </c>
      <c r="AR13" s="32" t="s">
        <v>1</v>
      </c>
      <c r="AS13" s="16" t="s">
        <v>70</v>
      </c>
      <c r="AT13" s="16" t="s">
        <v>70</v>
      </c>
      <c r="AU13" s="16" t="s">
        <v>71</v>
      </c>
      <c r="AV13" s="16" t="s">
        <v>71</v>
      </c>
      <c r="AW13" s="17" t="s">
        <v>71</v>
      </c>
      <c r="AX13" s="17" t="s">
        <v>71</v>
      </c>
      <c r="AY13" s="17" t="s">
        <v>71</v>
      </c>
      <c r="AZ13" s="34" t="s">
        <v>72</v>
      </c>
      <c r="BA13" s="17" t="s">
        <v>69</v>
      </c>
      <c r="BB13" s="17" t="s">
        <v>68</v>
      </c>
      <c r="BC13" s="18" t="s">
        <v>68</v>
      </c>
      <c r="BD13" s="19" t="s">
        <v>68</v>
      </c>
      <c r="BE13" s="20" t="s">
        <v>68</v>
      </c>
      <c r="BF13" s="90"/>
    </row>
    <row r="14" spans="2:58" ht="66" hidden="1" x14ac:dyDescent="0.25">
      <c r="B14" s="1">
        <v>2016</v>
      </c>
      <c r="C14" s="1" t="s">
        <v>73</v>
      </c>
      <c r="D14" s="1" t="s">
        <v>90</v>
      </c>
      <c r="E14" s="2">
        <v>13390100021</v>
      </c>
      <c r="F14" s="2" t="s">
        <v>120</v>
      </c>
      <c r="G14" s="3" t="s">
        <v>121</v>
      </c>
      <c r="H14" s="4" t="s">
        <v>122</v>
      </c>
      <c r="I14" s="5"/>
      <c r="J14" s="6" t="s">
        <v>123</v>
      </c>
      <c r="K14" s="6" t="s">
        <v>124</v>
      </c>
      <c r="L14" s="6"/>
      <c r="M14" s="6" t="s">
        <v>125</v>
      </c>
      <c r="N14" s="6">
        <v>1</v>
      </c>
      <c r="O14" s="6">
        <v>12</v>
      </c>
      <c r="P14" s="7" t="s">
        <v>1</v>
      </c>
      <c r="Q14" s="7" t="s">
        <v>69</v>
      </c>
      <c r="R14" s="7" t="s">
        <v>1</v>
      </c>
      <c r="S14" s="7" t="s">
        <v>69</v>
      </c>
      <c r="T14" s="7" t="s">
        <v>69</v>
      </c>
      <c r="U14" s="8" t="s">
        <v>1</v>
      </c>
      <c r="V14" s="8" t="s">
        <v>1</v>
      </c>
      <c r="W14" s="9" t="s">
        <v>1</v>
      </c>
      <c r="X14" s="9" t="s">
        <v>1</v>
      </c>
      <c r="Y14" s="10" t="s">
        <v>69</v>
      </c>
      <c r="Z14" s="10" t="s">
        <v>1</v>
      </c>
      <c r="AA14" s="11" t="s">
        <v>69</v>
      </c>
      <c r="AB14" s="11" t="s">
        <v>1</v>
      </c>
      <c r="AC14" s="11" t="s">
        <v>1</v>
      </c>
      <c r="AD14" s="12" t="s">
        <v>1</v>
      </c>
      <c r="AE14" s="12" t="s">
        <v>1</v>
      </c>
      <c r="AF14" s="13" t="s">
        <v>69</v>
      </c>
      <c r="AG14" s="13" t="s">
        <v>1</v>
      </c>
      <c r="AH14" s="13" t="s">
        <v>69</v>
      </c>
      <c r="AI14" s="13" t="s">
        <v>1</v>
      </c>
      <c r="AJ14" s="14" t="s">
        <v>1</v>
      </c>
      <c r="AK14" s="14" t="s">
        <v>69</v>
      </c>
      <c r="AL14" s="14" t="s">
        <v>1</v>
      </c>
      <c r="AM14" s="14" t="s">
        <v>1</v>
      </c>
      <c r="AN14" s="14" t="s">
        <v>1</v>
      </c>
      <c r="AO14" s="15" t="s">
        <v>1</v>
      </c>
      <c r="AP14" s="15" t="s">
        <v>1</v>
      </c>
      <c r="AQ14" s="15" t="s">
        <v>1</v>
      </c>
      <c r="AR14" s="15" t="s">
        <v>1</v>
      </c>
      <c r="AS14" s="16" t="s">
        <v>70</v>
      </c>
      <c r="AT14" s="16"/>
      <c r="AU14" s="16" t="s">
        <v>71</v>
      </c>
      <c r="AV14" s="16"/>
      <c r="AW14" s="17" t="s">
        <v>72</v>
      </c>
      <c r="AX14" s="17" t="s">
        <v>72</v>
      </c>
      <c r="AY14" s="17" t="s">
        <v>72</v>
      </c>
      <c r="AZ14" s="17" t="s">
        <v>71</v>
      </c>
      <c r="BA14" s="17" t="s">
        <v>72</v>
      </c>
      <c r="BB14" s="17"/>
      <c r="BC14" s="18" t="s">
        <v>1</v>
      </c>
      <c r="BD14" s="19" t="s">
        <v>94</v>
      </c>
      <c r="BE14" s="20" t="s">
        <v>126</v>
      </c>
      <c r="BF14" s="90"/>
    </row>
    <row r="15" spans="2:58" ht="33" hidden="1" x14ac:dyDescent="0.25">
      <c r="B15" s="1">
        <v>2016</v>
      </c>
      <c r="C15" s="1" t="s">
        <v>73</v>
      </c>
      <c r="D15" s="1" t="s">
        <v>90</v>
      </c>
      <c r="E15" s="2">
        <v>12390100006</v>
      </c>
      <c r="F15" s="2" t="s">
        <v>95</v>
      </c>
      <c r="G15" s="3" t="s">
        <v>96</v>
      </c>
      <c r="H15" s="4" t="s">
        <v>97</v>
      </c>
      <c r="I15" s="5" t="s">
        <v>98</v>
      </c>
      <c r="J15" s="6" t="s">
        <v>99</v>
      </c>
      <c r="K15" s="6" t="s">
        <v>100</v>
      </c>
      <c r="L15" s="6">
        <v>313579374</v>
      </c>
      <c r="M15" s="6" t="s">
        <v>101</v>
      </c>
      <c r="N15" s="6">
        <v>1</v>
      </c>
      <c r="O15" s="6">
        <v>12</v>
      </c>
      <c r="P15" s="7" t="s">
        <v>1</v>
      </c>
      <c r="Q15" s="7" t="s">
        <v>1</v>
      </c>
      <c r="R15" s="7" t="s">
        <v>1</v>
      </c>
      <c r="S15" s="7" t="s">
        <v>1</v>
      </c>
      <c r="T15" s="7" t="s">
        <v>69</v>
      </c>
      <c r="U15" s="8" t="s">
        <v>1</v>
      </c>
      <c r="V15" s="8" t="s">
        <v>1</v>
      </c>
      <c r="W15" s="9" t="s">
        <v>75</v>
      </c>
      <c r="X15" s="9" t="s">
        <v>75</v>
      </c>
      <c r="Y15" s="10" t="s">
        <v>1</v>
      </c>
      <c r="Z15" s="10" t="s">
        <v>1</v>
      </c>
      <c r="AA15" s="11" t="s">
        <v>1</v>
      </c>
      <c r="AB15" s="11" t="s">
        <v>1</v>
      </c>
      <c r="AC15" s="11" t="s">
        <v>1</v>
      </c>
      <c r="AD15" s="12" t="s">
        <v>1</v>
      </c>
      <c r="AE15" s="12" t="s">
        <v>1</v>
      </c>
      <c r="AF15" s="13" t="s">
        <v>1</v>
      </c>
      <c r="AG15" s="13" t="s">
        <v>1</v>
      </c>
      <c r="AH15" s="13" t="s">
        <v>1</v>
      </c>
      <c r="AI15" s="13" t="s">
        <v>1</v>
      </c>
      <c r="AJ15" s="14" t="s">
        <v>1</v>
      </c>
      <c r="AK15" s="14" t="s">
        <v>1</v>
      </c>
      <c r="AL15" s="14" t="s">
        <v>1</v>
      </c>
      <c r="AM15" s="14" t="s">
        <v>1</v>
      </c>
      <c r="AN15" s="14" t="s">
        <v>1</v>
      </c>
      <c r="AO15" s="15" t="s">
        <v>1</v>
      </c>
      <c r="AP15" s="15" t="s">
        <v>1</v>
      </c>
      <c r="AQ15" s="15" t="s">
        <v>1</v>
      </c>
      <c r="AR15" s="15" t="s">
        <v>1</v>
      </c>
      <c r="AS15" s="16" t="s">
        <v>70</v>
      </c>
      <c r="AT15" s="16" t="s">
        <v>102</v>
      </c>
      <c r="AU15" s="16" t="s">
        <v>71</v>
      </c>
      <c r="AV15" s="16" t="s">
        <v>103</v>
      </c>
      <c r="AW15" s="17" t="s">
        <v>72</v>
      </c>
      <c r="AX15" s="17" t="s">
        <v>72</v>
      </c>
      <c r="AY15" s="17" t="s">
        <v>71</v>
      </c>
      <c r="AZ15" s="17" t="s">
        <v>72</v>
      </c>
      <c r="BA15" s="17" t="s">
        <v>72</v>
      </c>
      <c r="BB15" s="17"/>
      <c r="BC15" s="18" t="s">
        <v>1</v>
      </c>
      <c r="BD15" s="19" t="s">
        <v>104</v>
      </c>
      <c r="BE15" s="20" t="s">
        <v>105</v>
      </c>
      <c r="BF15" t="s">
        <v>1290</v>
      </c>
    </row>
    <row r="16" spans="2:58" ht="49.5" hidden="1" x14ac:dyDescent="0.25">
      <c r="B16" s="1">
        <v>2016</v>
      </c>
      <c r="C16" s="1" t="s">
        <v>73</v>
      </c>
      <c r="D16" s="1" t="s">
        <v>90</v>
      </c>
      <c r="E16" s="2">
        <v>13390100011</v>
      </c>
      <c r="F16" s="2" t="s">
        <v>106</v>
      </c>
      <c r="G16" s="3" t="s">
        <v>68</v>
      </c>
      <c r="H16" s="6" t="s">
        <v>68</v>
      </c>
      <c r="I16" s="5" t="s">
        <v>68</v>
      </c>
      <c r="J16" s="6" t="s">
        <v>107</v>
      </c>
      <c r="K16" s="6" t="s">
        <v>108</v>
      </c>
      <c r="L16" s="6" t="s">
        <v>68</v>
      </c>
      <c r="M16" s="6" t="s">
        <v>109</v>
      </c>
      <c r="N16" s="6">
        <v>1</v>
      </c>
      <c r="O16" s="6">
        <v>12</v>
      </c>
      <c r="P16" s="7" t="s">
        <v>1</v>
      </c>
      <c r="Q16" s="7" t="s">
        <v>1</v>
      </c>
      <c r="R16" s="7" t="s">
        <v>1</v>
      </c>
      <c r="S16" s="7" t="s">
        <v>1</v>
      </c>
      <c r="T16" s="7" t="s">
        <v>69</v>
      </c>
      <c r="U16" s="8" t="s">
        <v>1</v>
      </c>
      <c r="V16" s="8" t="s">
        <v>1</v>
      </c>
      <c r="W16" s="9" t="s">
        <v>75</v>
      </c>
      <c r="X16" s="9" t="s">
        <v>75</v>
      </c>
      <c r="Y16" s="10" t="s">
        <v>69</v>
      </c>
      <c r="Z16" s="10" t="s">
        <v>69</v>
      </c>
      <c r="AA16" s="11" t="s">
        <v>69</v>
      </c>
      <c r="AB16" s="11" t="s">
        <v>69</v>
      </c>
      <c r="AC16" s="11" t="s">
        <v>69</v>
      </c>
      <c r="AD16" s="12" t="s">
        <v>69</v>
      </c>
      <c r="AE16" s="12" t="s">
        <v>69</v>
      </c>
      <c r="AF16" s="13" t="s">
        <v>1</v>
      </c>
      <c r="AG16" s="13" t="s">
        <v>1</v>
      </c>
      <c r="AH16" s="13" t="s">
        <v>1</v>
      </c>
      <c r="AI16" s="13" t="s">
        <v>1</v>
      </c>
      <c r="AJ16" s="14" t="s">
        <v>1</v>
      </c>
      <c r="AK16" s="14" t="s">
        <v>1</v>
      </c>
      <c r="AL16" s="14" t="s">
        <v>1</v>
      </c>
      <c r="AM16" s="14" t="s">
        <v>1</v>
      </c>
      <c r="AN16" s="14" t="s">
        <v>1</v>
      </c>
      <c r="AO16" s="15" t="s">
        <v>69</v>
      </c>
      <c r="AP16" s="15" t="s">
        <v>69</v>
      </c>
      <c r="AQ16" s="15" t="s">
        <v>69</v>
      </c>
      <c r="AR16" s="15" t="s">
        <v>69</v>
      </c>
      <c r="AS16" s="16" t="s">
        <v>70</v>
      </c>
      <c r="AT16" s="16" t="s">
        <v>68</v>
      </c>
      <c r="AU16" s="16" t="s">
        <v>71</v>
      </c>
      <c r="AV16" s="16" t="s">
        <v>68</v>
      </c>
      <c r="AW16" s="17" t="s">
        <v>72</v>
      </c>
      <c r="AX16" s="17" t="s">
        <v>72</v>
      </c>
      <c r="AY16" s="17" t="s">
        <v>72</v>
      </c>
      <c r="AZ16" s="17" t="s">
        <v>72</v>
      </c>
      <c r="BA16" s="17" t="s">
        <v>72</v>
      </c>
      <c r="BB16" s="17" t="s">
        <v>68</v>
      </c>
      <c r="BC16" s="18" t="s">
        <v>1</v>
      </c>
      <c r="BD16" s="19" t="s">
        <v>68</v>
      </c>
      <c r="BE16" s="20" t="s">
        <v>68</v>
      </c>
      <c r="BF16" t="s">
        <v>1290</v>
      </c>
    </row>
    <row r="17" spans="2:58" ht="49.5" hidden="1" x14ac:dyDescent="0.25">
      <c r="B17" s="1">
        <v>2016</v>
      </c>
      <c r="C17" s="1" t="s">
        <v>73</v>
      </c>
      <c r="D17" s="1" t="s">
        <v>90</v>
      </c>
      <c r="E17" s="2">
        <v>13390100013</v>
      </c>
      <c r="F17" s="2" t="s">
        <v>110</v>
      </c>
      <c r="G17" s="3" t="s">
        <v>111</v>
      </c>
      <c r="H17" s="6"/>
      <c r="I17" s="5" t="s">
        <v>112</v>
      </c>
      <c r="J17" s="6" t="s">
        <v>113</v>
      </c>
      <c r="K17" s="6" t="s">
        <v>114</v>
      </c>
      <c r="L17" s="6">
        <v>2981040</v>
      </c>
      <c r="M17" s="6" t="s">
        <v>74</v>
      </c>
      <c r="N17" s="6">
        <v>4</v>
      </c>
      <c r="O17" s="6">
        <v>60</v>
      </c>
      <c r="P17" s="7" t="s">
        <v>69</v>
      </c>
      <c r="Q17" s="7" t="s">
        <v>69</v>
      </c>
      <c r="R17" s="7" t="s">
        <v>1</v>
      </c>
      <c r="S17" s="7" t="s">
        <v>1</v>
      </c>
      <c r="T17" s="7" t="s">
        <v>1</v>
      </c>
      <c r="U17" s="8" t="s">
        <v>69</v>
      </c>
      <c r="V17" s="8" t="s">
        <v>69</v>
      </c>
      <c r="W17" s="9" t="s">
        <v>1</v>
      </c>
      <c r="X17" s="9" t="s">
        <v>1</v>
      </c>
      <c r="Y17" s="10" t="s">
        <v>69</v>
      </c>
      <c r="Z17" s="10" t="s">
        <v>69</v>
      </c>
      <c r="AA17" s="11" t="s">
        <v>69</v>
      </c>
      <c r="AB17" s="11" t="s">
        <v>69</v>
      </c>
      <c r="AC17" s="11" t="s">
        <v>69</v>
      </c>
      <c r="AD17" s="12" t="s">
        <v>69</v>
      </c>
      <c r="AE17" s="12" t="s">
        <v>69</v>
      </c>
      <c r="AF17" s="13" t="s">
        <v>69</v>
      </c>
      <c r="AG17" s="13" t="s">
        <v>69</v>
      </c>
      <c r="AH17" s="13" t="s">
        <v>69</v>
      </c>
      <c r="AI17" s="13" t="s">
        <v>69</v>
      </c>
      <c r="AJ17" s="14" t="s">
        <v>69</v>
      </c>
      <c r="AK17" s="14" t="s">
        <v>69</v>
      </c>
      <c r="AL17" s="14" t="s">
        <v>69</v>
      </c>
      <c r="AM17" s="14" t="s">
        <v>69</v>
      </c>
      <c r="AN17" s="14" t="s">
        <v>69</v>
      </c>
      <c r="AO17" s="15" t="s">
        <v>69</v>
      </c>
      <c r="AP17" s="15" t="s">
        <v>69</v>
      </c>
      <c r="AQ17" s="15" t="s">
        <v>69</v>
      </c>
      <c r="AR17" s="15" t="s">
        <v>69</v>
      </c>
      <c r="AS17" s="16" t="s">
        <v>70</v>
      </c>
      <c r="AT17" s="16" t="s">
        <v>115</v>
      </c>
      <c r="AU17" s="16" t="s">
        <v>71</v>
      </c>
      <c r="AV17" s="16" t="s">
        <v>116</v>
      </c>
      <c r="AW17" s="17" t="s">
        <v>71</v>
      </c>
      <c r="AX17" s="17" t="s">
        <v>72</v>
      </c>
      <c r="AY17" s="17" t="s">
        <v>71</v>
      </c>
      <c r="AZ17" s="17" t="s">
        <v>72</v>
      </c>
      <c r="BA17" s="17" t="s">
        <v>72</v>
      </c>
      <c r="BB17" s="17" t="s">
        <v>117</v>
      </c>
      <c r="BC17" s="18" t="s">
        <v>1</v>
      </c>
      <c r="BD17" s="19" t="s">
        <v>118</v>
      </c>
      <c r="BE17" s="20" t="s">
        <v>119</v>
      </c>
      <c r="BF17" t="s">
        <v>1290</v>
      </c>
    </row>
    <row r="18" spans="2:58" ht="49.5" hidden="1" x14ac:dyDescent="0.25">
      <c r="B18" s="113">
        <v>2017</v>
      </c>
      <c r="C18" s="113" t="s">
        <v>73</v>
      </c>
      <c r="D18" s="113" t="s">
        <v>90</v>
      </c>
      <c r="E18" s="114">
        <v>14390100023</v>
      </c>
      <c r="F18" s="114" t="s">
        <v>725</v>
      </c>
      <c r="G18" s="3" t="s">
        <v>726</v>
      </c>
      <c r="H18" s="4" t="s">
        <v>727</v>
      </c>
      <c r="I18" s="88" t="s">
        <v>728</v>
      </c>
      <c r="J18" s="6" t="s">
        <v>729</v>
      </c>
      <c r="K18" s="4" t="s">
        <v>730</v>
      </c>
      <c r="L18" s="4" t="s">
        <v>731</v>
      </c>
      <c r="M18" s="4" t="s">
        <v>732</v>
      </c>
      <c r="N18" s="6">
        <v>1</v>
      </c>
      <c r="O18" s="6">
        <v>12</v>
      </c>
      <c r="P18" s="7" t="s">
        <v>1</v>
      </c>
      <c r="Q18" s="7" t="s">
        <v>69</v>
      </c>
      <c r="R18" s="7" t="s">
        <v>1</v>
      </c>
      <c r="S18" s="7" t="s">
        <v>1</v>
      </c>
      <c r="T18" s="7" t="s">
        <v>69</v>
      </c>
      <c r="U18" s="8" t="s">
        <v>1</v>
      </c>
      <c r="V18" s="8" t="s">
        <v>69</v>
      </c>
      <c r="W18" s="9" t="s">
        <v>1</v>
      </c>
      <c r="X18" s="9" t="s">
        <v>1</v>
      </c>
      <c r="Y18" s="10" t="s">
        <v>69</v>
      </c>
      <c r="Z18" s="10" t="s">
        <v>1</v>
      </c>
      <c r="AA18" s="11" t="s">
        <v>1</v>
      </c>
      <c r="AB18" s="11" t="s">
        <v>1</v>
      </c>
      <c r="AC18" s="11" t="s">
        <v>1</v>
      </c>
      <c r="AD18" s="12" t="s">
        <v>69</v>
      </c>
      <c r="AE18" s="12" t="s">
        <v>1</v>
      </c>
      <c r="AF18" s="13" t="s">
        <v>1</v>
      </c>
      <c r="AG18" s="13" t="s">
        <v>1</v>
      </c>
      <c r="AH18" s="13" t="s">
        <v>1</v>
      </c>
      <c r="AI18" s="13" t="s">
        <v>1</v>
      </c>
      <c r="AJ18" s="14" t="s">
        <v>1</v>
      </c>
      <c r="AK18" s="14" t="s">
        <v>1</v>
      </c>
      <c r="AL18" s="14" t="s">
        <v>69</v>
      </c>
      <c r="AM18" s="14" t="s">
        <v>1</v>
      </c>
      <c r="AN18" s="14" t="s">
        <v>1</v>
      </c>
      <c r="AO18" s="15" t="s">
        <v>1</v>
      </c>
      <c r="AP18" s="15" t="s">
        <v>1</v>
      </c>
      <c r="AQ18" s="15" t="s">
        <v>1</v>
      </c>
      <c r="AR18" s="15" t="s">
        <v>1</v>
      </c>
      <c r="AS18" s="16" t="s">
        <v>70</v>
      </c>
      <c r="AT18" s="16" t="s">
        <v>733</v>
      </c>
      <c r="AU18" s="16" t="s">
        <v>71</v>
      </c>
      <c r="AV18" s="16" t="s">
        <v>734</v>
      </c>
      <c r="AW18" s="17" t="s">
        <v>71</v>
      </c>
      <c r="AX18" s="17" t="s">
        <v>71</v>
      </c>
      <c r="AY18" s="17" t="s">
        <v>71</v>
      </c>
      <c r="AZ18" s="17" t="s">
        <v>71</v>
      </c>
      <c r="BA18" s="17" t="s">
        <v>72</v>
      </c>
      <c r="BB18" s="17" t="s">
        <v>68</v>
      </c>
      <c r="BC18" s="18" t="s">
        <v>69</v>
      </c>
      <c r="BD18" s="19" t="s">
        <v>91</v>
      </c>
      <c r="BE18" s="109" t="s">
        <v>68</v>
      </c>
      <c r="BF18" t="s">
        <v>1290</v>
      </c>
    </row>
    <row r="19" spans="2:58" ht="49.5" hidden="1" x14ac:dyDescent="0.25">
      <c r="B19" s="1">
        <v>2017</v>
      </c>
      <c r="C19" s="1" t="s">
        <v>73</v>
      </c>
      <c r="D19" s="1" t="s">
        <v>90</v>
      </c>
      <c r="E19" s="2">
        <v>12390100019</v>
      </c>
      <c r="F19" s="2" t="s">
        <v>735</v>
      </c>
      <c r="G19" s="3" t="s">
        <v>736</v>
      </c>
      <c r="H19" s="6">
        <v>81574266656</v>
      </c>
      <c r="I19" s="88" t="s">
        <v>737</v>
      </c>
      <c r="J19" s="6" t="s">
        <v>738</v>
      </c>
      <c r="K19" s="6" t="s">
        <v>739</v>
      </c>
      <c r="L19" s="6" t="s">
        <v>740</v>
      </c>
      <c r="M19" s="6" t="s">
        <v>74</v>
      </c>
      <c r="N19" s="6">
        <v>1</v>
      </c>
      <c r="O19" s="6">
        <v>6</v>
      </c>
      <c r="P19" s="7" t="s">
        <v>69</v>
      </c>
      <c r="Q19" s="7" t="s">
        <v>1</v>
      </c>
      <c r="R19" s="7" t="s">
        <v>69</v>
      </c>
      <c r="S19" s="7" t="s">
        <v>1</v>
      </c>
      <c r="T19" s="7" t="s">
        <v>1</v>
      </c>
      <c r="U19" s="8" t="s">
        <v>1</v>
      </c>
      <c r="V19" s="8" t="s">
        <v>69</v>
      </c>
      <c r="W19" s="9" t="s">
        <v>1</v>
      </c>
      <c r="X19" s="9" t="s">
        <v>1</v>
      </c>
      <c r="Y19" s="10" t="s">
        <v>69</v>
      </c>
      <c r="Z19" s="10" t="s">
        <v>69</v>
      </c>
      <c r="AA19" s="11" t="s">
        <v>1</v>
      </c>
      <c r="AB19" s="11" t="s">
        <v>1</v>
      </c>
      <c r="AC19" s="11" t="s">
        <v>1</v>
      </c>
      <c r="AD19" s="12" t="s">
        <v>69</v>
      </c>
      <c r="AE19" s="12" t="s">
        <v>69</v>
      </c>
      <c r="AF19" s="13" t="s">
        <v>1</v>
      </c>
      <c r="AG19" s="13" t="s">
        <v>69</v>
      </c>
      <c r="AH19" s="13" t="s">
        <v>1</v>
      </c>
      <c r="AI19" s="13" t="s">
        <v>69</v>
      </c>
      <c r="AJ19" s="14" t="s">
        <v>1</v>
      </c>
      <c r="AK19" s="14" t="s">
        <v>1</v>
      </c>
      <c r="AL19" s="14" t="s">
        <v>69</v>
      </c>
      <c r="AM19" s="14" t="s">
        <v>1</v>
      </c>
      <c r="AN19" s="14" t="s">
        <v>1</v>
      </c>
      <c r="AO19" s="15" t="s">
        <v>69</v>
      </c>
      <c r="AP19" s="15" t="s">
        <v>69</v>
      </c>
      <c r="AQ19" s="15" t="s">
        <v>69</v>
      </c>
      <c r="AR19" s="15" t="s">
        <v>69</v>
      </c>
      <c r="AS19" s="16" t="s">
        <v>70</v>
      </c>
      <c r="AT19" s="16"/>
      <c r="AU19" s="16" t="s">
        <v>71</v>
      </c>
      <c r="AV19" s="16"/>
      <c r="AW19" s="17" t="s">
        <v>72</v>
      </c>
      <c r="AX19" s="17" t="s">
        <v>71</v>
      </c>
      <c r="AY19" s="17" t="s">
        <v>71</v>
      </c>
      <c r="AZ19" s="17" t="s">
        <v>71</v>
      </c>
      <c r="BA19" s="17" t="s">
        <v>72</v>
      </c>
      <c r="BB19" s="17" t="s">
        <v>741</v>
      </c>
      <c r="BC19" s="18" t="s">
        <v>1</v>
      </c>
      <c r="BD19" s="19" t="s">
        <v>91</v>
      </c>
      <c r="BE19" s="109" t="s">
        <v>742</v>
      </c>
      <c r="BF19" t="s">
        <v>1290</v>
      </c>
    </row>
    <row r="20" spans="2:58" ht="49.5" hidden="1" x14ac:dyDescent="0.25">
      <c r="B20" s="113">
        <v>2017</v>
      </c>
      <c r="C20" s="113" t="s">
        <v>73</v>
      </c>
      <c r="D20" s="113" t="s">
        <v>90</v>
      </c>
      <c r="E20" s="114">
        <v>14390100021</v>
      </c>
      <c r="F20" s="114" t="s">
        <v>743</v>
      </c>
      <c r="G20" s="3" t="s">
        <v>744</v>
      </c>
      <c r="H20" s="4" t="s">
        <v>745</v>
      </c>
      <c r="I20" s="88" t="s">
        <v>746</v>
      </c>
      <c r="J20" s="6" t="s">
        <v>92</v>
      </c>
      <c r="K20" s="6" t="s">
        <v>747</v>
      </c>
      <c r="L20" s="4" t="s">
        <v>748</v>
      </c>
      <c r="M20" s="6" t="s">
        <v>749</v>
      </c>
      <c r="N20" s="6">
        <v>5</v>
      </c>
      <c r="O20" s="6">
        <v>24</v>
      </c>
      <c r="P20" s="7" t="s">
        <v>1</v>
      </c>
      <c r="Q20" s="7" t="s">
        <v>69</v>
      </c>
      <c r="R20" s="7" t="s">
        <v>1</v>
      </c>
      <c r="S20" s="7" t="s">
        <v>1</v>
      </c>
      <c r="T20" s="7" t="s">
        <v>69</v>
      </c>
      <c r="U20" s="8" t="s">
        <v>1</v>
      </c>
      <c r="V20" s="8" t="s">
        <v>69</v>
      </c>
      <c r="W20" s="9" t="s">
        <v>1</v>
      </c>
      <c r="X20" s="9" t="s">
        <v>1</v>
      </c>
      <c r="Y20" s="10" t="s">
        <v>69</v>
      </c>
      <c r="Z20" s="10" t="s">
        <v>1</v>
      </c>
      <c r="AA20" s="11" t="s">
        <v>1</v>
      </c>
      <c r="AB20" s="11" t="s">
        <v>1</v>
      </c>
      <c r="AC20" s="11" t="s">
        <v>1</v>
      </c>
      <c r="AD20" s="12" t="s">
        <v>69</v>
      </c>
      <c r="AE20" s="12" t="s">
        <v>1</v>
      </c>
      <c r="AF20" s="13" t="s">
        <v>1</v>
      </c>
      <c r="AG20" s="13" t="s">
        <v>1</v>
      </c>
      <c r="AH20" s="13" t="s">
        <v>1</v>
      </c>
      <c r="AI20" s="13" t="s">
        <v>1</v>
      </c>
      <c r="AJ20" s="14" t="s">
        <v>1</v>
      </c>
      <c r="AK20" s="14" t="s">
        <v>1</v>
      </c>
      <c r="AL20" s="14" t="s">
        <v>69</v>
      </c>
      <c r="AM20" s="14" t="s">
        <v>1</v>
      </c>
      <c r="AN20" s="14" t="s">
        <v>1</v>
      </c>
      <c r="AO20" s="15" t="s">
        <v>1</v>
      </c>
      <c r="AP20" s="15" t="s">
        <v>1</v>
      </c>
      <c r="AQ20" s="15" t="s">
        <v>1</v>
      </c>
      <c r="AR20" s="15" t="s">
        <v>1</v>
      </c>
      <c r="AS20" s="16" t="s">
        <v>70</v>
      </c>
      <c r="AT20" s="16" t="s">
        <v>733</v>
      </c>
      <c r="AU20" s="16" t="s">
        <v>71</v>
      </c>
      <c r="AV20" s="16" t="s">
        <v>734</v>
      </c>
      <c r="AW20" s="17" t="s">
        <v>71</v>
      </c>
      <c r="AX20" s="17" t="s">
        <v>71</v>
      </c>
      <c r="AY20" s="17" t="s">
        <v>71</v>
      </c>
      <c r="AZ20" s="17" t="s">
        <v>71</v>
      </c>
      <c r="BA20" s="17" t="s">
        <v>72</v>
      </c>
      <c r="BB20" s="17" t="s">
        <v>68</v>
      </c>
      <c r="BC20" s="18" t="s">
        <v>1</v>
      </c>
      <c r="BD20" s="19" t="s">
        <v>750</v>
      </c>
      <c r="BE20" s="109" t="s">
        <v>751</v>
      </c>
      <c r="BF20" t="s">
        <v>1290</v>
      </c>
    </row>
    <row r="21" spans="2:58" ht="49.5" hidden="1" x14ac:dyDescent="0.25">
      <c r="B21" s="1">
        <v>2017</v>
      </c>
      <c r="C21" s="1" t="s">
        <v>73</v>
      </c>
      <c r="D21" s="1" t="s">
        <v>90</v>
      </c>
      <c r="E21" s="2">
        <v>14390100025</v>
      </c>
      <c r="F21" s="2" t="s">
        <v>752</v>
      </c>
      <c r="G21" s="3" t="s">
        <v>753</v>
      </c>
      <c r="H21" s="4" t="s">
        <v>754</v>
      </c>
      <c r="I21" s="88" t="s">
        <v>755</v>
      </c>
      <c r="J21" s="6" t="s">
        <v>756</v>
      </c>
      <c r="K21" s="6" t="s">
        <v>757</v>
      </c>
      <c r="L21" s="4" t="s">
        <v>758</v>
      </c>
      <c r="M21" s="6" t="s">
        <v>93</v>
      </c>
      <c r="N21" s="6">
        <v>1</v>
      </c>
      <c r="O21" s="6">
        <v>6</v>
      </c>
      <c r="P21" s="7" t="s">
        <v>1</v>
      </c>
      <c r="Q21" s="7" t="s">
        <v>1</v>
      </c>
      <c r="R21" s="7" t="s">
        <v>1</v>
      </c>
      <c r="S21" s="7" t="s">
        <v>1</v>
      </c>
      <c r="T21" s="7" t="s">
        <v>1</v>
      </c>
      <c r="U21" s="8" t="s">
        <v>1</v>
      </c>
      <c r="V21" s="8" t="s">
        <v>1</v>
      </c>
      <c r="W21" s="9" t="s">
        <v>1</v>
      </c>
      <c r="X21" s="9" t="s">
        <v>1</v>
      </c>
      <c r="Y21" s="10" t="s">
        <v>1</v>
      </c>
      <c r="Z21" s="10" t="s">
        <v>1</v>
      </c>
      <c r="AA21" s="11" t="s">
        <v>1</v>
      </c>
      <c r="AB21" s="11" t="s">
        <v>1</v>
      </c>
      <c r="AC21" s="11" t="s">
        <v>1</v>
      </c>
      <c r="AD21" s="12" t="s">
        <v>1</v>
      </c>
      <c r="AE21" s="12" t="s">
        <v>1</v>
      </c>
      <c r="AF21" s="13" t="s">
        <v>1</v>
      </c>
      <c r="AG21" s="13" t="s">
        <v>1</v>
      </c>
      <c r="AH21" s="13" t="s">
        <v>1</v>
      </c>
      <c r="AI21" s="13" t="s">
        <v>1</v>
      </c>
      <c r="AJ21" s="14" t="s">
        <v>1</v>
      </c>
      <c r="AK21" s="14" t="s">
        <v>1</v>
      </c>
      <c r="AL21" s="14" t="s">
        <v>1</v>
      </c>
      <c r="AM21" s="14" t="s">
        <v>1</v>
      </c>
      <c r="AN21" s="14" t="s">
        <v>1</v>
      </c>
      <c r="AO21" s="15" t="s">
        <v>1</v>
      </c>
      <c r="AP21" s="15" t="s">
        <v>1</v>
      </c>
      <c r="AQ21" s="15" t="s">
        <v>1</v>
      </c>
      <c r="AR21" s="15" t="s">
        <v>1</v>
      </c>
      <c r="AS21" s="16" t="s">
        <v>70</v>
      </c>
      <c r="AT21" s="16" t="s">
        <v>68</v>
      </c>
      <c r="AU21" s="16" t="s">
        <v>71</v>
      </c>
      <c r="AV21" s="16" t="s">
        <v>68</v>
      </c>
      <c r="AW21" s="17" t="s">
        <v>72</v>
      </c>
      <c r="AX21" s="17" t="s">
        <v>72</v>
      </c>
      <c r="AY21" s="17" t="s">
        <v>71</v>
      </c>
      <c r="AZ21" s="17" t="s">
        <v>72</v>
      </c>
      <c r="BA21" s="17" t="s">
        <v>72</v>
      </c>
      <c r="BB21" s="89" t="s">
        <v>759</v>
      </c>
      <c r="BC21" s="18" t="s">
        <v>1</v>
      </c>
      <c r="BD21" s="19" t="s">
        <v>94</v>
      </c>
      <c r="BE21" s="109" t="s">
        <v>68</v>
      </c>
      <c r="BF21" t="s">
        <v>1290</v>
      </c>
    </row>
    <row r="22" spans="2:58" ht="49.5" hidden="1" x14ac:dyDescent="0.25">
      <c r="B22" s="1">
        <v>2017</v>
      </c>
      <c r="C22" s="1" t="s">
        <v>73</v>
      </c>
      <c r="D22" s="1" t="s">
        <v>90</v>
      </c>
      <c r="E22" s="2">
        <v>14390100016</v>
      </c>
      <c r="F22" s="2" t="s">
        <v>1074</v>
      </c>
      <c r="G22" s="3" t="s">
        <v>68</v>
      </c>
      <c r="H22" s="4">
        <v>315947505</v>
      </c>
      <c r="I22" s="88" t="s">
        <v>68</v>
      </c>
      <c r="J22" s="6" t="s">
        <v>1075</v>
      </c>
      <c r="K22" s="6" t="s">
        <v>1076</v>
      </c>
      <c r="L22" s="4">
        <v>315947505</v>
      </c>
      <c r="M22" s="6" t="s">
        <v>74</v>
      </c>
      <c r="N22" s="6">
        <v>2</v>
      </c>
      <c r="O22" s="6">
        <v>12</v>
      </c>
      <c r="P22" s="7" t="s">
        <v>69</v>
      </c>
      <c r="Q22" s="7" t="s">
        <v>69</v>
      </c>
      <c r="R22" s="7" t="s">
        <v>69</v>
      </c>
      <c r="S22" s="7" t="s">
        <v>69</v>
      </c>
      <c r="T22" s="7" t="s">
        <v>69</v>
      </c>
      <c r="U22" s="8" t="s">
        <v>1</v>
      </c>
      <c r="V22" s="8" t="s">
        <v>69</v>
      </c>
      <c r="W22" s="9" t="s">
        <v>69</v>
      </c>
      <c r="X22" s="9" t="s">
        <v>69</v>
      </c>
      <c r="Y22" s="10" t="s">
        <v>1</v>
      </c>
      <c r="Z22" s="10" t="s">
        <v>69</v>
      </c>
      <c r="AA22" s="11" t="s">
        <v>69</v>
      </c>
      <c r="AB22" s="11" t="s">
        <v>69</v>
      </c>
      <c r="AC22" s="11" t="s">
        <v>69</v>
      </c>
      <c r="AD22" s="12" t="s">
        <v>69</v>
      </c>
      <c r="AE22" s="12" t="s">
        <v>69</v>
      </c>
      <c r="AF22" s="13" t="s">
        <v>69</v>
      </c>
      <c r="AG22" s="13" t="s">
        <v>69</v>
      </c>
      <c r="AH22" s="13" t="s">
        <v>1</v>
      </c>
      <c r="AI22" s="13" t="s">
        <v>69</v>
      </c>
      <c r="AJ22" s="14" t="s">
        <v>69</v>
      </c>
      <c r="AK22" s="14" t="s">
        <v>69</v>
      </c>
      <c r="AL22" s="14" t="s">
        <v>69</v>
      </c>
      <c r="AM22" s="14" t="s">
        <v>69</v>
      </c>
      <c r="AN22" s="14" t="s">
        <v>69</v>
      </c>
      <c r="AO22" s="15" t="s">
        <v>69</v>
      </c>
      <c r="AP22" s="15" t="s">
        <v>1</v>
      </c>
      <c r="AQ22" s="15" t="s">
        <v>69</v>
      </c>
      <c r="AR22" s="15" t="s">
        <v>69</v>
      </c>
      <c r="AS22" s="16" t="s">
        <v>76</v>
      </c>
      <c r="AT22" s="16" t="s">
        <v>68</v>
      </c>
      <c r="AU22" s="16" t="s">
        <v>72</v>
      </c>
      <c r="AV22" s="16" t="s">
        <v>68</v>
      </c>
      <c r="AW22" s="17" t="s">
        <v>71</v>
      </c>
      <c r="AX22" s="17" t="s">
        <v>71</v>
      </c>
      <c r="AY22" s="17" t="s">
        <v>72</v>
      </c>
      <c r="AZ22" s="17" t="s">
        <v>72</v>
      </c>
      <c r="BA22" s="17" t="s">
        <v>71</v>
      </c>
      <c r="BB22" s="17" t="s">
        <v>68</v>
      </c>
      <c r="BC22" s="18" t="s">
        <v>645</v>
      </c>
      <c r="BD22" s="19" t="s">
        <v>89</v>
      </c>
      <c r="BE22" s="109" t="s">
        <v>68</v>
      </c>
      <c r="BF22" t="s">
        <v>1290</v>
      </c>
    </row>
    <row r="23" spans="2:58" ht="66" hidden="1" x14ac:dyDescent="0.25">
      <c r="B23" s="113">
        <v>2018</v>
      </c>
      <c r="C23" s="113" t="s">
        <v>1240</v>
      </c>
      <c r="D23" s="130" t="s">
        <v>90</v>
      </c>
      <c r="E23" s="124">
        <v>14390100012</v>
      </c>
      <c r="F23" s="117" t="s">
        <v>1273</v>
      </c>
      <c r="G23" s="3" t="s">
        <v>1276</v>
      </c>
      <c r="H23" s="4" t="s">
        <v>1277</v>
      </c>
      <c r="I23" s="131" t="s">
        <v>1278</v>
      </c>
      <c r="J23" s="6" t="s">
        <v>1274</v>
      </c>
      <c r="K23" s="6" t="s">
        <v>1275</v>
      </c>
      <c r="L23" s="4" t="s">
        <v>1277</v>
      </c>
      <c r="M23" s="6" t="s">
        <v>1279</v>
      </c>
      <c r="N23" s="6">
        <v>5</v>
      </c>
      <c r="O23" s="6">
        <v>12</v>
      </c>
      <c r="P23" s="7" t="s">
        <v>1</v>
      </c>
      <c r="Q23" s="7" t="s">
        <v>1</v>
      </c>
      <c r="R23" s="7" t="s">
        <v>69</v>
      </c>
      <c r="S23" s="7" t="s">
        <v>1</v>
      </c>
      <c r="T23" s="7" t="s">
        <v>1</v>
      </c>
      <c r="U23" s="8" t="s">
        <v>69</v>
      </c>
      <c r="V23" s="8" t="s">
        <v>69</v>
      </c>
      <c r="W23" s="9" t="s">
        <v>1</v>
      </c>
      <c r="X23" s="9" t="s">
        <v>1</v>
      </c>
      <c r="Y23" s="10" t="s">
        <v>1</v>
      </c>
      <c r="Z23" s="10" t="s">
        <v>1</v>
      </c>
      <c r="AA23" s="11" t="s">
        <v>1</v>
      </c>
      <c r="AB23" s="11" t="s">
        <v>1</v>
      </c>
      <c r="AC23" s="11" t="s">
        <v>1</v>
      </c>
      <c r="AD23" s="12" t="s">
        <v>69</v>
      </c>
      <c r="AE23" s="12" t="s">
        <v>69</v>
      </c>
      <c r="AF23" s="13" t="s">
        <v>1</v>
      </c>
      <c r="AG23" s="13" t="s">
        <v>1</v>
      </c>
      <c r="AH23" s="13" t="s">
        <v>1</v>
      </c>
      <c r="AI23" s="13" t="s">
        <v>1</v>
      </c>
      <c r="AJ23" s="14" t="s">
        <v>1</v>
      </c>
      <c r="AK23" s="14" t="s">
        <v>1</v>
      </c>
      <c r="AL23" s="14" t="s">
        <v>1</v>
      </c>
      <c r="AM23" s="14" t="s">
        <v>1</v>
      </c>
      <c r="AN23" s="14" t="s">
        <v>1</v>
      </c>
      <c r="AO23" s="15" t="s">
        <v>1</v>
      </c>
      <c r="AP23" s="15" t="s">
        <v>1</v>
      </c>
      <c r="AQ23" s="15" t="s">
        <v>1</v>
      </c>
      <c r="AR23" s="15" t="s">
        <v>1</v>
      </c>
      <c r="AS23" s="16" t="s">
        <v>70</v>
      </c>
      <c r="AT23" s="16" t="s">
        <v>579</v>
      </c>
      <c r="AU23" s="16" t="s">
        <v>71</v>
      </c>
      <c r="AV23" s="16" t="s">
        <v>580</v>
      </c>
      <c r="AW23" s="17" t="s">
        <v>72</v>
      </c>
      <c r="AX23" s="17" t="s">
        <v>72</v>
      </c>
      <c r="AY23" s="17" t="s">
        <v>71</v>
      </c>
      <c r="AZ23" s="17" t="s">
        <v>71</v>
      </c>
      <c r="BA23" s="17" t="s">
        <v>71</v>
      </c>
      <c r="BB23" s="17" t="s">
        <v>581</v>
      </c>
      <c r="BC23" s="18" t="s">
        <v>1</v>
      </c>
      <c r="BD23" s="19" t="s">
        <v>1281</v>
      </c>
      <c r="BE23" s="20" t="s">
        <v>1280</v>
      </c>
      <c r="BF23" t="s">
        <v>1290</v>
      </c>
    </row>
    <row r="24" spans="2:58" ht="16.5" hidden="1" x14ac:dyDescent="0.25">
      <c r="B24" s="87">
        <v>2019</v>
      </c>
      <c r="C24" s="1" t="s">
        <v>73</v>
      </c>
      <c r="D24" s="87" t="s">
        <v>90</v>
      </c>
      <c r="E24" s="91">
        <v>16390100014</v>
      </c>
      <c r="F24" s="91" t="s">
        <v>1311</v>
      </c>
      <c r="G24" s="3" t="s">
        <v>1283</v>
      </c>
      <c r="H24" s="136" t="s">
        <v>68</v>
      </c>
      <c r="I24" s="137" t="s">
        <v>68</v>
      </c>
      <c r="J24" s="3" t="s">
        <v>1314</v>
      </c>
      <c r="K24" s="136" t="s">
        <v>1317</v>
      </c>
      <c r="L24" s="136" t="s">
        <v>68</v>
      </c>
      <c r="M24" s="136" t="s">
        <v>1338</v>
      </c>
      <c r="N24" s="6">
        <v>1</v>
      </c>
      <c r="O24" s="6">
        <v>3</v>
      </c>
      <c r="P24" s="7" t="s">
        <v>1</v>
      </c>
      <c r="Q24" s="7" t="s">
        <v>69</v>
      </c>
      <c r="R24" s="7" t="s">
        <v>1</v>
      </c>
      <c r="S24" s="7" t="s">
        <v>1</v>
      </c>
      <c r="T24" s="7" t="s">
        <v>1</v>
      </c>
      <c r="U24" s="8" t="s">
        <v>69</v>
      </c>
      <c r="V24" s="8" t="s">
        <v>1</v>
      </c>
      <c r="W24" s="9" t="s">
        <v>1</v>
      </c>
      <c r="X24" s="9" t="s">
        <v>1</v>
      </c>
      <c r="Y24" s="10" t="s">
        <v>1</v>
      </c>
      <c r="Z24" s="10" t="s">
        <v>1</v>
      </c>
      <c r="AA24" s="11" t="s">
        <v>1</v>
      </c>
      <c r="AB24" s="11" t="s">
        <v>1</v>
      </c>
      <c r="AC24" s="11" t="s">
        <v>1</v>
      </c>
      <c r="AD24" s="12" t="s">
        <v>1</v>
      </c>
      <c r="AE24" s="12" t="s">
        <v>1</v>
      </c>
      <c r="AF24" s="13" t="s">
        <v>1</v>
      </c>
      <c r="AG24" s="13" t="s">
        <v>1</v>
      </c>
      <c r="AH24" s="13" t="s">
        <v>1</v>
      </c>
      <c r="AI24" s="13" t="s">
        <v>1</v>
      </c>
      <c r="AJ24" s="14" t="s">
        <v>69</v>
      </c>
      <c r="AK24" s="14" t="s">
        <v>1</v>
      </c>
      <c r="AL24" s="14" t="s">
        <v>69</v>
      </c>
      <c r="AM24" s="14" t="s">
        <v>1</v>
      </c>
      <c r="AN24" s="14" t="s">
        <v>1</v>
      </c>
      <c r="AO24" s="15" t="s">
        <v>1</v>
      </c>
      <c r="AP24" s="15" t="s">
        <v>1</v>
      </c>
      <c r="AQ24" s="15" t="s">
        <v>1</v>
      </c>
      <c r="AR24" s="15" t="s">
        <v>1</v>
      </c>
      <c r="AS24" s="16" t="s">
        <v>71</v>
      </c>
      <c r="AT24" s="16" t="s">
        <v>1246</v>
      </c>
      <c r="AU24" s="16" t="s">
        <v>71</v>
      </c>
      <c r="AV24" s="16" t="s">
        <v>68</v>
      </c>
      <c r="AW24" s="17" t="s">
        <v>71</v>
      </c>
      <c r="AX24" s="17" t="s">
        <v>71</v>
      </c>
      <c r="AY24" s="17" t="s">
        <v>71</v>
      </c>
      <c r="AZ24" s="17" t="s">
        <v>71</v>
      </c>
      <c r="BA24" s="17" t="s">
        <v>72</v>
      </c>
      <c r="BB24" s="17" t="s">
        <v>68</v>
      </c>
      <c r="BC24" s="18" t="s">
        <v>69</v>
      </c>
      <c r="BD24" s="19" t="s">
        <v>68</v>
      </c>
      <c r="BE24" s="20" t="s">
        <v>1247</v>
      </c>
      <c r="BF24" t="s">
        <v>1290</v>
      </c>
    </row>
    <row r="25" spans="2:58" ht="66" x14ac:dyDescent="0.25">
      <c r="B25" s="87">
        <v>2020</v>
      </c>
      <c r="C25" s="1" t="s">
        <v>73</v>
      </c>
      <c r="D25" s="87" t="s">
        <v>90</v>
      </c>
      <c r="E25" s="91">
        <v>17390100015</v>
      </c>
      <c r="F25" s="91" t="s">
        <v>1282</v>
      </c>
      <c r="G25" s="3" t="s">
        <v>1283</v>
      </c>
      <c r="H25" s="4" t="s">
        <v>1287</v>
      </c>
      <c r="I25" s="131" t="s">
        <v>1286</v>
      </c>
      <c r="J25" s="3" t="s">
        <v>1284</v>
      </c>
      <c r="K25" s="6" t="s">
        <v>1285</v>
      </c>
      <c r="L25" s="4" t="s">
        <v>1287</v>
      </c>
      <c r="M25" s="6" t="s">
        <v>1288</v>
      </c>
      <c r="N25" s="6">
        <v>1</v>
      </c>
      <c r="O25" s="6">
        <v>6</v>
      </c>
      <c r="P25" s="24" t="s">
        <v>69</v>
      </c>
      <c r="Q25" s="24" t="s">
        <v>1</v>
      </c>
      <c r="R25" s="24" t="s">
        <v>1</v>
      </c>
      <c r="S25" s="24" t="s">
        <v>1</v>
      </c>
      <c r="T25" s="24" t="s">
        <v>1</v>
      </c>
      <c r="U25" s="25" t="s">
        <v>69</v>
      </c>
      <c r="V25" s="25" t="s">
        <v>1</v>
      </c>
      <c r="W25" s="9" t="s">
        <v>1</v>
      </c>
      <c r="X25" s="9" t="s">
        <v>1</v>
      </c>
      <c r="Y25" s="10" t="s">
        <v>69</v>
      </c>
      <c r="Z25" s="10" t="s">
        <v>69</v>
      </c>
      <c r="AA25" s="11" t="s">
        <v>1</v>
      </c>
      <c r="AB25" s="11" t="s">
        <v>1</v>
      </c>
      <c r="AC25" s="11" t="s">
        <v>1</v>
      </c>
      <c r="AD25" s="12" t="s">
        <v>1</v>
      </c>
      <c r="AE25" s="12" t="s">
        <v>1</v>
      </c>
      <c r="AF25" s="13" t="s">
        <v>1</v>
      </c>
      <c r="AG25" s="13" t="s">
        <v>1</v>
      </c>
      <c r="AH25" s="13" t="s">
        <v>75</v>
      </c>
      <c r="AI25" s="13" t="s">
        <v>75</v>
      </c>
      <c r="AJ25" s="31" t="s">
        <v>1</v>
      </c>
      <c r="AK25" s="31" t="s">
        <v>1</v>
      </c>
      <c r="AL25" s="31" t="s">
        <v>69</v>
      </c>
      <c r="AM25" s="31" t="s">
        <v>1</v>
      </c>
      <c r="AN25" s="31" t="s">
        <v>1</v>
      </c>
      <c r="AO25" s="32" t="s">
        <v>1</v>
      </c>
      <c r="AP25" s="32" t="s">
        <v>1</v>
      </c>
      <c r="AQ25" s="32" t="s">
        <v>69</v>
      </c>
      <c r="AR25" s="32" t="s">
        <v>1</v>
      </c>
      <c r="AS25" s="16" t="s">
        <v>70</v>
      </c>
      <c r="AT25" s="16" t="s">
        <v>70</v>
      </c>
      <c r="AU25" s="16" t="s">
        <v>71</v>
      </c>
      <c r="AV25" s="16" t="s">
        <v>71</v>
      </c>
      <c r="AW25" s="17" t="s">
        <v>71</v>
      </c>
      <c r="AX25" s="17" t="s">
        <v>71</v>
      </c>
      <c r="AY25" s="17" t="s">
        <v>71</v>
      </c>
      <c r="AZ25" s="34" t="s">
        <v>72</v>
      </c>
      <c r="BA25" s="17" t="s">
        <v>69</v>
      </c>
      <c r="BB25" s="17" t="s">
        <v>68</v>
      </c>
      <c r="BC25" s="18" t="s">
        <v>68</v>
      </c>
      <c r="BD25" s="19" t="s">
        <v>68</v>
      </c>
      <c r="BE25" s="20" t="s">
        <v>68</v>
      </c>
      <c r="BF25" t="s">
        <v>1290</v>
      </c>
    </row>
    <row r="26" spans="2:58" ht="66" hidden="1" x14ac:dyDescent="0.25">
      <c r="B26" s="1">
        <v>2016</v>
      </c>
      <c r="C26" s="1" t="s">
        <v>73</v>
      </c>
      <c r="D26" s="1" t="s">
        <v>90</v>
      </c>
      <c r="E26" s="2">
        <v>13390100021</v>
      </c>
      <c r="F26" s="2" t="s">
        <v>120</v>
      </c>
      <c r="G26" s="3" t="s">
        <v>121</v>
      </c>
      <c r="H26" s="4" t="s">
        <v>122</v>
      </c>
      <c r="I26" s="5"/>
      <c r="J26" s="6" t="s">
        <v>123</v>
      </c>
      <c r="K26" s="6" t="s">
        <v>124</v>
      </c>
      <c r="L26" s="6"/>
      <c r="M26" s="6" t="s">
        <v>125</v>
      </c>
      <c r="N26" s="6">
        <v>1</v>
      </c>
      <c r="O26" s="6">
        <v>12</v>
      </c>
      <c r="P26" s="7" t="s">
        <v>1</v>
      </c>
      <c r="Q26" s="7" t="s">
        <v>69</v>
      </c>
      <c r="R26" s="7" t="s">
        <v>1</v>
      </c>
      <c r="S26" s="7" t="s">
        <v>69</v>
      </c>
      <c r="T26" s="7" t="s">
        <v>69</v>
      </c>
      <c r="U26" s="8" t="s">
        <v>1</v>
      </c>
      <c r="V26" s="8" t="s">
        <v>1</v>
      </c>
      <c r="W26" s="9" t="s">
        <v>1</v>
      </c>
      <c r="X26" s="9" t="s">
        <v>1</v>
      </c>
      <c r="Y26" s="10" t="s">
        <v>69</v>
      </c>
      <c r="Z26" s="10" t="s">
        <v>1</v>
      </c>
      <c r="AA26" s="11" t="s">
        <v>69</v>
      </c>
      <c r="AB26" s="11" t="s">
        <v>1</v>
      </c>
      <c r="AC26" s="11" t="s">
        <v>1</v>
      </c>
      <c r="AD26" s="12" t="s">
        <v>1</v>
      </c>
      <c r="AE26" s="12" t="s">
        <v>1</v>
      </c>
      <c r="AF26" s="13" t="s">
        <v>69</v>
      </c>
      <c r="AG26" s="13" t="s">
        <v>1</v>
      </c>
      <c r="AH26" s="13" t="s">
        <v>69</v>
      </c>
      <c r="AI26" s="13" t="s">
        <v>1</v>
      </c>
      <c r="AJ26" s="14" t="s">
        <v>1</v>
      </c>
      <c r="AK26" s="14" t="s">
        <v>69</v>
      </c>
      <c r="AL26" s="14" t="s">
        <v>1</v>
      </c>
      <c r="AM26" s="14" t="s">
        <v>1</v>
      </c>
      <c r="AN26" s="14" t="s">
        <v>1</v>
      </c>
      <c r="AO26" s="15" t="s">
        <v>1</v>
      </c>
      <c r="AP26" s="15" t="s">
        <v>1</v>
      </c>
      <c r="AQ26" s="15" t="s">
        <v>1</v>
      </c>
      <c r="AR26" s="15" t="s">
        <v>1</v>
      </c>
      <c r="AS26" s="16" t="s">
        <v>70</v>
      </c>
      <c r="AT26" s="16"/>
      <c r="AU26" s="16" t="s">
        <v>71</v>
      </c>
      <c r="AV26" s="16"/>
      <c r="AW26" s="17" t="s">
        <v>72</v>
      </c>
      <c r="AX26" s="17" t="s">
        <v>72</v>
      </c>
      <c r="AY26" s="17" t="s">
        <v>72</v>
      </c>
      <c r="AZ26" s="17" t="s">
        <v>71</v>
      </c>
      <c r="BA26" s="17" t="s">
        <v>72</v>
      </c>
      <c r="BB26" s="17"/>
      <c r="BC26" s="18" t="s">
        <v>1</v>
      </c>
      <c r="BD26" s="19" t="s">
        <v>94</v>
      </c>
      <c r="BE26" s="20" t="s">
        <v>126</v>
      </c>
      <c r="BF26" t="s">
        <v>1290</v>
      </c>
    </row>
    <row r="27" spans="2:58" ht="66" x14ac:dyDescent="0.25">
      <c r="B27" s="87">
        <v>2020</v>
      </c>
      <c r="C27" s="1" t="s">
        <v>73</v>
      </c>
      <c r="D27" s="87" t="s">
        <v>90</v>
      </c>
      <c r="E27" s="91">
        <v>17390100015</v>
      </c>
      <c r="F27" s="91" t="s">
        <v>1282</v>
      </c>
      <c r="G27" s="3" t="s">
        <v>1283</v>
      </c>
      <c r="H27" s="4" t="s">
        <v>1287</v>
      </c>
      <c r="I27" s="131" t="s">
        <v>1286</v>
      </c>
      <c r="J27" s="3" t="s">
        <v>1284</v>
      </c>
      <c r="K27" s="6" t="s">
        <v>1285</v>
      </c>
      <c r="L27" s="4" t="s">
        <v>1287</v>
      </c>
      <c r="M27" s="6" t="s">
        <v>1288</v>
      </c>
      <c r="N27" s="6">
        <v>1</v>
      </c>
      <c r="O27" s="6">
        <v>6</v>
      </c>
      <c r="P27" s="24" t="s">
        <v>69</v>
      </c>
      <c r="Q27" s="24" t="s">
        <v>1</v>
      </c>
      <c r="R27" s="24" t="s">
        <v>1</v>
      </c>
      <c r="S27" s="24" t="s">
        <v>1</v>
      </c>
      <c r="T27" s="24" t="s">
        <v>1</v>
      </c>
      <c r="U27" s="25" t="s">
        <v>69</v>
      </c>
      <c r="V27" s="25" t="s">
        <v>1</v>
      </c>
      <c r="W27" s="9" t="s">
        <v>1</v>
      </c>
      <c r="X27" s="9" t="s">
        <v>1</v>
      </c>
      <c r="Y27" s="10" t="s">
        <v>69</v>
      </c>
      <c r="Z27" s="10" t="s">
        <v>69</v>
      </c>
      <c r="AA27" s="11" t="s">
        <v>1</v>
      </c>
      <c r="AB27" s="11" t="s">
        <v>1</v>
      </c>
      <c r="AC27" s="11" t="s">
        <v>1</v>
      </c>
      <c r="AD27" s="12" t="s">
        <v>1</v>
      </c>
      <c r="AE27" s="12" t="s">
        <v>1</v>
      </c>
      <c r="AF27" s="13" t="s">
        <v>1</v>
      </c>
      <c r="AG27" s="13" t="s">
        <v>1</v>
      </c>
      <c r="AH27" s="13" t="s">
        <v>75</v>
      </c>
      <c r="AI27" s="13" t="s">
        <v>75</v>
      </c>
      <c r="AJ27" s="31" t="s">
        <v>1</v>
      </c>
      <c r="AK27" s="31" t="s">
        <v>1</v>
      </c>
      <c r="AL27" s="31" t="s">
        <v>69</v>
      </c>
      <c r="AM27" s="31" t="s">
        <v>1</v>
      </c>
      <c r="AN27" s="31" t="s">
        <v>1</v>
      </c>
      <c r="AO27" s="32" t="s">
        <v>1</v>
      </c>
      <c r="AP27" s="32" t="s">
        <v>1</v>
      </c>
      <c r="AQ27" s="32" t="s">
        <v>69</v>
      </c>
      <c r="AR27" s="32" t="s">
        <v>1</v>
      </c>
      <c r="AS27" s="16" t="s">
        <v>70</v>
      </c>
      <c r="AT27" s="16" t="s">
        <v>70</v>
      </c>
      <c r="AU27" s="16" t="s">
        <v>71</v>
      </c>
      <c r="AV27" s="16" t="s">
        <v>71</v>
      </c>
      <c r="AW27" s="17" t="s">
        <v>71</v>
      </c>
      <c r="AX27" s="17" t="s">
        <v>71</v>
      </c>
      <c r="AY27" s="17" t="s">
        <v>71</v>
      </c>
      <c r="AZ27" s="34" t="s">
        <v>72</v>
      </c>
      <c r="BA27" s="17" t="s">
        <v>69</v>
      </c>
      <c r="BB27" s="17" t="s">
        <v>68</v>
      </c>
      <c r="BC27" s="18" t="s">
        <v>68</v>
      </c>
      <c r="BD27" s="19" t="s">
        <v>68</v>
      </c>
      <c r="BE27" s="20" t="s">
        <v>68</v>
      </c>
      <c r="BF27" t="s">
        <v>1290</v>
      </c>
    </row>
    <row r="28" spans="2:58" ht="66" hidden="1" x14ac:dyDescent="0.25">
      <c r="B28" s="1">
        <v>2016</v>
      </c>
      <c r="C28" s="1" t="s">
        <v>73</v>
      </c>
      <c r="D28" s="1" t="s">
        <v>90</v>
      </c>
      <c r="E28" s="2">
        <v>13390100021</v>
      </c>
      <c r="F28" s="2" t="s">
        <v>120</v>
      </c>
      <c r="G28" s="3" t="s">
        <v>121</v>
      </c>
      <c r="H28" s="4" t="s">
        <v>122</v>
      </c>
      <c r="I28" s="5"/>
      <c r="J28" s="6" t="s">
        <v>123</v>
      </c>
      <c r="K28" s="6" t="s">
        <v>124</v>
      </c>
      <c r="L28" s="6"/>
      <c r="M28" s="6" t="s">
        <v>125</v>
      </c>
      <c r="N28" s="6">
        <v>1</v>
      </c>
      <c r="O28" s="6">
        <v>12</v>
      </c>
      <c r="P28" s="7" t="s">
        <v>1</v>
      </c>
      <c r="Q28" s="7" t="s">
        <v>69</v>
      </c>
      <c r="R28" s="7" t="s">
        <v>1</v>
      </c>
      <c r="S28" s="7" t="s">
        <v>69</v>
      </c>
      <c r="T28" s="7" t="s">
        <v>69</v>
      </c>
      <c r="U28" s="8" t="s">
        <v>1</v>
      </c>
      <c r="V28" s="8" t="s">
        <v>1</v>
      </c>
      <c r="W28" s="9" t="s">
        <v>1</v>
      </c>
      <c r="X28" s="9" t="s">
        <v>1</v>
      </c>
      <c r="Y28" s="10" t="s">
        <v>69</v>
      </c>
      <c r="Z28" s="10" t="s">
        <v>1</v>
      </c>
      <c r="AA28" s="11" t="s">
        <v>69</v>
      </c>
      <c r="AB28" s="11" t="s">
        <v>1</v>
      </c>
      <c r="AC28" s="11" t="s">
        <v>1</v>
      </c>
      <c r="AD28" s="12" t="s">
        <v>1</v>
      </c>
      <c r="AE28" s="12" t="s">
        <v>1</v>
      </c>
      <c r="AF28" s="13" t="s">
        <v>69</v>
      </c>
      <c r="AG28" s="13" t="s">
        <v>1</v>
      </c>
      <c r="AH28" s="13" t="s">
        <v>69</v>
      </c>
      <c r="AI28" s="13" t="s">
        <v>1</v>
      </c>
      <c r="AJ28" s="14" t="s">
        <v>1</v>
      </c>
      <c r="AK28" s="14" t="s">
        <v>69</v>
      </c>
      <c r="AL28" s="14" t="s">
        <v>1</v>
      </c>
      <c r="AM28" s="14" t="s">
        <v>1</v>
      </c>
      <c r="AN28" s="14" t="s">
        <v>1</v>
      </c>
      <c r="AO28" s="15" t="s">
        <v>1</v>
      </c>
      <c r="AP28" s="15" t="s">
        <v>1</v>
      </c>
      <c r="AQ28" s="15" t="s">
        <v>1</v>
      </c>
      <c r="AR28" s="15" t="s">
        <v>1</v>
      </c>
      <c r="AS28" s="16" t="s">
        <v>70</v>
      </c>
      <c r="AT28" s="16"/>
      <c r="AU28" s="16" t="s">
        <v>71</v>
      </c>
      <c r="AV28" s="16"/>
      <c r="AW28" s="17" t="s">
        <v>72</v>
      </c>
      <c r="AX28" s="17" t="s">
        <v>72</v>
      </c>
      <c r="AY28" s="17" t="s">
        <v>72</v>
      </c>
      <c r="AZ28" s="17" t="s">
        <v>71</v>
      </c>
      <c r="BA28" s="17" t="s">
        <v>72</v>
      </c>
      <c r="BB28" s="17"/>
      <c r="BC28" s="18" t="s">
        <v>1</v>
      </c>
      <c r="BD28" s="19" t="s">
        <v>94</v>
      </c>
      <c r="BE28" s="20" t="s">
        <v>126</v>
      </c>
      <c r="BF28" t="s">
        <v>1290</v>
      </c>
    </row>
    <row r="30" spans="2:58" ht="23.25" x14ac:dyDescent="0.35">
      <c r="B30" s="63"/>
    </row>
    <row r="31" spans="2:58" ht="17.25" hidden="1" thickBot="1" x14ac:dyDescent="0.3">
      <c r="B31" s="64" t="s">
        <v>14</v>
      </c>
      <c r="C31" s="65" t="s">
        <v>1289</v>
      </c>
    </row>
    <row r="32" spans="2:58" ht="17.25" hidden="1" thickBot="1" x14ac:dyDescent="0.3">
      <c r="B32" s="64" t="s">
        <v>647</v>
      </c>
      <c r="C32" s="65">
        <v>2020</v>
      </c>
      <c r="D32" s="65">
        <v>2019</v>
      </c>
      <c r="E32" s="65">
        <v>2018</v>
      </c>
      <c r="F32" s="65">
        <v>2017</v>
      </c>
      <c r="G32" s="65">
        <v>2016</v>
      </c>
    </row>
    <row r="33" spans="2:7" ht="17.25" hidden="1" thickBot="1" x14ac:dyDescent="0.3">
      <c r="B33" s="64" t="s">
        <v>646</v>
      </c>
      <c r="C33" s="65">
        <f>COUNTIF(TblUniv201968[th lulus],C32)+COUNTIF(TblUniv201968[th lulus],D32)+COUNTIF(TblUniv201968[th lulus],E32)+COUNTIF(TblUniv201968[th lulus],F32)+COUNTIF(TblUniv201968[th lulus],G32)</f>
        <v>26</v>
      </c>
    </row>
    <row r="34" spans="2:7" ht="16.5" hidden="1" x14ac:dyDescent="0.3">
      <c r="B34" s="55"/>
      <c r="C34" s="56" t="s">
        <v>69</v>
      </c>
      <c r="D34" s="56" t="s">
        <v>1</v>
      </c>
      <c r="E34" s="56" t="s">
        <v>75</v>
      </c>
      <c r="F34" s="56" t="s">
        <v>168</v>
      </c>
      <c r="G34" s="56"/>
    </row>
    <row r="35" spans="2:7" ht="16.5" hidden="1" x14ac:dyDescent="0.3">
      <c r="B35" s="57" t="s">
        <v>26</v>
      </c>
      <c r="C35" s="66">
        <f>COUNTIFS(TblUniv201968[B1],$C$34)/$C$33*100%</f>
        <v>0.34615384615384615</v>
      </c>
      <c r="D35" s="66">
        <f>COUNTIFS(TblUniv201968[B1],$D$34)/C33*100%</f>
        <v>0.65384615384615385</v>
      </c>
      <c r="E35" s="66">
        <f>COUNTIFS(TblUniv201968[B1],$E$34)/C33*100%</f>
        <v>0</v>
      </c>
      <c r="F35" s="66">
        <f>COUNTIFS(TblUniv201968[B1],$F$34)/C33*100%</f>
        <v>0</v>
      </c>
      <c r="G35" s="62">
        <f t="shared" ref="G35:G72" si="0">SUM(C35:F35)</f>
        <v>1</v>
      </c>
    </row>
    <row r="36" spans="2:7" ht="16.5" hidden="1" x14ac:dyDescent="0.3">
      <c r="B36" s="57" t="s">
        <v>27</v>
      </c>
      <c r="C36" s="66">
        <f>COUNTIFS(TblUniv201968[B2],$C$34)/C33*100%</f>
        <v>0.5</v>
      </c>
      <c r="D36" s="66">
        <f>COUNTIFS(TblUniv201968[B2],$D$34)/C33*100%</f>
        <v>0.5</v>
      </c>
      <c r="E36" s="66">
        <f>COUNTIFS(TblUniv201968[B2],$E$34)/C33*100%</f>
        <v>0</v>
      </c>
      <c r="F36" s="66">
        <f>COUNTIFS(TblUniv201968[B2],$F$34)/C33*100%</f>
        <v>0</v>
      </c>
      <c r="G36" s="62">
        <f t="shared" si="0"/>
        <v>1</v>
      </c>
    </row>
    <row r="37" spans="2:7" ht="16.5" hidden="1" x14ac:dyDescent="0.3">
      <c r="B37" s="57" t="s">
        <v>28</v>
      </c>
      <c r="C37" s="66">
        <f>COUNTIFS(TblUniv201968[B3],$C$34)/C33*100%</f>
        <v>0.23076923076923078</v>
      </c>
      <c r="D37" s="66">
        <f>COUNTIFS(TblUniv201968[B3],$D$34)/C33*100%</f>
        <v>0.76923076923076927</v>
      </c>
      <c r="E37" s="66">
        <f>COUNTIFS(TblUniv201968[B3],$E$34)/C33*100%</f>
        <v>0</v>
      </c>
      <c r="F37" s="66">
        <f>COUNTIFS(TblUniv201968[B3],$F$34)/C33*100%</f>
        <v>0</v>
      </c>
      <c r="G37" s="62">
        <f t="shared" si="0"/>
        <v>1</v>
      </c>
    </row>
    <row r="38" spans="2:7" ht="16.5" hidden="1" x14ac:dyDescent="0.3">
      <c r="B38" s="57" t="s">
        <v>29</v>
      </c>
      <c r="C38" s="66">
        <f>COUNTIFS(TblUniv201968[B4],$C$34)/C33*100%</f>
        <v>0.19230769230769232</v>
      </c>
      <c r="D38" s="66">
        <f>COUNTIFS(TblUniv201968[B4],$D$34)/C33*100%</f>
        <v>0.80769230769230771</v>
      </c>
      <c r="E38" s="66">
        <f>COUNTIFS(TblUniv201968[B4],$E$34)/C33*100%</f>
        <v>0</v>
      </c>
      <c r="F38" s="66">
        <f>COUNTIFS(TblUniv201968[B4],$F$34)/C33*100%</f>
        <v>0</v>
      </c>
      <c r="G38" s="62">
        <f t="shared" si="0"/>
        <v>1</v>
      </c>
    </row>
    <row r="39" spans="2:7" ht="16.5" hidden="1" x14ac:dyDescent="0.3">
      <c r="B39" s="57" t="s">
        <v>30</v>
      </c>
      <c r="C39" s="66">
        <f>COUNTIFS(TblUniv201968[B5],$C$34)/C33*100%</f>
        <v>0.5</v>
      </c>
      <c r="D39" s="66">
        <f>COUNTIFS(TblUniv201968[B5],$D$34)/C33*100%</f>
        <v>0.5</v>
      </c>
      <c r="E39" s="66">
        <f>COUNTIFS(TblUniv201968[B5],$E$34)/C33*100%</f>
        <v>0</v>
      </c>
      <c r="F39" s="66">
        <f>COUNTIFS(TblUniv201968[B5],$F$34)/C33*100%</f>
        <v>0</v>
      </c>
      <c r="G39" s="62">
        <f t="shared" si="0"/>
        <v>1</v>
      </c>
    </row>
    <row r="40" spans="2:7" ht="16.5" hidden="1" x14ac:dyDescent="0.3">
      <c r="B40" s="60"/>
      <c r="C40" s="61">
        <f>AVERAGE(C35:C39)</f>
        <v>0.35384615384615381</v>
      </c>
      <c r="D40" s="61">
        <f>AVERAGE(D35:D39)</f>
        <v>0.64615384615384619</v>
      </c>
      <c r="E40" s="61">
        <f>AVERAGE(E35:E39)</f>
        <v>0</v>
      </c>
      <c r="F40" s="61">
        <f>AVERAGE(F35:F39)</f>
        <v>0</v>
      </c>
      <c r="G40" s="62">
        <f t="shared" si="0"/>
        <v>1</v>
      </c>
    </row>
    <row r="41" spans="2:7" ht="16.5" hidden="1" x14ac:dyDescent="0.3">
      <c r="B41" s="57" t="s">
        <v>31</v>
      </c>
      <c r="C41" s="66">
        <f>COUNTIFS(TblUniv201968[C1],$C$34)/$C$33*100%</f>
        <v>0.34615384615384615</v>
      </c>
      <c r="D41" s="66">
        <f>COUNTIFS(TblUniv201968[C1],$D$34)/$C$33*100%</f>
        <v>0.65384615384615385</v>
      </c>
      <c r="E41" s="66">
        <f>COUNTIFS(TblUniv201968[C1],$E$34)/$C$33*100%</f>
        <v>0</v>
      </c>
      <c r="F41" s="66">
        <f>COUNTIFS(TblUniv201968[C1],$F$34)/$C$33*100%</f>
        <v>0</v>
      </c>
      <c r="G41" s="62">
        <f t="shared" si="0"/>
        <v>1</v>
      </c>
    </row>
    <row r="42" spans="2:7" ht="16.5" hidden="1" x14ac:dyDescent="0.3">
      <c r="B42" s="57" t="s">
        <v>32</v>
      </c>
      <c r="C42" s="66">
        <f>COUNTIFS(TblUniv201968[C2],C$34)/$C$33*100%</f>
        <v>0.46153846153846156</v>
      </c>
      <c r="D42" s="66">
        <f>COUNTIFS(TblUniv201968[C2],D$34)/$C$33*100%</f>
        <v>0.53846153846153844</v>
      </c>
      <c r="E42" s="66">
        <f>COUNTIFS(TblUniv201968[C2],E$34)/$C$33*100%</f>
        <v>0</v>
      </c>
      <c r="F42" s="66">
        <f>COUNTIFS(TblUniv201968[C2],F$34)/$C$33*100%</f>
        <v>0</v>
      </c>
      <c r="G42" s="62">
        <f t="shared" si="0"/>
        <v>1</v>
      </c>
    </row>
    <row r="43" spans="2:7" ht="16.5" hidden="1" x14ac:dyDescent="0.3">
      <c r="B43" s="60"/>
      <c r="C43" s="61">
        <f>AVERAGE(C41:C42)</f>
        <v>0.40384615384615385</v>
      </c>
      <c r="D43" s="61">
        <f>AVERAGE(D41:D42)</f>
        <v>0.59615384615384615</v>
      </c>
      <c r="E43" s="61">
        <f>AVERAGE(E41:E42)</f>
        <v>0</v>
      </c>
      <c r="F43" s="61">
        <f>AVERAGE(F41:F42)</f>
        <v>0</v>
      </c>
      <c r="G43" s="62">
        <f t="shared" si="0"/>
        <v>1</v>
      </c>
    </row>
    <row r="44" spans="2:7" ht="16.5" hidden="1" x14ac:dyDescent="0.3">
      <c r="B44" s="57" t="s">
        <v>33</v>
      </c>
      <c r="C44" s="66">
        <f>COUNTIFS(TblUniv201968[D1],C$34)/$C$33*100%</f>
        <v>7.6923076923076927E-2</v>
      </c>
      <c r="D44" s="66">
        <f>COUNTIFS(TblUniv201968[D1],D$34)/$C$33*100%</f>
        <v>0.76923076923076927</v>
      </c>
      <c r="E44" s="66">
        <f>COUNTIFS(TblUniv201968[D1],E$34)/$C$33*100%</f>
        <v>0.15384615384615385</v>
      </c>
      <c r="F44" s="66">
        <f>COUNTIFS(TblUniv201968[D1],F$34)/$C$33*100%</f>
        <v>0</v>
      </c>
      <c r="G44" s="62">
        <f t="shared" si="0"/>
        <v>1</v>
      </c>
    </row>
    <row r="45" spans="2:7" ht="16.5" hidden="1" x14ac:dyDescent="0.3">
      <c r="B45" s="57" t="s">
        <v>34</v>
      </c>
      <c r="C45" s="66">
        <f>COUNTIFS(TblUniv201968[D2],C$34)/$C$33*100%</f>
        <v>7.6923076923076927E-2</v>
      </c>
      <c r="D45" s="66">
        <f>COUNTIFS(TblUniv201968[D2],D$34)/$C$33*100%</f>
        <v>0.76923076923076927</v>
      </c>
      <c r="E45" s="66">
        <f>COUNTIFS(TblUniv201968[D2],E$34)/$C$33*100%</f>
        <v>0.15384615384615385</v>
      </c>
      <c r="F45" s="66">
        <f>COUNTIFS(TblUniv201968[D2],F$34)/$C$33*100%</f>
        <v>0</v>
      </c>
      <c r="G45" s="62">
        <f t="shared" si="0"/>
        <v>1</v>
      </c>
    </row>
    <row r="46" spans="2:7" ht="16.5" hidden="1" x14ac:dyDescent="0.3">
      <c r="B46" s="60"/>
      <c r="C46" s="61">
        <f>AVERAGE(C44:C45)</f>
        <v>7.6923076923076927E-2</v>
      </c>
      <c r="D46" s="61">
        <f>AVERAGE(D44:D45)</f>
        <v>0.76923076923076927</v>
      </c>
      <c r="E46" s="61">
        <f>AVERAGE(E44:E45)</f>
        <v>0.15384615384615385</v>
      </c>
      <c r="F46" s="61">
        <f>AVERAGE(F44:F45)</f>
        <v>0</v>
      </c>
      <c r="G46" s="62">
        <f t="shared" si="0"/>
        <v>1</v>
      </c>
    </row>
    <row r="47" spans="2:7" ht="16.5" hidden="1" x14ac:dyDescent="0.3">
      <c r="B47" s="57" t="s">
        <v>35</v>
      </c>
      <c r="C47" s="66">
        <f>COUNTIFS(TblUniv201968[E1],C$34)/$C$33*100%</f>
        <v>0.61538461538461542</v>
      </c>
      <c r="D47" s="66">
        <f>COUNTIFS(TblUniv201968[E1],D$34)/$C$33*100%</f>
        <v>0.38461538461538464</v>
      </c>
      <c r="E47" s="66">
        <f>COUNTIFS(TblUniv201968[E1],E$34)/$C$33*100%</f>
        <v>0</v>
      </c>
      <c r="F47" s="66">
        <f>COUNTIFS(TblUniv201968[E1],F$34)/$C$33*100%</f>
        <v>0</v>
      </c>
      <c r="G47" s="62">
        <f t="shared" si="0"/>
        <v>1</v>
      </c>
    </row>
    <row r="48" spans="2:7" ht="16.5" hidden="1" x14ac:dyDescent="0.3">
      <c r="B48" s="57" t="s">
        <v>36</v>
      </c>
      <c r="C48" s="66">
        <f>COUNTIFS(TblUniv201968[E2],C$34)/$C$33*100%</f>
        <v>0.42307692307692307</v>
      </c>
      <c r="D48" s="66">
        <f>COUNTIFS(TblUniv201968[E2],D$34)/$C$33*100%</f>
        <v>0.57692307692307687</v>
      </c>
      <c r="E48" s="66">
        <f>COUNTIFS(TblUniv201968[E2],E$34)/$C$33*100%</f>
        <v>0</v>
      </c>
      <c r="F48" s="66">
        <f>COUNTIFS(TblUniv201968[E2],F$34)/$C$33*100%</f>
        <v>0</v>
      </c>
      <c r="G48" s="62">
        <f t="shared" si="0"/>
        <v>1</v>
      </c>
    </row>
    <row r="49" spans="2:7" ht="16.5" hidden="1" x14ac:dyDescent="0.3">
      <c r="B49" s="60"/>
      <c r="C49" s="61">
        <f>AVERAGE(C47:C48)</f>
        <v>0.51923076923076927</v>
      </c>
      <c r="D49" s="61">
        <f>AVERAGE(D47:D48)</f>
        <v>0.48076923076923073</v>
      </c>
      <c r="E49" s="61">
        <f>AVERAGE(E47:E48)</f>
        <v>0</v>
      </c>
      <c r="F49" s="61">
        <f>AVERAGE(F47:F48)</f>
        <v>0</v>
      </c>
      <c r="G49" s="62">
        <f t="shared" si="0"/>
        <v>1</v>
      </c>
    </row>
    <row r="50" spans="2:7" ht="16.5" hidden="1" x14ac:dyDescent="0.3">
      <c r="B50" s="57" t="s">
        <v>37</v>
      </c>
      <c r="C50" s="66">
        <f>COUNTIFS(TblUniv201968[F1],C$34)/$C$33*100%</f>
        <v>0.34615384615384615</v>
      </c>
      <c r="D50" s="66">
        <f>COUNTIFS(TblUniv201968[F1],D$34)/$C$33*100%</f>
        <v>0.65384615384615385</v>
      </c>
      <c r="E50" s="66">
        <f>COUNTIFS(TblUniv201968[F1],E$34)/$C$33*100%</f>
        <v>0</v>
      </c>
      <c r="F50" s="66">
        <f>COUNTIFS(TblUniv201968[F1],F$34)/$C$33*100%</f>
        <v>0</v>
      </c>
      <c r="G50" s="62">
        <f t="shared" si="0"/>
        <v>1</v>
      </c>
    </row>
    <row r="51" spans="2:7" ht="16.5" hidden="1" x14ac:dyDescent="0.3">
      <c r="B51" s="57" t="s">
        <v>38</v>
      </c>
      <c r="C51" s="66">
        <f>COUNTIFS(TblUniv201968[F2],C$34)/$C$33*100%</f>
        <v>0.23076923076923078</v>
      </c>
      <c r="D51" s="66">
        <f>COUNTIFS(TblUniv201968[F2],D$34)/$C$33*100%</f>
        <v>0.76923076923076927</v>
      </c>
      <c r="E51" s="66">
        <f>COUNTIFS(TblUniv201968[F2],E$34)/$C$33*100%</f>
        <v>0</v>
      </c>
      <c r="F51" s="66">
        <f>COUNTIFS(TblUniv201968[F2],F$34)/$C$33*100%</f>
        <v>0</v>
      </c>
      <c r="G51" s="62">
        <f t="shared" si="0"/>
        <v>1</v>
      </c>
    </row>
    <row r="52" spans="2:7" ht="16.5" hidden="1" x14ac:dyDescent="0.3">
      <c r="B52" s="57" t="s">
        <v>39</v>
      </c>
      <c r="C52" s="66">
        <f>COUNTIFS(TblUniv201968[F3],C$34)/$C$33*100%</f>
        <v>0.23076923076923078</v>
      </c>
      <c r="D52" s="66">
        <f>COUNTIFS(TblUniv201968[F3],D$34)/$C$33*100%</f>
        <v>0.76923076923076927</v>
      </c>
      <c r="E52" s="66">
        <f>COUNTIFS(TblUniv201968[F3],E$34)/$C$33*100%</f>
        <v>0</v>
      </c>
      <c r="F52" s="66">
        <f>COUNTIFS(TblUniv201968[F3],F$34)/$C$33*100%</f>
        <v>0</v>
      </c>
      <c r="G52" s="62">
        <f t="shared" si="0"/>
        <v>1</v>
      </c>
    </row>
    <row r="53" spans="2:7" ht="16.5" hidden="1" x14ac:dyDescent="0.3">
      <c r="B53" s="60"/>
      <c r="C53" s="61">
        <f>AVERAGE(C50:C52)</f>
        <v>0.26923076923076922</v>
      </c>
      <c r="D53" s="61">
        <f>AVERAGE(D50:D52)</f>
        <v>0.73076923076923084</v>
      </c>
      <c r="E53" s="61">
        <f>AVERAGE(E50:E52)</f>
        <v>0</v>
      </c>
      <c r="F53" s="61">
        <f>AVERAGE(F50:F52)</f>
        <v>0</v>
      </c>
      <c r="G53" s="62">
        <f t="shared" si="0"/>
        <v>1</v>
      </c>
    </row>
    <row r="54" spans="2:7" ht="16.5" hidden="1" x14ac:dyDescent="0.3">
      <c r="B54" s="57" t="s">
        <v>40</v>
      </c>
      <c r="C54" s="66">
        <f>COUNTIFS(TblUniv201968[G1],C$34)/$C$33*100%</f>
        <v>0.53846153846153844</v>
      </c>
      <c r="D54" s="66">
        <f>COUNTIFS(TblUniv201968[G1],D$34)/$C$33*100%</f>
        <v>0.46153846153846156</v>
      </c>
      <c r="E54" s="66">
        <f>COUNTIFS(TblUniv201968[G1],E$34)/$C$33*100%</f>
        <v>0</v>
      </c>
      <c r="F54" s="66">
        <f>COUNTIFS(TblUniv201968[G1],F$34)/$C$33*100%</f>
        <v>0</v>
      </c>
      <c r="G54" s="62">
        <f t="shared" si="0"/>
        <v>1</v>
      </c>
    </row>
    <row r="55" spans="2:7" ht="16.5" hidden="1" x14ac:dyDescent="0.3">
      <c r="B55" s="57" t="s">
        <v>41</v>
      </c>
      <c r="C55" s="66">
        <f>COUNTIFS(TblUniv201968[G2],C$34)/$C$33*100%</f>
        <v>0.38461538461538464</v>
      </c>
      <c r="D55" s="66">
        <f>COUNTIFS(TblUniv201968[G2],D$34)/$C$33*100%</f>
        <v>0.61538461538461542</v>
      </c>
      <c r="E55" s="66">
        <f>COUNTIFS(TblUniv201968[G2],E$34)/$C$33*100%</f>
        <v>0</v>
      </c>
      <c r="F55" s="66">
        <f>COUNTIFS(TblUniv201968[G2],F$34)/$C$33*100%</f>
        <v>0</v>
      </c>
      <c r="G55" s="62">
        <f t="shared" si="0"/>
        <v>1</v>
      </c>
    </row>
    <row r="56" spans="2:7" ht="16.5" hidden="1" x14ac:dyDescent="0.3">
      <c r="B56" s="60"/>
      <c r="C56" s="61">
        <f>AVERAGE(C54:C55)</f>
        <v>0.46153846153846156</v>
      </c>
      <c r="D56" s="61">
        <f>AVERAGE(D54:D55)</f>
        <v>0.53846153846153855</v>
      </c>
      <c r="E56" s="61">
        <f>AVERAGE(E54:E55)</f>
        <v>0</v>
      </c>
      <c r="F56" s="61">
        <f>AVERAGE(F54:F55)</f>
        <v>0</v>
      </c>
      <c r="G56" s="62">
        <f t="shared" si="0"/>
        <v>1</v>
      </c>
    </row>
    <row r="57" spans="2:7" ht="16.5" hidden="1" x14ac:dyDescent="0.3">
      <c r="B57" s="57" t="s">
        <v>42</v>
      </c>
      <c r="C57" s="66">
        <f>COUNTIFS(TblUniv201968[H1],C$34)/$C$33*100%</f>
        <v>0.26923076923076922</v>
      </c>
      <c r="D57" s="66">
        <f>COUNTIFS(TblUniv201968[H1],D$34)/$C$33*100%</f>
        <v>0.73076923076923073</v>
      </c>
      <c r="E57" s="66">
        <f>COUNTIFS(TblUniv201968[H1],E$34)/$C$33*100%</f>
        <v>0</v>
      </c>
      <c r="F57" s="66">
        <f>COUNTIFS(TblUniv201968[H1],F$34)/$C$33*100%</f>
        <v>0</v>
      </c>
      <c r="G57" s="62">
        <f t="shared" si="0"/>
        <v>1</v>
      </c>
    </row>
    <row r="58" spans="2:7" ht="16.5" hidden="1" x14ac:dyDescent="0.3">
      <c r="B58" s="57" t="s">
        <v>43</v>
      </c>
      <c r="C58" s="66">
        <f>COUNTIFS(TblUniv201968[H2],C$34)/$C$33*100%</f>
        <v>0.23076923076923078</v>
      </c>
      <c r="D58" s="66">
        <f>COUNTIFS(TblUniv201968[H2],D$34)/$C$33*100%</f>
        <v>0.76923076923076927</v>
      </c>
      <c r="E58" s="66">
        <f>COUNTIFS(TblUniv201968[H2],E$34)/$C$33*100%</f>
        <v>0</v>
      </c>
      <c r="F58" s="66">
        <f>COUNTIFS(TblUniv201968[H2],F$34)/$C$33*100%</f>
        <v>0</v>
      </c>
      <c r="G58" s="62">
        <f t="shared" si="0"/>
        <v>1</v>
      </c>
    </row>
    <row r="59" spans="2:7" ht="16.5" hidden="1" x14ac:dyDescent="0.3">
      <c r="B59" s="57" t="s">
        <v>44</v>
      </c>
      <c r="C59" s="66">
        <f>COUNTIFS(TblUniv201968[H3],C$34)/$C$33*100%</f>
        <v>0.19230769230769232</v>
      </c>
      <c r="D59" s="66">
        <f>COUNTIFS(TblUniv201968[H3],D$34)/$C$33*100%</f>
        <v>0.69230769230769229</v>
      </c>
      <c r="E59" s="66">
        <f>COUNTIFS(TblUniv201968[H3],E$34)/$C$33*100%</f>
        <v>0.11538461538461539</v>
      </c>
      <c r="F59" s="66">
        <f>COUNTIFS(TblUniv201968[H3],F$34)/$C$33*100%</f>
        <v>0</v>
      </c>
      <c r="G59" s="62">
        <f t="shared" si="0"/>
        <v>1</v>
      </c>
    </row>
    <row r="60" spans="2:7" ht="16.5" hidden="1" x14ac:dyDescent="0.3">
      <c r="B60" s="57" t="s">
        <v>45</v>
      </c>
      <c r="C60" s="66">
        <f>COUNTIFS(TblUniv201968[H4],C$34)/$C$33*100%</f>
        <v>0.23076923076923078</v>
      </c>
      <c r="D60" s="66">
        <f>COUNTIFS(TblUniv201968[H4],D$34)/$C$33*100%</f>
        <v>0.65384615384615385</v>
      </c>
      <c r="E60" s="66">
        <f>COUNTIFS(TblUniv201968[H4],E$34)/$C$33*100%</f>
        <v>0.11538461538461539</v>
      </c>
      <c r="F60" s="66">
        <f>COUNTIFS(TblUniv201968[H4],F$34)/$C$33*100%</f>
        <v>0</v>
      </c>
      <c r="G60" s="62">
        <f t="shared" si="0"/>
        <v>1</v>
      </c>
    </row>
    <row r="61" spans="2:7" ht="16.5" hidden="1" x14ac:dyDescent="0.3">
      <c r="B61" s="60"/>
      <c r="C61" s="61">
        <f>AVERAGE(C57:C60)</f>
        <v>0.23076923076923078</v>
      </c>
      <c r="D61" s="61">
        <f>AVERAGE(D57:D60)</f>
        <v>0.71153846153846156</v>
      </c>
      <c r="E61" s="61">
        <f>AVERAGE(E57:E60)</f>
        <v>5.7692307692307696E-2</v>
      </c>
      <c r="F61" s="61">
        <f>AVERAGE(F57:F60)</f>
        <v>0</v>
      </c>
      <c r="G61" s="62">
        <f t="shared" si="0"/>
        <v>1</v>
      </c>
    </row>
    <row r="62" spans="2:7" ht="16.5" hidden="1" x14ac:dyDescent="0.3">
      <c r="B62" s="57" t="s">
        <v>648</v>
      </c>
      <c r="C62" s="66">
        <f>COUNTIFS(TblUniv201968[I. a1],C$34)/$C$33*100%</f>
        <v>0.23076923076923078</v>
      </c>
      <c r="D62" s="66">
        <f>COUNTIFS(TblUniv201968[I. a1],D$34)/$C$33*100%</f>
        <v>0.76923076923076927</v>
      </c>
      <c r="E62" s="66">
        <f>COUNTIFS(TblUniv201968[I. a1],E$34)/$C$33*100%</f>
        <v>0</v>
      </c>
      <c r="F62" s="66">
        <f>COUNTIFS(TblUniv201968[I. a1],F$34)/$C$33*100%</f>
        <v>0</v>
      </c>
      <c r="G62" s="62">
        <f t="shared" si="0"/>
        <v>1</v>
      </c>
    </row>
    <row r="63" spans="2:7" ht="16.5" hidden="1" x14ac:dyDescent="0.3">
      <c r="B63" s="57" t="s">
        <v>649</v>
      </c>
      <c r="C63" s="66">
        <f>COUNTIFS(TblUniv201968[I. a2],C$34)/$C$33*100%</f>
        <v>0.26923076923076922</v>
      </c>
      <c r="D63" s="66">
        <f>COUNTIFS(TblUniv201968[I. a2],D$34)/$C$33*100%</f>
        <v>0.73076923076923073</v>
      </c>
      <c r="E63" s="66">
        <f>COUNTIFS(TblUniv201968[I. a2],E$34)/$C$33*100%</f>
        <v>0</v>
      </c>
      <c r="F63" s="66">
        <f>COUNTIFS(TblUniv201968[I. a2],F$34)/$C$33*100%</f>
        <v>0</v>
      </c>
      <c r="G63" s="62">
        <f t="shared" si="0"/>
        <v>1</v>
      </c>
    </row>
    <row r="64" spans="2:7" ht="16.5" hidden="1" x14ac:dyDescent="0.3">
      <c r="B64" s="57" t="s">
        <v>650</v>
      </c>
      <c r="C64" s="66">
        <f>COUNTIFS(TblUniv201968[I. a3],C$34)/$C$33*100%</f>
        <v>0.57692307692307687</v>
      </c>
      <c r="D64" s="66">
        <f>COUNTIFS(TblUniv201968[I. a3],D$34)/$C$33*100%</f>
        <v>0.42307692307692307</v>
      </c>
      <c r="E64" s="66">
        <f>COUNTIFS(TblUniv201968[I. a3],E$34)/$C$33*100%</f>
        <v>0</v>
      </c>
      <c r="F64" s="66">
        <f>COUNTIFS(TblUniv201968[I. a3],F$34)/$C$33*100%</f>
        <v>0</v>
      </c>
      <c r="G64" s="62">
        <f t="shared" si="0"/>
        <v>1</v>
      </c>
    </row>
    <row r="65" spans="2:12" ht="16.5" hidden="1" x14ac:dyDescent="0.3">
      <c r="B65" s="57" t="s">
        <v>651</v>
      </c>
      <c r="C65" s="66">
        <f>COUNTIFS(TblUniv201968[I. a4],C$34)/$C$33*100%</f>
        <v>0.15384615384615385</v>
      </c>
      <c r="D65" s="66">
        <f>COUNTIFS(TblUniv201968[I. a4],D$34)/$C$33*100%</f>
        <v>0.84615384615384615</v>
      </c>
      <c r="E65" s="66">
        <f>COUNTIFS(TblUniv201968[I. a4],E$34)/$C$33*100%</f>
        <v>0</v>
      </c>
      <c r="F65" s="66">
        <f>COUNTIFS(TblUniv201968[I. a4],F$34)/$C$33*100%</f>
        <v>0</v>
      </c>
      <c r="G65" s="62">
        <f t="shared" si="0"/>
        <v>1</v>
      </c>
    </row>
    <row r="66" spans="2:12" ht="16.5" hidden="1" x14ac:dyDescent="0.3">
      <c r="B66" s="57" t="s">
        <v>652</v>
      </c>
      <c r="C66" s="66">
        <f>COUNTIFS(TblUniv201968[I. a5],C$34)/$C$33*100%</f>
        <v>0.15384615384615385</v>
      </c>
      <c r="D66" s="66">
        <f>COUNTIFS(TblUniv201968[I. a5],D$34)/$C$33*100%</f>
        <v>0.84615384615384615</v>
      </c>
      <c r="E66" s="66">
        <f>COUNTIFS(TblUniv201968[I. a5],E$34)/$C$33*100%</f>
        <v>0</v>
      </c>
      <c r="F66" s="66">
        <f>COUNTIFS(TblUniv201968[I. a5],F$34)/$C$33*100%</f>
        <v>0</v>
      </c>
      <c r="G66" s="62">
        <f t="shared" si="0"/>
        <v>1</v>
      </c>
    </row>
    <row r="67" spans="2:12" ht="16.5" hidden="1" x14ac:dyDescent="0.3">
      <c r="B67" s="60"/>
      <c r="C67" s="61">
        <f>AVERAGE(C62:C66)</f>
        <v>0.27692307692307694</v>
      </c>
      <c r="D67" s="61">
        <f>AVERAGE(D62:D66)</f>
        <v>0.72307692307692306</v>
      </c>
      <c r="E67" s="61">
        <f>AVERAGE(E62:E66)</f>
        <v>0</v>
      </c>
      <c r="F67" s="61">
        <f>AVERAGE(F62:F66)</f>
        <v>0</v>
      </c>
      <c r="G67" s="62">
        <f t="shared" si="0"/>
        <v>1</v>
      </c>
    </row>
    <row r="68" spans="2:12" ht="16.5" hidden="1" x14ac:dyDescent="0.3">
      <c r="B68" s="57" t="s">
        <v>653</v>
      </c>
      <c r="C68" s="66">
        <f>COUNTIFS(TblUniv201968[I. b1],C$34)/$C$33*100%</f>
        <v>0.30769230769230771</v>
      </c>
      <c r="D68" s="66">
        <f>COUNTIFS(TblUniv201968[I. b1],D$34)/$C$33*100%</f>
        <v>0.69230769230769229</v>
      </c>
      <c r="E68" s="66">
        <f>COUNTIFS(TblUniv201968[I. b1],E$34)/$C$33*100%</f>
        <v>0</v>
      </c>
      <c r="F68" s="66">
        <f>COUNTIFS(TblUniv201968[I. b1],F$34)/$C$33*100%</f>
        <v>0</v>
      </c>
      <c r="G68" s="62">
        <f t="shared" si="0"/>
        <v>1</v>
      </c>
    </row>
    <row r="69" spans="2:12" ht="16.5" hidden="1" x14ac:dyDescent="0.3">
      <c r="B69" s="57" t="s">
        <v>654</v>
      </c>
      <c r="C69" s="66">
        <f>COUNTIFS(TblUniv201968[I. b2],C$34)/$C$33*100%</f>
        <v>0.23076923076923078</v>
      </c>
      <c r="D69" s="66">
        <f>COUNTIFS(TblUniv201968[I. b2],D$34)/$C$33*100%</f>
        <v>0.76923076923076927</v>
      </c>
      <c r="E69" s="66">
        <f>COUNTIFS(TblUniv201968[I. b2],E$34)/$C$33*100%</f>
        <v>0</v>
      </c>
      <c r="F69" s="66">
        <f>COUNTIFS(TblUniv201968[I. b2],F$34)/$C$33*100%</f>
        <v>0</v>
      </c>
      <c r="G69" s="62">
        <f t="shared" si="0"/>
        <v>1</v>
      </c>
    </row>
    <row r="70" spans="2:12" ht="16.5" hidden="1" x14ac:dyDescent="0.3">
      <c r="B70" s="57" t="s">
        <v>655</v>
      </c>
      <c r="C70" s="66">
        <f>COUNTIFS(TblUniv201968[I. b3],C$34)/$C$33*100%</f>
        <v>0.42307692307692307</v>
      </c>
      <c r="D70" s="66">
        <f>COUNTIFS(TblUniv201968[I. b3],D$34)/$C$33*100%</f>
        <v>0.57692307692307687</v>
      </c>
      <c r="E70" s="66">
        <f>COUNTIFS(TblUniv201968[I. b3],E$34)/$C$33*100%</f>
        <v>0</v>
      </c>
      <c r="F70" s="66">
        <f>COUNTIFS(TblUniv201968[I. b3],F$34)/$C$33*100%</f>
        <v>0</v>
      </c>
      <c r="G70" s="62">
        <f t="shared" si="0"/>
        <v>1</v>
      </c>
    </row>
    <row r="71" spans="2:12" ht="16.5" hidden="1" x14ac:dyDescent="0.3">
      <c r="B71" s="57" t="s">
        <v>656</v>
      </c>
      <c r="C71" s="66">
        <f>COUNTIFS(TblUniv201968[I. b4],C$34)/$C$33*100%</f>
        <v>0.30769230769230771</v>
      </c>
      <c r="D71" s="66">
        <f>COUNTIFS(TblUniv201968[I. b4],D$34)/$C$33*100%</f>
        <v>0.69230769230769229</v>
      </c>
      <c r="E71" s="66">
        <f>COUNTIFS(TblUniv201968[I. b4],E$34)/$C$33*100%</f>
        <v>0</v>
      </c>
      <c r="F71" s="66">
        <f>COUNTIFS(TblUniv201968[I. b4],F$34)/$C$33*100%</f>
        <v>0</v>
      </c>
      <c r="G71" s="62">
        <f t="shared" si="0"/>
        <v>1</v>
      </c>
    </row>
    <row r="72" spans="2:12" ht="17.25" hidden="1" thickBot="1" x14ac:dyDescent="0.35">
      <c r="B72" s="67"/>
      <c r="C72" s="68">
        <f>AVERAGE(C68:C71)</f>
        <v>0.31730769230769235</v>
      </c>
      <c r="D72" s="68">
        <f>AVERAGE(D68:D71)</f>
        <v>0.68269230769230771</v>
      </c>
      <c r="E72" s="68">
        <f>AVERAGE(E68:E71)</f>
        <v>0</v>
      </c>
      <c r="F72" s="68">
        <f>AVERAGE(F68:F71)</f>
        <v>0</v>
      </c>
      <c r="G72" s="62">
        <f t="shared" si="0"/>
        <v>1</v>
      </c>
    </row>
    <row r="74" spans="2:12" ht="15.75" thickBot="1" x14ac:dyDescent="0.3"/>
    <row r="75" spans="2:12" ht="17.25" thickBot="1" x14ac:dyDescent="0.3">
      <c r="B75" s="64" t="s">
        <v>647</v>
      </c>
      <c r="C75" s="65" t="s">
        <v>90</v>
      </c>
    </row>
    <row r="76" spans="2:12" ht="17.25" thickBot="1" x14ac:dyDescent="0.3">
      <c r="B76" s="69" t="s">
        <v>646</v>
      </c>
      <c r="C76" s="70">
        <f>C33</f>
        <v>26</v>
      </c>
    </row>
    <row r="77" spans="2:12" ht="28.5" customHeight="1" thickBot="1" x14ac:dyDescent="0.3">
      <c r="B77" s="222" t="s">
        <v>658</v>
      </c>
      <c r="C77" s="223" t="s">
        <v>664</v>
      </c>
      <c r="D77" s="223"/>
      <c r="E77" s="223"/>
      <c r="F77" s="223"/>
      <c r="H77" s="157" t="s">
        <v>1427</v>
      </c>
      <c r="I77" s="157" t="s">
        <v>1426</v>
      </c>
      <c r="J77" s="157" t="s">
        <v>1428</v>
      </c>
      <c r="K77" s="157" t="s">
        <v>1421</v>
      </c>
      <c r="L77" s="158" t="s">
        <v>1422</v>
      </c>
    </row>
    <row r="78" spans="2:12" ht="15.75" customHeight="1" thickBot="1" x14ac:dyDescent="0.3">
      <c r="B78" s="222"/>
      <c r="C78" s="72" t="s">
        <v>645</v>
      </c>
      <c r="D78" s="72" t="s">
        <v>665</v>
      </c>
      <c r="E78" s="72" t="s">
        <v>666</v>
      </c>
      <c r="F78" s="72" t="s">
        <v>667</v>
      </c>
      <c r="H78" s="117"/>
      <c r="I78" s="117"/>
      <c r="J78" s="117"/>
      <c r="K78" s="117"/>
      <c r="L78" s="66">
        <v>0.48</v>
      </c>
    </row>
    <row r="79" spans="2:12" x14ac:dyDescent="0.25">
      <c r="B79" s="73">
        <v>2</v>
      </c>
      <c r="C79" s="71">
        <v>3</v>
      </c>
      <c r="D79" s="71">
        <v>4</v>
      </c>
      <c r="E79" s="71">
        <v>5</v>
      </c>
      <c r="F79" s="74">
        <v>6</v>
      </c>
      <c r="H79" s="116" t="s">
        <v>1425</v>
      </c>
      <c r="I79" s="116">
        <v>2018</v>
      </c>
      <c r="J79" s="117">
        <v>2019</v>
      </c>
      <c r="K79" s="132">
        <v>25</v>
      </c>
      <c r="L79" s="159">
        <f>K79*$L$78</f>
        <v>12</v>
      </c>
    </row>
    <row r="80" spans="2:12" x14ac:dyDescent="0.25">
      <c r="B80" s="75" t="s">
        <v>659</v>
      </c>
      <c r="C80" s="58">
        <f>C40</f>
        <v>0.35384615384615381</v>
      </c>
      <c r="D80" s="58">
        <f>D40</f>
        <v>0.64615384615384619</v>
      </c>
      <c r="E80" s="58">
        <f>E40</f>
        <v>0</v>
      </c>
      <c r="F80" s="59">
        <f>F40</f>
        <v>0</v>
      </c>
      <c r="H80" s="116" t="s">
        <v>1424</v>
      </c>
      <c r="I80" s="116">
        <v>2019</v>
      </c>
      <c r="J80" s="117">
        <v>2020</v>
      </c>
      <c r="K80" s="132">
        <v>26</v>
      </c>
      <c r="L80" s="159">
        <f>K80*$L$78</f>
        <v>12.48</v>
      </c>
    </row>
    <row r="81" spans="2:12" x14ac:dyDescent="0.25">
      <c r="B81" s="75" t="s">
        <v>660</v>
      </c>
      <c r="C81" s="58">
        <f>C43</f>
        <v>0.40384615384615385</v>
      </c>
      <c r="D81" s="58">
        <f>D43</f>
        <v>0.59615384615384615</v>
      </c>
      <c r="E81" s="58">
        <f>E43</f>
        <v>0</v>
      </c>
      <c r="F81" s="59">
        <f>F43</f>
        <v>0</v>
      </c>
      <c r="H81" s="116" t="s">
        <v>1423</v>
      </c>
      <c r="I81" s="116">
        <v>2020</v>
      </c>
      <c r="J81" s="117">
        <v>2021</v>
      </c>
      <c r="K81" s="132">
        <v>4</v>
      </c>
      <c r="L81" s="159">
        <f>K81*$L$78</f>
        <v>1.92</v>
      </c>
    </row>
    <row r="82" spans="2:12" x14ac:dyDescent="0.25">
      <c r="B82" s="75" t="s">
        <v>661</v>
      </c>
      <c r="C82" s="58">
        <f>C46</f>
        <v>7.6923076923076927E-2</v>
      </c>
      <c r="D82" s="58">
        <f>D46</f>
        <v>0.76923076923076927</v>
      </c>
      <c r="E82" s="58">
        <f>E46</f>
        <v>0.15384615384615385</v>
      </c>
      <c r="F82" s="59">
        <f>F46</f>
        <v>0</v>
      </c>
      <c r="H82" s="116" t="s">
        <v>1429</v>
      </c>
      <c r="I82" s="116">
        <v>2021</v>
      </c>
      <c r="J82" s="117"/>
      <c r="K82" s="159">
        <f>SUM(K79:K81)</f>
        <v>55</v>
      </c>
      <c r="L82" s="159">
        <f>SUM(L79:L81)</f>
        <v>26.4</v>
      </c>
    </row>
    <row r="83" spans="2:12" x14ac:dyDescent="0.25">
      <c r="B83" s="75" t="s">
        <v>662</v>
      </c>
      <c r="C83" s="58">
        <f>C49</f>
        <v>0.51923076923076927</v>
      </c>
      <c r="D83" s="58">
        <f>D49</f>
        <v>0.48076923076923073</v>
      </c>
      <c r="E83" s="58">
        <f>E49</f>
        <v>0</v>
      </c>
      <c r="F83" s="59">
        <f>F49</f>
        <v>0</v>
      </c>
      <c r="H83" s="116" t="s">
        <v>1430</v>
      </c>
      <c r="I83" s="116">
        <v>2022</v>
      </c>
      <c r="J83" s="117"/>
      <c r="K83" s="117"/>
      <c r="L83" s="117"/>
    </row>
    <row r="84" spans="2:12" x14ac:dyDescent="0.25">
      <c r="B84" s="75" t="s">
        <v>663</v>
      </c>
      <c r="C84" s="58">
        <f>C53</f>
        <v>0.26923076923076922</v>
      </c>
      <c r="D84" s="58">
        <f>D53</f>
        <v>0.73076923076923084</v>
      </c>
      <c r="E84" s="58">
        <f>E53</f>
        <v>0</v>
      </c>
      <c r="F84" s="59">
        <f>F53</f>
        <v>0</v>
      </c>
    </row>
    <row r="85" spans="2:12" x14ac:dyDescent="0.25">
      <c r="B85" s="75" t="s">
        <v>617</v>
      </c>
      <c r="C85" s="58">
        <f>C56</f>
        <v>0.46153846153846156</v>
      </c>
      <c r="D85" s="58">
        <f>D56</f>
        <v>0.53846153846153855</v>
      </c>
      <c r="E85" s="58">
        <f>E56</f>
        <v>0</v>
      </c>
      <c r="F85" s="59">
        <f>F56</f>
        <v>0</v>
      </c>
    </row>
    <row r="86" spans="2:12" x14ac:dyDescent="0.25">
      <c r="B86" s="75" t="s">
        <v>330</v>
      </c>
      <c r="C86" s="58">
        <f>C61</f>
        <v>0.23076923076923078</v>
      </c>
      <c r="D86" s="58">
        <f>D61</f>
        <v>0.71153846153846156</v>
      </c>
      <c r="E86" s="58">
        <f>E61</f>
        <v>5.7692307692307696E-2</v>
      </c>
      <c r="F86" s="59">
        <f>F61</f>
        <v>0</v>
      </c>
    </row>
    <row r="87" spans="2:12" x14ac:dyDescent="0.25">
      <c r="B87" s="75" t="s">
        <v>68</v>
      </c>
      <c r="C87" s="58">
        <f>C67</f>
        <v>0.27692307692307694</v>
      </c>
      <c r="D87" s="58">
        <f>D67</f>
        <v>0.72307692307692306</v>
      </c>
      <c r="E87" s="58">
        <f>E67</f>
        <v>0</v>
      </c>
      <c r="F87" s="59">
        <f>F67</f>
        <v>0</v>
      </c>
    </row>
    <row r="88" spans="2:12" ht="15.75" thickBot="1" x14ac:dyDescent="0.3">
      <c r="B88" s="76" t="s">
        <v>68</v>
      </c>
      <c r="C88" s="77">
        <f>C72</f>
        <v>0.31730769230769235</v>
      </c>
      <c r="D88" s="77">
        <f>D72</f>
        <v>0.68269230769230771</v>
      </c>
      <c r="E88" s="77">
        <f>E72</f>
        <v>0</v>
      </c>
      <c r="F88" s="78">
        <f>F72</f>
        <v>0</v>
      </c>
    </row>
    <row r="89" spans="2:12" x14ac:dyDescent="0.25">
      <c r="B89" s="79" t="s">
        <v>669</v>
      </c>
      <c r="C89" s="81">
        <f>SUM(C80:C88)</f>
        <v>2.9096153846153849</v>
      </c>
      <c r="D89" s="81">
        <f>SUM(D80:D88)</f>
        <v>5.8788461538461538</v>
      </c>
      <c r="E89" s="81">
        <f>SUM(E80:E88)</f>
        <v>0.21153846153846156</v>
      </c>
      <c r="F89" s="84">
        <f>SUM(F80:F88)</f>
        <v>0</v>
      </c>
    </row>
    <row r="90" spans="2:12" ht="15.75" thickBot="1" x14ac:dyDescent="0.3">
      <c r="B90" s="80" t="s">
        <v>670</v>
      </c>
      <c r="C90" s="82">
        <f>AVERAGE(C80:C88)</f>
        <v>0.32329059829059831</v>
      </c>
      <c r="D90" s="82">
        <f>AVERAGE(D80:D88)</f>
        <v>0.65320512820512822</v>
      </c>
      <c r="E90" s="82">
        <f>AVERAGE(E80:E88)</f>
        <v>2.3504273504273508E-2</v>
      </c>
      <c r="F90" s="85">
        <f>AVERAGE(F80:F88)</f>
        <v>0</v>
      </c>
    </row>
  </sheetData>
  <mergeCells count="15">
    <mergeCell ref="BC1:BE1"/>
    <mergeCell ref="B77:B78"/>
    <mergeCell ref="C77:F77"/>
    <mergeCell ref="AD1:AE1"/>
    <mergeCell ref="AF1:AI1"/>
    <mergeCell ref="AJ1:AN1"/>
    <mergeCell ref="AO1:AR1"/>
    <mergeCell ref="AS1:AV1"/>
    <mergeCell ref="AW1:BB1"/>
    <mergeCell ref="AA1:AC1"/>
    <mergeCell ref="G1:O1"/>
    <mergeCell ref="P1:T1"/>
    <mergeCell ref="U1:V1"/>
    <mergeCell ref="W1:X1"/>
    <mergeCell ref="Y1:Z1"/>
  </mergeCells>
  <conditionalFormatting sqref="E2">
    <cfRule type="duplicateValues" dxfId="24" priority="29"/>
  </conditionalFormatting>
  <conditionalFormatting sqref="E5 E14:E17 E26">
    <cfRule type="duplicateValues" dxfId="23" priority="45"/>
  </conditionalFormatting>
  <conditionalFormatting sqref="E6:E10">
    <cfRule type="duplicateValues" dxfId="22" priority="24"/>
    <cfRule type="duplicateValues" dxfId="21" priority="25"/>
  </conditionalFormatting>
  <conditionalFormatting sqref="E11">
    <cfRule type="duplicateValues" dxfId="20" priority="22"/>
    <cfRule type="duplicateValues" dxfId="19" priority="23"/>
  </conditionalFormatting>
  <conditionalFormatting sqref="E12">
    <cfRule type="duplicateValues" dxfId="18" priority="17"/>
    <cfRule type="duplicateValues" dxfId="17" priority="18"/>
  </conditionalFormatting>
  <conditionalFormatting sqref="E13">
    <cfRule type="duplicateValues" dxfId="16" priority="15"/>
    <cfRule type="duplicateValues" dxfId="15" priority="16"/>
  </conditionalFormatting>
  <conditionalFormatting sqref="E18:E22">
    <cfRule type="duplicateValues" dxfId="14" priority="13"/>
    <cfRule type="duplicateValues" dxfId="13" priority="14"/>
  </conditionalFormatting>
  <conditionalFormatting sqref="E23">
    <cfRule type="duplicateValues" dxfId="12" priority="11"/>
    <cfRule type="duplicateValues" dxfId="11" priority="12"/>
  </conditionalFormatting>
  <conditionalFormatting sqref="E25">
    <cfRule type="duplicateValues" dxfId="10" priority="4"/>
    <cfRule type="duplicateValues" dxfId="9" priority="5"/>
  </conditionalFormatting>
  <conditionalFormatting sqref="E27">
    <cfRule type="duplicateValues" dxfId="8" priority="1"/>
    <cfRule type="duplicateValues" dxfId="7" priority="2"/>
  </conditionalFormatting>
  <conditionalFormatting sqref="E28">
    <cfRule type="duplicateValues" dxfId="6" priority="3"/>
  </conditionalFormatting>
  <conditionalFormatting sqref="F11">
    <cfRule type="duplicateValues" dxfId="5" priority="19"/>
    <cfRule type="duplicateValues" dxfId="4" priority="20"/>
    <cfRule type="duplicateValues" dxfId="3" priority="21"/>
  </conditionalFormatting>
  <conditionalFormatting sqref="F23">
    <cfRule type="duplicateValues" dxfId="2" priority="8"/>
    <cfRule type="duplicateValues" dxfId="1" priority="9"/>
    <cfRule type="duplicateValues" dxfId="0" priority="10"/>
  </conditionalFormatting>
  <hyperlinks>
    <hyperlink ref="I7" r:id="rId1"/>
    <hyperlink ref="I9" r:id="rId2"/>
    <hyperlink ref="I8" r:id="rId3"/>
    <hyperlink ref="I6" r:id="rId4"/>
    <hyperlink ref="I11" r:id="rId5"/>
    <hyperlink ref="I13" r:id="rId6"/>
    <hyperlink ref="I19" r:id="rId7"/>
    <hyperlink ref="I21" r:id="rId8"/>
    <hyperlink ref="I20" r:id="rId9"/>
    <hyperlink ref="I18" r:id="rId10"/>
    <hyperlink ref="I23" r:id="rId11"/>
    <hyperlink ref="I25" r:id="rId12"/>
    <hyperlink ref="I27" r:id="rId13"/>
  </hyperlinks>
  <pageMargins left="0.7" right="0.7" top="0.75" bottom="0.75" header="0.3" footer="0.3"/>
  <pageSetup paperSize="9" orientation="portrait" horizontalDpi="0" verticalDpi="0" r:id="rId14"/>
  <tableParts count="1">
    <tablePart r:id="rId1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37"/>
  <sheetViews>
    <sheetView topLeftCell="A216" zoomScale="85" zoomScaleNormal="85" workbookViewId="0">
      <selection activeCell="B227" sqref="B227"/>
    </sheetView>
  </sheetViews>
  <sheetFormatPr defaultColWidth="9.140625" defaultRowHeight="15" x14ac:dyDescent="0.25"/>
  <cols>
    <col min="1" max="1" width="37.5703125" style="119" bestFit="1" customWidth="1"/>
    <col min="2" max="2" width="28.7109375" style="119" bestFit="1" customWidth="1"/>
    <col min="3" max="3" width="45.5703125" customWidth="1"/>
    <col min="4" max="4" width="21.5703125" style="118" customWidth="1"/>
    <col min="5" max="5" width="54.42578125" style="118" bestFit="1" customWidth="1"/>
    <col min="6" max="6" width="31" style="118" customWidth="1"/>
    <col min="7" max="7" width="27.85546875" style="118" customWidth="1"/>
    <col min="8" max="8" width="37.85546875" style="118" customWidth="1"/>
    <col min="9" max="9" width="40.140625" style="118" customWidth="1"/>
    <col min="10" max="41" width="14.7109375" customWidth="1"/>
    <col min="42" max="42" width="37.28515625" customWidth="1"/>
    <col min="43" max="43" width="47.7109375" customWidth="1"/>
    <col min="44" max="44" width="88.5703125" customWidth="1"/>
  </cols>
  <sheetData>
    <row r="1" spans="1:43" ht="15.75" thickBot="1" x14ac:dyDescent="0.3"/>
    <row r="2" spans="1:43" s="122" customFormat="1" ht="102.75" thickBot="1" x14ac:dyDescent="0.3">
      <c r="A2" s="119" t="s">
        <v>1166</v>
      </c>
      <c r="B2" s="119" t="s">
        <v>14</v>
      </c>
      <c r="C2" s="125" t="s">
        <v>1208</v>
      </c>
      <c r="D2" s="125" t="s">
        <v>1207</v>
      </c>
      <c r="E2" s="125" t="s">
        <v>1209</v>
      </c>
      <c r="F2" s="125" t="s">
        <v>1212</v>
      </c>
      <c r="G2" s="125" t="s">
        <v>1211</v>
      </c>
      <c r="H2" s="125" t="s">
        <v>1210</v>
      </c>
      <c r="I2" s="123" t="s">
        <v>26</v>
      </c>
      <c r="J2" s="121" t="s">
        <v>27</v>
      </c>
      <c r="K2" s="121" t="s">
        <v>28</v>
      </c>
      <c r="L2" s="121" t="s">
        <v>29</v>
      </c>
      <c r="M2" s="121" t="s">
        <v>31</v>
      </c>
      <c r="N2" s="121" t="s">
        <v>32</v>
      </c>
      <c r="O2" s="121" t="s">
        <v>1164</v>
      </c>
      <c r="P2" s="121" t="s">
        <v>33</v>
      </c>
      <c r="Q2" s="121" t="s">
        <v>34</v>
      </c>
      <c r="R2" s="121" t="s">
        <v>35</v>
      </c>
      <c r="S2" s="121" t="s">
        <v>36</v>
      </c>
      <c r="T2" s="121" t="s">
        <v>1168</v>
      </c>
      <c r="U2" s="121" t="s">
        <v>37</v>
      </c>
      <c r="V2" s="121" t="s">
        <v>38</v>
      </c>
      <c r="W2" s="121" t="s">
        <v>39</v>
      </c>
      <c r="X2" s="121" t="s">
        <v>1170</v>
      </c>
      <c r="Y2" s="121" t="s">
        <v>40</v>
      </c>
      <c r="Z2" s="121" t="s">
        <v>41</v>
      </c>
      <c r="AA2" s="121" t="s">
        <v>1172</v>
      </c>
      <c r="AB2" s="121" t="s">
        <v>42</v>
      </c>
      <c r="AC2" s="121" t="s">
        <v>43</v>
      </c>
      <c r="AD2" s="121" t="s">
        <v>44</v>
      </c>
      <c r="AE2" s="121" t="s">
        <v>45</v>
      </c>
      <c r="AF2" s="121" t="s">
        <v>1175</v>
      </c>
      <c r="AG2" s="121" t="s">
        <v>1176</v>
      </c>
      <c r="AH2" s="121" t="s">
        <v>1177</v>
      </c>
      <c r="AI2" s="121" t="s">
        <v>1178</v>
      </c>
      <c r="AJ2" s="121" t="s">
        <v>1179</v>
      </c>
      <c r="AK2" s="121" t="s">
        <v>1181</v>
      </c>
      <c r="AL2" s="121" t="s">
        <v>1182</v>
      </c>
      <c r="AM2" s="121" t="s">
        <v>1183</v>
      </c>
      <c r="AN2" s="121" t="s">
        <v>1184</v>
      </c>
      <c r="AO2" s="120" t="s">
        <v>1236</v>
      </c>
      <c r="AP2" s="120" t="s">
        <v>1237</v>
      </c>
      <c r="AQ2" s="126" t="s">
        <v>1238</v>
      </c>
    </row>
    <row r="3" spans="1:43" ht="15.75" thickBot="1" x14ac:dyDescent="0.3">
      <c r="B3" s="160" t="s">
        <v>618</v>
      </c>
      <c r="C3" s="160" t="s">
        <v>1719</v>
      </c>
      <c r="D3" s="160" t="s">
        <v>1723</v>
      </c>
      <c r="E3" s="160" t="s">
        <v>1727</v>
      </c>
      <c r="F3" s="160" t="s">
        <v>1731</v>
      </c>
      <c r="G3" s="160" t="s">
        <v>72</v>
      </c>
      <c r="H3" s="160" t="s">
        <v>72</v>
      </c>
      <c r="I3" s="160" t="s">
        <v>1206</v>
      </c>
      <c r="J3" s="160" t="s">
        <v>1206</v>
      </c>
      <c r="K3" s="160" t="s">
        <v>1206</v>
      </c>
      <c r="L3" s="160" t="s">
        <v>1206</v>
      </c>
      <c r="M3" s="160" t="s">
        <v>1206</v>
      </c>
      <c r="N3" s="160" t="s">
        <v>1206</v>
      </c>
      <c r="O3" s="160" t="s">
        <v>1206</v>
      </c>
      <c r="P3" s="160" t="s">
        <v>1206</v>
      </c>
      <c r="Q3" s="160" t="s">
        <v>1206</v>
      </c>
      <c r="R3" s="160" t="s">
        <v>1206</v>
      </c>
      <c r="S3" s="160" t="s">
        <v>1206</v>
      </c>
      <c r="T3" s="160" t="s">
        <v>1206</v>
      </c>
      <c r="U3" s="160" t="s">
        <v>1206</v>
      </c>
      <c r="V3" s="160" t="s">
        <v>1206</v>
      </c>
      <c r="W3" s="160" t="s">
        <v>1206</v>
      </c>
      <c r="X3" s="160" t="s">
        <v>1206</v>
      </c>
      <c r="Y3" s="160" t="s">
        <v>1206</v>
      </c>
      <c r="Z3" s="160" t="s">
        <v>1206</v>
      </c>
      <c r="AA3" s="160" t="s">
        <v>1206</v>
      </c>
      <c r="AB3" s="160" t="s">
        <v>1206</v>
      </c>
      <c r="AC3" s="160" t="s">
        <v>1206</v>
      </c>
      <c r="AD3" s="160" t="s">
        <v>1206</v>
      </c>
      <c r="AE3" s="160" t="s">
        <v>1206</v>
      </c>
      <c r="AF3" s="160" t="s">
        <v>1206</v>
      </c>
      <c r="AG3" s="160" t="s">
        <v>1206</v>
      </c>
      <c r="AH3" s="160" t="s">
        <v>1206</v>
      </c>
      <c r="AI3" s="160" t="s">
        <v>1206</v>
      </c>
      <c r="AJ3" s="160" t="s">
        <v>1206</v>
      </c>
      <c r="AK3" s="160" t="s">
        <v>1206</v>
      </c>
      <c r="AL3" s="160" t="s">
        <v>1206</v>
      </c>
      <c r="AM3" s="160" t="s">
        <v>1206</v>
      </c>
      <c r="AN3" s="160" t="s">
        <v>1206</v>
      </c>
      <c r="AO3" s="160" t="s">
        <v>665</v>
      </c>
      <c r="AP3" s="160" t="s">
        <v>1230</v>
      </c>
      <c r="AQ3" s="160" t="s">
        <v>1533</v>
      </c>
    </row>
    <row r="4" spans="1:43" ht="27" thickBot="1" x14ac:dyDescent="0.3">
      <c r="B4" s="160" t="s">
        <v>618</v>
      </c>
      <c r="C4" s="160" t="s">
        <v>1720</v>
      </c>
      <c r="D4" s="160" t="s">
        <v>1724</v>
      </c>
      <c r="E4" s="160" t="s">
        <v>1728</v>
      </c>
      <c r="F4" s="160" t="s">
        <v>888</v>
      </c>
      <c r="G4" s="160" t="s">
        <v>72</v>
      </c>
      <c r="H4" s="160" t="s">
        <v>72</v>
      </c>
      <c r="I4" s="160" t="s">
        <v>1205</v>
      </c>
      <c r="J4" s="160" t="s">
        <v>1206</v>
      </c>
      <c r="K4" s="160" t="s">
        <v>1205</v>
      </c>
      <c r="L4" s="160" t="s">
        <v>1206</v>
      </c>
      <c r="M4" s="160" t="s">
        <v>1205</v>
      </c>
      <c r="N4" s="160" t="s">
        <v>1206</v>
      </c>
      <c r="O4" s="160" t="s">
        <v>1205</v>
      </c>
      <c r="P4" s="160" t="s">
        <v>1206</v>
      </c>
      <c r="Q4" s="160" t="s">
        <v>1206</v>
      </c>
      <c r="R4" s="160" t="s">
        <v>1205</v>
      </c>
      <c r="S4" s="160" t="s">
        <v>1205</v>
      </c>
      <c r="T4" s="160" t="s">
        <v>1205</v>
      </c>
      <c r="U4" s="160" t="s">
        <v>1206</v>
      </c>
      <c r="V4" s="160" t="s">
        <v>1205</v>
      </c>
      <c r="W4" s="160" t="s">
        <v>1205</v>
      </c>
      <c r="X4" s="160" t="s">
        <v>1206</v>
      </c>
      <c r="Y4" s="160" t="s">
        <v>1205</v>
      </c>
      <c r="Z4" s="160" t="s">
        <v>1206</v>
      </c>
      <c r="AA4" s="160" t="s">
        <v>1205</v>
      </c>
      <c r="AB4" s="160" t="s">
        <v>1206</v>
      </c>
      <c r="AC4" s="160" t="s">
        <v>1206</v>
      </c>
      <c r="AD4" s="160" t="s">
        <v>1205</v>
      </c>
      <c r="AE4" s="160" t="s">
        <v>1205</v>
      </c>
      <c r="AF4" s="160" t="s">
        <v>1206</v>
      </c>
      <c r="AG4" s="160" t="s">
        <v>1205</v>
      </c>
      <c r="AH4" s="160" t="s">
        <v>1205</v>
      </c>
      <c r="AI4" s="160" t="s">
        <v>1205</v>
      </c>
      <c r="AJ4" s="160" t="s">
        <v>1205</v>
      </c>
      <c r="AK4" s="160" t="s">
        <v>1206</v>
      </c>
      <c r="AL4" s="160" t="s">
        <v>1205</v>
      </c>
      <c r="AM4" s="160" t="s">
        <v>1205</v>
      </c>
      <c r="AN4" s="160" t="s">
        <v>1205</v>
      </c>
      <c r="AO4" s="160" t="s">
        <v>645</v>
      </c>
      <c r="AP4" s="160" t="s">
        <v>1230</v>
      </c>
      <c r="AQ4" s="160" t="s">
        <v>1534</v>
      </c>
    </row>
    <row r="5" spans="1:43" ht="27" thickBot="1" x14ac:dyDescent="0.3">
      <c r="B5" s="160" t="s">
        <v>197</v>
      </c>
      <c r="C5" s="160" t="s">
        <v>1721</v>
      </c>
      <c r="D5" s="160" t="s">
        <v>1725</v>
      </c>
      <c r="E5" s="160" t="s">
        <v>1729</v>
      </c>
      <c r="F5" s="160" t="s">
        <v>534</v>
      </c>
      <c r="G5" s="160" t="s">
        <v>72</v>
      </c>
      <c r="H5" s="160" t="s">
        <v>72</v>
      </c>
      <c r="I5" s="160" t="s">
        <v>1205</v>
      </c>
      <c r="J5" s="160" t="s">
        <v>1205</v>
      </c>
      <c r="K5" s="160" t="s">
        <v>1206</v>
      </c>
      <c r="L5" s="160" t="s">
        <v>1205</v>
      </c>
      <c r="M5" s="160" t="s">
        <v>1205</v>
      </c>
      <c r="N5" s="160" t="s">
        <v>1205</v>
      </c>
      <c r="O5" s="160" t="s">
        <v>1206</v>
      </c>
      <c r="P5" s="160" t="s">
        <v>1206</v>
      </c>
      <c r="Q5" s="160" t="s">
        <v>1206</v>
      </c>
      <c r="R5" s="160" t="s">
        <v>1205</v>
      </c>
      <c r="S5" s="160" t="s">
        <v>1205</v>
      </c>
      <c r="T5" s="160" t="s">
        <v>1206</v>
      </c>
      <c r="U5" s="160" t="s">
        <v>1206</v>
      </c>
      <c r="V5" s="160" t="s">
        <v>1206</v>
      </c>
      <c r="W5" s="160" t="s">
        <v>1206</v>
      </c>
      <c r="X5" s="160" t="s">
        <v>1206</v>
      </c>
      <c r="Y5" s="160" t="s">
        <v>1205</v>
      </c>
      <c r="Z5" s="160" t="s">
        <v>1206</v>
      </c>
      <c r="AA5" s="160" t="s">
        <v>1205</v>
      </c>
      <c r="AB5" s="160" t="s">
        <v>1205</v>
      </c>
      <c r="AC5" s="160" t="s">
        <v>1205</v>
      </c>
      <c r="AD5" s="160" t="s">
        <v>1205</v>
      </c>
      <c r="AE5" s="160" t="s">
        <v>1205</v>
      </c>
      <c r="AF5" s="160" t="s">
        <v>1206</v>
      </c>
      <c r="AG5" s="160" t="s">
        <v>1206</v>
      </c>
      <c r="AH5" s="160" t="s">
        <v>1205</v>
      </c>
      <c r="AI5" s="160" t="s">
        <v>1205</v>
      </c>
      <c r="AJ5" s="160" t="s">
        <v>1205</v>
      </c>
      <c r="AK5" s="160" t="s">
        <v>1206</v>
      </c>
      <c r="AL5" s="160" t="s">
        <v>1206</v>
      </c>
      <c r="AM5" s="160" t="s">
        <v>1206</v>
      </c>
      <c r="AN5" s="160" t="s">
        <v>1205</v>
      </c>
      <c r="AO5" s="160" t="s">
        <v>645</v>
      </c>
      <c r="AP5" s="160" t="s">
        <v>1732</v>
      </c>
      <c r="AQ5" s="160" t="s">
        <v>1535</v>
      </c>
    </row>
    <row r="6" spans="1:43" ht="27" thickBot="1" x14ac:dyDescent="0.3">
      <c r="B6" s="160" t="s">
        <v>197</v>
      </c>
      <c r="C6" s="160" t="s">
        <v>1722</v>
      </c>
      <c r="D6" s="160" t="s">
        <v>1726</v>
      </c>
      <c r="E6" s="160" t="s">
        <v>1730</v>
      </c>
      <c r="F6" s="160" t="s">
        <v>74</v>
      </c>
      <c r="G6" s="160" t="s">
        <v>72</v>
      </c>
      <c r="H6" s="160" t="s">
        <v>72</v>
      </c>
      <c r="I6" s="160" t="s">
        <v>1205</v>
      </c>
      <c r="J6" s="160" t="s">
        <v>1206</v>
      </c>
      <c r="K6" s="160" t="s">
        <v>1206</v>
      </c>
      <c r="L6" s="160" t="s">
        <v>1206</v>
      </c>
      <c r="M6" s="160" t="s">
        <v>1206</v>
      </c>
      <c r="N6" s="160" t="s">
        <v>1205</v>
      </c>
      <c r="O6" s="160" t="s">
        <v>1205</v>
      </c>
      <c r="P6" s="160" t="s">
        <v>1206</v>
      </c>
      <c r="Q6" s="160" t="s">
        <v>1205</v>
      </c>
      <c r="R6" s="160" t="s">
        <v>1205</v>
      </c>
      <c r="S6" s="160" t="s">
        <v>1205</v>
      </c>
      <c r="T6" s="160" t="s">
        <v>1205</v>
      </c>
      <c r="U6" s="160" t="s">
        <v>1206</v>
      </c>
      <c r="V6" s="160" t="s">
        <v>1205</v>
      </c>
      <c r="W6" s="160" t="s">
        <v>1206</v>
      </c>
      <c r="X6" s="160" t="s">
        <v>1205</v>
      </c>
      <c r="Y6" s="160" t="s">
        <v>1206</v>
      </c>
      <c r="Z6" s="160" t="s">
        <v>1206</v>
      </c>
      <c r="AA6" s="160" t="s">
        <v>1206</v>
      </c>
      <c r="AB6" s="160" t="s">
        <v>1205</v>
      </c>
      <c r="AC6" s="160" t="s">
        <v>1206</v>
      </c>
      <c r="AD6" s="160" t="s">
        <v>1205</v>
      </c>
      <c r="AE6" s="160" t="s">
        <v>1206</v>
      </c>
      <c r="AF6" s="160" t="s">
        <v>1206</v>
      </c>
      <c r="AG6" s="160" t="s">
        <v>1205</v>
      </c>
      <c r="AH6" s="160" t="s">
        <v>1205</v>
      </c>
      <c r="AI6" s="160" t="s">
        <v>1206</v>
      </c>
      <c r="AJ6" s="160" t="s">
        <v>1205</v>
      </c>
      <c r="AK6" s="160" t="s">
        <v>1206</v>
      </c>
      <c r="AL6" s="160" t="s">
        <v>1206</v>
      </c>
      <c r="AM6" s="160" t="s">
        <v>1206</v>
      </c>
      <c r="AN6" s="160" t="s">
        <v>1205</v>
      </c>
      <c r="AO6" s="160" t="s">
        <v>665</v>
      </c>
      <c r="AP6" s="160" t="s">
        <v>589</v>
      </c>
      <c r="AQ6" s="160" t="s">
        <v>1682</v>
      </c>
    </row>
    <row r="13" spans="1:43" ht="15" customHeight="1" x14ac:dyDescent="0.25"/>
    <row r="14" spans="1:43" ht="39" customHeight="1" thickBot="1" x14ac:dyDescent="0.3">
      <c r="A14" s="119" t="s">
        <v>1161</v>
      </c>
      <c r="B14" s="119" t="s">
        <v>14</v>
      </c>
      <c r="C14" s="125" t="s">
        <v>1207</v>
      </c>
      <c r="D14" s="125" t="s">
        <v>1209</v>
      </c>
      <c r="E14" s="125" t="s">
        <v>1212</v>
      </c>
      <c r="F14" s="125" t="s">
        <v>1211</v>
      </c>
      <c r="G14" s="125" t="s">
        <v>1210</v>
      </c>
      <c r="H14" s="124" t="s">
        <v>26</v>
      </c>
      <c r="I14" s="116" t="s">
        <v>27</v>
      </c>
      <c r="J14" s="116" t="s">
        <v>28</v>
      </c>
      <c r="K14" s="116" t="s">
        <v>29</v>
      </c>
      <c r="L14" s="116" t="s">
        <v>30</v>
      </c>
      <c r="M14" s="116" t="s">
        <v>31</v>
      </c>
      <c r="N14" s="116" t="s">
        <v>32</v>
      </c>
      <c r="O14" s="116" t="s">
        <v>33</v>
      </c>
      <c r="P14" s="116" t="s">
        <v>34</v>
      </c>
      <c r="Q14" s="116" t="s">
        <v>35</v>
      </c>
      <c r="R14" s="116" t="s">
        <v>36</v>
      </c>
      <c r="S14" s="161" t="s">
        <v>1168</v>
      </c>
      <c r="T14" s="116" t="s">
        <v>37</v>
      </c>
      <c r="U14" s="116" t="s">
        <v>38</v>
      </c>
      <c r="V14" s="116" t="s">
        <v>39</v>
      </c>
      <c r="W14" s="116" t="s">
        <v>40</v>
      </c>
      <c r="X14" s="116" t="s">
        <v>41</v>
      </c>
      <c r="Y14" s="116" t="s">
        <v>1172</v>
      </c>
      <c r="Z14" s="116" t="s">
        <v>42</v>
      </c>
      <c r="AA14" s="116" t="s">
        <v>43</v>
      </c>
      <c r="AB14" s="116" t="s">
        <v>44</v>
      </c>
      <c r="AC14" s="116" t="s">
        <v>45</v>
      </c>
      <c r="AD14" s="116" t="s">
        <v>1175</v>
      </c>
      <c r="AE14" s="116" t="s">
        <v>1176</v>
      </c>
      <c r="AF14" s="116" t="s">
        <v>1177</v>
      </c>
      <c r="AG14" s="116" t="s">
        <v>1178</v>
      </c>
      <c r="AH14" s="116" t="s">
        <v>1179</v>
      </c>
      <c r="AI14" s="116" t="s">
        <v>1181</v>
      </c>
      <c r="AJ14" s="116" t="s">
        <v>1182</v>
      </c>
      <c r="AK14" s="116" t="s">
        <v>1183</v>
      </c>
      <c r="AL14" s="116" t="s">
        <v>1184</v>
      </c>
    </row>
    <row r="15" spans="1:43" ht="39.75" customHeight="1" thickBot="1" x14ac:dyDescent="0.3">
      <c r="B15" s="127" t="s">
        <v>142</v>
      </c>
      <c r="C15" s="160" t="s">
        <v>1733</v>
      </c>
      <c r="D15" t="s">
        <v>1735</v>
      </c>
      <c r="E15" t="s">
        <v>1160</v>
      </c>
      <c r="F15" s="160" t="s">
        <v>1737</v>
      </c>
      <c r="G15" s="160" t="s">
        <v>72</v>
      </c>
      <c r="H15" t="s">
        <v>1205</v>
      </c>
      <c r="I15" t="s">
        <v>1205</v>
      </c>
      <c r="J15" t="s">
        <v>1205</v>
      </c>
      <c r="K15" t="s">
        <v>1205</v>
      </c>
      <c r="L15" t="s">
        <v>1205</v>
      </c>
      <c r="M15" t="s">
        <v>1205</v>
      </c>
      <c r="N15" t="s">
        <v>1206</v>
      </c>
      <c r="O15" t="s">
        <v>1206</v>
      </c>
      <c r="P15" t="s">
        <v>1206</v>
      </c>
      <c r="Q15" t="s">
        <v>1205</v>
      </c>
      <c r="R15" t="s">
        <v>1205</v>
      </c>
      <c r="S15" t="s">
        <v>1205</v>
      </c>
      <c r="T15" t="s">
        <v>1206</v>
      </c>
      <c r="U15" t="s">
        <v>1206</v>
      </c>
      <c r="V15" t="s">
        <v>1205</v>
      </c>
      <c r="W15" t="s">
        <v>1205</v>
      </c>
      <c r="X15" t="s">
        <v>1205</v>
      </c>
      <c r="Y15" t="s">
        <v>1205</v>
      </c>
      <c r="Z15" t="s">
        <v>1205</v>
      </c>
      <c r="AA15" t="s">
        <v>1205</v>
      </c>
      <c r="AB15" t="s">
        <v>1205</v>
      </c>
      <c r="AC15" t="s">
        <v>1205</v>
      </c>
      <c r="AD15" s="160" t="s">
        <v>1229</v>
      </c>
      <c r="AE15" s="160" t="s">
        <v>1436</v>
      </c>
      <c r="AF15" s="160" t="s">
        <v>1436</v>
      </c>
      <c r="AG15" s="160" t="s">
        <v>1436</v>
      </c>
      <c r="AH15" s="160" t="s">
        <v>1436</v>
      </c>
      <c r="AI15" s="160" t="s">
        <v>1436</v>
      </c>
      <c r="AJ15" s="160" t="s">
        <v>1436</v>
      </c>
      <c r="AK15" s="160" t="s">
        <v>1436</v>
      </c>
      <c r="AL15" s="160" t="s">
        <v>1436</v>
      </c>
    </row>
    <row r="16" spans="1:43" ht="39.75" customHeight="1" thickBot="1" x14ac:dyDescent="0.3">
      <c r="B16" s="127" t="s">
        <v>142</v>
      </c>
      <c r="C16" s="187" t="s">
        <v>1740</v>
      </c>
      <c r="D16" t="s">
        <v>1742</v>
      </c>
      <c r="E16" t="s">
        <v>888</v>
      </c>
      <c r="F16" s="160" t="s">
        <v>72</v>
      </c>
      <c r="G16" s="160" t="s">
        <v>72</v>
      </c>
      <c r="H16" s="160" t="s">
        <v>1205</v>
      </c>
      <c r="I16" s="160" t="s">
        <v>1206</v>
      </c>
      <c r="J16" s="160" t="s">
        <v>1206</v>
      </c>
      <c r="K16" s="160" t="s">
        <v>1205</v>
      </c>
      <c r="L16" s="160" t="s">
        <v>1206</v>
      </c>
      <c r="M16" s="160" t="s">
        <v>1205</v>
      </c>
      <c r="N16" s="160" t="s">
        <v>1206</v>
      </c>
      <c r="O16" s="160" t="s">
        <v>1206</v>
      </c>
      <c r="P16" s="160" t="s">
        <v>1206</v>
      </c>
      <c r="Q16" s="160" t="s">
        <v>1205</v>
      </c>
      <c r="R16" s="160" t="s">
        <v>1206</v>
      </c>
      <c r="S16" s="160" t="s">
        <v>1206</v>
      </c>
      <c r="T16" s="160" t="s">
        <v>1206</v>
      </c>
      <c r="U16" s="160" t="s">
        <v>1206</v>
      </c>
      <c r="V16" s="160" t="s">
        <v>1205</v>
      </c>
      <c r="W16" s="160" t="s">
        <v>1205</v>
      </c>
      <c r="X16" s="160" t="s">
        <v>1206</v>
      </c>
      <c r="Y16" s="160" t="s">
        <v>1205</v>
      </c>
      <c r="Z16" s="160" t="s">
        <v>1205</v>
      </c>
      <c r="AA16" s="160" t="s">
        <v>1206</v>
      </c>
      <c r="AB16" s="160" t="s">
        <v>1206</v>
      </c>
      <c r="AC16" s="160" t="s">
        <v>1205</v>
      </c>
      <c r="AD16" s="160" t="s">
        <v>1436</v>
      </c>
      <c r="AE16" s="160" t="s">
        <v>1229</v>
      </c>
      <c r="AF16" s="160" t="s">
        <v>1229</v>
      </c>
      <c r="AG16" s="160" t="s">
        <v>1436</v>
      </c>
      <c r="AH16" s="160" t="s">
        <v>1229</v>
      </c>
      <c r="AI16" s="160" t="s">
        <v>1229</v>
      </c>
      <c r="AJ16" s="160" t="s">
        <v>1436</v>
      </c>
      <c r="AK16" s="160" t="s">
        <v>1229</v>
      </c>
      <c r="AL16" s="160" t="s">
        <v>1436</v>
      </c>
    </row>
    <row r="17" spans="1:39" ht="39.75" customHeight="1" thickBot="1" x14ac:dyDescent="0.3">
      <c r="B17" s="127" t="s">
        <v>127</v>
      </c>
      <c r="C17" s="187" t="s">
        <v>1741</v>
      </c>
      <c r="D17" t="s">
        <v>1743</v>
      </c>
      <c r="E17" t="s">
        <v>888</v>
      </c>
      <c r="F17" s="160" t="s">
        <v>72</v>
      </c>
      <c r="G17" s="160" t="s">
        <v>72</v>
      </c>
      <c r="H17" s="160" t="s">
        <v>1205</v>
      </c>
      <c r="I17" s="160" t="s">
        <v>1205</v>
      </c>
      <c r="J17" s="160" t="s">
        <v>1206</v>
      </c>
      <c r="K17" s="160" t="s">
        <v>1205</v>
      </c>
      <c r="L17" s="160" t="s">
        <v>1206</v>
      </c>
      <c r="M17" s="160" t="s">
        <v>1205</v>
      </c>
      <c r="N17" s="160" t="s">
        <v>1205</v>
      </c>
      <c r="O17" s="160" t="s">
        <v>1205</v>
      </c>
      <c r="P17" s="160" t="s">
        <v>1206</v>
      </c>
      <c r="Q17" s="160" t="s">
        <v>1206</v>
      </c>
      <c r="R17" s="160" t="s">
        <v>1205</v>
      </c>
      <c r="S17" s="160" t="s">
        <v>1205</v>
      </c>
      <c r="T17" s="160" t="s">
        <v>1205</v>
      </c>
      <c r="U17" s="160" t="s">
        <v>1206</v>
      </c>
      <c r="V17" s="160" t="s">
        <v>1205</v>
      </c>
      <c r="W17" s="160" t="s">
        <v>1205</v>
      </c>
      <c r="X17" s="160" t="s">
        <v>1206</v>
      </c>
      <c r="Y17" s="160" t="s">
        <v>1205</v>
      </c>
      <c r="Z17" s="160" t="s">
        <v>1205</v>
      </c>
      <c r="AA17" s="160" t="s">
        <v>1206</v>
      </c>
      <c r="AB17" s="160" t="s">
        <v>1206</v>
      </c>
      <c r="AC17" s="160" t="s">
        <v>1205</v>
      </c>
      <c r="AD17" s="160" t="s">
        <v>1436</v>
      </c>
      <c r="AE17" s="160" t="s">
        <v>1229</v>
      </c>
      <c r="AF17" s="160" t="s">
        <v>1436</v>
      </c>
      <c r="AG17" s="160" t="s">
        <v>1229</v>
      </c>
      <c r="AH17" s="160" t="s">
        <v>1436</v>
      </c>
      <c r="AI17" s="160" t="s">
        <v>1436</v>
      </c>
      <c r="AJ17" s="160" t="s">
        <v>1229</v>
      </c>
      <c r="AK17" s="160" t="s">
        <v>1229</v>
      </c>
      <c r="AL17" s="160" t="s">
        <v>1436</v>
      </c>
    </row>
    <row r="18" spans="1:39" ht="15.75" customHeight="1" thickBot="1" x14ac:dyDescent="0.3">
      <c r="B18" s="127" t="s">
        <v>142</v>
      </c>
      <c r="C18" s="220" t="s">
        <v>1734</v>
      </c>
      <c r="D18" t="s">
        <v>1736</v>
      </c>
      <c r="E18" t="s">
        <v>888</v>
      </c>
      <c r="F18" s="160" t="s">
        <v>72</v>
      </c>
      <c r="G18" s="160" t="s">
        <v>72</v>
      </c>
      <c r="H18" t="s">
        <v>1206</v>
      </c>
      <c r="I18" t="s">
        <v>1206</v>
      </c>
      <c r="J18" t="s">
        <v>1205</v>
      </c>
      <c r="K18" t="s">
        <v>1205</v>
      </c>
      <c r="L18" t="s">
        <v>1205</v>
      </c>
      <c r="M18" t="s">
        <v>1206</v>
      </c>
      <c r="N18" t="s">
        <v>1206</v>
      </c>
      <c r="O18" t="s">
        <v>1206</v>
      </c>
      <c r="P18" t="s">
        <v>1206</v>
      </c>
      <c r="Q18" t="s">
        <v>1206</v>
      </c>
      <c r="R18" t="s">
        <v>1206</v>
      </c>
      <c r="S18" t="s">
        <v>1206</v>
      </c>
      <c r="T18" t="s">
        <v>1206</v>
      </c>
      <c r="U18" t="s">
        <v>1205</v>
      </c>
      <c r="V18" t="s">
        <v>1206</v>
      </c>
      <c r="W18" t="s">
        <v>1206</v>
      </c>
      <c r="X18" t="s">
        <v>1205</v>
      </c>
      <c r="Y18" t="s">
        <v>1206</v>
      </c>
      <c r="Z18" t="s">
        <v>1206</v>
      </c>
      <c r="AA18" t="s">
        <v>1206</v>
      </c>
      <c r="AB18" t="s">
        <v>1206</v>
      </c>
      <c r="AC18" t="s">
        <v>1206</v>
      </c>
      <c r="AD18" s="160" t="s">
        <v>1206</v>
      </c>
      <c r="AE18" s="160" t="s">
        <v>1206</v>
      </c>
      <c r="AF18" s="160" t="s">
        <v>1206</v>
      </c>
      <c r="AG18" s="160" t="s">
        <v>1206</v>
      </c>
      <c r="AH18" s="160" t="s">
        <v>1206</v>
      </c>
      <c r="AI18" s="160" t="s">
        <v>1206</v>
      </c>
      <c r="AJ18" s="160" t="s">
        <v>1206</v>
      </c>
      <c r="AK18" s="160" t="s">
        <v>1206</v>
      </c>
      <c r="AL18" s="160" t="s">
        <v>1206</v>
      </c>
    </row>
    <row r="19" spans="1:39" ht="15" customHeight="1" x14ac:dyDescent="0.25"/>
    <row r="20" spans="1:39" ht="15" customHeight="1" x14ac:dyDescent="0.25"/>
    <row r="21" spans="1:39" ht="15" customHeight="1" x14ac:dyDescent="0.25"/>
    <row r="22" spans="1:39" ht="15" customHeight="1" x14ac:dyDescent="0.25"/>
    <row r="23" spans="1:39" ht="39" customHeight="1" thickBot="1" x14ac:dyDescent="0.3">
      <c r="A23" s="119" t="s">
        <v>1185</v>
      </c>
      <c r="B23" s="119" t="s">
        <v>14</v>
      </c>
      <c r="C23" s="122" t="s">
        <v>1239</v>
      </c>
      <c r="D23" s="125" t="s">
        <v>1208</v>
      </c>
      <c r="E23" s="125" t="s">
        <v>1207</v>
      </c>
      <c r="F23" s="125" t="s">
        <v>1209</v>
      </c>
      <c r="G23" s="125" t="s">
        <v>1212</v>
      </c>
      <c r="H23" s="125" t="s">
        <v>1211</v>
      </c>
      <c r="I23" s="125" t="s">
        <v>1210</v>
      </c>
      <c r="J23" s="116" t="s">
        <v>26</v>
      </c>
      <c r="K23" s="116" t="s">
        <v>27</v>
      </c>
      <c r="L23" s="116" t="s">
        <v>28</v>
      </c>
      <c r="M23" s="116" t="s">
        <v>29</v>
      </c>
      <c r="N23" s="116" t="s">
        <v>31</v>
      </c>
      <c r="O23" s="116" t="s">
        <v>32</v>
      </c>
      <c r="P23" s="116" t="s">
        <v>33</v>
      </c>
      <c r="Q23" s="116" t="s">
        <v>34</v>
      </c>
      <c r="R23" s="116" t="s">
        <v>35</v>
      </c>
      <c r="S23" s="116" t="s">
        <v>36</v>
      </c>
      <c r="T23" s="116" t="s">
        <v>37</v>
      </c>
      <c r="U23" s="116" t="s">
        <v>38</v>
      </c>
      <c r="V23" s="116" t="s">
        <v>39</v>
      </c>
      <c r="W23" s="116" t="s">
        <v>1170</v>
      </c>
      <c r="X23" s="116" t="s">
        <v>40</v>
      </c>
      <c r="Y23" s="116" t="s">
        <v>41</v>
      </c>
      <c r="Z23" s="116" t="s">
        <v>1172</v>
      </c>
      <c r="AA23" s="116" t="s">
        <v>42</v>
      </c>
      <c r="AB23" s="116" t="s">
        <v>43</v>
      </c>
      <c r="AC23" s="116" t="s">
        <v>44</v>
      </c>
      <c r="AD23" s="116" t="s">
        <v>45</v>
      </c>
      <c r="AE23" s="116" t="s">
        <v>1175</v>
      </c>
      <c r="AF23" s="116" t="s">
        <v>1176</v>
      </c>
      <c r="AG23" s="116" t="s">
        <v>1177</v>
      </c>
      <c r="AH23" s="116" t="s">
        <v>1178</v>
      </c>
      <c r="AI23" s="116" t="s">
        <v>1179</v>
      </c>
      <c r="AJ23" s="116" t="s">
        <v>1181</v>
      </c>
      <c r="AK23" s="116" t="s">
        <v>1182</v>
      </c>
      <c r="AL23" s="116" t="s">
        <v>1183</v>
      </c>
      <c r="AM23" s="116" t="s">
        <v>1184</v>
      </c>
    </row>
    <row r="24" spans="1:39" ht="15.75" customHeight="1" thickBot="1" x14ac:dyDescent="0.3">
      <c r="B24" s="162" t="s">
        <v>1577</v>
      </c>
      <c r="C24" s="122" t="s">
        <v>68</v>
      </c>
      <c r="D24"/>
      <c r="E24" s="162" t="s">
        <v>1738</v>
      </c>
      <c r="F24" s="162" t="s">
        <v>1739</v>
      </c>
      <c r="G24" s="162" t="s">
        <v>888</v>
      </c>
      <c r="H24" s="160" t="s">
        <v>72</v>
      </c>
      <c r="I24" s="160" t="s">
        <v>72</v>
      </c>
      <c r="J24" s="160" t="s">
        <v>1205</v>
      </c>
      <c r="K24" s="160" t="s">
        <v>1205</v>
      </c>
      <c r="L24" s="160" t="s">
        <v>1205</v>
      </c>
      <c r="M24" s="160" t="s">
        <v>1205</v>
      </c>
      <c r="N24" s="160" t="s">
        <v>1206</v>
      </c>
      <c r="O24" s="160" t="s">
        <v>1205</v>
      </c>
      <c r="P24" s="160" t="s">
        <v>1205</v>
      </c>
      <c r="Q24" s="160" t="s">
        <v>1205</v>
      </c>
      <c r="R24" s="160" t="s">
        <v>1205</v>
      </c>
      <c r="S24" s="160" t="s">
        <v>1205</v>
      </c>
      <c r="T24" s="160" t="s">
        <v>1206</v>
      </c>
      <c r="U24" s="160" t="s">
        <v>1206</v>
      </c>
      <c r="V24" s="160" t="s">
        <v>1205</v>
      </c>
      <c r="W24" s="160" t="s">
        <v>1206</v>
      </c>
      <c r="X24" s="160" t="s">
        <v>1205</v>
      </c>
      <c r="Y24" s="160" t="s">
        <v>1205</v>
      </c>
      <c r="Z24" s="160" t="s">
        <v>1205</v>
      </c>
      <c r="AA24" s="160" t="s">
        <v>1205</v>
      </c>
      <c r="AB24" s="160" t="s">
        <v>1205</v>
      </c>
      <c r="AC24" s="160" t="s">
        <v>1205</v>
      </c>
      <c r="AD24" s="160" t="s">
        <v>1205</v>
      </c>
      <c r="AE24" s="160" t="s">
        <v>1206</v>
      </c>
      <c r="AF24" s="160" t="s">
        <v>1205</v>
      </c>
      <c r="AG24" s="160" t="s">
        <v>1205</v>
      </c>
      <c r="AH24" s="160" t="s">
        <v>1205</v>
      </c>
      <c r="AI24" s="160" t="s">
        <v>1205</v>
      </c>
      <c r="AJ24" s="160" t="s">
        <v>1206</v>
      </c>
      <c r="AK24" s="160" t="s">
        <v>1206</v>
      </c>
      <c r="AL24" s="160" t="s">
        <v>1206</v>
      </c>
      <c r="AM24" s="160" t="s">
        <v>1205</v>
      </c>
    </row>
    <row r="25" spans="1:39" ht="15.75" customHeight="1" thickBot="1" x14ac:dyDescent="0.3">
      <c r="B25" s="160" t="s">
        <v>1357</v>
      </c>
      <c r="C25" s="122"/>
      <c r="D25" s="160" t="s">
        <v>1744</v>
      </c>
      <c r="E25" s="160" t="s">
        <v>1750</v>
      </c>
      <c r="F25" s="160" t="s">
        <v>1747</v>
      </c>
      <c r="G25" s="160" t="s">
        <v>1217</v>
      </c>
      <c r="H25" s="160" t="s">
        <v>72</v>
      </c>
      <c r="I25" s="160" t="s">
        <v>72</v>
      </c>
      <c r="J25" s="160" t="s">
        <v>1206</v>
      </c>
      <c r="K25" s="160" t="s">
        <v>1205</v>
      </c>
      <c r="L25" s="160" t="s">
        <v>1206</v>
      </c>
      <c r="M25" s="160" t="s">
        <v>1206</v>
      </c>
      <c r="N25" s="160" t="s">
        <v>1205</v>
      </c>
      <c r="O25" s="160" t="s">
        <v>1206</v>
      </c>
      <c r="P25" s="160" t="s">
        <v>1206</v>
      </c>
      <c r="Q25" s="160" t="s">
        <v>1229</v>
      </c>
      <c r="R25" s="160" t="s">
        <v>1205</v>
      </c>
      <c r="S25" s="160" t="s">
        <v>1206</v>
      </c>
      <c r="T25" s="160" t="s">
        <v>1206</v>
      </c>
      <c r="U25" s="160" t="s">
        <v>1205</v>
      </c>
      <c r="V25" s="160" t="s">
        <v>1205</v>
      </c>
      <c r="W25" s="160" t="s">
        <v>1206</v>
      </c>
      <c r="X25" s="160" t="s">
        <v>1205</v>
      </c>
      <c r="Y25" s="160" t="s">
        <v>1205</v>
      </c>
      <c r="Z25" s="160" t="s">
        <v>1206</v>
      </c>
      <c r="AA25" s="160" t="s">
        <v>1206</v>
      </c>
      <c r="AB25" s="160" t="s">
        <v>1205</v>
      </c>
      <c r="AC25" s="160" t="s">
        <v>1205</v>
      </c>
      <c r="AD25" s="160" t="s">
        <v>1206</v>
      </c>
      <c r="AE25" s="160" t="s">
        <v>1205</v>
      </c>
      <c r="AF25" s="160" t="s">
        <v>1206</v>
      </c>
      <c r="AG25" s="160" t="s">
        <v>1205</v>
      </c>
      <c r="AH25" s="160" t="s">
        <v>1205</v>
      </c>
      <c r="AI25" s="160" t="s">
        <v>1205</v>
      </c>
      <c r="AJ25" s="160" t="s">
        <v>1205</v>
      </c>
      <c r="AK25" s="160" t="s">
        <v>1205</v>
      </c>
      <c r="AL25" s="160" t="s">
        <v>1206</v>
      </c>
      <c r="AM25" s="160" t="s">
        <v>1206</v>
      </c>
    </row>
    <row r="26" spans="1:39" ht="15.75" customHeight="1" thickBot="1" x14ac:dyDescent="0.3">
      <c r="B26" s="160" t="s">
        <v>1357</v>
      </c>
      <c r="C26" s="122"/>
      <c r="D26" s="160" t="s">
        <v>1745</v>
      </c>
      <c r="E26" s="160" t="s">
        <v>1751</v>
      </c>
      <c r="F26" s="160" t="s">
        <v>1748</v>
      </c>
      <c r="G26" s="160" t="s">
        <v>1217</v>
      </c>
      <c r="H26" s="160" t="s">
        <v>72</v>
      </c>
      <c r="I26" s="160" t="s">
        <v>72</v>
      </c>
      <c r="J26" s="160" t="s">
        <v>1205</v>
      </c>
      <c r="K26" s="160" t="s">
        <v>1206</v>
      </c>
      <c r="L26" s="160" t="s">
        <v>1205</v>
      </c>
      <c r="M26" s="160" t="s">
        <v>1206</v>
      </c>
      <c r="N26" s="160" t="s">
        <v>1205</v>
      </c>
      <c r="O26" s="160" t="s">
        <v>1205</v>
      </c>
      <c r="P26" s="160" t="s">
        <v>1206</v>
      </c>
      <c r="Q26" s="160" t="s">
        <v>1229</v>
      </c>
      <c r="R26" s="160" t="s">
        <v>1205</v>
      </c>
      <c r="S26" s="160" t="s">
        <v>1205</v>
      </c>
      <c r="T26" s="160" t="s">
        <v>1206</v>
      </c>
      <c r="U26" s="160" t="s">
        <v>1205</v>
      </c>
      <c r="V26" s="160" t="s">
        <v>1205</v>
      </c>
      <c r="W26" s="160" t="s">
        <v>1205</v>
      </c>
      <c r="X26" s="160" t="s">
        <v>1205</v>
      </c>
      <c r="Y26" s="160" t="s">
        <v>1206</v>
      </c>
      <c r="Z26" s="160" t="s">
        <v>1205</v>
      </c>
      <c r="AA26" s="160" t="s">
        <v>1205</v>
      </c>
      <c r="AB26" s="160" t="s">
        <v>1206</v>
      </c>
      <c r="AC26" s="160" t="s">
        <v>1205</v>
      </c>
      <c r="AD26" s="160" t="s">
        <v>1205</v>
      </c>
      <c r="AE26" s="160" t="s">
        <v>1205</v>
      </c>
      <c r="AF26" s="160" t="s">
        <v>1206</v>
      </c>
      <c r="AG26" s="160" t="s">
        <v>1206</v>
      </c>
      <c r="AH26" s="160" t="s">
        <v>1205</v>
      </c>
      <c r="AI26" s="160" t="s">
        <v>1206</v>
      </c>
      <c r="AJ26" s="160" t="s">
        <v>1205</v>
      </c>
      <c r="AK26" s="160" t="s">
        <v>1206</v>
      </c>
      <c r="AL26" s="160" t="s">
        <v>1206</v>
      </c>
      <c r="AM26" s="160" t="s">
        <v>1205</v>
      </c>
    </row>
    <row r="27" spans="1:39" ht="27" customHeight="1" thickBot="1" x14ac:dyDescent="0.3">
      <c r="B27" s="160" t="s">
        <v>1577</v>
      </c>
      <c r="D27" s="160" t="s">
        <v>1746</v>
      </c>
      <c r="E27" s="160" t="s">
        <v>1752</v>
      </c>
      <c r="F27" s="160" t="s">
        <v>1749</v>
      </c>
      <c r="G27" s="160" t="s">
        <v>1753</v>
      </c>
      <c r="H27" s="160" t="s">
        <v>72</v>
      </c>
      <c r="I27" s="160" t="s">
        <v>72</v>
      </c>
      <c r="J27" s="160" t="s">
        <v>1205</v>
      </c>
      <c r="K27" s="160" t="s">
        <v>1206</v>
      </c>
      <c r="L27" s="160" t="s">
        <v>1205</v>
      </c>
      <c r="M27" s="160" t="s">
        <v>1206</v>
      </c>
      <c r="N27" s="160" t="s">
        <v>1205</v>
      </c>
      <c r="O27" s="160" t="s">
        <v>1206</v>
      </c>
      <c r="P27" s="160" t="s">
        <v>1206</v>
      </c>
      <c r="Q27" s="160" t="s">
        <v>1205</v>
      </c>
      <c r="R27" s="160" t="s">
        <v>1206</v>
      </c>
      <c r="S27" s="160" t="s">
        <v>1205</v>
      </c>
      <c r="T27" s="160" t="s">
        <v>1206</v>
      </c>
      <c r="U27" s="160" t="s">
        <v>1205</v>
      </c>
      <c r="V27" s="160" t="s">
        <v>1205</v>
      </c>
      <c r="W27" s="160" t="s">
        <v>1205</v>
      </c>
      <c r="X27" s="160" t="s">
        <v>1206</v>
      </c>
      <c r="Y27" s="160" t="s">
        <v>1205</v>
      </c>
      <c r="Z27" s="160" t="s">
        <v>1206</v>
      </c>
      <c r="AA27" s="160" t="s">
        <v>1206</v>
      </c>
      <c r="AB27" s="160" t="s">
        <v>1206</v>
      </c>
      <c r="AC27" s="160" t="s">
        <v>1205</v>
      </c>
      <c r="AD27" s="160" t="s">
        <v>1205</v>
      </c>
      <c r="AE27" s="160" t="s">
        <v>1205</v>
      </c>
      <c r="AF27" s="160" t="s">
        <v>1205</v>
      </c>
      <c r="AG27" s="160" t="s">
        <v>1206</v>
      </c>
      <c r="AH27" s="160" t="s">
        <v>1205</v>
      </c>
      <c r="AI27" s="160" t="s">
        <v>1206</v>
      </c>
      <c r="AJ27" s="160" t="s">
        <v>1229</v>
      </c>
      <c r="AK27" s="160" t="s">
        <v>1206</v>
      </c>
      <c r="AL27" s="160" t="s">
        <v>1205</v>
      </c>
      <c r="AM27" s="160" t="s">
        <v>1206</v>
      </c>
    </row>
    <row r="31" spans="1:39" s="164" customFormat="1" x14ac:dyDescent="0.25">
      <c r="A31" s="163"/>
      <c r="B31" s="163"/>
      <c r="D31" s="165"/>
      <c r="E31" s="165"/>
      <c r="F31" s="165"/>
      <c r="G31" s="165"/>
      <c r="H31" s="165"/>
      <c r="I31" s="165"/>
    </row>
    <row r="33" spans="1:44" ht="15.75" thickBot="1" x14ac:dyDescent="0.3"/>
    <row r="34" spans="1:44" ht="17.25" thickBot="1" x14ac:dyDescent="0.3">
      <c r="A34" s="64" t="s">
        <v>14</v>
      </c>
      <c r="B34" s="65" t="s">
        <v>1166</v>
      </c>
      <c r="D34"/>
      <c r="E34"/>
      <c r="F34"/>
      <c r="G34" s="115"/>
      <c r="H34" s="64" t="s">
        <v>14</v>
      </c>
      <c r="I34" s="65" t="s">
        <v>197</v>
      </c>
      <c r="O34" s="64" t="s">
        <v>14</v>
      </c>
      <c r="P34" s="65" t="s">
        <v>618</v>
      </c>
      <c r="V34" s="64" t="s">
        <v>14</v>
      </c>
      <c r="W34" s="65" t="s">
        <v>90</v>
      </c>
    </row>
    <row r="35" spans="1:44" s="118" customFormat="1" ht="17.25" thickBot="1" x14ac:dyDescent="0.3">
      <c r="A35" s="64" t="s">
        <v>647</v>
      </c>
      <c r="B35" s="65">
        <v>2024</v>
      </c>
      <c r="C35"/>
      <c r="D35"/>
      <c r="E35"/>
      <c r="F35"/>
      <c r="H35" s="64" t="s">
        <v>647</v>
      </c>
      <c r="I35" s="65">
        <v>2024</v>
      </c>
      <c r="J35"/>
      <c r="K35"/>
      <c r="L35"/>
      <c r="M35"/>
      <c r="N35"/>
      <c r="O35" s="64" t="s">
        <v>647</v>
      </c>
      <c r="P35" s="65">
        <v>2024</v>
      </c>
      <c r="Q35"/>
      <c r="R35"/>
      <c r="S35"/>
      <c r="T35"/>
      <c r="U35"/>
      <c r="V35" s="64" t="s">
        <v>647</v>
      </c>
      <c r="W35" s="65">
        <v>2024</v>
      </c>
      <c r="X35"/>
      <c r="Y35"/>
      <c r="Z35"/>
      <c r="AA35"/>
      <c r="AB35"/>
      <c r="AC35"/>
      <c r="AD35"/>
      <c r="AE35"/>
      <c r="AF35"/>
      <c r="AG35"/>
      <c r="AH35"/>
      <c r="AI35"/>
      <c r="AJ35"/>
      <c r="AK35"/>
      <c r="AL35"/>
      <c r="AM35"/>
      <c r="AN35"/>
      <c r="AO35"/>
      <c r="AP35"/>
      <c r="AQ35"/>
      <c r="AR35"/>
    </row>
    <row r="36" spans="1:44" s="118" customFormat="1" ht="17.25" thickBot="1" x14ac:dyDescent="0.3">
      <c r="A36" s="64" t="s">
        <v>646</v>
      </c>
      <c r="B36" s="65">
        <f>I36+P36+W36</f>
        <v>4</v>
      </c>
      <c r="C36"/>
      <c r="D36"/>
      <c r="E36"/>
      <c r="F36"/>
      <c r="H36" s="64" t="s">
        <v>646</v>
      </c>
      <c r="I36" s="65">
        <f>COUNTIF(Table612917[Prodi],"S1 Sistem Informasi")</f>
        <v>2</v>
      </c>
      <c r="J36"/>
      <c r="K36"/>
      <c r="L36"/>
      <c r="M36"/>
      <c r="N36"/>
      <c r="O36" s="64" t="s">
        <v>646</v>
      </c>
      <c r="P36" s="65">
        <f>COUNTIF(Table612917[Prodi],"S1 Teknik Komputer")</f>
        <v>2</v>
      </c>
      <c r="Q36"/>
      <c r="R36"/>
      <c r="S36"/>
      <c r="T36"/>
      <c r="U36"/>
      <c r="V36" s="64" t="s">
        <v>646</v>
      </c>
      <c r="W36" s="65">
        <f>COUNTIF(Table612917[Prodi],"D3 Sistem Informasi")</f>
        <v>0</v>
      </c>
      <c r="X36"/>
      <c r="Y36"/>
      <c r="Z36"/>
      <c r="AA36"/>
      <c r="AB36"/>
      <c r="AC36"/>
      <c r="AD36"/>
      <c r="AE36"/>
      <c r="AF36"/>
      <c r="AG36"/>
      <c r="AH36"/>
      <c r="AI36"/>
      <c r="AJ36"/>
      <c r="AK36"/>
      <c r="AL36"/>
      <c r="AM36"/>
      <c r="AN36"/>
      <c r="AO36"/>
      <c r="AP36"/>
      <c r="AQ36"/>
      <c r="AR36"/>
    </row>
    <row r="37" spans="1:44" s="118" customFormat="1" ht="16.5" x14ac:dyDescent="0.3">
      <c r="A37" s="55"/>
      <c r="B37" s="56" t="s">
        <v>1205</v>
      </c>
      <c r="C37" s="56" t="s">
        <v>1206</v>
      </c>
      <c r="D37" s="56" t="s">
        <v>1580</v>
      </c>
      <c r="E37" s="56" t="s">
        <v>1581</v>
      </c>
      <c r="F37" s="56"/>
      <c r="H37" s="55"/>
      <c r="I37" s="56" t="s">
        <v>1205</v>
      </c>
      <c r="J37" s="56" t="s">
        <v>1206</v>
      </c>
      <c r="K37" s="56" t="s">
        <v>1580</v>
      </c>
      <c r="L37" s="56" t="s">
        <v>1581</v>
      </c>
      <c r="M37" s="56"/>
      <c r="N37"/>
      <c r="O37" s="55"/>
      <c r="P37" s="56" t="s">
        <v>1205</v>
      </c>
      <c r="Q37" s="56" t="s">
        <v>1206</v>
      </c>
      <c r="R37" s="56" t="s">
        <v>1580</v>
      </c>
      <c r="S37" s="56" t="s">
        <v>1581</v>
      </c>
      <c r="T37" s="56"/>
      <c r="U37"/>
      <c r="V37" s="55"/>
      <c r="W37" s="56" t="s">
        <v>1205</v>
      </c>
      <c r="X37" s="56" t="s">
        <v>1206</v>
      </c>
      <c r="Y37" s="56" t="s">
        <v>1580</v>
      </c>
      <c r="Z37" s="56" t="s">
        <v>1581</v>
      </c>
      <c r="AA37" s="56"/>
      <c r="AB37"/>
      <c r="AC37"/>
      <c r="AD37"/>
      <c r="AE37"/>
      <c r="AF37"/>
      <c r="AG37"/>
      <c r="AH37"/>
      <c r="AI37"/>
      <c r="AJ37"/>
      <c r="AK37"/>
      <c r="AL37"/>
      <c r="AM37"/>
      <c r="AN37"/>
      <c r="AO37"/>
      <c r="AP37"/>
      <c r="AQ37"/>
      <c r="AR37"/>
    </row>
    <row r="38" spans="1:44" s="118" customFormat="1" ht="16.5" x14ac:dyDescent="0.3">
      <c r="A38" s="57" t="s">
        <v>26</v>
      </c>
      <c r="B38" s="66">
        <f>COUNTIF(Table612917[B1],B$37)/$B$36</f>
        <v>0.75</v>
      </c>
      <c r="C38" s="66">
        <f>COUNTIF(Table612917[B1],C$37)/$B$36</f>
        <v>0.25</v>
      </c>
      <c r="D38" s="66">
        <f>COUNTIF(Table612917[B1],D$37)/$B$36</f>
        <v>0</v>
      </c>
      <c r="E38" s="66">
        <f>COUNTIF(Table612917[B1],E$37)/$B$36</f>
        <v>0</v>
      </c>
      <c r="F38" s="62">
        <f t="shared" ref="F38:F78" si="0">SUM(B38:E38)</f>
        <v>1</v>
      </c>
      <c r="H38" s="57" t="s">
        <v>26</v>
      </c>
      <c r="I38" s="66">
        <f>COUNTIFS(Table612917[Prodi],"S1 Sistem Informasi",Table612917[B1],I$37)/$I$36</f>
        <v>1</v>
      </c>
      <c r="J38" s="66">
        <f>COUNTIFS(Table612917[Prodi],"S1 Sistem Informasi",Table612917[B1],J$37)/$I$36</f>
        <v>0</v>
      </c>
      <c r="K38" s="66">
        <f>COUNTIFS(Table612917[Prodi],"S1 Sistem Informasi",Table612917[B1],K$37)/$I$36</f>
        <v>0</v>
      </c>
      <c r="L38" s="66">
        <f>COUNTIFS(Table612917[Prodi],"S1 Sistem Informasi",Table612917[B1],L$37)/$I$36</f>
        <v>0</v>
      </c>
      <c r="M38" s="62">
        <f t="shared" ref="M38:M45" si="1">SUM(I38:L38)</f>
        <v>1</v>
      </c>
      <c r="N38"/>
      <c r="O38" s="57" t="s">
        <v>26</v>
      </c>
      <c r="P38" s="66">
        <f>COUNTIFS(Table612917[Prodi],"S1 Teknik Komputer",Table612917[B1],P$37)/$P$36</f>
        <v>0.5</v>
      </c>
      <c r="Q38" s="66">
        <f>COUNTIFS(Table612917[Prodi],"S1 Teknik Komputer",Table612917[B1],Q$37)/$P$36</f>
        <v>0.5</v>
      </c>
      <c r="R38" s="66">
        <f>COUNTIFS(Table612917[Prodi],"S1 Teknik Komputer",Table612917[B1],R$37)/$P$36</f>
        <v>0</v>
      </c>
      <c r="S38" s="66">
        <f>COUNTIFS(Table612917[Prodi],"S1 Teknik Komputer",Table612917[B1],S$37)/$P$36</f>
        <v>0</v>
      </c>
      <c r="T38" s="62">
        <f t="shared" ref="T38:T45" si="2">SUM(P38:S38)</f>
        <v>1</v>
      </c>
      <c r="U38"/>
      <c r="V38" s="57" t="s">
        <v>26</v>
      </c>
      <c r="W38" s="66" t="e">
        <f>COUNTIFS(Table612917[Prodi],"D3 Sistem Informasi",Table612917[B1],W$37)/$W$36</f>
        <v>#DIV/0!</v>
      </c>
      <c r="X38" s="66" t="e">
        <f>COUNTIFS(Table612917[Prodi],"D3 Sistem Informasi",Table612917[B1],X$37)/$W$36</f>
        <v>#DIV/0!</v>
      </c>
      <c r="Y38" s="66" t="e">
        <f>COUNTIFS(Table612917[Prodi],"D3 Sistem Informasi",Table612917[B1],Y$37)/$W$36</f>
        <v>#DIV/0!</v>
      </c>
      <c r="Z38" s="66" t="e">
        <f>COUNTIFS(Table612917[Prodi],"D3 Sistem Informasi",Table612917[B1],Z$37)/$W$36</f>
        <v>#DIV/0!</v>
      </c>
      <c r="AA38" s="62" t="e">
        <f t="shared" ref="AA38:AA45" si="3">SUM(W38:Z38)</f>
        <v>#DIV/0!</v>
      </c>
      <c r="AB38"/>
      <c r="AC38"/>
      <c r="AD38"/>
      <c r="AE38"/>
      <c r="AF38"/>
      <c r="AG38"/>
      <c r="AH38"/>
      <c r="AI38"/>
      <c r="AJ38"/>
      <c r="AK38"/>
      <c r="AL38"/>
      <c r="AM38"/>
      <c r="AN38"/>
      <c r="AO38"/>
      <c r="AP38"/>
      <c r="AQ38"/>
      <c r="AR38"/>
    </row>
    <row r="39" spans="1:44" s="118" customFormat="1" ht="16.5" x14ac:dyDescent="0.3">
      <c r="A39" s="57" t="s">
        <v>27</v>
      </c>
      <c r="B39" s="66">
        <f>COUNTIF(Table612917[B1],B$37)/$B$36</f>
        <v>0.75</v>
      </c>
      <c r="C39" s="66">
        <f>COUNTIF(Table612917[B1],C$37)/$B$36</f>
        <v>0.25</v>
      </c>
      <c r="D39" s="66">
        <f>COUNTIF(Table612917[B1],D$37)/$B$36</f>
        <v>0</v>
      </c>
      <c r="E39" s="66">
        <f>COUNTIF(Table612917[B1],E$37)/$B$36</f>
        <v>0</v>
      </c>
      <c r="F39" s="62">
        <f t="shared" si="0"/>
        <v>1</v>
      </c>
      <c r="H39" s="57" t="s">
        <v>27</v>
      </c>
      <c r="I39" s="66">
        <f>COUNTIFS(Table612917[Prodi],"S1 Sistem Informasi",Table612917[B2],I$37)/$I$36</f>
        <v>0.5</v>
      </c>
      <c r="J39" s="66">
        <f>COUNTIFS(Table612917[Prodi],"S1 Sistem Informasi",Table612917[B2],J$37)/$I$36</f>
        <v>0.5</v>
      </c>
      <c r="K39" s="66">
        <f>COUNTIFS(Table612917[Prodi],"S1 Sistem Informasi",Table612917[B2],K$37)/$I$36</f>
        <v>0</v>
      </c>
      <c r="L39" s="66">
        <f>COUNTIFS(Table612917[Prodi],"S1 Sistem Informasi",Table612917[B2],L$37)/$I$36</f>
        <v>0</v>
      </c>
      <c r="M39" s="62">
        <f t="shared" si="1"/>
        <v>1</v>
      </c>
      <c r="N39"/>
      <c r="O39" s="57" t="s">
        <v>27</v>
      </c>
      <c r="P39" s="66">
        <f>COUNTIFS(Table612917[Prodi],"S1 Teknik Komputer",Table612917[B2],P$37)/$P$36</f>
        <v>0</v>
      </c>
      <c r="Q39" s="66">
        <f>COUNTIFS(Table612917[Prodi],"S1 Teknik Komputer",Table612917[B2],Q$37)/$P$36</f>
        <v>1</v>
      </c>
      <c r="R39" s="66">
        <f>COUNTIFS(Table612917[Prodi],"S1 Teknik Komputer",Table612917[B2],R$37)/$P$36</f>
        <v>0</v>
      </c>
      <c r="S39" s="66">
        <f>COUNTIFS(Table612917[Prodi],"S1 Teknik Komputer",Table612917[B2],S$37)/$P$36</f>
        <v>0</v>
      </c>
      <c r="T39" s="62">
        <f t="shared" si="2"/>
        <v>1</v>
      </c>
      <c r="U39"/>
      <c r="V39" s="57" t="s">
        <v>27</v>
      </c>
      <c r="W39" s="66" t="e">
        <f>COUNTIFS(Table612917[Prodi],"D3 Sistem Informasi",Table612917[B2],W$37)/$W$36</f>
        <v>#DIV/0!</v>
      </c>
      <c r="X39" s="66" t="e">
        <f>COUNTIFS(Table612917[Prodi],"D3 Sistem Informasi",Table612917[B2],X$37)/$W$36</f>
        <v>#DIV/0!</v>
      </c>
      <c r="Y39" s="66" t="e">
        <f>COUNTIFS(Table612917[Prodi],"D3 Sistem Informasi",Table612917[B2],Y$37)/$W$36</f>
        <v>#DIV/0!</v>
      </c>
      <c r="Z39" s="66" t="e">
        <f>COUNTIFS(Table612917[Prodi],"D3 Sistem Informasi",Table612917[B2],Z$37)/$W$36</f>
        <v>#DIV/0!</v>
      </c>
      <c r="AA39" s="62" t="e">
        <f t="shared" si="3"/>
        <v>#DIV/0!</v>
      </c>
      <c r="AB39"/>
      <c r="AC39"/>
      <c r="AD39"/>
      <c r="AE39"/>
      <c r="AF39"/>
      <c r="AG39"/>
      <c r="AH39"/>
      <c r="AI39"/>
      <c r="AJ39"/>
      <c r="AK39"/>
      <c r="AL39"/>
      <c r="AM39"/>
      <c r="AN39"/>
      <c r="AO39"/>
      <c r="AP39"/>
      <c r="AQ39"/>
      <c r="AR39"/>
    </row>
    <row r="40" spans="1:44" s="118" customFormat="1" ht="16.5" x14ac:dyDescent="0.3">
      <c r="A40" s="57" t="s">
        <v>28</v>
      </c>
      <c r="B40" s="66">
        <f>COUNTIF(Table612917[B1],B$37)/$B$36</f>
        <v>0.75</v>
      </c>
      <c r="C40" s="66">
        <f>COUNTIF(Table612917[B1],C$37)/$B$36</f>
        <v>0.25</v>
      </c>
      <c r="D40" s="66">
        <f>COUNTIF(Table612917[B1],D$37)/$B$36</f>
        <v>0</v>
      </c>
      <c r="E40" s="66">
        <f>COUNTIF(Table612917[B1],E$37)/$B$36</f>
        <v>0</v>
      </c>
      <c r="F40" s="62">
        <f t="shared" si="0"/>
        <v>1</v>
      </c>
      <c r="H40" s="57" t="s">
        <v>28</v>
      </c>
      <c r="I40" s="66">
        <f>COUNTIFS(Table612917[Prodi],"S1 Sistem Informasi",Table612917[B3],I$37)/$I$36</f>
        <v>0</v>
      </c>
      <c r="J40" s="66">
        <f>COUNTIFS(Table612917[Prodi],"S1 Sistem Informasi",Table612917[B3],J$37)/$I$36</f>
        <v>1</v>
      </c>
      <c r="K40" s="66">
        <f>COUNTIFS(Table612917[Prodi],"S1 Sistem Informasi",Table612917[B3],K$37)/$I$36</f>
        <v>0</v>
      </c>
      <c r="L40" s="66">
        <f>COUNTIFS(Table612917[Prodi],"S1 Sistem Informasi",Table612917[B3],L$37)/$I$36</f>
        <v>0</v>
      </c>
      <c r="M40" s="62">
        <f t="shared" si="1"/>
        <v>1</v>
      </c>
      <c r="N40"/>
      <c r="O40" s="57" t="s">
        <v>28</v>
      </c>
      <c r="P40" s="66">
        <f>COUNTIFS(Table612917[Prodi],"S1 Teknik Komputer",Table612917[B3],P$37)/$P$36</f>
        <v>0.5</v>
      </c>
      <c r="Q40" s="66">
        <f>COUNTIFS(Table612917[Prodi],"S1 Teknik Komputer",Table612917[B3],Q$37)/$P$36</f>
        <v>0.5</v>
      </c>
      <c r="R40" s="66">
        <f>COUNTIFS(Table612917[Prodi],"S1 Teknik Komputer",Table612917[B3],R$37)/$P$36</f>
        <v>0</v>
      </c>
      <c r="S40" s="66">
        <f>COUNTIFS(Table612917[Prodi],"S1 Teknik Komputer",Table612917[B3],S$37)/$P$36</f>
        <v>0</v>
      </c>
      <c r="T40" s="62">
        <f t="shared" si="2"/>
        <v>1</v>
      </c>
      <c r="U40"/>
      <c r="V40" s="57" t="s">
        <v>28</v>
      </c>
      <c r="W40" s="66" t="e">
        <f>COUNTIFS(Table612917[Prodi],"D3 Sistem Informasi",Table612917[B3],W$37)/$W$36</f>
        <v>#DIV/0!</v>
      </c>
      <c r="X40" s="66" t="e">
        <f>COUNTIFS(Table612917[Prodi],"D3 Sistem Informasi",Table612917[B3],X$37)/$W$36</f>
        <v>#DIV/0!</v>
      </c>
      <c r="Y40" s="66" t="e">
        <f>COUNTIFS(Table612917[Prodi],"D3 Sistem Informasi",Table612917[B3],Y$37)/$W$36</f>
        <v>#DIV/0!</v>
      </c>
      <c r="Z40" s="66" t="e">
        <f>COUNTIFS(Table612917[Prodi],"D3 Sistem Informasi",Table612917[B3],Z$37)/$W$36</f>
        <v>#DIV/0!</v>
      </c>
      <c r="AA40" s="62" t="e">
        <f t="shared" si="3"/>
        <v>#DIV/0!</v>
      </c>
      <c r="AB40"/>
      <c r="AC40"/>
      <c r="AD40"/>
      <c r="AE40"/>
      <c r="AF40"/>
      <c r="AG40"/>
      <c r="AH40"/>
      <c r="AI40"/>
      <c r="AJ40"/>
      <c r="AK40"/>
      <c r="AL40"/>
      <c r="AM40"/>
      <c r="AN40"/>
      <c r="AO40"/>
      <c r="AP40"/>
      <c r="AQ40"/>
      <c r="AR40"/>
    </row>
    <row r="41" spans="1:44" s="118" customFormat="1" ht="16.5" x14ac:dyDescent="0.3">
      <c r="A41" s="57" t="s">
        <v>29</v>
      </c>
      <c r="B41" s="66">
        <f>COUNTIF(Table612917[B1],B$37)/$B$36</f>
        <v>0.75</v>
      </c>
      <c r="C41" s="66">
        <f>COUNTIF(Table612917[B1],C$37)/$B$36</f>
        <v>0.25</v>
      </c>
      <c r="D41" s="66">
        <f>COUNTIF(Table612917[B1],D$37)/$B$36</f>
        <v>0</v>
      </c>
      <c r="E41" s="66">
        <f>COUNTIF(Table612917[B1],E$37)/$B$36</f>
        <v>0</v>
      </c>
      <c r="F41" s="62">
        <f t="shared" si="0"/>
        <v>1</v>
      </c>
      <c r="H41" s="57" t="s">
        <v>29</v>
      </c>
      <c r="I41" s="66">
        <f>COUNTIFS(Table612917[Prodi],"S1 Sistem Informasi",Table612917[B4],I$37)/$I$36</f>
        <v>0.5</v>
      </c>
      <c r="J41" s="66">
        <f>COUNTIFS(Table612917[Prodi],"S1 Sistem Informasi",Table612917[B4],J$37)/$I$36</f>
        <v>0.5</v>
      </c>
      <c r="K41" s="66">
        <f>COUNTIFS(Table612917[Prodi],"S1 Sistem Informasi",Table612917[B4],K$37)/$I$36</f>
        <v>0</v>
      </c>
      <c r="L41" s="66">
        <f>COUNTIFS(Table612917[Prodi],"S1 Sistem Informasi",Table612917[B4],L$37)/$I$36</f>
        <v>0</v>
      </c>
      <c r="M41" s="62">
        <f t="shared" si="1"/>
        <v>1</v>
      </c>
      <c r="N41"/>
      <c r="O41" s="57" t="s">
        <v>29</v>
      </c>
      <c r="P41" s="66">
        <f>COUNTIFS(Table612917[Prodi],"S1 Teknik Komputer",Table612917[B4],P$37)/$P$36</f>
        <v>0</v>
      </c>
      <c r="Q41" s="66">
        <f>COUNTIFS(Table612917[Prodi],"S1 Teknik Komputer",Table612917[B4],Q$37)/$P$36</f>
        <v>1</v>
      </c>
      <c r="R41" s="66">
        <f>COUNTIFS(Table612917[Prodi],"S1 Teknik Komputer",Table612917[B4],R$37)/$P$36</f>
        <v>0</v>
      </c>
      <c r="S41" s="66">
        <f>COUNTIFS(Table612917[Prodi],"S1 Teknik Komputer",Table612917[B4],S$37)/$P$36</f>
        <v>0</v>
      </c>
      <c r="T41" s="62">
        <f t="shared" si="2"/>
        <v>1</v>
      </c>
      <c r="U41"/>
      <c r="V41" s="57" t="s">
        <v>29</v>
      </c>
      <c r="W41" s="66" t="e">
        <f>COUNTIFS(Table612917[Prodi],"D3 Sistem Informasi",Table612917[B4],W$37)/$W$36</f>
        <v>#DIV/0!</v>
      </c>
      <c r="X41" s="66" t="e">
        <f>COUNTIFS(Table612917[Prodi],"D3 Sistem Informasi",Table612917[B4],X$37)/$W$36</f>
        <v>#DIV/0!</v>
      </c>
      <c r="Y41" s="66" t="e">
        <f>COUNTIFS(Table612917[Prodi],"D3 Sistem Informasi",Table612917[B4],Y$37)/$W$36</f>
        <v>#DIV/0!</v>
      </c>
      <c r="Z41" s="66" t="e">
        <f>COUNTIFS(Table612917[Prodi],"D3 Sistem Informasi",Table612917[B4],Z$37)/$W$36</f>
        <v>#DIV/0!</v>
      </c>
      <c r="AA41" s="62" t="e">
        <f t="shared" si="3"/>
        <v>#DIV/0!</v>
      </c>
      <c r="AB41"/>
      <c r="AC41"/>
      <c r="AD41"/>
      <c r="AE41"/>
      <c r="AF41"/>
      <c r="AG41"/>
      <c r="AH41"/>
      <c r="AI41"/>
      <c r="AJ41"/>
      <c r="AK41"/>
      <c r="AL41"/>
      <c r="AM41"/>
      <c r="AN41"/>
      <c r="AO41"/>
      <c r="AP41"/>
      <c r="AQ41"/>
      <c r="AR41"/>
    </row>
    <row r="42" spans="1:44" s="118" customFormat="1" ht="16.5" x14ac:dyDescent="0.3">
      <c r="A42" s="60"/>
      <c r="B42" s="61">
        <f>AVERAGE(B38:B41)</f>
        <v>0.75</v>
      </c>
      <c r="C42" s="61">
        <f>AVERAGE(C38:C41)</f>
        <v>0.25</v>
      </c>
      <c r="D42" s="61">
        <f>AVERAGE(D38:D41)</f>
        <v>0</v>
      </c>
      <c r="E42" s="61">
        <f>AVERAGE(E38:E41)</f>
        <v>0</v>
      </c>
      <c r="F42" s="62">
        <f t="shared" si="0"/>
        <v>1</v>
      </c>
      <c r="H42" s="60"/>
      <c r="I42" s="61">
        <f>AVERAGE(I38:I41)</f>
        <v>0.5</v>
      </c>
      <c r="J42" s="61">
        <f>AVERAGE(J38:J41)</f>
        <v>0.5</v>
      </c>
      <c r="K42" s="61">
        <f>AVERAGE(K38:K41)</f>
        <v>0</v>
      </c>
      <c r="L42" s="61">
        <f>AVERAGE(L38:L41)</f>
        <v>0</v>
      </c>
      <c r="M42" s="62">
        <f t="shared" si="1"/>
        <v>1</v>
      </c>
      <c r="N42"/>
      <c r="O42" s="60"/>
      <c r="P42" s="61">
        <f>AVERAGE(P38:P41)</f>
        <v>0.25</v>
      </c>
      <c r="Q42" s="61">
        <f>AVERAGE(Q38:Q41)</f>
        <v>0.75</v>
      </c>
      <c r="R42" s="61">
        <f>AVERAGE(R38:R41)</f>
        <v>0</v>
      </c>
      <c r="S42" s="61">
        <f>AVERAGE(S38:S41)</f>
        <v>0</v>
      </c>
      <c r="T42" s="62">
        <f t="shared" si="2"/>
        <v>1</v>
      </c>
      <c r="U42"/>
      <c r="V42" s="60"/>
      <c r="W42" s="61" t="e">
        <f>AVERAGE(W38:W41)</f>
        <v>#DIV/0!</v>
      </c>
      <c r="X42" s="61" t="e">
        <f>AVERAGE(X38:X41)</f>
        <v>#DIV/0!</v>
      </c>
      <c r="Y42" s="61" t="e">
        <f>AVERAGE(Y38:Y41)</f>
        <v>#DIV/0!</v>
      </c>
      <c r="Z42" s="61" t="e">
        <f>AVERAGE(Z38:Z41)</f>
        <v>#DIV/0!</v>
      </c>
      <c r="AA42" s="62" t="e">
        <f t="shared" si="3"/>
        <v>#DIV/0!</v>
      </c>
      <c r="AB42"/>
      <c r="AC42"/>
      <c r="AD42"/>
      <c r="AE42"/>
      <c r="AF42"/>
      <c r="AG42"/>
      <c r="AH42"/>
      <c r="AI42"/>
      <c r="AJ42"/>
      <c r="AK42"/>
      <c r="AL42"/>
      <c r="AM42"/>
      <c r="AN42"/>
      <c r="AO42"/>
      <c r="AP42"/>
      <c r="AQ42"/>
      <c r="AR42"/>
    </row>
    <row r="43" spans="1:44" s="118" customFormat="1" ht="16.5" x14ac:dyDescent="0.3">
      <c r="A43" s="57" t="s">
        <v>31</v>
      </c>
      <c r="B43" s="66">
        <f>COUNTIF(Table612917[C1],B$37)/$B$36</f>
        <v>0.5</v>
      </c>
      <c r="C43" s="66">
        <f>COUNTIF(Table612917[C1],C$37)/$B$36</f>
        <v>0.5</v>
      </c>
      <c r="D43" s="66">
        <f>COUNTIF(Table612917[C1],D$37)/$B$36</f>
        <v>0</v>
      </c>
      <c r="E43" s="66">
        <f>COUNTIF(Table612917[C1],E$37)/$B$36</f>
        <v>0</v>
      </c>
      <c r="F43" s="62">
        <f t="shared" si="0"/>
        <v>1</v>
      </c>
      <c r="H43" s="57" t="s">
        <v>31</v>
      </c>
      <c r="I43" s="66">
        <f>COUNTIFS(Table612917[Prodi],"S1 Sistem Informasi",Table612917[C1],I$37)/$I$36</f>
        <v>0.5</v>
      </c>
      <c r="J43" s="66">
        <f>COUNTIFS(Table612917[Prodi],"S1 Sistem Informasi",Table612917[C1],J$37)/$I$36</f>
        <v>0.5</v>
      </c>
      <c r="K43" s="66">
        <f>COUNTIFS(Table612917[Prodi],"S1 Sistem Informasi",Table612917[C1],K$37)/$I$36</f>
        <v>0</v>
      </c>
      <c r="L43" s="66">
        <f>COUNTIFS(Table612917[Prodi],"S1 Sistem Informasi",Table612917[C1],L$37)/$I$36</f>
        <v>0</v>
      </c>
      <c r="M43" s="62">
        <f t="shared" si="1"/>
        <v>1</v>
      </c>
      <c r="N43"/>
      <c r="O43" s="57" t="s">
        <v>31</v>
      </c>
      <c r="P43" s="66">
        <f>COUNTIFS(Table612917[Prodi],"S1 Teknik Komputer",Table612917[C1],P$37)/$P$36</f>
        <v>0.5</v>
      </c>
      <c r="Q43" s="66">
        <f>COUNTIFS(Table612917[Prodi],"S1 Teknik Komputer",Table612917[C1],Q$37)/$P$36</f>
        <v>0.5</v>
      </c>
      <c r="R43" s="66">
        <f>COUNTIFS(Table612917[Prodi],"S1 Teknik Komputer",Table612917[C1],R$37)/$P$36</f>
        <v>0</v>
      </c>
      <c r="S43" s="66">
        <f>COUNTIFS(Table612917[Prodi],"S1 Teknik Komputer",Table612917[C1],S$37)/$P$36</f>
        <v>0</v>
      </c>
      <c r="T43" s="62">
        <f t="shared" si="2"/>
        <v>1</v>
      </c>
      <c r="U43"/>
      <c r="V43" s="57" t="s">
        <v>31</v>
      </c>
      <c r="W43" s="66" t="e">
        <f>COUNTIFS(Table612917[Prodi],"D3 Sistem Informasi",Table612917[C1],W$37)/$W$36</f>
        <v>#DIV/0!</v>
      </c>
      <c r="X43" s="66" t="e">
        <f>COUNTIFS(Table612917[Prodi],"D3 Sistem Informasi",Table612917[C1],X$37)/$W$36</f>
        <v>#DIV/0!</v>
      </c>
      <c r="Y43" s="66" t="e">
        <f>COUNTIFS(Table612917[Prodi],"D3 Sistem Informasi",Table612917[C1],Y$37)/$W$36</f>
        <v>#DIV/0!</v>
      </c>
      <c r="Z43" s="66" t="e">
        <f>COUNTIFS(Table612917[Prodi],"D3 Sistem Informasi",Table612917[C1],Z$37)/$W$36</f>
        <v>#DIV/0!</v>
      </c>
      <c r="AA43" s="62" t="e">
        <f t="shared" si="3"/>
        <v>#DIV/0!</v>
      </c>
      <c r="AB43"/>
      <c r="AC43"/>
      <c r="AD43"/>
      <c r="AE43"/>
      <c r="AF43"/>
      <c r="AG43"/>
      <c r="AH43"/>
      <c r="AI43"/>
      <c r="AJ43"/>
      <c r="AK43"/>
      <c r="AL43"/>
      <c r="AM43"/>
      <c r="AN43"/>
      <c r="AO43"/>
      <c r="AP43"/>
      <c r="AQ43"/>
      <c r="AR43"/>
    </row>
    <row r="44" spans="1:44" s="118" customFormat="1" ht="16.5" x14ac:dyDescent="0.3">
      <c r="A44" s="57" t="s">
        <v>32</v>
      </c>
      <c r="B44" s="66">
        <f>COUNTIF(Table612917[C2],B$37)/$B$36</f>
        <v>0.5</v>
      </c>
      <c r="C44" s="66">
        <f>COUNTIF(Table612917[C2],C$37)/$B$36</f>
        <v>0.5</v>
      </c>
      <c r="D44" s="66">
        <f>COUNTIF(Table612917[C2],D$37)/$B$36</f>
        <v>0</v>
      </c>
      <c r="E44" s="66">
        <f>COUNTIF(Table612917[C2],E$37)/$B$36</f>
        <v>0</v>
      </c>
      <c r="F44" s="62">
        <f t="shared" si="0"/>
        <v>1</v>
      </c>
      <c r="H44" s="57" t="s">
        <v>32</v>
      </c>
      <c r="I44" s="66">
        <f>COUNTIFS(Table612917[Prodi],"S1 Sistem Informasi",Table612917[C2],I$37)/$I$36</f>
        <v>1</v>
      </c>
      <c r="J44" s="66">
        <f>COUNTIFS(Table612917[Prodi],"S1 Sistem Informasi",Table612917[C2],J$37)/$I$36</f>
        <v>0</v>
      </c>
      <c r="K44" s="66">
        <f>COUNTIFS(Table612917[Prodi],"S1 Sistem Informasi",Table612917[C2],K$37)/$I$36</f>
        <v>0</v>
      </c>
      <c r="L44" s="66">
        <f>COUNTIFS(Table612917[Prodi],"S1 Sistem Informasi",Table612917[C2],L$37)/$I$36</f>
        <v>0</v>
      </c>
      <c r="M44" s="62">
        <f t="shared" si="1"/>
        <v>1</v>
      </c>
      <c r="N44"/>
      <c r="O44" s="57" t="s">
        <v>32</v>
      </c>
      <c r="P44" s="66">
        <f>COUNTIFS(Table612917[Prodi],"S1 Teknik Komputer",Table612917[C2],P$37)/$P$36</f>
        <v>0</v>
      </c>
      <c r="Q44" s="66">
        <f>COUNTIFS(Table612917[Prodi],"S1 Teknik Komputer",Table612917[C2],Q$37)/$P$36</f>
        <v>1</v>
      </c>
      <c r="R44" s="66">
        <f>COUNTIFS(Table612917[Prodi],"S1 Teknik Komputer",Table612917[C2],R$37)/$P$36</f>
        <v>0</v>
      </c>
      <c r="S44" s="66">
        <f>COUNTIFS(Table612917[Prodi],"S1 Teknik Komputer",Table612917[C2],S$37)/$P$36</f>
        <v>0</v>
      </c>
      <c r="T44" s="62">
        <f t="shared" si="2"/>
        <v>1</v>
      </c>
      <c r="U44"/>
      <c r="V44" s="57" t="s">
        <v>32</v>
      </c>
      <c r="W44" s="66" t="e">
        <f>COUNTIFS(Table612917[Prodi],"D3 Sistem Informasi",Table612917[C2],W$37)/$W$36</f>
        <v>#DIV/0!</v>
      </c>
      <c r="X44" s="66" t="e">
        <f>COUNTIFS(Table612917[Prodi],"D3 Sistem Informasi",Table612917[C2],X$37)/$W$36</f>
        <v>#DIV/0!</v>
      </c>
      <c r="Y44" s="66" t="e">
        <f>COUNTIFS(Table612917[Prodi],"D3 Sistem Informasi",Table612917[C2],Y$37)/$W$36</f>
        <v>#DIV/0!</v>
      </c>
      <c r="Z44" s="66" t="e">
        <f>COUNTIFS(Table612917[Prodi],"D3 Sistem Informasi",Table612917[C2],Z$37)/$W$36</f>
        <v>#DIV/0!</v>
      </c>
      <c r="AA44" s="62" t="e">
        <f t="shared" si="3"/>
        <v>#DIV/0!</v>
      </c>
      <c r="AB44"/>
      <c r="AC44"/>
      <c r="AD44"/>
      <c r="AE44"/>
      <c r="AF44"/>
      <c r="AG44"/>
      <c r="AH44"/>
      <c r="AI44"/>
      <c r="AJ44"/>
      <c r="AK44"/>
      <c r="AL44"/>
      <c r="AM44"/>
      <c r="AN44"/>
      <c r="AO44"/>
      <c r="AP44"/>
      <c r="AQ44"/>
      <c r="AR44"/>
    </row>
    <row r="45" spans="1:44" s="118" customFormat="1" ht="16.5" x14ac:dyDescent="0.3">
      <c r="A45" s="57" t="s">
        <v>1164</v>
      </c>
      <c r="B45" s="66">
        <f>COUNTIF(Table612917[C3],B$37)/$B$36</f>
        <v>0.5</v>
      </c>
      <c r="C45" s="66">
        <f>COUNTIF(Table612917[C3],C$37)/$B$36</f>
        <v>0.5</v>
      </c>
      <c r="D45" s="66">
        <f>COUNTIF(Table612917[C3],D$37)/$B$36</f>
        <v>0</v>
      </c>
      <c r="E45" s="66">
        <f>COUNTIF(Table612917[C3],E$37)/$B$36</f>
        <v>0</v>
      </c>
      <c r="F45" s="62">
        <f t="shared" si="0"/>
        <v>1</v>
      </c>
      <c r="H45" s="57" t="s">
        <v>1164</v>
      </c>
      <c r="I45" s="66">
        <f>COUNTIFS(Table612917[Prodi],"S1 Sistem Informasi",Table612917[C3],I$37)/$I$36</f>
        <v>0.5</v>
      </c>
      <c r="J45" s="66">
        <f>COUNTIFS(Table612917[Prodi],"S1 Sistem Informasi",Table612917[C3],J$37)/$I$36</f>
        <v>0.5</v>
      </c>
      <c r="K45" s="66">
        <f>COUNTIFS(Table612917[Prodi],"S1 Sistem Informasi",Table612917[C3],K$37)/$I$36</f>
        <v>0</v>
      </c>
      <c r="L45" s="66">
        <f>COUNTIFS(Table612917[Prodi],"S1 Sistem Informasi",Table612917[C3],L$37)/$I$36</f>
        <v>0</v>
      </c>
      <c r="M45" s="62">
        <f t="shared" si="1"/>
        <v>1</v>
      </c>
      <c r="N45"/>
      <c r="O45" s="57" t="s">
        <v>1164</v>
      </c>
      <c r="P45" s="66">
        <f>COUNTIFS(Table612917[Prodi],"S1 Teknik Komputer",Table612917[C3],P$37)/$P$36</f>
        <v>0.5</v>
      </c>
      <c r="Q45" s="66">
        <f>COUNTIFS(Table612917[Prodi],"S1 Teknik Komputer",Table612917[C3],Q$37)/$P$36</f>
        <v>0.5</v>
      </c>
      <c r="R45" s="66">
        <f>COUNTIFS(Table612917[Prodi],"S1 Teknik Komputer",Table612917[C3],R$37)/$P$36</f>
        <v>0</v>
      </c>
      <c r="S45" s="66">
        <f>COUNTIFS(Table612917[Prodi],"S1 Teknik Komputer",Table612917[C3],S$37)/$P$36</f>
        <v>0</v>
      </c>
      <c r="T45" s="62">
        <f t="shared" si="2"/>
        <v>1</v>
      </c>
      <c r="U45"/>
      <c r="V45" s="57" t="s">
        <v>1164</v>
      </c>
      <c r="W45" s="66" t="e">
        <f>COUNTIFS(Table612917[Prodi],"D3 Sistem Informasi",Table612917[C3],W$37)/$W$36</f>
        <v>#DIV/0!</v>
      </c>
      <c r="X45" s="66" t="e">
        <f>COUNTIFS(Table612917[Prodi],"D3 Sistem Informasi",Table612917[C3],X$37)/$W$36</f>
        <v>#DIV/0!</v>
      </c>
      <c r="Y45" s="66" t="e">
        <f>COUNTIFS(Table612917[Prodi],"D3 Sistem Informasi",Table612917[C3],Y$37)/$W$36</f>
        <v>#DIV/0!</v>
      </c>
      <c r="Z45" s="66" t="e">
        <f>COUNTIFS(Table612917[Prodi],"D3 Sistem Informasi",Table612917[C3],Z$37)/$W$36</f>
        <v>#DIV/0!</v>
      </c>
      <c r="AA45" s="62" t="e">
        <f t="shared" si="3"/>
        <v>#DIV/0!</v>
      </c>
      <c r="AB45"/>
      <c r="AC45"/>
      <c r="AD45"/>
      <c r="AE45"/>
      <c r="AF45"/>
      <c r="AG45"/>
      <c r="AH45"/>
      <c r="AI45"/>
      <c r="AJ45"/>
      <c r="AK45"/>
      <c r="AL45"/>
      <c r="AM45"/>
      <c r="AN45"/>
      <c r="AO45"/>
      <c r="AP45"/>
      <c r="AQ45"/>
      <c r="AR45"/>
    </row>
    <row r="46" spans="1:44" s="118" customFormat="1" ht="16.5" x14ac:dyDescent="0.3">
      <c r="A46" s="60"/>
      <c r="B46" s="61">
        <f>AVERAGE(B43:B45)</f>
        <v>0.5</v>
      </c>
      <c r="C46" s="61">
        <f>AVERAGE(C43:C45)</f>
        <v>0.5</v>
      </c>
      <c r="D46" s="61">
        <f>AVERAGE(D43:D45)</f>
        <v>0</v>
      </c>
      <c r="E46" s="61">
        <f>AVERAGE(E43:E45)</f>
        <v>0</v>
      </c>
      <c r="F46" s="62">
        <f>SUM(B46:E46)</f>
        <v>1</v>
      </c>
      <c r="H46" s="60"/>
      <c r="I46" s="61">
        <f>AVERAGE(I43:I45)</f>
        <v>0.66666666666666663</v>
      </c>
      <c r="J46" s="61">
        <f>AVERAGE(J43:J45)</f>
        <v>0.33333333333333331</v>
      </c>
      <c r="K46" s="61">
        <f>AVERAGE(K43:K45)</f>
        <v>0</v>
      </c>
      <c r="L46" s="61">
        <f>AVERAGE(L43:L45)</f>
        <v>0</v>
      </c>
      <c r="M46" s="62">
        <f>SUM(I46:L46)</f>
        <v>1</v>
      </c>
      <c r="N46"/>
      <c r="O46" s="60"/>
      <c r="P46" s="61">
        <f>AVERAGE(P43:P45)</f>
        <v>0.33333333333333331</v>
      </c>
      <c r="Q46" s="61">
        <f>AVERAGE(Q43:Q45)</f>
        <v>0.66666666666666663</v>
      </c>
      <c r="R46" s="61">
        <f>AVERAGE(R43:R45)</f>
        <v>0</v>
      </c>
      <c r="S46" s="61">
        <f>AVERAGE(S43:S45)</f>
        <v>0</v>
      </c>
      <c r="T46" s="62">
        <f>SUM(P46:S46)</f>
        <v>1</v>
      </c>
      <c r="U46"/>
      <c r="V46" s="60"/>
      <c r="W46" s="61" t="e">
        <f>AVERAGE(W43:W45)</f>
        <v>#DIV/0!</v>
      </c>
      <c r="X46" s="61" t="e">
        <f>AVERAGE(X43:X45)</f>
        <v>#DIV/0!</v>
      </c>
      <c r="Y46" s="61" t="e">
        <f>AVERAGE(Y43:Y45)</f>
        <v>#DIV/0!</v>
      </c>
      <c r="Z46" s="61" t="e">
        <f>AVERAGE(Z43:Z45)</f>
        <v>#DIV/0!</v>
      </c>
      <c r="AA46" s="62" t="e">
        <f>SUM(W46:Z46)</f>
        <v>#DIV/0!</v>
      </c>
      <c r="AB46"/>
      <c r="AC46"/>
      <c r="AD46"/>
      <c r="AE46"/>
      <c r="AF46"/>
      <c r="AG46"/>
      <c r="AH46"/>
      <c r="AI46"/>
      <c r="AJ46"/>
      <c r="AK46"/>
      <c r="AL46"/>
      <c r="AM46"/>
      <c r="AN46"/>
      <c r="AO46"/>
      <c r="AP46"/>
      <c r="AQ46"/>
      <c r="AR46"/>
    </row>
    <row r="47" spans="1:44" s="118" customFormat="1" ht="16.5" x14ac:dyDescent="0.3">
      <c r="A47" s="57" t="s">
        <v>33</v>
      </c>
      <c r="B47" s="66">
        <f>COUNTIF(Table612917[D1],B$37)/$B$36</f>
        <v>0</v>
      </c>
      <c r="C47" s="66">
        <f>COUNTIF(Table612917[D1],C$37)/$B$36</f>
        <v>1</v>
      </c>
      <c r="D47" s="66">
        <f>COUNTIF(Table612917[D1],D$37)/$B$36</f>
        <v>0</v>
      </c>
      <c r="E47" s="66">
        <f>COUNTIF(Table612917[D1],E$37)/$B$36</f>
        <v>0</v>
      </c>
      <c r="F47" s="62">
        <f t="shared" si="0"/>
        <v>1</v>
      </c>
      <c r="H47" s="57" t="s">
        <v>33</v>
      </c>
      <c r="I47" s="66">
        <f>COUNTIFS(Table612917[Prodi],"S1 Sistem Informasi",Table612917[D1],I$37)/$I$36</f>
        <v>0</v>
      </c>
      <c r="J47" s="66">
        <f>COUNTIFS(Table612917[Prodi],"S1 Sistem Informasi",Table612917[D1],J$37)/$I$36</f>
        <v>1</v>
      </c>
      <c r="K47" s="66">
        <f>COUNTIFS(Table612917[Prodi],"S1 Sistem Informasi",Table612917[D1],K$37)/$I$36</f>
        <v>0</v>
      </c>
      <c r="L47" s="66">
        <f>COUNTIFS(Table612917[Prodi],"S1 Sistem Informasi",Table612917[D1],L$37)/$I$36</f>
        <v>0</v>
      </c>
      <c r="M47" s="62">
        <f t="shared" ref="M47:M78" si="4">SUM(I47:L47)</f>
        <v>1</v>
      </c>
      <c r="N47"/>
      <c r="O47" s="57" t="s">
        <v>33</v>
      </c>
      <c r="P47" s="66">
        <f>COUNTIFS(Table612917[Prodi],"S1 Teknik Komputer",Table612917[D1],P$37)/$P$36</f>
        <v>0</v>
      </c>
      <c r="Q47" s="66">
        <f>COUNTIFS(Table612917[Prodi],"S1 Teknik Komputer",Table612917[D1],Q$37)/$P$36</f>
        <v>1</v>
      </c>
      <c r="R47" s="66">
        <f>COUNTIFS(Table612917[Prodi],"S1 Teknik Komputer",Table612917[D1],R$37)/$P$36</f>
        <v>0</v>
      </c>
      <c r="S47" s="66">
        <f>COUNTIFS(Table612917[Prodi],"S1 Teknik Komputer",Table612917[D1],S$37)/$P$36</f>
        <v>0</v>
      </c>
      <c r="T47" s="62">
        <f t="shared" ref="T47:T78" si="5">SUM(P47:S47)</f>
        <v>1</v>
      </c>
      <c r="U47"/>
      <c r="V47" s="57" t="s">
        <v>33</v>
      </c>
      <c r="W47" s="66" t="e">
        <f>COUNTIFS(Table612917[Prodi],"D3 Sistem Informasi",Table612917[D1],W$37)/$W$36</f>
        <v>#DIV/0!</v>
      </c>
      <c r="X47" s="66" t="e">
        <f>COUNTIFS(Table612917[Prodi],"D3 Sistem Informasi",Table612917[D1],X$37)/$W$36</f>
        <v>#DIV/0!</v>
      </c>
      <c r="Y47" s="66" t="e">
        <f>COUNTIFS(Table612917[Prodi],"D3 Sistem Informasi",Table612917[D1],Y$37)/$W$36</f>
        <v>#DIV/0!</v>
      </c>
      <c r="Z47" s="66" t="e">
        <f>COUNTIFS(Table612917[Prodi],"D3 Sistem Informasi",Table612917[D1],Z$37)/$W$36</f>
        <v>#DIV/0!</v>
      </c>
      <c r="AA47" s="62" t="e">
        <f t="shared" ref="AA47:AA78" si="6">SUM(W47:Z47)</f>
        <v>#DIV/0!</v>
      </c>
      <c r="AB47"/>
      <c r="AC47"/>
      <c r="AD47"/>
      <c r="AE47"/>
      <c r="AF47"/>
      <c r="AG47"/>
      <c r="AH47"/>
      <c r="AI47"/>
      <c r="AJ47"/>
      <c r="AK47"/>
      <c r="AL47"/>
      <c r="AM47"/>
      <c r="AN47"/>
      <c r="AO47"/>
      <c r="AP47"/>
      <c r="AQ47"/>
      <c r="AR47"/>
    </row>
    <row r="48" spans="1:44" s="118" customFormat="1" ht="16.5" x14ac:dyDescent="0.3">
      <c r="A48" s="57" t="s">
        <v>34</v>
      </c>
      <c r="B48" s="66">
        <f>COUNTIF(Table612917[D2],B$37)/$B$36</f>
        <v>0.25</v>
      </c>
      <c r="C48" s="66">
        <f>COUNTIF(Table612917[D2],C$37)/$B$36</f>
        <v>0.75</v>
      </c>
      <c r="D48" s="66">
        <f>COUNTIF(Table612917[D2],D$37)/$B$36</f>
        <v>0</v>
      </c>
      <c r="E48" s="66">
        <f>COUNTIF(Table612917[D2],E$37)/$B$36</f>
        <v>0</v>
      </c>
      <c r="F48" s="62">
        <f t="shared" si="0"/>
        <v>1</v>
      </c>
      <c r="H48" s="57" t="s">
        <v>34</v>
      </c>
      <c r="I48" s="66">
        <f>COUNTIFS(Table612917[Prodi],"S1 Sistem Informasi",Table612917[D2],I$37)/$I$36</f>
        <v>0.5</v>
      </c>
      <c r="J48" s="66">
        <f>COUNTIFS(Table612917[Prodi],"S1 Sistem Informasi",Table612917[D2],J$37)/$I$36</f>
        <v>0.5</v>
      </c>
      <c r="K48" s="66">
        <f>COUNTIFS(Table612917[Prodi],"S1 Sistem Informasi",Table612917[D2],K$37)/$I$36</f>
        <v>0</v>
      </c>
      <c r="L48" s="66">
        <f>COUNTIFS(Table612917[Prodi],"S1 Sistem Informasi",Table612917[D2],L$37)/$I$36</f>
        <v>0</v>
      </c>
      <c r="M48" s="62">
        <f t="shared" si="4"/>
        <v>1</v>
      </c>
      <c r="N48"/>
      <c r="O48" s="57" t="s">
        <v>34</v>
      </c>
      <c r="P48" s="66">
        <f>COUNTIFS(Table612917[Prodi],"S1 Teknik Komputer",Table612917[D2],P$37)/$P$36</f>
        <v>0</v>
      </c>
      <c r="Q48" s="66">
        <f>COUNTIFS(Table612917[Prodi],"S1 Teknik Komputer",Table612917[D2],Q$37)/$P$36</f>
        <v>1</v>
      </c>
      <c r="R48" s="66">
        <f>COUNTIFS(Table612917[Prodi],"S1 Teknik Komputer",Table612917[D2],R$37)/$P$36</f>
        <v>0</v>
      </c>
      <c r="S48" s="66">
        <f>COUNTIFS(Table612917[Prodi],"S1 Teknik Komputer",Table612917[D2],S$37)/$P$36</f>
        <v>0</v>
      </c>
      <c r="T48" s="62">
        <f t="shared" si="5"/>
        <v>1</v>
      </c>
      <c r="U48"/>
      <c r="V48" s="57" t="s">
        <v>34</v>
      </c>
      <c r="W48" s="66" t="e">
        <f>COUNTIFS(Table612917[Prodi],"D3 Sistem Informasi",Table612917[D2],W$37)/$W$36</f>
        <v>#DIV/0!</v>
      </c>
      <c r="X48" s="66" t="e">
        <f>COUNTIFS(Table612917[Prodi],"D3 Sistem Informasi",Table612917[D2],X$37)/$W$36</f>
        <v>#DIV/0!</v>
      </c>
      <c r="Y48" s="66" t="e">
        <f>COUNTIFS(Table612917[Prodi],"D3 Sistem Informasi",Table612917[D2],Y$37)/$W$36</f>
        <v>#DIV/0!</v>
      </c>
      <c r="Z48" s="66" t="e">
        <f>COUNTIFS(Table612917[Prodi],"D3 Sistem Informasi",Table612917[D2],Z$37)/$W$36</f>
        <v>#DIV/0!</v>
      </c>
      <c r="AA48" s="62" t="e">
        <f t="shared" si="6"/>
        <v>#DIV/0!</v>
      </c>
      <c r="AB48"/>
      <c r="AC48"/>
      <c r="AD48"/>
      <c r="AE48"/>
      <c r="AF48"/>
      <c r="AG48"/>
      <c r="AH48"/>
      <c r="AI48"/>
      <c r="AJ48"/>
      <c r="AK48"/>
      <c r="AL48"/>
      <c r="AM48"/>
      <c r="AN48"/>
      <c r="AO48"/>
      <c r="AP48"/>
      <c r="AQ48"/>
      <c r="AR48"/>
    </row>
    <row r="49" spans="1:44" s="118" customFormat="1" ht="16.5" x14ac:dyDescent="0.3">
      <c r="A49" s="60"/>
      <c r="B49" s="61">
        <f>AVERAGE(B47:B48)</f>
        <v>0.125</v>
      </c>
      <c r="C49" s="61">
        <f>AVERAGE(C47:C48)</f>
        <v>0.875</v>
      </c>
      <c r="D49" s="61">
        <f>AVERAGE(D47:D48)</f>
        <v>0</v>
      </c>
      <c r="E49" s="61">
        <f>AVERAGE(E47:E48)</f>
        <v>0</v>
      </c>
      <c r="F49" s="62">
        <f t="shared" si="0"/>
        <v>1</v>
      </c>
      <c r="H49" s="60"/>
      <c r="I49" s="61">
        <f>AVERAGE(I47:I48)</f>
        <v>0.25</v>
      </c>
      <c r="J49" s="61">
        <f>AVERAGE(J47:J48)</f>
        <v>0.75</v>
      </c>
      <c r="K49" s="61">
        <f>AVERAGE(K47:K48)</f>
        <v>0</v>
      </c>
      <c r="L49" s="61">
        <f>AVERAGE(L47:L48)</f>
        <v>0</v>
      </c>
      <c r="M49" s="62">
        <f t="shared" si="4"/>
        <v>1</v>
      </c>
      <c r="N49"/>
      <c r="O49" s="60"/>
      <c r="P49" s="61">
        <f>AVERAGE(P47:P48)</f>
        <v>0</v>
      </c>
      <c r="Q49" s="61">
        <f>AVERAGE(Q47:Q48)</f>
        <v>1</v>
      </c>
      <c r="R49" s="61">
        <f>AVERAGE(R47:R48)</f>
        <v>0</v>
      </c>
      <c r="S49" s="61">
        <f>AVERAGE(S47:S48)</f>
        <v>0</v>
      </c>
      <c r="T49" s="62">
        <f t="shared" si="5"/>
        <v>1</v>
      </c>
      <c r="U49"/>
      <c r="V49" s="60"/>
      <c r="W49" s="61" t="e">
        <f>AVERAGE(W47:W48)</f>
        <v>#DIV/0!</v>
      </c>
      <c r="X49" s="61" t="e">
        <f>AVERAGE(X47:X48)</f>
        <v>#DIV/0!</v>
      </c>
      <c r="Y49" s="61" t="e">
        <f>AVERAGE(Y47:Y48)</f>
        <v>#DIV/0!</v>
      </c>
      <c r="Z49" s="61" t="e">
        <f>AVERAGE(Z47:Z48)</f>
        <v>#DIV/0!</v>
      </c>
      <c r="AA49" s="62" t="e">
        <f t="shared" si="6"/>
        <v>#DIV/0!</v>
      </c>
      <c r="AB49"/>
      <c r="AC49"/>
      <c r="AD49"/>
      <c r="AE49"/>
      <c r="AF49"/>
      <c r="AG49"/>
      <c r="AH49"/>
      <c r="AI49"/>
      <c r="AJ49"/>
      <c r="AK49"/>
      <c r="AL49"/>
      <c r="AM49"/>
      <c r="AN49"/>
      <c r="AO49"/>
      <c r="AP49"/>
      <c r="AQ49"/>
      <c r="AR49"/>
    </row>
    <row r="50" spans="1:44" s="118" customFormat="1" ht="16.5" x14ac:dyDescent="0.3">
      <c r="A50" s="57" t="s">
        <v>35</v>
      </c>
      <c r="B50" s="66">
        <f>COUNTIF(Table612917[E1],B$37)/$B$36</f>
        <v>0.75</v>
      </c>
      <c r="C50" s="66">
        <f>COUNTIF(Table612917[E1],C$37)/$B$36</f>
        <v>0.25</v>
      </c>
      <c r="D50" s="66">
        <f>COUNTIF(Table612917[E1],D$37)/$B$36</f>
        <v>0</v>
      </c>
      <c r="E50" s="66">
        <f>COUNTIF(Table612917[E1],E$37)/$B$36</f>
        <v>0</v>
      </c>
      <c r="F50" s="62">
        <f t="shared" si="0"/>
        <v>1</v>
      </c>
      <c r="H50" s="57" t="s">
        <v>35</v>
      </c>
      <c r="I50" s="66">
        <f>COUNTIFS(Table612917[Prodi],"S1 Sistem Informasi",Table612917[E1],I$37)/$I$36</f>
        <v>1</v>
      </c>
      <c r="J50" s="66">
        <f>COUNTIFS(Table612917[Prodi],"S1 Sistem Informasi",Table612917[E1],J$37)/$I$36</f>
        <v>0</v>
      </c>
      <c r="K50" s="66">
        <f>COUNTIFS(Table612917[Prodi],"S1 Sistem Informasi",Table612917[E1],K$37)/$I$36</f>
        <v>0</v>
      </c>
      <c r="L50" s="66">
        <f>COUNTIFS(Table612917[Prodi],"S1 Sistem Informasi",Table612917[E1],L$37)/$I$36</f>
        <v>0</v>
      </c>
      <c r="M50" s="62">
        <f t="shared" si="4"/>
        <v>1</v>
      </c>
      <c r="N50"/>
      <c r="O50" s="57" t="s">
        <v>35</v>
      </c>
      <c r="P50" s="66">
        <f>COUNTIFS(Table612917[Prodi],"S1 Teknik Komputer",Table612917[E1],P$37)/$P$36</f>
        <v>0.5</v>
      </c>
      <c r="Q50" s="66">
        <f>COUNTIFS(Table612917[Prodi],"S1 Teknik Komputer",Table612917[E1],Q$37)/$P$36</f>
        <v>0.5</v>
      </c>
      <c r="R50" s="66">
        <f>COUNTIFS(Table612917[Prodi],"S1 Teknik Komputer",Table612917[E1],R$37)/$P$36</f>
        <v>0</v>
      </c>
      <c r="S50" s="66">
        <f>COUNTIFS(Table612917[Prodi],"S1 Teknik Komputer",Table612917[E1],S$37)/$P$36</f>
        <v>0</v>
      </c>
      <c r="T50" s="62">
        <f t="shared" si="5"/>
        <v>1</v>
      </c>
      <c r="U50"/>
      <c r="V50" s="57" t="s">
        <v>35</v>
      </c>
      <c r="W50" s="66" t="e">
        <f>COUNTIFS(Table612917[Prodi],"D3 Sistem Informasi",Table612917[E1],W$37)/$W$36</f>
        <v>#DIV/0!</v>
      </c>
      <c r="X50" s="66" t="e">
        <f>COUNTIFS(Table612917[Prodi],"D3 Sistem Informasi",Table612917[E1],X$37)/$W$36</f>
        <v>#DIV/0!</v>
      </c>
      <c r="Y50" s="66" t="e">
        <f>COUNTIFS(Table612917[Prodi],"D3 Sistem Informasi",Table612917[E1],Y$37)/$W$36</f>
        <v>#DIV/0!</v>
      </c>
      <c r="Z50" s="66" t="e">
        <f>COUNTIFS(Table612917[Prodi],"D3 Sistem Informasi",Table612917[E1],Z$37)/$W$36</f>
        <v>#DIV/0!</v>
      </c>
      <c r="AA50" s="62" t="e">
        <f t="shared" si="6"/>
        <v>#DIV/0!</v>
      </c>
      <c r="AB50"/>
      <c r="AC50"/>
      <c r="AD50"/>
      <c r="AE50"/>
      <c r="AF50"/>
      <c r="AG50"/>
      <c r="AH50"/>
      <c r="AI50"/>
      <c r="AJ50"/>
      <c r="AK50"/>
      <c r="AL50"/>
      <c r="AM50"/>
      <c r="AN50"/>
      <c r="AO50"/>
      <c r="AP50"/>
      <c r="AQ50"/>
      <c r="AR50"/>
    </row>
    <row r="51" spans="1:44" s="118" customFormat="1" ht="16.5" x14ac:dyDescent="0.3">
      <c r="A51" s="57" t="s">
        <v>36</v>
      </c>
      <c r="B51" s="66">
        <f>COUNTIF(Table612917[E2],B$37)/$B$36</f>
        <v>0.75</v>
      </c>
      <c r="C51" s="66">
        <f>COUNTIF(Table612917[E2],C$37)/$B$36</f>
        <v>0.25</v>
      </c>
      <c r="D51" s="66">
        <f>COUNTIF(Table612917[E2],D$37)/$B$36</f>
        <v>0</v>
      </c>
      <c r="E51" s="66">
        <f>COUNTIF(Table612917[E2],E$37)/$B$36</f>
        <v>0</v>
      </c>
      <c r="F51" s="62">
        <f t="shared" si="0"/>
        <v>1</v>
      </c>
      <c r="H51" s="57" t="s">
        <v>36</v>
      </c>
      <c r="I51" s="66">
        <f>COUNTIFS(Table612917[Prodi],"S1 Sistem Informasi",Table612917[E2],I$37)/$I$36</f>
        <v>1</v>
      </c>
      <c r="J51" s="66">
        <f>COUNTIFS(Table612917[Prodi],"S1 Sistem Informasi",Table612917[E2],J$37)/$I$36</f>
        <v>0</v>
      </c>
      <c r="K51" s="66">
        <f>COUNTIFS(Table612917[Prodi],"S1 Sistem Informasi",Table612917[E2],K$37)/$I$36</f>
        <v>0</v>
      </c>
      <c r="L51" s="66">
        <f>COUNTIFS(Table612917[Prodi],"S1 Sistem Informasi",Table612917[E2],L$37)/$I$36</f>
        <v>0</v>
      </c>
      <c r="M51" s="62">
        <f t="shared" si="4"/>
        <v>1</v>
      </c>
      <c r="N51"/>
      <c r="O51" s="57" t="s">
        <v>36</v>
      </c>
      <c r="P51" s="66">
        <f>COUNTIFS(Table612917[Prodi],"S1 Teknik Komputer",Table612917[E2],P$37)/$P$36</f>
        <v>0.5</v>
      </c>
      <c r="Q51" s="66">
        <f>COUNTIFS(Table612917[Prodi],"S1 Teknik Komputer",Table612917[E2],Q$37)/$P$36</f>
        <v>0.5</v>
      </c>
      <c r="R51" s="66">
        <f>COUNTIFS(Table612917[Prodi],"S1 Teknik Komputer",Table612917[E2],R$37)/$P$36</f>
        <v>0</v>
      </c>
      <c r="S51" s="66">
        <f>COUNTIFS(Table612917[Prodi],"S1 Teknik Komputer",Table612917[E2],S$37)/$P$36</f>
        <v>0</v>
      </c>
      <c r="T51" s="62">
        <f t="shared" si="5"/>
        <v>1</v>
      </c>
      <c r="U51"/>
      <c r="V51" s="57" t="s">
        <v>36</v>
      </c>
      <c r="W51" s="66" t="e">
        <f>COUNTIFS(Table612917[Prodi],"D3 Sistem Informasi",Table612917[E2],W$37)/$W$36</f>
        <v>#DIV/0!</v>
      </c>
      <c r="X51" s="66" t="e">
        <f>COUNTIFS(Table612917[Prodi],"D3 Sistem Informasi",Table612917[E2],X$37)/$W$36</f>
        <v>#DIV/0!</v>
      </c>
      <c r="Y51" s="66" t="e">
        <f>COUNTIFS(Table612917[Prodi],"D3 Sistem Informasi",Table612917[E2],Y$37)/$W$36</f>
        <v>#DIV/0!</v>
      </c>
      <c r="Z51" s="66" t="e">
        <f>COUNTIFS(Table612917[Prodi],"D3 Sistem Informasi",Table612917[E2],Z$37)/$W$36</f>
        <v>#DIV/0!</v>
      </c>
      <c r="AA51" s="62" t="e">
        <f t="shared" si="6"/>
        <v>#DIV/0!</v>
      </c>
      <c r="AB51"/>
      <c r="AC51"/>
      <c r="AD51"/>
      <c r="AE51"/>
      <c r="AF51"/>
      <c r="AG51"/>
      <c r="AH51"/>
      <c r="AI51"/>
      <c r="AJ51"/>
      <c r="AK51"/>
      <c r="AL51"/>
      <c r="AM51"/>
      <c r="AN51"/>
      <c r="AO51"/>
      <c r="AP51"/>
      <c r="AQ51"/>
      <c r="AR51"/>
    </row>
    <row r="52" spans="1:44" s="118" customFormat="1" ht="16.5" x14ac:dyDescent="0.3">
      <c r="A52" s="57" t="s">
        <v>1168</v>
      </c>
      <c r="B52" s="66">
        <f>COUNTIF(Table612917[E3],B$37)/$B$36</f>
        <v>0.5</v>
      </c>
      <c r="C52" s="66">
        <f>COUNTIF(Table612917[E3],C$37)/$B$36</f>
        <v>0.5</v>
      </c>
      <c r="D52" s="66">
        <f>COUNTIF(Table612917[E3],D$37)/$B$36</f>
        <v>0</v>
      </c>
      <c r="E52" s="66">
        <f>COUNTIF(Table612917[E3],E$37)/$B$36</f>
        <v>0</v>
      </c>
      <c r="F52" s="62">
        <f t="shared" si="0"/>
        <v>1</v>
      </c>
      <c r="H52" s="57" t="s">
        <v>1168</v>
      </c>
      <c r="I52" s="66">
        <f>COUNTIFS(Table612917[Prodi],"S1 Sistem Informasi",Table612917[E3],I$37)/$I$36</f>
        <v>0.5</v>
      </c>
      <c r="J52" s="66">
        <f>COUNTIFS(Table612917[Prodi],"S1 Sistem Informasi",Table612917[E3],J$37)/$I$36</f>
        <v>0.5</v>
      </c>
      <c r="K52" s="66">
        <f>COUNTIFS(Table612917[Prodi],"S1 Sistem Informasi",Table612917[E3],K$37)/$I$36</f>
        <v>0</v>
      </c>
      <c r="L52" s="66">
        <f>COUNTIFS(Table612917[Prodi],"S1 Sistem Informasi",Table612917[E3],L$37)/$I$36</f>
        <v>0</v>
      </c>
      <c r="M52" s="62">
        <f t="shared" si="4"/>
        <v>1</v>
      </c>
      <c r="N52"/>
      <c r="O52" s="57" t="s">
        <v>1168</v>
      </c>
      <c r="P52" s="66">
        <f>COUNTIFS(Table612917[Prodi],"S1 Teknik Komputer",Table612917[E3],P$37)/$P$36</f>
        <v>0.5</v>
      </c>
      <c r="Q52" s="66">
        <f>COUNTIFS(Table612917[Prodi],"S1 Teknik Komputer",Table612917[E3],Q$37)/$P$36</f>
        <v>0.5</v>
      </c>
      <c r="R52" s="66">
        <f>COUNTIFS(Table612917[Prodi],"S1 Teknik Komputer",Table612917[E3],R$37)/$P$36</f>
        <v>0</v>
      </c>
      <c r="S52" s="66">
        <f>COUNTIFS(Table612917[Prodi],"S1 Teknik Komputer",Table612917[E3],S$37)/$P$36</f>
        <v>0</v>
      </c>
      <c r="T52" s="62">
        <f t="shared" si="5"/>
        <v>1</v>
      </c>
      <c r="U52"/>
      <c r="V52" s="57" t="s">
        <v>1168</v>
      </c>
      <c r="W52" s="66" t="e">
        <f>COUNTIFS(Table612917[Prodi],"D3 Sistem Informasi",Table612917[E3],W$37)/$W$36</f>
        <v>#DIV/0!</v>
      </c>
      <c r="X52" s="66" t="e">
        <f>COUNTIFS(Table612917[Prodi],"D3 Sistem Informasi",Table612917[E3],X$37)/$W$36</f>
        <v>#DIV/0!</v>
      </c>
      <c r="Y52" s="66" t="e">
        <f>COUNTIFS(Table612917[Prodi],"D3 Sistem Informasi",Table612917[E3],Y$37)/$W$36</f>
        <v>#DIV/0!</v>
      </c>
      <c r="Z52" s="66" t="e">
        <f>COUNTIFS(Table612917[Prodi],"D3 Sistem Informasi",Table612917[E3],Z$37)/$W$36</f>
        <v>#DIV/0!</v>
      </c>
      <c r="AA52" s="62" t="e">
        <f t="shared" si="6"/>
        <v>#DIV/0!</v>
      </c>
      <c r="AB52"/>
      <c r="AC52"/>
      <c r="AD52"/>
      <c r="AE52"/>
      <c r="AF52"/>
      <c r="AG52"/>
      <c r="AH52"/>
      <c r="AI52"/>
      <c r="AJ52"/>
      <c r="AK52"/>
      <c r="AL52"/>
      <c r="AM52"/>
      <c r="AN52"/>
      <c r="AO52"/>
      <c r="AP52"/>
      <c r="AQ52"/>
      <c r="AR52"/>
    </row>
    <row r="53" spans="1:44" s="118" customFormat="1" ht="16.5" x14ac:dyDescent="0.3">
      <c r="A53" s="60"/>
      <c r="B53" s="61">
        <f>AVERAGE(B50:B52)</f>
        <v>0.66666666666666663</v>
      </c>
      <c r="C53" s="61">
        <f>AVERAGE(C50:C52)</f>
        <v>0.33333333333333331</v>
      </c>
      <c r="D53" s="61">
        <f>AVERAGE(D50:D52)</f>
        <v>0</v>
      </c>
      <c r="E53" s="61">
        <f>AVERAGE(E50:E52)</f>
        <v>0</v>
      </c>
      <c r="F53" s="62">
        <f t="shared" si="0"/>
        <v>1</v>
      </c>
      <c r="H53" s="60"/>
      <c r="I53" s="61">
        <f>AVERAGE(I50:I52)</f>
        <v>0.83333333333333337</v>
      </c>
      <c r="J53" s="61">
        <f>AVERAGE(J50:J52)</f>
        <v>0.16666666666666666</v>
      </c>
      <c r="K53" s="61">
        <f>AVERAGE(K50:K52)</f>
        <v>0</v>
      </c>
      <c r="L53" s="61">
        <f>AVERAGE(L50:L52)</f>
        <v>0</v>
      </c>
      <c r="M53" s="62">
        <f t="shared" si="4"/>
        <v>1</v>
      </c>
      <c r="N53"/>
      <c r="O53" s="60"/>
      <c r="P53" s="61">
        <f>AVERAGE(P50:P52)</f>
        <v>0.5</v>
      </c>
      <c r="Q53" s="61">
        <f>AVERAGE(Q50:Q52)</f>
        <v>0.5</v>
      </c>
      <c r="R53" s="61">
        <f>AVERAGE(R50:R52)</f>
        <v>0</v>
      </c>
      <c r="S53" s="61">
        <f>AVERAGE(S50:S52)</f>
        <v>0</v>
      </c>
      <c r="T53" s="62">
        <f t="shared" si="5"/>
        <v>1</v>
      </c>
      <c r="U53"/>
      <c r="V53" s="60"/>
      <c r="W53" s="61" t="e">
        <f>AVERAGE(W50:W52)</f>
        <v>#DIV/0!</v>
      </c>
      <c r="X53" s="61" t="e">
        <f>AVERAGE(X50:X52)</f>
        <v>#DIV/0!</v>
      </c>
      <c r="Y53" s="61" t="e">
        <f>AVERAGE(Y50:Y52)</f>
        <v>#DIV/0!</v>
      </c>
      <c r="Z53" s="61" t="e">
        <f>AVERAGE(Z50:Z52)</f>
        <v>#DIV/0!</v>
      </c>
      <c r="AA53" s="62" t="e">
        <f t="shared" si="6"/>
        <v>#DIV/0!</v>
      </c>
      <c r="AB53"/>
      <c r="AC53"/>
      <c r="AD53"/>
      <c r="AE53"/>
      <c r="AF53"/>
      <c r="AG53"/>
      <c r="AH53"/>
      <c r="AI53"/>
      <c r="AJ53"/>
      <c r="AK53"/>
      <c r="AL53"/>
      <c r="AM53"/>
      <c r="AN53"/>
      <c r="AO53"/>
      <c r="AP53"/>
      <c r="AQ53"/>
      <c r="AR53"/>
    </row>
    <row r="54" spans="1:44" s="118" customFormat="1" ht="16.5" x14ac:dyDescent="0.3">
      <c r="A54" s="57" t="s">
        <v>37</v>
      </c>
      <c r="B54" s="66">
        <f>COUNTIF(Table612917[F1],B$37)/$B$36</f>
        <v>0</v>
      </c>
      <c r="C54" s="66">
        <f>COUNTIF(Table612917[F1],C$37)/$B$36</f>
        <v>1</v>
      </c>
      <c r="D54" s="66">
        <f>COUNTIF(Table612917[F1],D$37)/$B$36</f>
        <v>0</v>
      </c>
      <c r="E54" s="66">
        <f>COUNTIF(Table612917[F1],E$37)/$B$36</f>
        <v>0</v>
      </c>
      <c r="F54" s="62">
        <f t="shared" si="0"/>
        <v>1</v>
      </c>
      <c r="H54" s="57" t="s">
        <v>37</v>
      </c>
      <c r="I54" s="66">
        <f>COUNTIFS(Table612917[Prodi],"S1 Sistem Informasi",Table612917[F1],I$37)/$I$36</f>
        <v>0</v>
      </c>
      <c r="J54" s="66">
        <f>COUNTIFS(Table612917[Prodi],"S1 Sistem Informasi",Table612917[F1],J$37)/$I$36</f>
        <v>1</v>
      </c>
      <c r="K54" s="66">
        <f>COUNTIFS(Table612917[Prodi],"S1 Sistem Informasi",Table612917[F1],K$37)/$I$36</f>
        <v>0</v>
      </c>
      <c r="L54" s="66">
        <f>COUNTIFS(Table612917[Prodi],"S1 Sistem Informasi",Table612917[F1],L$37)/$I$36</f>
        <v>0</v>
      </c>
      <c r="M54" s="62">
        <f t="shared" si="4"/>
        <v>1</v>
      </c>
      <c r="N54" t="s">
        <v>1575</v>
      </c>
      <c r="O54" s="57" t="s">
        <v>37</v>
      </c>
      <c r="P54" s="66">
        <f>COUNTIFS(Table612917[Prodi],"S1 Teknik Komputer",Table612917[F1],P$37)/$P$36</f>
        <v>0</v>
      </c>
      <c r="Q54" s="66">
        <f>COUNTIFS(Table612917[Prodi],"S1 Teknik Komputer",Table612917[F1],Q$37)/$P$36</f>
        <v>1</v>
      </c>
      <c r="R54" s="66">
        <f>COUNTIFS(Table612917[Prodi],"S1 Teknik Komputer",Table612917[F1],R$37)/$P$36</f>
        <v>0</v>
      </c>
      <c r="S54" s="66">
        <f>COUNTIFS(Table612917[Prodi],"S1 Teknik Komputer",Table612917[F1],S$37)/$P$36</f>
        <v>0</v>
      </c>
      <c r="T54" s="62">
        <f t="shared" si="5"/>
        <v>1</v>
      </c>
      <c r="U54"/>
      <c r="V54" s="57" t="s">
        <v>37</v>
      </c>
      <c r="W54" s="66" t="e">
        <f>COUNTIFS(Table612917[Prodi],"D3 Sistem Informasi",Table612917[F1],W$37)/$W$36</f>
        <v>#DIV/0!</v>
      </c>
      <c r="X54" s="66" t="e">
        <f>COUNTIFS(Table612917[Prodi],"D3 Sistem Informasi",Table612917[F1],X$37)/$W$36</f>
        <v>#DIV/0!</v>
      </c>
      <c r="Y54" s="66" t="e">
        <f>COUNTIFS(Table612917[Prodi],"D3 Sistem Informasi",Table612917[F1],Y$37)/$W$36</f>
        <v>#DIV/0!</v>
      </c>
      <c r="Z54" s="66" t="e">
        <f>COUNTIFS(Table612917[Prodi],"D3 Sistem Informasi",Table612917[F1],Z$37)/$W$36</f>
        <v>#DIV/0!</v>
      </c>
      <c r="AA54" s="62" t="e">
        <f t="shared" si="6"/>
        <v>#DIV/0!</v>
      </c>
      <c r="AB54"/>
      <c r="AC54"/>
      <c r="AD54"/>
      <c r="AE54"/>
      <c r="AF54"/>
      <c r="AG54"/>
      <c r="AH54"/>
      <c r="AI54"/>
      <c r="AJ54"/>
      <c r="AK54"/>
      <c r="AL54"/>
      <c r="AM54"/>
      <c r="AN54"/>
      <c r="AO54"/>
      <c r="AP54"/>
      <c r="AQ54"/>
      <c r="AR54"/>
    </row>
    <row r="55" spans="1:44" s="118" customFormat="1" ht="16.5" x14ac:dyDescent="0.3">
      <c r="A55" s="57" t="s">
        <v>38</v>
      </c>
      <c r="B55" s="66">
        <f>COUNTIF(Table612917[F2],B$37)/$B$36</f>
        <v>0.5</v>
      </c>
      <c r="C55" s="66">
        <f>COUNTIF(Table612917[F2],C$37)/$B$36</f>
        <v>0.5</v>
      </c>
      <c r="D55" s="66">
        <f>COUNTIF(Table612917[F2],D$37)/$B$36</f>
        <v>0</v>
      </c>
      <c r="E55" s="66">
        <f>COUNTIF(Table612917[F2],E$37)/$B$36</f>
        <v>0</v>
      </c>
      <c r="F55" s="62">
        <f t="shared" si="0"/>
        <v>1</v>
      </c>
      <c r="H55" s="57" t="s">
        <v>38</v>
      </c>
      <c r="I55" s="66">
        <f>COUNTIFS(Table612917[Prodi],"S1 Sistem Informasi",Table612917[F2],I$37)/$I$36</f>
        <v>0.5</v>
      </c>
      <c r="J55" s="66">
        <f>COUNTIFS(Table612917[Prodi],"S1 Sistem Informasi",Table612917[F2],J$37)/$I$36</f>
        <v>0.5</v>
      </c>
      <c r="K55" s="66">
        <f>COUNTIFS(Table612917[Prodi],"S1 Sistem Informasi",Table612917[F2],K$37)/$I$36</f>
        <v>0</v>
      </c>
      <c r="L55" s="66">
        <f>COUNTIFS(Table612917[Prodi],"S1 Sistem Informasi",Table612917[F2],L$37)/$I$36</f>
        <v>0</v>
      </c>
      <c r="M55" s="62">
        <f t="shared" si="4"/>
        <v>1</v>
      </c>
      <c r="N55"/>
      <c r="O55" s="57" t="s">
        <v>38</v>
      </c>
      <c r="P55" s="66">
        <f>COUNTIFS(Table612917[Prodi],"S1 Teknik Komputer",Table612917[F2],P$37)/$P$36</f>
        <v>0.5</v>
      </c>
      <c r="Q55" s="66">
        <f>COUNTIFS(Table612917[Prodi],"S1 Teknik Komputer",Table612917[F2],Q$37)/$P$36</f>
        <v>0.5</v>
      </c>
      <c r="R55" s="66">
        <f>COUNTIFS(Table612917[Prodi],"S1 Teknik Komputer",Table612917[F2],R$37)/$P$36</f>
        <v>0</v>
      </c>
      <c r="S55" s="66">
        <f>COUNTIFS(Table612917[Prodi],"S1 Teknik Komputer",Table612917[F2],S$37)/$P$36</f>
        <v>0</v>
      </c>
      <c r="T55" s="62">
        <f t="shared" si="5"/>
        <v>1</v>
      </c>
      <c r="U55"/>
      <c r="V55" s="57" t="s">
        <v>38</v>
      </c>
      <c r="W55" s="66" t="e">
        <f>COUNTIFS(Table612917[Prodi],"D3 Sistem Informasi",Table612917[F2],W$37)/$W$36</f>
        <v>#DIV/0!</v>
      </c>
      <c r="X55" s="66" t="e">
        <f>COUNTIFS(Table612917[Prodi],"D3 Sistem Informasi",Table612917[F2],X$37)/$W$36</f>
        <v>#DIV/0!</v>
      </c>
      <c r="Y55" s="66" t="e">
        <f>COUNTIFS(Table612917[Prodi],"D3 Sistem Informasi",Table612917[F2],Y$37)/$W$36</f>
        <v>#DIV/0!</v>
      </c>
      <c r="Z55" s="66" t="e">
        <f>COUNTIFS(Table612917[Prodi],"D3 Sistem Informasi",Table612917[F2],Z$37)/$W$36</f>
        <v>#DIV/0!</v>
      </c>
      <c r="AA55" s="62" t="e">
        <f t="shared" si="6"/>
        <v>#DIV/0!</v>
      </c>
      <c r="AB55"/>
      <c r="AC55"/>
      <c r="AD55"/>
      <c r="AE55"/>
      <c r="AF55"/>
      <c r="AG55"/>
      <c r="AH55"/>
      <c r="AI55"/>
      <c r="AJ55"/>
      <c r="AK55"/>
      <c r="AL55"/>
      <c r="AM55"/>
      <c r="AN55"/>
      <c r="AO55"/>
      <c r="AP55"/>
      <c r="AQ55"/>
      <c r="AR55"/>
    </row>
    <row r="56" spans="1:44" s="118" customFormat="1" ht="16.5" x14ac:dyDescent="0.3">
      <c r="A56" s="57" t="s">
        <v>39</v>
      </c>
      <c r="B56" s="66">
        <f>COUNTIF(Table612917[F3],B$37)/$B$36</f>
        <v>0.25</v>
      </c>
      <c r="C56" s="66">
        <f>COUNTIF(Table612917[F3],C$37)/$B$36</f>
        <v>0.75</v>
      </c>
      <c r="D56" s="66">
        <f>COUNTIF(Table612917[F3],D$37)/$B$36</f>
        <v>0</v>
      </c>
      <c r="E56" s="66">
        <f>COUNTIF(Table612917[F3],E$37)/$B$36</f>
        <v>0</v>
      </c>
      <c r="F56" s="62">
        <f t="shared" si="0"/>
        <v>1</v>
      </c>
      <c r="H56" s="57" t="s">
        <v>39</v>
      </c>
      <c r="I56" s="66">
        <f>COUNTIFS(Table612917[Prodi],"S1 Sistem Informasi",Table612917[F3],I$37)/$I$36</f>
        <v>0</v>
      </c>
      <c r="J56" s="66">
        <f>COUNTIFS(Table612917[Prodi],"S1 Sistem Informasi",Table612917[F3],J$37)/$I$36</f>
        <v>1</v>
      </c>
      <c r="K56" s="66">
        <f>COUNTIFS(Table612917[Prodi],"S1 Sistem Informasi",Table612917[F3],K$37)/$I$36</f>
        <v>0</v>
      </c>
      <c r="L56" s="66">
        <f>COUNTIFS(Table612917[Prodi],"S1 Sistem Informasi",Table612917[F3],L$37)/$I$36</f>
        <v>0</v>
      </c>
      <c r="M56" s="62">
        <f t="shared" si="4"/>
        <v>1</v>
      </c>
      <c r="N56"/>
      <c r="O56" s="57" t="s">
        <v>39</v>
      </c>
      <c r="P56" s="66">
        <f>COUNTIFS(Table612917[Prodi],"S1 Teknik Komputer",Table612917[F3],P$37)/$P$36</f>
        <v>0.5</v>
      </c>
      <c r="Q56" s="66">
        <f>COUNTIFS(Table612917[Prodi],"S1 Teknik Komputer",Table612917[F3],Q$37)/$P$36</f>
        <v>0.5</v>
      </c>
      <c r="R56" s="66">
        <f>COUNTIFS(Table612917[Prodi],"S1 Teknik Komputer",Table612917[F3],R$37)/$P$36</f>
        <v>0</v>
      </c>
      <c r="S56" s="66">
        <f>COUNTIFS(Table612917[Prodi],"S1 Teknik Komputer",Table612917[F3],S$37)/$P$36</f>
        <v>0</v>
      </c>
      <c r="T56" s="62">
        <f t="shared" si="5"/>
        <v>1</v>
      </c>
      <c r="U56"/>
      <c r="V56" s="57" t="s">
        <v>39</v>
      </c>
      <c r="W56" s="66" t="e">
        <f>COUNTIFS(Table612917[Prodi],"D3 Sistem Informasi",Table612917[F3],W$37)/$W$36</f>
        <v>#DIV/0!</v>
      </c>
      <c r="X56" s="66" t="e">
        <f>COUNTIFS(Table612917[Prodi],"D3 Sistem Informasi",Table612917[F3],X$37)/$W$36</f>
        <v>#DIV/0!</v>
      </c>
      <c r="Y56" s="66" t="e">
        <f>COUNTIFS(Table612917[Prodi],"D3 Sistem Informasi",Table612917[F3],Y$37)/$W$36</f>
        <v>#DIV/0!</v>
      </c>
      <c r="Z56" s="66" t="e">
        <f>COUNTIFS(Table612917[Prodi],"D3 Sistem Informasi",Table612917[F3],Z$37)/$W$36</f>
        <v>#DIV/0!</v>
      </c>
      <c r="AA56" s="62" t="e">
        <f t="shared" si="6"/>
        <v>#DIV/0!</v>
      </c>
      <c r="AB56"/>
      <c r="AC56"/>
      <c r="AD56"/>
      <c r="AE56"/>
      <c r="AF56"/>
      <c r="AG56"/>
      <c r="AH56"/>
      <c r="AI56"/>
      <c r="AJ56"/>
      <c r="AK56"/>
      <c r="AL56"/>
      <c r="AM56"/>
      <c r="AN56"/>
      <c r="AO56"/>
      <c r="AP56"/>
      <c r="AQ56"/>
      <c r="AR56"/>
    </row>
    <row r="57" spans="1:44" s="118" customFormat="1" ht="16.5" x14ac:dyDescent="0.3">
      <c r="A57" s="57" t="s">
        <v>1170</v>
      </c>
      <c r="B57" s="66">
        <f>COUNTIF(Table612917[F4],B$37)/$B$36</f>
        <v>0.25</v>
      </c>
      <c r="C57" s="66">
        <f>COUNTIF(Table612917[F4],C$37)/$B$36</f>
        <v>0.75</v>
      </c>
      <c r="D57" s="66">
        <f>COUNTIF(Table612917[F4],D$37)/$B$36</f>
        <v>0</v>
      </c>
      <c r="E57" s="66">
        <f>COUNTIF(Table612917[F4],E$37)/$B$36</f>
        <v>0</v>
      </c>
      <c r="F57" s="62">
        <f t="shared" si="0"/>
        <v>1</v>
      </c>
      <c r="H57" s="57" t="s">
        <v>1170</v>
      </c>
      <c r="I57" s="66">
        <f>COUNTIFS(Table612917[Prodi],"S1 Sistem Informasi",Table612917[F4],I$37)/$I$36</f>
        <v>0.5</v>
      </c>
      <c r="J57" s="66">
        <f>COUNTIFS(Table612917[Prodi],"S1 Sistem Informasi",Table612917[F4],J$37)/$I$36</f>
        <v>0.5</v>
      </c>
      <c r="K57" s="66">
        <f>COUNTIFS(Table612917[Prodi],"S1 Sistem Informasi",Table612917[F4],K$37)/$I$36</f>
        <v>0</v>
      </c>
      <c r="L57" s="66">
        <f>COUNTIFS(Table612917[Prodi],"S1 Sistem Informasi",Table612917[F4],L$37)/$I$36</f>
        <v>0</v>
      </c>
      <c r="M57" s="62">
        <f t="shared" si="4"/>
        <v>1</v>
      </c>
      <c r="N57"/>
      <c r="O57" s="57" t="s">
        <v>1170</v>
      </c>
      <c r="P57" s="66">
        <f>COUNTIFS(Table612917[Prodi],"S1 Teknik Komputer",Table612917[F4],P$37)/$P$36</f>
        <v>0</v>
      </c>
      <c r="Q57" s="66">
        <f>COUNTIFS(Table612917[Prodi],"S1 Teknik Komputer",Table612917[F4],Q$37)/$P$36</f>
        <v>1</v>
      </c>
      <c r="R57" s="66">
        <f>COUNTIFS(Table612917[Prodi],"S1 Teknik Komputer",Table612917[F4],R$37)/$P$36</f>
        <v>0</v>
      </c>
      <c r="S57" s="66">
        <f>COUNTIFS(Table612917[Prodi],"S1 Teknik Komputer",Table612917[F4],S$37)/$P$36</f>
        <v>0</v>
      </c>
      <c r="T57" s="62">
        <f t="shared" si="5"/>
        <v>1</v>
      </c>
      <c r="U57"/>
      <c r="V57" s="57" t="s">
        <v>1170</v>
      </c>
      <c r="W57" s="66" t="e">
        <f>COUNTIFS(Table612917[Prodi],"D3 Sistem Informasi",Table612917[F4],W$37)/$W$36</f>
        <v>#DIV/0!</v>
      </c>
      <c r="X57" s="66" t="e">
        <f>COUNTIFS(Table612917[Prodi],"D3 Sistem Informasi",Table612917[F4],X$37)/$W$36</f>
        <v>#DIV/0!</v>
      </c>
      <c r="Y57" s="66" t="e">
        <f>COUNTIFS(Table612917[Prodi],"D3 Sistem Informasi",Table612917[F4],Y$37)/$W$36</f>
        <v>#DIV/0!</v>
      </c>
      <c r="Z57" s="66" t="e">
        <f>COUNTIFS(Table612917[Prodi],"D3 Sistem Informasi",Table612917[F4],Z$37)/$W$36</f>
        <v>#DIV/0!</v>
      </c>
      <c r="AA57" s="62" t="e">
        <f t="shared" si="6"/>
        <v>#DIV/0!</v>
      </c>
      <c r="AB57"/>
      <c r="AC57"/>
      <c r="AD57"/>
      <c r="AE57"/>
      <c r="AF57"/>
      <c r="AG57"/>
      <c r="AH57"/>
      <c r="AI57"/>
      <c r="AJ57"/>
      <c r="AK57"/>
      <c r="AL57"/>
      <c r="AM57"/>
      <c r="AN57"/>
      <c r="AO57"/>
      <c r="AP57"/>
      <c r="AQ57"/>
      <c r="AR57"/>
    </row>
    <row r="58" spans="1:44" s="118" customFormat="1" ht="16.5" x14ac:dyDescent="0.3">
      <c r="A58" s="60"/>
      <c r="B58" s="61">
        <f>AVERAGE(B54:B57)</f>
        <v>0.25</v>
      </c>
      <c r="C58" s="61">
        <f>AVERAGE(C54:C57)</f>
        <v>0.75</v>
      </c>
      <c r="D58" s="61">
        <f>AVERAGE(D54:D57)</f>
        <v>0</v>
      </c>
      <c r="E58" s="61">
        <f>AVERAGE(E54:E57)</f>
        <v>0</v>
      </c>
      <c r="F58" s="62">
        <f t="shared" si="0"/>
        <v>1</v>
      </c>
      <c r="H58" s="60"/>
      <c r="I58" s="61">
        <f>AVERAGE(I54:I57)</f>
        <v>0.25</v>
      </c>
      <c r="J58" s="61">
        <f>AVERAGE(J54:J57)</f>
        <v>0.75</v>
      </c>
      <c r="K58" s="61">
        <f>AVERAGE(K54:K57)</f>
        <v>0</v>
      </c>
      <c r="L58" s="61">
        <f>AVERAGE(L54:L57)</f>
        <v>0</v>
      </c>
      <c r="M58" s="62">
        <f t="shared" si="4"/>
        <v>1</v>
      </c>
      <c r="N58"/>
      <c r="O58" s="60"/>
      <c r="P58" s="61">
        <f>AVERAGE(P54:P57)</f>
        <v>0.25</v>
      </c>
      <c r="Q58" s="61">
        <f>AVERAGE(Q54:Q57)</f>
        <v>0.75</v>
      </c>
      <c r="R58" s="61">
        <f>AVERAGE(R54:R57)</f>
        <v>0</v>
      </c>
      <c r="S58" s="61">
        <f>AVERAGE(S54:S57)</f>
        <v>0</v>
      </c>
      <c r="T58" s="62">
        <f t="shared" si="5"/>
        <v>1</v>
      </c>
      <c r="U58"/>
      <c r="V58" s="60"/>
      <c r="W58" s="61" t="e">
        <f>AVERAGE(W54:W57)</f>
        <v>#DIV/0!</v>
      </c>
      <c r="X58" s="61" t="e">
        <f>AVERAGE(X54:X57)</f>
        <v>#DIV/0!</v>
      </c>
      <c r="Y58" s="61" t="e">
        <f>AVERAGE(Y54:Y57)</f>
        <v>#DIV/0!</v>
      </c>
      <c r="Z58" s="61" t="e">
        <f>AVERAGE(Z54:Z57)</f>
        <v>#DIV/0!</v>
      </c>
      <c r="AA58" s="62" t="e">
        <f t="shared" si="6"/>
        <v>#DIV/0!</v>
      </c>
      <c r="AB58"/>
      <c r="AC58"/>
      <c r="AD58"/>
      <c r="AE58"/>
      <c r="AF58"/>
      <c r="AG58"/>
      <c r="AH58"/>
      <c r="AI58"/>
      <c r="AJ58"/>
      <c r="AK58"/>
      <c r="AL58"/>
      <c r="AM58"/>
      <c r="AN58"/>
      <c r="AO58"/>
      <c r="AP58"/>
      <c r="AQ58"/>
      <c r="AR58"/>
    </row>
    <row r="59" spans="1:44" s="118" customFormat="1" ht="16.5" x14ac:dyDescent="0.3">
      <c r="A59" s="57" t="s">
        <v>40</v>
      </c>
      <c r="B59" s="66">
        <f>COUNTIF(Table612917[G1],B$37)/$B$36</f>
        <v>0.5</v>
      </c>
      <c r="C59" s="66">
        <f>COUNTIF(Table612917[G1],C$37)/$B$36</f>
        <v>0.5</v>
      </c>
      <c r="D59" s="66">
        <f>COUNTIF(Table612917[G1],D$37)/$B$36</f>
        <v>0</v>
      </c>
      <c r="E59" s="66">
        <f>COUNTIF(Table612917[G1],E$37)/$B$36</f>
        <v>0</v>
      </c>
      <c r="F59" s="62">
        <f t="shared" si="0"/>
        <v>1</v>
      </c>
      <c r="H59" s="57" t="s">
        <v>40</v>
      </c>
      <c r="I59" s="66">
        <f>COUNTIFS(Table612917[Prodi],"S1 Sistem Informasi",Table612917[G1],I$37)/$I$36</f>
        <v>0.5</v>
      </c>
      <c r="J59" s="66">
        <f>COUNTIFS(Table612917[Prodi],"S1 Sistem Informasi",Table612917[G1],J$37)/$I$36</f>
        <v>0.5</v>
      </c>
      <c r="K59" s="66">
        <f>COUNTIFS(Table612917[Prodi],"S1 Sistem Informasi",Table612917[G1],K$37)/$I$36</f>
        <v>0</v>
      </c>
      <c r="L59" s="66">
        <f>COUNTIFS(Table612917[Prodi],"S1 Sistem Informasi",Table612917[G1],L$37)/$I$36</f>
        <v>0</v>
      </c>
      <c r="M59" s="62">
        <f t="shared" si="4"/>
        <v>1</v>
      </c>
      <c r="N59"/>
      <c r="O59" s="57" t="s">
        <v>40</v>
      </c>
      <c r="P59" s="66">
        <f>COUNTIFS(Table612917[Prodi],"S1 Teknik Komputer",Table612917[G1],P$37)/$P$36</f>
        <v>0.5</v>
      </c>
      <c r="Q59" s="66">
        <f>COUNTIFS(Table612917[Prodi],"S1 Teknik Komputer",Table612917[G1],Q$37)/$P$36</f>
        <v>0.5</v>
      </c>
      <c r="R59" s="66">
        <f>COUNTIFS(Table612917[Prodi],"S1 Teknik Komputer",Table612917[G1],R$37)/$P$36</f>
        <v>0</v>
      </c>
      <c r="S59" s="66">
        <f>COUNTIFS(Table612917[Prodi],"S1 Teknik Komputer",Table612917[G1],S$37)/$P$36</f>
        <v>0</v>
      </c>
      <c r="T59" s="62">
        <f t="shared" si="5"/>
        <v>1</v>
      </c>
      <c r="U59"/>
      <c r="V59" s="57" t="s">
        <v>40</v>
      </c>
      <c r="W59" s="66" t="e">
        <f>COUNTIFS(Table612917[Prodi],"D3 Sistem Informasi",Table612917[G1],W$37)/$W$36</f>
        <v>#DIV/0!</v>
      </c>
      <c r="X59" s="66" t="e">
        <f>COUNTIFS(Table612917[Prodi],"D3 Sistem Informasi",Table612917[G1],X$37)/$W$36</f>
        <v>#DIV/0!</v>
      </c>
      <c r="Y59" s="66" t="e">
        <f>COUNTIFS(Table612917[Prodi],"D3 Sistem Informasi",Table612917[G1],Y$37)/$W$36</f>
        <v>#DIV/0!</v>
      </c>
      <c r="Z59" s="66" t="e">
        <f>COUNTIFS(Table612917[Prodi],"D3 Sistem Informasi",Table612917[G1],Z$37)/$W$36</f>
        <v>#DIV/0!</v>
      </c>
      <c r="AA59" s="62" t="e">
        <f t="shared" si="6"/>
        <v>#DIV/0!</v>
      </c>
      <c r="AB59"/>
      <c r="AC59"/>
      <c r="AD59"/>
      <c r="AE59"/>
      <c r="AF59"/>
      <c r="AG59"/>
      <c r="AH59"/>
      <c r="AI59"/>
      <c r="AJ59"/>
      <c r="AK59"/>
      <c r="AL59"/>
      <c r="AM59"/>
      <c r="AN59"/>
      <c r="AO59"/>
      <c r="AP59"/>
      <c r="AQ59"/>
      <c r="AR59"/>
    </row>
    <row r="60" spans="1:44" s="118" customFormat="1" ht="16.5" x14ac:dyDescent="0.3">
      <c r="A60" s="57" t="s">
        <v>41</v>
      </c>
      <c r="B60" s="66">
        <f>COUNTIF(Table612917[G2],B$37)/$B$36</f>
        <v>0</v>
      </c>
      <c r="C60" s="66">
        <f>COUNTIF(Table612917[G2],C$37)/$B$36</f>
        <v>1</v>
      </c>
      <c r="D60" s="66">
        <f>COUNTIF(Table612917[G2],D$37)/$B$36</f>
        <v>0</v>
      </c>
      <c r="E60" s="66">
        <f>COUNTIF(Table612917[G2],E$37)/$B$36</f>
        <v>0</v>
      </c>
      <c r="F60" s="62">
        <f t="shared" si="0"/>
        <v>1</v>
      </c>
      <c r="H60" s="57" t="s">
        <v>41</v>
      </c>
      <c r="I60" s="66">
        <f>COUNTIFS(Table612917[Prodi],"S1 Sistem Informasi",Table612917[G2],I$37)/$I$36</f>
        <v>0</v>
      </c>
      <c r="J60" s="66">
        <f>COUNTIFS(Table612917[Prodi],"S1 Sistem Informasi",Table612917[G2],J$37)/$I$36</f>
        <v>1</v>
      </c>
      <c r="K60" s="66">
        <f>COUNTIFS(Table612917[Prodi],"S1 Sistem Informasi",Table612917[G2],K$37)/$I$36</f>
        <v>0</v>
      </c>
      <c r="L60" s="66">
        <f>COUNTIFS(Table612917[Prodi],"S1 Sistem Informasi",Table612917[G2],L$37)/$I$36</f>
        <v>0</v>
      </c>
      <c r="M60" s="62">
        <f t="shared" si="4"/>
        <v>1</v>
      </c>
      <c r="N60"/>
      <c r="O60" s="57" t="s">
        <v>41</v>
      </c>
      <c r="P60" s="66">
        <f>COUNTIFS(Table612917[Prodi],"S1 Teknik Komputer",Table612917[G2],P$37)/$P$36</f>
        <v>0</v>
      </c>
      <c r="Q60" s="66">
        <f>COUNTIFS(Table612917[Prodi],"S1 Teknik Komputer",Table612917[G2],Q$37)/$P$36</f>
        <v>1</v>
      </c>
      <c r="R60" s="66">
        <f>COUNTIFS(Table612917[Prodi],"S1 Teknik Komputer",Table612917[G2],R$37)/$P$36</f>
        <v>0</v>
      </c>
      <c r="S60" s="66">
        <f>COUNTIFS(Table612917[Prodi],"S1 Teknik Komputer",Table612917[G2],S$37)/$P$36</f>
        <v>0</v>
      </c>
      <c r="T60" s="62">
        <f t="shared" si="5"/>
        <v>1</v>
      </c>
      <c r="U60"/>
      <c r="V60" s="57" t="s">
        <v>41</v>
      </c>
      <c r="W60" s="66" t="e">
        <f>COUNTIFS(Table612917[Prodi],"D3 Sistem Informasi",Table612917[G2],W$37)/$W$36</f>
        <v>#DIV/0!</v>
      </c>
      <c r="X60" s="66" t="e">
        <f>COUNTIFS(Table612917[Prodi],"D3 Sistem Informasi",Table612917[G2],X$37)/$W$36</f>
        <v>#DIV/0!</v>
      </c>
      <c r="Y60" s="66" t="e">
        <f>COUNTIFS(Table612917[Prodi],"D3 Sistem Informasi",Table612917[G2],Y$37)/$W$36</f>
        <v>#DIV/0!</v>
      </c>
      <c r="Z60" s="66" t="e">
        <f>COUNTIFS(Table612917[Prodi],"D3 Sistem Informasi",Table612917[G2],Z$37)/$W$36</f>
        <v>#DIV/0!</v>
      </c>
      <c r="AA60" s="62" t="e">
        <f t="shared" si="6"/>
        <v>#DIV/0!</v>
      </c>
      <c r="AB60"/>
      <c r="AC60"/>
      <c r="AD60"/>
      <c r="AE60"/>
      <c r="AF60"/>
      <c r="AG60"/>
      <c r="AH60"/>
      <c r="AI60"/>
      <c r="AJ60"/>
      <c r="AK60"/>
      <c r="AL60"/>
      <c r="AM60"/>
      <c r="AN60"/>
      <c r="AO60"/>
      <c r="AP60"/>
      <c r="AQ60"/>
      <c r="AR60"/>
    </row>
    <row r="61" spans="1:44" s="118" customFormat="1" ht="16.5" x14ac:dyDescent="0.3">
      <c r="A61" s="57" t="s">
        <v>1172</v>
      </c>
      <c r="B61" s="66">
        <f>COUNTIF(Table612917[G3],B$37)/$B$36</f>
        <v>0.5</v>
      </c>
      <c r="C61" s="66">
        <f>COUNTIF(Table612917[G3],C$37)/$B$36</f>
        <v>0.5</v>
      </c>
      <c r="D61" s="66">
        <f>COUNTIF(Table612917[G3],D$37)/$B$36</f>
        <v>0</v>
      </c>
      <c r="E61" s="66">
        <f>COUNTIF(Table612917[G3],E$37)/$B$36</f>
        <v>0</v>
      </c>
      <c r="F61" s="62">
        <f t="shared" si="0"/>
        <v>1</v>
      </c>
      <c r="H61" s="57" t="s">
        <v>1172</v>
      </c>
      <c r="I61" s="66">
        <f>COUNTIFS(Table612917[Prodi],"S1 Sistem Informasi",Table612917[G3],I$37)/$I$36</f>
        <v>0.5</v>
      </c>
      <c r="J61" s="66">
        <f>COUNTIFS(Table612917[Prodi],"S1 Sistem Informasi",Table612917[G3],J$37)/$I$36</f>
        <v>0.5</v>
      </c>
      <c r="K61" s="66">
        <f>COUNTIFS(Table612917[Prodi],"S1 Sistem Informasi",Table612917[G3],K$37)/$I$36</f>
        <v>0</v>
      </c>
      <c r="L61" s="66">
        <f>COUNTIFS(Table612917[Prodi],"S1 Sistem Informasi",Table612917[G3],L$37)/$I$36</f>
        <v>0</v>
      </c>
      <c r="M61" s="62">
        <f t="shared" si="4"/>
        <v>1</v>
      </c>
      <c r="N61"/>
      <c r="O61" s="57" t="s">
        <v>1172</v>
      </c>
      <c r="P61" s="66">
        <f>COUNTIFS(Table612917[Prodi],"S1 Teknik Komputer",Table612917[G3],P$37)/$P$36</f>
        <v>0.5</v>
      </c>
      <c r="Q61" s="66">
        <f>COUNTIFS(Table612917[Prodi],"S1 Teknik Komputer",Table612917[G3],Q$37)/$P$36</f>
        <v>0.5</v>
      </c>
      <c r="R61" s="66">
        <f>COUNTIFS(Table612917[Prodi],"S1 Teknik Komputer",Table612917[G3],R$37)/$P$36</f>
        <v>0</v>
      </c>
      <c r="S61" s="66">
        <f>COUNTIFS(Table612917[Prodi],"S1 Teknik Komputer",Table612917[G3],S$37)/$P$36</f>
        <v>0</v>
      </c>
      <c r="T61" s="62">
        <f t="shared" si="5"/>
        <v>1</v>
      </c>
      <c r="U61"/>
      <c r="V61" s="57" t="s">
        <v>1172</v>
      </c>
      <c r="W61" s="66" t="e">
        <f>COUNTIFS(Table612917[Prodi],"D3 Sistem Informasi",Table612917[G3],W$37)/$W$36</f>
        <v>#DIV/0!</v>
      </c>
      <c r="X61" s="66" t="e">
        <f>COUNTIFS(Table612917[Prodi],"D3 Sistem Informasi",Table612917[G3],X$37)/$W$36</f>
        <v>#DIV/0!</v>
      </c>
      <c r="Y61" s="66" t="e">
        <f>COUNTIFS(Table612917[Prodi],"D3 Sistem Informasi",Table612917[G3],Y$37)/$W$36</f>
        <v>#DIV/0!</v>
      </c>
      <c r="Z61" s="66" t="e">
        <f>COUNTIFS(Table612917[Prodi],"D3 Sistem Informasi",Table612917[G3],Z$37)/$W$36</f>
        <v>#DIV/0!</v>
      </c>
      <c r="AA61" s="62" t="e">
        <f t="shared" si="6"/>
        <v>#DIV/0!</v>
      </c>
      <c r="AB61"/>
      <c r="AC61"/>
      <c r="AD61"/>
      <c r="AE61"/>
      <c r="AF61"/>
      <c r="AG61"/>
      <c r="AH61"/>
      <c r="AI61"/>
      <c r="AJ61"/>
      <c r="AK61"/>
      <c r="AL61"/>
      <c r="AM61"/>
      <c r="AN61"/>
      <c r="AO61"/>
      <c r="AP61"/>
      <c r="AQ61"/>
      <c r="AR61"/>
    </row>
    <row r="62" spans="1:44" s="118" customFormat="1" ht="16.5" x14ac:dyDescent="0.3">
      <c r="A62" s="60"/>
      <c r="B62" s="61">
        <f>AVERAGE(B59:B61)</f>
        <v>0.33333333333333331</v>
      </c>
      <c r="C62" s="61">
        <f>AVERAGE(C59:C61)</f>
        <v>0.66666666666666663</v>
      </c>
      <c r="D62" s="61">
        <f>AVERAGE(D59:D61)</f>
        <v>0</v>
      </c>
      <c r="E62" s="61">
        <f>AVERAGE(E59:E61)</f>
        <v>0</v>
      </c>
      <c r="F62" s="62">
        <f t="shared" si="0"/>
        <v>1</v>
      </c>
      <c r="H62" s="60"/>
      <c r="I62" s="61">
        <f>AVERAGE(I59:I61)</f>
        <v>0.33333333333333331</v>
      </c>
      <c r="J62" s="61">
        <f>AVERAGE(J59:J61)</f>
        <v>0.66666666666666663</v>
      </c>
      <c r="K62" s="61">
        <f>AVERAGE(K59:K61)</f>
        <v>0</v>
      </c>
      <c r="L62" s="61">
        <f>AVERAGE(L59:L61)</f>
        <v>0</v>
      </c>
      <c r="M62" s="62">
        <f t="shared" si="4"/>
        <v>1</v>
      </c>
      <c r="N62"/>
      <c r="O62" s="60"/>
      <c r="P62" s="61">
        <f>AVERAGE(P59:P61)</f>
        <v>0.33333333333333331</v>
      </c>
      <c r="Q62" s="61">
        <f>AVERAGE(Q59:Q61)</f>
        <v>0.66666666666666663</v>
      </c>
      <c r="R62" s="61">
        <f>AVERAGE(R59:R61)</f>
        <v>0</v>
      </c>
      <c r="S62" s="61">
        <f>AVERAGE(S59:S61)</f>
        <v>0</v>
      </c>
      <c r="T62" s="62">
        <f t="shared" si="5"/>
        <v>1</v>
      </c>
      <c r="U62"/>
      <c r="V62" s="60"/>
      <c r="W62" s="61" t="e">
        <f>AVERAGE(W59:W61)</f>
        <v>#DIV/0!</v>
      </c>
      <c r="X62" s="61" t="e">
        <f>AVERAGE(X59:X61)</f>
        <v>#DIV/0!</v>
      </c>
      <c r="Y62" s="61" t="e">
        <f>AVERAGE(Y59:Y61)</f>
        <v>#DIV/0!</v>
      </c>
      <c r="Z62" s="61" t="e">
        <f>AVERAGE(Z59:Z61)</f>
        <v>#DIV/0!</v>
      </c>
      <c r="AA62" s="62" t="e">
        <f t="shared" si="6"/>
        <v>#DIV/0!</v>
      </c>
      <c r="AB62"/>
      <c r="AC62"/>
      <c r="AD62"/>
      <c r="AE62"/>
      <c r="AF62"/>
      <c r="AG62"/>
      <c r="AH62"/>
      <c r="AI62"/>
      <c r="AJ62"/>
      <c r="AK62"/>
      <c r="AL62"/>
      <c r="AM62"/>
      <c r="AN62"/>
      <c r="AO62"/>
      <c r="AP62"/>
      <c r="AQ62"/>
      <c r="AR62"/>
    </row>
    <row r="63" spans="1:44" s="118" customFormat="1" ht="16.5" x14ac:dyDescent="0.3">
      <c r="A63" s="57" t="s">
        <v>42</v>
      </c>
      <c r="B63" s="66">
        <f>COUNTIF(Table612917[H1],B$37)/$B$36</f>
        <v>0.5</v>
      </c>
      <c r="C63" s="66">
        <f>COUNTIF(Table612917[H1],C$37)/$B$36</f>
        <v>0.5</v>
      </c>
      <c r="D63" s="66">
        <f>COUNTIF(Table612917[H1],D$37)/$B$36</f>
        <v>0</v>
      </c>
      <c r="E63" s="66">
        <f>COUNTIF(Table612917[H1],E$37)/$B$36</f>
        <v>0</v>
      </c>
      <c r="F63" s="62">
        <f t="shared" si="0"/>
        <v>1</v>
      </c>
      <c r="H63" s="57" t="s">
        <v>42</v>
      </c>
      <c r="I63" s="66">
        <f>COUNTIFS(Table612917[Prodi],"S1 Sistem Informasi",Table612917[H1],I$37)/$I$36</f>
        <v>1</v>
      </c>
      <c r="J63" s="66">
        <f>COUNTIFS(Table612917[Prodi],"S1 Sistem Informasi",Table612917[H1],J$37)/$I$36</f>
        <v>0</v>
      </c>
      <c r="K63" s="66">
        <f>COUNTIFS(Table612917[Prodi],"S1 Sistem Informasi",Table612917[H1],K$37)/$I$36</f>
        <v>0</v>
      </c>
      <c r="L63" s="66">
        <f>COUNTIFS(Table612917[Prodi],"S1 Sistem Informasi",Table612917[H1],L$37)/$I$36</f>
        <v>0</v>
      </c>
      <c r="M63" s="62">
        <f t="shared" si="4"/>
        <v>1</v>
      </c>
      <c r="N63"/>
      <c r="O63" s="57" t="s">
        <v>42</v>
      </c>
      <c r="P63" s="66">
        <f>COUNTIFS(Table612917[Prodi],"S1 Teknik Komputer",Table612917[H1],P$37)/$P$36</f>
        <v>0</v>
      </c>
      <c r="Q63" s="66">
        <f>COUNTIFS(Table612917[Prodi],"S1 Teknik Komputer",Table612917[H1],Q$37)/$P$36</f>
        <v>1</v>
      </c>
      <c r="R63" s="66">
        <f>COUNTIFS(Table612917[Prodi],"S1 Teknik Komputer",Table612917[H1],R$37)/$P$36</f>
        <v>0</v>
      </c>
      <c r="S63" s="66">
        <f>COUNTIFS(Table612917[Prodi],"S1 Teknik Komputer",Table612917[H1],S$37)/$P$36</f>
        <v>0</v>
      </c>
      <c r="T63" s="62">
        <f t="shared" si="5"/>
        <v>1</v>
      </c>
      <c r="U63"/>
      <c r="V63" s="57" t="s">
        <v>42</v>
      </c>
      <c r="W63" s="66" t="e">
        <f>COUNTIFS(Table612917[Prodi],"D3 Sistem Informasi",Table612917[H1],W$37)/$W$36</f>
        <v>#DIV/0!</v>
      </c>
      <c r="X63" s="66" t="e">
        <f>COUNTIFS(Table612917[Prodi],"D3 Sistem Informasi",Table612917[H1],X$37)/$W$36</f>
        <v>#DIV/0!</v>
      </c>
      <c r="Y63" s="66" t="e">
        <f>COUNTIFS(Table612917[Prodi],"D3 Sistem Informasi",Table612917[H1],Y$37)/$W$36</f>
        <v>#DIV/0!</v>
      </c>
      <c r="Z63" s="66" t="e">
        <f>COUNTIFS(Table612917[Prodi],"D3 Sistem Informasi",Table612917[H1],Z$37)/$W$36</f>
        <v>#DIV/0!</v>
      </c>
      <c r="AA63" s="62" t="e">
        <f t="shared" si="6"/>
        <v>#DIV/0!</v>
      </c>
      <c r="AB63"/>
      <c r="AC63"/>
      <c r="AD63"/>
      <c r="AE63"/>
      <c r="AF63"/>
      <c r="AG63"/>
      <c r="AH63"/>
      <c r="AI63"/>
      <c r="AJ63"/>
      <c r="AK63"/>
      <c r="AL63"/>
      <c r="AM63"/>
      <c r="AN63"/>
      <c r="AO63"/>
      <c r="AP63"/>
      <c r="AQ63"/>
      <c r="AR63"/>
    </row>
    <row r="64" spans="1:44" s="118" customFormat="1" ht="16.5" x14ac:dyDescent="0.3">
      <c r="A64" s="57" t="s">
        <v>43</v>
      </c>
      <c r="B64" s="66">
        <f>COUNTIF(Table612917[H2],B$37)/$B$36</f>
        <v>0.25</v>
      </c>
      <c r="C64" s="66">
        <f>COUNTIF(Table612917[H2],C$37)/$B$36</f>
        <v>0.75</v>
      </c>
      <c r="D64" s="66">
        <f>COUNTIF(Table612917[H2],D$37)/$B$36</f>
        <v>0</v>
      </c>
      <c r="E64" s="66">
        <f>COUNTIF(Table612917[H2],E$37)/$B$36</f>
        <v>0</v>
      </c>
      <c r="F64" s="62">
        <f t="shared" si="0"/>
        <v>1</v>
      </c>
      <c r="H64" s="57" t="s">
        <v>43</v>
      </c>
      <c r="I64" s="66">
        <f>COUNTIFS(Table612917[Prodi],"S1 Sistem Informasi",Table612917[H2],I$37)/$I$36</f>
        <v>0.5</v>
      </c>
      <c r="J64" s="66">
        <f>COUNTIFS(Table612917[Prodi],"S1 Sistem Informasi",Table612917[H2],J$37)/$I$36</f>
        <v>0.5</v>
      </c>
      <c r="K64" s="66">
        <f>COUNTIFS(Table612917[Prodi],"S1 Sistem Informasi",Table612917[H2],K$37)/$I$36</f>
        <v>0</v>
      </c>
      <c r="L64" s="66">
        <f>COUNTIFS(Table612917[Prodi],"S1 Sistem Informasi",Table612917[H2],L$37)/$I$36</f>
        <v>0</v>
      </c>
      <c r="M64" s="62">
        <f t="shared" si="4"/>
        <v>1</v>
      </c>
      <c r="N64"/>
      <c r="O64" s="57" t="s">
        <v>43</v>
      </c>
      <c r="P64" s="66">
        <f>COUNTIFS(Table612917[Prodi],"S1 Teknik Komputer",Table612917[H2],P$37)/$P$36</f>
        <v>0</v>
      </c>
      <c r="Q64" s="66">
        <f>COUNTIFS(Table612917[Prodi],"S1 Teknik Komputer",Table612917[H2],Q$37)/$P$36</f>
        <v>1</v>
      </c>
      <c r="R64" s="66">
        <f>COUNTIFS(Table612917[Prodi],"S1 Teknik Komputer",Table612917[H2],R$37)/$P$36</f>
        <v>0</v>
      </c>
      <c r="S64" s="66">
        <f>COUNTIFS(Table612917[Prodi],"S1 Teknik Komputer",Table612917[H2],S$37)/$P$36</f>
        <v>0</v>
      </c>
      <c r="T64" s="62">
        <f t="shared" si="5"/>
        <v>1</v>
      </c>
      <c r="U64"/>
      <c r="V64" s="57" t="s">
        <v>43</v>
      </c>
      <c r="W64" s="66" t="e">
        <f>COUNTIFS(Table612917[Prodi],"D3 Sistem Informasi",Table612917[H2],W$37)/$W$36</f>
        <v>#DIV/0!</v>
      </c>
      <c r="X64" s="66" t="e">
        <f>COUNTIFS(Table612917[Prodi],"D3 Sistem Informasi",Table612917[H2],X$37)/$W$36</f>
        <v>#DIV/0!</v>
      </c>
      <c r="Y64" s="66" t="e">
        <f>COUNTIFS(Table612917[Prodi],"D3 Sistem Informasi",Table612917[H2],Y$37)/$W$36</f>
        <v>#DIV/0!</v>
      </c>
      <c r="Z64" s="66" t="e">
        <f>COUNTIFS(Table612917[Prodi],"D3 Sistem Informasi",Table612917[H2],Z$37)/$W$36</f>
        <v>#DIV/0!</v>
      </c>
      <c r="AA64" s="62" t="e">
        <f t="shared" si="6"/>
        <v>#DIV/0!</v>
      </c>
      <c r="AB64"/>
      <c r="AC64"/>
      <c r="AD64"/>
      <c r="AE64"/>
      <c r="AF64"/>
      <c r="AG64"/>
      <c r="AH64"/>
      <c r="AI64"/>
      <c r="AJ64"/>
      <c r="AK64"/>
      <c r="AL64"/>
      <c r="AM64"/>
      <c r="AN64"/>
      <c r="AO64"/>
      <c r="AP64"/>
      <c r="AQ64"/>
      <c r="AR64"/>
    </row>
    <row r="65" spans="1:44" s="118" customFormat="1" ht="16.5" x14ac:dyDescent="0.3">
      <c r="A65" s="57" t="s">
        <v>44</v>
      </c>
      <c r="B65" s="66">
        <f>COUNTIF(Table612917[H3],B$37)/$B$36</f>
        <v>0.75</v>
      </c>
      <c r="C65" s="66">
        <f>COUNTIF(Table612917[H3],C$37)/$B$36</f>
        <v>0.25</v>
      </c>
      <c r="D65" s="66">
        <f>COUNTIF(Table612917[H3],D$37)/$B$36</f>
        <v>0</v>
      </c>
      <c r="E65" s="66">
        <f>COUNTIF(Table612917[H3],E$37)/$B$36</f>
        <v>0</v>
      </c>
      <c r="F65" s="62">
        <f t="shared" si="0"/>
        <v>1</v>
      </c>
      <c r="H65" s="57" t="s">
        <v>44</v>
      </c>
      <c r="I65" s="66">
        <f>COUNTIFS(Table612917[Prodi],"S1 Sistem Informasi",Table612917[H3],I$37)/$I$36</f>
        <v>1</v>
      </c>
      <c r="J65" s="66">
        <f>COUNTIFS(Table612917[Prodi],"S1 Sistem Informasi",Table612917[H3],J$37)/$I$36</f>
        <v>0</v>
      </c>
      <c r="K65" s="66">
        <f>COUNTIFS(Table612917[Prodi],"S1 Sistem Informasi",Table612917[H3],K$37)/$I$36</f>
        <v>0</v>
      </c>
      <c r="L65" s="66">
        <f>COUNTIFS(Table612917[Prodi],"S1 Sistem Informasi",Table612917[H3],L$37)/$I$36</f>
        <v>0</v>
      </c>
      <c r="M65" s="62">
        <f t="shared" si="4"/>
        <v>1</v>
      </c>
      <c r="N65"/>
      <c r="O65" s="57" t="s">
        <v>44</v>
      </c>
      <c r="P65" s="66">
        <f>COUNTIFS(Table612917[Prodi],"S1 Teknik Komputer",Table612917[H3],P$37)/$P$36</f>
        <v>0.5</v>
      </c>
      <c r="Q65" s="66">
        <f>COUNTIFS(Table612917[Prodi],"S1 Teknik Komputer",Table612917[H3],Q$37)/$P$36</f>
        <v>0.5</v>
      </c>
      <c r="R65" s="66">
        <f>COUNTIFS(Table612917[Prodi],"S1 Teknik Komputer",Table612917[H3],R$37)/$P$36</f>
        <v>0</v>
      </c>
      <c r="S65" s="66">
        <f>COUNTIFS(Table612917[Prodi],"S1 Teknik Komputer",Table612917[H3],S$37)/$P$36</f>
        <v>0</v>
      </c>
      <c r="T65" s="62">
        <f t="shared" si="5"/>
        <v>1</v>
      </c>
      <c r="U65"/>
      <c r="V65" s="57" t="s">
        <v>44</v>
      </c>
      <c r="W65" s="66" t="e">
        <f>COUNTIFS(Table612917[Prodi],"D3 Sistem Informasi",Table612917[H3],W$37)/$W$36</f>
        <v>#DIV/0!</v>
      </c>
      <c r="X65" s="66" t="e">
        <f>COUNTIFS(Table612917[Prodi],"D3 Sistem Informasi",Table612917[H3],X$37)/$W$36</f>
        <v>#DIV/0!</v>
      </c>
      <c r="Y65" s="66" t="e">
        <f>COUNTIFS(Table612917[Prodi],"D3 Sistem Informasi",Table612917[H3],Y$37)/$W$36</f>
        <v>#DIV/0!</v>
      </c>
      <c r="Z65" s="66" t="e">
        <f>COUNTIFS(Table612917[Prodi],"D3 Sistem Informasi",Table612917[H3],Z$37)/$W$36</f>
        <v>#DIV/0!</v>
      </c>
      <c r="AA65" s="62" t="e">
        <f t="shared" si="6"/>
        <v>#DIV/0!</v>
      </c>
      <c r="AB65"/>
      <c r="AC65"/>
      <c r="AD65"/>
      <c r="AE65"/>
      <c r="AF65"/>
      <c r="AG65"/>
      <c r="AH65"/>
      <c r="AI65"/>
      <c r="AJ65"/>
      <c r="AK65"/>
      <c r="AL65"/>
      <c r="AM65"/>
      <c r="AN65"/>
      <c r="AO65"/>
      <c r="AP65"/>
      <c r="AQ65"/>
      <c r="AR65"/>
    </row>
    <row r="66" spans="1:44" s="118" customFormat="1" ht="16.5" x14ac:dyDescent="0.3">
      <c r="A66" s="57" t="s">
        <v>45</v>
      </c>
      <c r="B66" s="66">
        <f>COUNTIF(Table612917[H4],B$37)/$B$36</f>
        <v>0.5</v>
      </c>
      <c r="C66" s="66">
        <f>COUNTIF(Table612917[H4],C$37)/$B$36</f>
        <v>0.5</v>
      </c>
      <c r="D66" s="66">
        <f>COUNTIF(Table612917[H4],D$37)/$B$36</f>
        <v>0</v>
      </c>
      <c r="E66" s="66">
        <f>COUNTIF(Table612917[H4],E$37)/$B$36</f>
        <v>0</v>
      </c>
      <c r="F66" s="62">
        <f t="shared" si="0"/>
        <v>1</v>
      </c>
      <c r="H66" s="57" t="s">
        <v>45</v>
      </c>
      <c r="I66" s="66">
        <f>COUNTIFS(Table612917[Prodi],"S1 Sistem Informasi",Table612917[H4],I$37)/$I$36</f>
        <v>0.5</v>
      </c>
      <c r="J66" s="66">
        <f>COUNTIFS(Table612917[Prodi],"S1 Sistem Informasi",Table612917[H4],J$37)/$I$36</f>
        <v>0.5</v>
      </c>
      <c r="K66" s="66">
        <f>COUNTIFS(Table612917[Prodi],"S1 Sistem Informasi",Table612917[H4],K$37)/$I$36</f>
        <v>0</v>
      </c>
      <c r="L66" s="66">
        <f>COUNTIFS(Table612917[Prodi],"S1 Sistem Informasi",Table612917[H4],L$37)/$I$36</f>
        <v>0</v>
      </c>
      <c r="M66" s="62">
        <f t="shared" si="4"/>
        <v>1</v>
      </c>
      <c r="N66"/>
      <c r="O66" s="57" t="s">
        <v>45</v>
      </c>
      <c r="P66" s="66">
        <f>COUNTIFS(Table612917[Prodi],"S1 Teknik Komputer",Table612917[H4],P$37)/$P$36</f>
        <v>0.5</v>
      </c>
      <c r="Q66" s="66">
        <f>COUNTIFS(Table612917[Prodi],"S1 Teknik Komputer",Table612917[H4],Q$37)/$P$36</f>
        <v>0.5</v>
      </c>
      <c r="R66" s="66">
        <f>COUNTIFS(Table612917[Prodi],"S1 Teknik Komputer",Table612917[H4],R$37)/$P$36</f>
        <v>0</v>
      </c>
      <c r="S66" s="66">
        <f>COUNTIFS(Table612917[Prodi],"S1 Teknik Komputer",Table612917[H4],S$37)/$P$36</f>
        <v>0</v>
      </c>
      <c r="T66" s="62">
        <f t="shared" si="5"/>
        <v>1</v>
      </c>
      <c r="U66"/>
      <c r="V66" s="57" t="s">
        <v>45</v>
      </c>
      <c r="W66" s="66" t="e">
        <f>COUNTIFS(Table612917[Prodi],"D3 Sistem Informasi",Table612917[H4],W$37)/$W$36</f>
        <v>#DIV/0!</v>
      </c>
      <c r="X66" s="66" t="e">
        <f>COUNTIFS(Table612917[Prodi],"D3 Sistem Informasi",Table612917[H4],X$37)/$W$36</f>
        <v>#DIV/0!</v>
      </c>
      <c r="Y66" s="66" t="e">
        <f>COUNTIFS(Table612917[Prodi],"D3 Sistem Informasi",Table612917[H4],Y$37)/$W$36</f>
        <v>#DIV/0!</v>
      </c>
      <c r="Z66" s="66" t="e">
        <f>COUNTIFS(Table612917[Prodi],"D3 Sistem Informasi",Table612917[H4],Z$37)/$W$36</f>
        <v>#DIV/0!</v>
      </c>
      <c r="AA66" s="62" t="e">
        <f t="shared" si="6"/>
        <v>#DIV/0!</v>
      </c>
      <c r="AB66"/>
      <c r="AC66"/>
      <c r="AD66"/>
      <c r="AE66"/>
      <c r="AF66"/>
      <c r="AG66"/>
      <c r="AH66"/>
      <c r="AI66"/>
      <c r="AJ66"/>
      <c r="AK66"/>
      <c r="AL66"/>
      <c r="AM66"/>
      <c r="AN66"/>
      <c r="AO66"/>
      <c r="AP66"/>
      <c r="AQ66"/>
      <c r="AR66"/>
    </row>
    <row r="67" spans="1:44" s="118" customFormat="1" ht="16.5" x14ac:dyDescent="0.3">
      <c r="A67" s="60"/>
      <c r="B67" s="61">
        <f>AVERAGE(B63:B66)</f>
        <v>0.5</v>
      </c>
      <c r="C67" s="61">
        <f>AVERAGE(C63:C66)</f>
        <v>0.5</v>
      </c>
      <c r="D67" s="61">
        <f>AVERAGE(D63:D66)</f>
        <v>0</v>
      </c>
      <c r="E67" s="61">
        <f>AVERAGE(E63:E66)</f>
        <v>0</v>
      </c>
      <c r="F67" s="62">
        <f t="shared" si="0"/>
        <v>1</v>
      </c>
      <c r="H67" s="60"/>
      <c r="I67" s="61">
        <f>AVERAGE(I63:I66)</f>
        <v>0.75</v>
      </c>
      <c r="J67" s="61">
        <f>AVERAGE(J63:J66)</f>
        <v>0.25</v>
      </c>
      <c r="K67" s="61">
        <f>AVERAGE(K63:K66)</f>
        <v>0</v>
      </c>
      <c r="L67" s="61">
        <f>AVERAGE(L63:L66)</f>
        <v>0</v>
      </c>
      <c r="M67" s="62">
        <f t="shared" si="4"/>
        <v>1</v>
      </c>
      <c r="N67"/>
      <c r="O67" s="60"/>
      <c r="P67" s="61">
        <f>AVERAGE(P63:P66)</f>
        <v>0.25</v>
      </c>
      <c r="Q67" s="61">
        <f>AVERAGE(Q63:Q66)</f>
        <v>0.75</v>
      </c>
      <c r="R67" s="61">
        <f>AVERAGE(R63:R66)</f>
        <v>0</v>
      </c>
      <c r="S67" s="61">
        <f>AVERAGE(S63:S66)</f>
        <v>0</v>
      </c>
      <c r="T67" s="62">
        <f t="shared" si="5"/>
        <v>1</v>
      </c>
      <c r="U67"/>
      <c r="V67" s="60"/>
      <c r="W67" s="61" t="e">
        <f>AVERAGE(W63:W66)</f>
        <v>#DIV/0!</v>
      </c>
      <c r="X67" s="61" t="e">
        <f>AVERAGE(X63:X66)</f>
        <v>#DIV/0!</v>
      </c>
      <c r="Y67" s="61" t="e">
        <f>AVERAGE(Y63:Y66)</f>
        <v>#DIV/0!</v>
      </c>
      <c r="Z67" s="61" t="e">
        <f>AVERAGE(Z63:Z66)</f>
        <v>#DIV/0!</v>
      </c>
      <c r="AA67" s="62" t="e">
        <f t="shared" si="6"/>
        <v>#DIV/0!</v>
      </c>
      <c r="AB67"/>
      <c r="AC67"/>
      <c r="AD67"/>
      <c r="AE67"/>
      <c r="AF67"/>
      <c r="AG67"/>
      <c r="AH67"/>
      <c r="AI67"/>
      <c r="AJ67"/>
      <c r="AK67"/>
      <c r="AL67"/>
      <c r="AM67"/>
      <c r="AN67"/>
      <c r="AO67"/>
      <c r="AP67"/>
      <c r="AQ67"/>
      <c r="AR67"/>
    </row>
    <row r="68" spans="1:44" s="118" customFormat="1" ht="16.5" x14ac:dyDescent="0.3">
      <c r="A68" s="57" t="s">
        <v>648</v>
      </c>
      <c r="B68" s="66">
        <f>COUNTIF(Table612917[I1.1],B$37)/$B$36</f>
        <v>0</v>
      </c>
      <c r="C68" s="66">
        <f>COUNTIF(Table612917[I1.1],C$37)/$B$36</f>
        <v>1</v>
      </c>
      <c r="D68" s="66">
        <f>COUNTIF(Table612917[I1.1],D$37)/$B$36</f>
        <v>0</v>
      </c>
      <c r="E68" s="66">
        <f>COUNTIF(Table612917[I1.1],E$37)/$B$36</f>
        <v>0</v>
      </c>
      <c r="F68" s="62">
        <f t="shared" si="0"/>
        <v>1</v>
      </c>
      <c r="H68" s="57" t="s">
        <v>648</v>
      </c>
      <c r="I68" s="66">
        <f>COUNTIFS(Table612917[Prodi],"S1 Sistem Informasi",Table612917[I1.1],I$37)/$I$36</f>
        <v>0</v>
      </c>
      <c r="J68" s="66">
        <f>COUNTIFS(Table612917[Prodi],"S1 Sistem Informasi",Table612917[I1.1],J$37)/$I$36</f>
        <v>1</v>
      </c>
      <c r="K68" s="66">
        <f>COUNTIFS(Table612917[Prodi],"S1 Sistem Informasi",Table612917[I1.1],K$37)/$I$36</f>
        <v>0</v>
      </c>
      <c r="L68" s="66">
        <f>COUNTIFS(Table612917[Prodi],"S1 Sistem Informasi",Table612917[I1.1],L$37)/$I$36</f>
        <v>0</v>
      </c>
      <c r="M68" s="62">
        <f t="shared" si="4"/>
        <v>1</v>
      </c>
      <c r="N68"/>
      <c r="O68" s="57" t="s">
        <v>648</v>
      </c>
      <c r="P68" s="66">
        <f>COUNTIFS(Table612917[Prodi],"S1 Teknik Komputer",Table612917[I1.1],P$37)/$P$36</f>
        <v>0</v>
      </c>
      <c r="Q68" s="66">
        <f>COUNTIFS(Table612917[Prodi],"S1 Teknik Komputer",Table612917[I1.1],Q$37)/$P$36</f>
        <v>1</v>
      </c>
      <c r="R68" s="66">
        <f>COUNTIFS(Table612917[Prodi],"S1 Teknik Komputer",Table612917[I1.1],R$37)/$P$36</f>
        <v>0</v>
      </c>
      <c r="S68" s="66">
        <f>COUNTIFS(Table612917[Prodi],"S1 Teknik Komputer",Table612917[I1.1],S$37)/$P$36</f>
        <v>0</v>
      </c>
      <c r="T68" s="62">
        <f t="shared" si="5"/>
        <v>1</v>
      </c>
      <c r="U68"/>
      <c r="V68" s="57" t="s">
        <v>648</v>
      </c>
      <c r="W68" s="66" t="e">
        <f>COUNTIFS(Table612917[Prodi],"D3 Sistem Informasi",Table612917[I1.1],W$37)/$W$36</f>
        <v>#DIV/0!</v>
      </c>
      <c r="X68" s="66" t="e">
        <f>COUNTIFS(Table612917[Prodi],"D3 Sistem Informasi",Table612917[I1.1],X$37)/$W$36</f>
        <v>#DIV/0!</v>
      </c>
      <c r="Y68" s="66" t="e">
        <f>COUNTIFS(Table612917[Prodi],"D3 Sistem Informasi",Table612917[I1.1],Y$37)/$W$36</f>
        <v>#DIV/0!</v>
      </c>
      <c r="Z68" s="66" t="e">
        <f>COUNTIFS(Table612917[Prodi],"D3 Sistem Informasi",Table612917[I1.1],Z$37)/$W$36</f>
        <v>#DIV/0!</v>
      </c>
      <c r="AA68" s="62" t="e">
        <f t="shared" si="6"/>
        <v>#DIV/0!</v>
      </c>
      <c r="AB68"/>
      <c r="AC68"/>
      <c r="AD68"/>
      <c r="AE68"/>
      <c r="AF68"/>
      <c r="AG68"/>
      <c r="AH68"/>
      <c r="AI68"/>
      <c r="AJ68"/>
      <c r="AK68"/>
      <c r="AL68"/>
      <c r="AM68"/>
      <c r="AN68"/>
      <c r="AO68"/>
      <c r="AP68"/>
      <c r="AQ68"/>
      <c r="AR68"/>
    </row>
    <row r="69" spans="1:44" s="118" customFormat="1" ht="16.5" x14ac:dyDescent="0.3">
      <c r="A69" s="57" t="s">
        <v>649</v>
      </c>
      <c r="B69" s="66">
        <f>COUNTIF(Table612917[I1.2],B$37)/$B$36</f>
        <v>0.5</v>
      </c>
      <c r="C69" s="66">
        <f>COUNTIF(Table612917[I1.2],C$37)/$B$36</f>
        <v>0.5</v>
      </c>
      <c r="D69" s="66">
        <f>COUNTIF(Table612917[I1.2],D$37)/$B$36</f>
        <v>0</v>
      </c>
      <c r="E69" s="66">
        <f>COUNTIF(Table612917[I1.2],E$37)/$B$36</f>
        <v>0</v>
      </c>
      <c r="F69" s="62">
        <f t="shared" si="0"/>
        <v>1</v>
      </c>
      <c r="H69" s="57" t="s">
        <v>649</v>
      </c>
      <c r="I69" s="66">
        <f>COUNTIFS(Table612917[Prodi],"S1 Sistem Informasi",Table612917[I1.2],I$37)/$I$36</f>
        <v>0.5</v>
      </c>
      <c r="J69" s="66">
        <f>COUNTIFS(Table612917[Prodi],"S1 Sistem Informasi",Table612917[I1.2],J$37)/$I$36</f>
        <v>0.5</v>
      </c>
      <c r="K69" s="66">
        <f>COUNTIFS(Table612917[Prodi],"S1 Sistem Informasi",Table612917[I1.2],K$37)/$I$36</f>
        <v>0</v>
      </c>
      <c r="L69" s="66">
        <f>COUNTIFS(Table612917[Prodi],"S1 Sistem Informasi",Table612917[I1.2],L$37)/$I$36</f>
        <v>0</v>
      </c>
      <c r="M69" s="62">
        <f t="shared" si="4"/>
        <v>1</v>
      </c>
      <c r="N69"/>
      <c r="O69" s="57" t="s">
        <v>649</v>
      </c>
      <c r="P69" s="66">
        <f>COUNTIFS(Table612917[Prodi],"S1 Teknik Komputer",Table612917[I1.2],P$37)/$P$36</f>
        <v>0.5</v>
      </c>
      <c r="Q69" s="66">
        <f>COUNTIFS(Table612917[Prodi],"S1 Teknik Komputer",Table612917[I1.2],Q$37)/$P$36</f>
        <v>0.5</v>
      </c>
      <c r="R69" s="66">
        <f>COUNTIFS(Table612917[Prodi],"S1 Teknik Komputer",Table612917[I1.2],R$37)/$P$36</f>
        <v>0</v>
      </c>
      <c r="S69" s="66">
        <f>COUNTIFS(Table612917[Prodi],"S1 Teknik Komputer",Table612917[I1.2],S$37)/$P$36</f>
        <v>0</v>
      </c>
      <c r="T69" s="62">
        <f t="shared" si="5"/>
        <v>1</v>
      </c>
      <c r="U69"/>
      <c r="V69" s="57" t="s">
        <v>649</v>
      </c>
      <c r="W69" s="66" t="e">
        <f>COUNTIFS(Table612917[Prodi],"D3 Sistem Informasi",Table612917[I1.2],W$37)/$W$36</f>
        <v>#DIV/0!</v>
      </c>
      <c r="X69" s="66" t="e">
        <f>COUNTIFS(Table612917[Prodi],"D3 Sistem Informasi",Table612917[I1.2],X$37)/$W$36</f>
        <v>#DIV/0!</v>
      </c>
      <c r="Y69" s="66" t="e">
        <f>COUNTIFS(Table612917[Prodi],"D3 Sistem Informasi",Table612917[I1.2],Y$37)/$W$36</f>
        <v>#DIV/0!</v>
      </c>
      <c r="Z69" s="66" t="e">
        <f>COUNTIFS(Table612917[Prodi],"D3 Sistem Informasi",Table612917[I1.2],Z$37)/$W$36</f>
        <v>#DIV/0!</v>
      </c>
      <c r="AA69" s="62" t="e">
        <f t="shared" si="6"/>
        <v>#DIV/0!</v>
      </c>
      <c r="AB69"/>
      <c r="AC69"/>
      <c r="AD69"/>
      <c r="AE69"/>
      <c r="AF69"/>
      <c r="AG69"/>
      <c r="AH69"/>
      <c r="AI69"/>
      <c r="AJ69"/>
      <c r="AK69"/>
      <c r="AL69"/>
      <c r="AM69"/>
      <c r="AN69"/>
      <c r="AO69"/>
      <c r="AP69"/>
      <c r="AQ69"/>
      <c r="AR69"/>
    </row>
    <row r="70" spans="1:44" s="118" customFormat="1" ht="16.5" x14ac:dyDescent="0.3">
      <c r="A70" s="57" t="s">
        <v>650</v>
      </c>
      <c r="B70" s="66">
        <f>COUNTIF(Table612917[I1.3],B$37)/$B$36</f>
        <v>0.75</v>
      </c>
      <c r="C70" s="66">
        <f>COUNTIF(Table612917[I1.3],C$37)/$B$36</f>
        <v>0.25</v>
      </c>
      <c r="D70" s="66">
        <f>COUNTIF(Table612917[I1.3],D$37)/$B$36</f>
        <v>0</v>
      </c>
      <c r="E70" s="66">
        <f>COUNTIF(Table612917[I1.3],E$37)/$B$36</f>
        <v>0</v>
      </c>
      <c r="F70" s="62">
        <f t="shared" si="0"/>
        <v>1</v>
      </c>
      <c r="H70" s="57" t="s">
        <v>650</v>
      </c>
      <c r="I70" s="66">
        <f>COUNTIFS(Table612917[Prodi],"S1 Sistem Informasi",Table612917[I1.3],I$37)/$I$36</f>
        <v>1</v>
      </c>
      <c r="J70" s="66">
        <f>COUNTIFS(Table612917[Prodi],"S1 Sistem Informasi",Table612917[I1.3],J$37)/$I$36</f>
        <v>0</v>
      </c>
      <c r="K70" s="66">
        <f>COUNTIFS(Table612917[Prodi],"S1 Sistem Informasi",Table612917[I1.3],K$37)/$I$36</f>
        <v>0</v>
      </c>
      <c r="L70" s="66">
        <f>COUNTIFS(Table612917[Prodi],"S1 Sistem Informasi",Table612917[I1.3],L$37)/$I$36</f>
        <v>0</v>
      </c>
      <c r="M70" s="62">
        <f t="shared" si="4"/>
        <v>1</v>
      </c>
      <c r="N70"/>
      <c r="O70" s="57" t="s">
        <v>650</v>
      </c>
      <c r="P70" s="66">
        <f>COUNTIFS(Table612917[Prodi],"S1 Teknik Komputer",Table612917[I1.3],P$37)/$P$36</f>
        <v>0.5</v>
      </c>
      <c r="Q70" s="66">
        <f>COUNTIFS(Table612917[Prodi],"S1 Teknik Komputer",Table612917[I1.3],Q$37)/$P$36</f>
        <v>0.5</v>
      </c>
      <c r="R70" s="66">
        <f>COUNTIFS(Table612917[Prodi],"S1 Teknik Komputer",Table612917[I1.3],R$37)/$P$36</f>
        <v>0</v>
      </c>
      <c r="S70" s="66">
        <f>COUNTIFS(Table612917[Prodi],"S1 Teknik Komputer",Table612917[I1.3],S$37)/$P$36</f>
        <v>0</v>
      </c>
      <c r="T70" s="62">
        <f t="shared" si="5"/>
        <v>1</v>
      </c>
      <c r="U70"/>
      <c r="V70" s="57" t="s">
        <v>650</v>
      </c>
      <c r="W70" s="66" t="e">
        <f>COUNTIFS(Table612917[Prodi],"D3 Sistem Informasi",Table612917[I1.3],W$37)/$W$36</f>
        <v>#DIV/0!</v>
      </c>
      <c r="X70" s="66" t="e">
        <f>COUNTIFS(Table612917[Prodi],"D3 Sistem Informasi",Table612917[I1.3],X$37)/$W$36</f>
        <v>#DIV/0!</v>
      </c>
      <c r="Y70" s="66" t="e">
        <f>COUNTIFS(Table612917[Prodi],"D3 Sistem Informasi",Table612917[I1.3],Y$37)/$W$36</f>
        <v>#DIV/0!</v>
      </c>
      <c r="Z70" s="66" t="e">
        <f>COUNTIFS(Table612917[Prodi],"D3 Sistem Informasi",Table612917[I1.3],Z$37)/$W$36</f>
        <v>#DIV/0!</v>
      </c>
      <c r="AA70" s="62" t="e">
        <f t="shared" si="6"/>
        <v>#DIV/0!</v>
      </c>
      <c r="AB70"/>
      <c r="AC70"/>
      <c r="AD70"/>
      <c r="AE70"/>
      <c r="AF70"/>
      <c r="AG70"/>
      <c r="AH70"/>
      <c r="AI70"/>
      <c r="AJ70"/>
      <c r="AK70"/>
      <c r="AL70"/>
      <c r="AM70"/>
      <c r="AN70"/>
      <c r="AO70"/>
      <c r="AP70"/>
      <c r="AQ70"/>
      <c r="AR70"/>
    </row>
    <row r="71" spans="1:44" s="118" customFormat="1" ht="16.5" x14ac:dyDescent="0.3">
      <c r="A71" s="57" t="s">
        <v>651</v>
      </c>
      <c r="B71" s="66">
        <f>COUNTIF(Table612917[I1.4],B$37)/$B$36</f>
        <v>0.5</v>
      </c>
      <c r="C71" s="66">
        <f>COUNTIF(Table612917[I1.4],C$37)/$B$36</f>
        <v>0.5</v>
      </c>
      <c r="D71" s="66">
        <f>COUNTIF(Table612917[I1.4],D$37)/$B$36</f>
        <v>0</v>
      </c>
      <c r="E71" s="66">
        <f>COUNTIF(Table612917[I1.4],E$37)/$B$36</f>
        <v>0</v>
      </c>
      <c r="F71" s="62">
        <f t="shared" si="0"/>
        <v>1</v>
      </c>
      <c r="H71" s="57" t="s">
        <v>651</v>
      </c>
      <c r="I71" s="66">
        <f>COUNTIFS(Table612917[Prodi],"S1 Sistem Informasi",Table612917[I1.4],I$37)/$I$36</f>
        <v>0.5</v>
      </c>
      <c r="J71" s="66">
        <f>COUNTIFS(Table612917[Prodi],"S1 Sistem Informasi",Table612917[I1.4],J$37)/$I$36</f>
        <v>0.5</v>
      </c>
      <c r="K71" s="66">
        <f>COUNTIFS(Table612917[Prodi],"S1 Sistem Informasi",Table612917[I1.4],K$37)/$I$36</f>
        <v>0</v>
      </c>
      <c r="L71" s="66">
        <f>COUNTIFS(Table612917[Prodi],"S1 Sistem Informasi",Table612917[I1.4],L$37)/$I$36</f>
        <v>0</v>
      </c>
      <c r="M71" s="62">
        <f t="shared" si="4"/>
        <v>1</v>
      </c>
      <c r="N71"/>
      <c r="O71" s="57" t="s">
        <v>651</v>
      </c>
      <c r="P71" s="66">
        <f>COUNTIFS(Table612917[Prodi],"S1 Teknik Komputer",Table612917[I1.4],P$37)/$P$36</f>
        <v>0.5</v>
      </c>
      <c r="Q71" s="66">
        <f>COUNTIFS(Table612917[Prodi],"S1 Teknik Komputer",Table612917[I1.4],Q$37)/$P$36</f>
        <v>0.5</v>
      </c>
      <c r="R71" s="66">
        <f>COUNTIFS(Table612917[Prodi],"S1 Teknik Komputer",Table612917[I1.4],R$37)/$P$36</f>
        <v>0</v>
      </c>
      <c r="S71" s="66">
        <f>COUNTIFS(Table612917[Prodi],"S1 Teknik Komputer",Table612917[I1.4],S$37)/$P$36</f>
        <v>0</v>
      </c>
      <c r="T71" s="62">
        <f t="shared" si="5"/>
        <v>1</v>
      </c>
      <c r="U71"/>
      <c r="V71" s="57" t="s">
        <v>651</v>
      </c>
      <c r="W71" s="66" t="e">
        <f>COUNTIFS(Table612917[Prodi],"D3 Sistem Informasi",Table612917[I1.4],W$37)/$W$36</f>
        <v>#DIV/0!</v>
      </c>
      <c r="X71" s="66" t="e">
        <f>COUNTIFS(Table612917[Prodi],"D3 Sistem Informasi",Table612917[I1.4],X$37)/$W$36</f>
        <v>#DIV/0!</v>
      </c>
      <c r="Y71" s="66" t="e">
        <f>COUNTIFS(Table612917[Prodi],"D3 Sistem Informasi",Table612917[I1.4],Y$37)/$W$36</f>
        <v>#DIV/0!</v>
      </c>
      <c r="Z71" s="66" t="e">
        <f>COUNTIFS(Table612917[Prodi],"D3 Sistem Informasi",Table612917[I1.4],Z$37)/$W$36</f>
        <v>#DIV/0!</v>
      </c>
      <c r="AA71" s="62" t="e">
        <f t="shared" si="6"/>
        <v>#DIV/0!</v>
      </c>
      <c r="AB71"/>
      <c r="AC71"/>
      <c r="AD71"/>
      <c r="AE71"/>
      <c r="AF71"/>
      <c r="AG71"/>
      <c r="AH71"/>
      <c r="AI71"/>
      <c r="AJ71"/>
      <c r="AK71"/>
      <c r="AL71"/>
      <c r="AM71"/>
      <c r="AN71"/>
      <c r="AO71"/>
      <c r="AP71"/>
      <c r="AQ71"/>
      <c r="AR71"/>
    </row>
    <row r="72" spans="1:44" s="118" customFormat="1" ht="16.5" x14ac:dyDescent="0.3">
      <c r="A72" s="57" t="s">
        <v>652</v>
      </c>
      <c r="B72" s="66">
        <f>COUNTIF(Table612917[I1.5],B$37)/$B$36</f>
        <v>0.75</v>
      </c>
      <c r="C72" s="66">
        <f>COUNTIF(Table612917[I1.5],C$37)/$B$36</f>
        <v>0.25</v>
      </c>
      <c r="D72" s="66">
        <f>COUNTIF(Table612917[I1.5],D$37)/$B$36</f>
        <v>0</v>
      </c>
      <c r="E72" s="66">
        <f>COUNTIF(Table612917[I1.5],E$37)/$B$36</f>
        <v>0</v>
      </c>
      <c r="F72" s="62">
        <f t="shared" si="0"/>
        <v>1</v>
      </c>
      <c r="H72" s="57" t="s">
        <v>652</v>
      </c>
      <c r="I72" s="66">
        <f>COUNTIFS(Table612917[Prodi],"S1 Sistem Informasi",Table612917[I1.5],I$37)/$I$36</f>
        <v>1</v>
      </c>
      <c r="J72" s="66">
        <f>COUNTIFS(Table612917[Prodi],"S1 Sistem Informasi",Table612917[I1.5],J$37)/$I$36</f>
        <v>0</v>
      </c>
      <c r="K72" s="66">
        <f>COUNTIFS(Table612917[Prodi],"S1 Sistem Informasi",Table612917[I1.5],K$37)/$I$36</f>
        <v>0</v>
      </c>
      <c r="L72" s="66">
        <f>COUNTIFS(Table612917[Prodi],"S1 Sistem Informasi",Table612917[I1.5],L$37)/$I$36</f>
        <v>0</v>
      </c>
      <c r="M72" s="62">
        <f t="shared" si="4"/>
        <v>1</v>
      </c>
      <c r="N72"/>
      <c r="O72" s="57" t="s">
        <v>652</v>
      </c>
      <c r="P72" s="66">
        <f>COUNTIFS(Table612917[Prodi],"S1 Teknik Komputer",Table612917[I1.5],P$37)/$P$36</f>
        <v>0.5</v>
      </c>
      <c r="Q72" s="66">
        <f>COUNTIFS(Table612917[Prodi],"S1 Teknik Komputer",Table612917[I1.5],Q$37)/$P$36</f>
        <v>0.5</v>
      </c>
      <c r="R72" s="66">
        <f>COUNTIFS(Table612917[Prodi],"S1 Teknik Komputer",Table612917[I1.5],R$37)/$P$36</f>
        <v>0</v>
      </c>
      <c r="S72" s="66">
        <f>COUNTIFS(Table612917[Prodi],"S1 Teknik Komputer",Table612917[I1.5],S$37)/$P$36</f>
        <v>0</v>
      </c>
      <c r="T72" s="62">
        <f t="shared" si="5"/>
        <v>1</v>
      </c>
      <c r="U72"/>
      <c r="V72" s="57" t="s">
        <v>652</v>
      </c>
      <c r="W72" s="66" t="e">
        <f>COUNTIFS(Table612917[Prodi],"D3 Sistem Informasi",Table612917[I1.5],W$37)/$W$36</f>
        <v>#DIV/0!</v>
      </c>
      <c r="X72" s="66" t="e">
        <f>COUNTIFS(Table612917[Prodi],"D3 Sistem Informasi",Table612917[I1.5],X$37)/$W$36</f>
        <v>#DIV/0!</v>
      </c>
      <c r="Y72" s="66" t="e">
        <f>COUNTIFS(Table612917[Prodi],"D3 Sistem Informasi",Table612917[I1.5],Y$37)/$W$36</f>
        <v>#DIV/0!</v>
      </c>
      <c r="Z72" s="66" t="e">
        <f>COUNTIFS(Table612917[Prodi],"D3 Sistem Informasi",Table612917[I1.5],Z$37)/$W$36</f>
        <v>#DIV/0!</v>
      </c>
      <c r="AA72" s="62" t="e">
        <f t="shared" si="6"/>
        <v>#DIV/0!</v>
      </c>
      <c r="AB72"/>
      <c r="AC72"/>
      <c r="AD72"/>
      <c r="AE72"/>
      <c r="AF72"/>
      <c r="AG72"/>
      <c r="AH72"/>
      <c r="AI72"/>
      <c r="AJ72"/>
      <c r="AK72"/>
      <c r="AL72"/>
      <c r="AM72"/>
      <c r="AN72"/>
      <c r="AO72"/>
      <c r="AP72"/>
      <c r="AQ72"/>
      <c r="AR72"/>
    </row>
    <row r="73" spans="1:44" s="118" customFormat="1" ht="16.5" x14ac:dyDescent="0.3">
      <c r="A73" s="60"/>
      <c r="B73" s="61">
        <f>AVERAGE(B69:B72)</f>
        <v>0.625</v>
      </c>
      <c r="C73" s="61">
        <f>AVERAGE(C69:C72)</f>
        <v>0.375</v>
      </c>
      <c r="D73" s="61">
        <f>AVERAGE(D69:D72)</f>
        <v>0</v>
      </c>
      <c r="E73" s="61">
        <f>AVERAGE(E69:E72)</f>
        <v>0</v>
      </c>
      <c r="F73" s="62">
        <f t="shared" si="0"/>
        <v>1</v>
      </c>
      <c r="H73" s="60"/>
      <c r="I73" s="61">
        <f>AVERAGE(I69:I72)</f>
        <v>0.75</v>
      </c>
      <c r="J73" s="61">
        <f>AVERAGE(J69:J72)</f>
        <v>0.25</v>
      </c>
      <c r="K73" s="61">
        <f>AVERAGE(K69:K72)</f>
        <v>0</v>
      </c>
      <c r="L73" s="61">
        <f>AVERAGE(L69:L72)</f>
        <v>0</v>
      </c>
      <c r="M73" s="62">
        <f t="shared" si="4"/>
        <v>1</v>
      </c>
      <c r="N73"/>
      <c r="O73" s="60"/>
      <c r="P73" s="61">
        <f>AVERAGE(P69:P72)</f>
        <v>0.5</v>
      </c>
      <c r="Q73" s="61">
        <f>AVERAGE(Q69:Q72)</f>
        <v>0.5</v>
      </c>
      <c r="R73" s="61">
        <f>AVERAGE(R69:R72)</f>
        <v>0</v>
      </c>
      <c r="S73" s="61">
        <f>AVERAGE(S69:S72)</f>
        <v>0</v>
      </c>
      <c r="T73" s="62">
        <f t="shared" si="5"/>
        <v>1</v>
      </c>
      <c r="U73"/>
      <c r="V73" s="60"/>
      <c r="W73" s="61" t="e">
        <f>AVERAGE(W69:W72)</f>
        <v>#DIV/0!</v>
      </c>
      <c r="X73" s="61" t="e">
        <f>AVERAGE(X69:X72)</f>
        <v>#DIV/0!</v>
      </c>
      <c r="Y73" s="61" t="e">
        <f>AVERAGE(Y69:Y72)</f>
        <v>#DIV/0!</v>
      </c>
      <c r="Z73" s="61" t="e">
        <f>AVERAGE(Z69:Z72)</f>
        <v>#DIV/0!</v>
      </c>
      <c r="AA73" s="62" t="e">
        <f t="shared" si="6"/>
        <v>#DIV/0!</v>
      </c>
      <c r="AB73"/>
      <c r="AC73"/>
      <c r="AD73"/>
      <c r="AE73"/>
      <c r="AF73"/>
      <c r="AG73"/>
      <c r="AH73"/>
      <c r="AI73"/>
      <c r="AJ73"/>
      <c r="AK73"/>
      <c r="AL73"/>
      <c r="AM73"/>
      <c r="AN73"/>
      <c r="AO73"/>
      <c r="AP73"/>
      <c r="AQ73"/>
      <c r="AR73"/>
    </row>
    <row r="74" spans="1:44" s="118" customFormat="1" ht="16.5" x14ac:dyDescent="0.3">
      <c r="A74" s="57" t="s">
        <v>653</v>
      </c>
      <c r="B74" s="66">
        <f>COUNTIF(Table612917[I2.1],B$37)/$B$36</f>
        <v>0</v>
      </c>
      <c r="C74" s="66">
        <f>COUNTIF(Table612917[I2.1],C$37)/$B$36</f>
        <v>1</v>
      </c>
      <c r="D74" s="66">
        <f>COUNTIF(Table612917[I2.1],D$37)/$B$36</f>
        <v>0</v>
      </c>
      <c r="E74" s="66">
        <f>COUNTIF(Table612917[I2.1],E$37)/$B$36</f>
        <v>0</v>
      </c>
      <c r="F74" s="62">
        <f t="shared" si="0"/>
        <v>1</v>
      </c>
      <c r="H74" s="57" t="s">
        <v>653</v>
      </c>
      <c r="I74" s="66">
        <f>COUNTIFS(Table612917[Prodi],"S1 Sistem Informasi",Table612917[I2.1],I$37)/$I$36</f>
        <v>0</v>
      </c>
      <c r="J74" s="66">
        <f>COUNTIFS(Table612917[Prodi],"S1 Sistem Informasi",Table612917[I2.1],J$37)/$I$36</f>
        <v>1</v>
      </c>
      <c r="K74" s="66">
        <f>COUNTIFS(Table612917[Prodi],"S1 Sistem Informasi",Table612917[I2.1],K$37)/$I$36</f>
        <v>0</v>
      </c>
      <c r="L74" s="66">
        <f>COUNTIFS(Table612917[Prodi],"S1 Sistem Informasi",Table612917[I2.1],L$37)/$I$36</f>
        <v>0</v>
      </c>
      <c r="M74" s="62">
        <f t="shared" si="4"/>
        <v>1</v>
      </c>
      <c r="N74"/>
      <c r="O74" s="57" t="s">
        <v>653</v>
      </c>
      <c r="P74" s="66">
        <f>COUNTIFS(Table612917[Prodi],"S1 Teknik Komputer",Table612917[I2.1],P$37)/$P$36</f>
        <v>0</v>
      </c>
      <c r="Q74" s="66">
        <f>COUNTIFS(Table612917[Prodi],"S1 Teknik Komputer",Table612917[I2.1],Q$37)/$P$36</f>
        <v>1</v>
      </c>
      <c r="R74" s="66">
        <f>COUNTIFS(Table612917[Prodi],"S1 Teknik Komputer",Table612917[I2.1],R$37)/$P$36</f>
        <v>0</v>
      </c>
      <c r="S74" s="66">
        <f>COUNTIFS(Table612917[Prodi],"S1 Teknik Komputer",Table612917[I2.1],S$37)/$P$36</f>
        <v>0</v>
      </c>
      <c r="T74" s="62">
        <f t="shared" si="5"/>
        <v>1</v>
      </c>
      <c r="U74"/>
      <c r="V74" s="57" t="s">
        <v>653</v>
      </c>
      <c r="W74" s="66" t="e">
        <f>COUNTIFS(Table612917[Prodi],"D3 Sistem Informasi",Table612917[I2.1],W$37)/$W$36</f>
        <v>#DIV/0!</v>
      </c>
      <c r="X74" s="66" t="e">
        <f>COUNTIFS(Table612917[Prodi],"D3 Sistem Informasi",Table612917[I2.1],X$37)/$W$36</f>
        <v>#DIV/0!</v>
      </c>
      <c r="Y74" s="66" t="e">
        <f>COUNTIFS(Table612917[Prodi],"D3 Sistem Informasi",Table612917[I2.1],Y$37)/$W$36</f>
        <v>#DIV/0!</v>
      </c>
      <c r="Z74" s="66" t="e">
        <f>COUNTIFS(Table612917[Prodi],"D3 Sistem Informasi",Table612917[I2.1],Z$37)/$W$36</f>
        <v>#DIV/0!</v>
      </c>
      <c r="AA74" s="62" t="e">
        <f t="shared" si="6"/>
        <v>#DIV/0!</v>
      </c>
      <c r="AB74"/>
      <c r="AC74"/>
      <c r="AD74"/>
      <c r="AE74"/>
      <c r="AF74"/>
      <c r="AG74"/>
      <c r="AH74"/>
      <c r="AI74"/>
      <c r="AJ74"/>
      <c r="AK74"/>
      <c r="AL74"/>
      <c r="AM74"/>
      <c r="AN74"/>
      <c r="AO74"/>
      <c r="AP74"/>
      <c r="AQ74"/>
      <c r="AR74"/>
    </row>
    <row r="75" spans="1:44" s="118" customFormat="1" ht="16.5" x14ac:dyDescent="0.3">
      <c r="A75" s="57" t="s">
        <v>654</v>
      </c>
      <c r="B75" s="66">
        <f>COUNTIF(Table612917[I2.2],B$37)/$B$36</f>
        <v>0.25</v>
      </c>
      <c r="C75" s="66">
        <f>COUNTIF(Table612917[I2.2],C$37)/$B$36</f>
        <v>0.75</v>
      </c>
      <c r="D75" s="66">
        <f>COUNTIF(Table612917[I2.2],D$37)/$B$36</f>
        <v>0</v>
      </c>
      <c r="E75" s="66">
        <f>COUNTIF(Table612917[I2.2],E$37)/$B$36</f>
        <v>0</v>
      </c>
      <c r="F75" s="62">
        <f t="shared" si="0"/>
        <v>1</v>
      </c>
      <c r="H75" s="57" t="s">
        <v>654</v>
      </c>
      <c r="I75" s="66">
        <f>COUNTIFS(Table612917[Prodi],"S1 Sistem Informasi",Table612917[I2.2],I$37)/$I$36</f>
        <v>0</v>
      </c>
      <c r="J75" s="66">
        <f>COUNTIFS(Table612917[Prodi],"S1 Sistem Informasi",Table612917[I2.2],J$37)/$I$36</f>
        <v>1</v>
      </c>
      <c r="K75" s="66">
        <f>COUNTIFS(Table612917[Prodi],"S1 Sistem Informasi",Table612917[I2.2],K$37)/$I$36</f>
        <v>0</v>
      </c>
      <c r="L75" s="66">
        <f>COUNTIFS(Table612917[Prodi],"S1 Sistem Informasi",Table612917[I2.2],L$37)/$I$36</f>
        <v>0</v>
      </c>
      <c r="M75" s="62">
        <f t="shared" si="4"/>
        <v>1</v>
      </c>
      <c r="N75"/>
      <c r="O75" s="57" t="s">
        <v>654</v>
      </c>
      <c r="P75" s="66">
        <f>COUNTIFS(Table612917[Prodi],"S1 Teknik Komputer",Table612917[I2.2],P$37)/$P$36</f>
        <v>0.5</v>
      </c>
      <c r="Q75" s="66">
        <f>COUNTIFS(Table612917[Prodi],"S1 Teknik Komputer",Table612917[I2.2],Q$37)/$P$36</f>
        <v>0.5</v>
      </c>
      <c r="R75" s="66">
        <f>COUNTIFS(Table612917[Prodi],"S1 Teknik Komputer",Table612917[I2.2],R$37)/$P$36</f>
        <v>0</v>
      </c>
      <c r="S75" s="66">
        <f>COUNTIFS(Table612917[Prodi],"S1 Teknik Komputer",Table612917[I2.2],S$37)/$P$36</f>
        <v>0</v>
      </c>
      <c r="T75" s="62">
        <f t="shared" si="5"/>
        <v>1</v>
      </c>
      <c r="U75"/>
      <c r="V75" s="57" t="s">
        <v>654</v>
      </c>
      <c r="W75" s="66" t="e">
        <f>COUNTIFS(Table612917[Prodi],"D3 Sistem Informasi",Table612917[I2.2],W$37)/$W$36</f>
        <v>#DIV/0!</v>
      </c>
      <c r="X75" s="66" t="e">
        <f>COUNTIFS(Table612917[Prodi],"D3 Sistem Informasi",Table612917[I2.2],X$37)/$W$36</f>
        <v>#DIV/0!</v>
      </c>
      <c r="Y75" s="66" t="e">
        <f>COUNTIFS(Table612917[Prodi],"D3 Sistem Informasi",Table612917[I2.2],Y$37)/$W$36</f>
        <v>#DIV/0!</v>
      </c>
      <c r="Z75" s="66" t="e">
        <f>COUNTIFS(Table612917[Prodi],"D3 Sistem Informasi",Table612917[I2.2],Z$37)/$W$36</f>
        <v>#DIV/0!</v>
      </c>
      <c r="AA75" s="62" t="e">
        <f t="shared" si="6"/>
        <v>#DIV/0!</v>
      </c>
      <c r="AB75"/>
      <c r="AC75"/>
      <c r="AD75"/>
      <c r="AE75"/>
      <c r="AF75"/>
      <c r="AG75"/>
      <c r="AH75"/>
      <c r="AI75"/>
      <c r="AJ75"/>
      <c r="AK75"/>
      <c r="AL75"/>
      <c r="AM75"/>
      <c r="AN75"/>
      <c r="AO75"/>
      <c r="AP75"/>
      <c r="AQ75"/>
      <c r="AR75"/>
    </row>
    <row r="76" spans="1:44" s="118" customFormat="1" ht="16.5" x14ac:dyDescent="0.3">
      <c r="A76" s="57" t="s">
        <v>655</v>
      </c>
      <c r="B76" s="66">
        <f>COUNTIF(Table612917[I2.3],B$37)/$B$36</f>
        <v>0.25</v>
      </c>
      <c r="C76" s="66">
        <f>COUNTIF(Table612917[I2.3],C$37)/$B$36</f>
        <v>0.75</v>
      </c>
      <c r="D76" s="66">
        <f>COUNTIF(Table612917[I2.3],D$37)/$B$36</f>
        <v>0</v>
      </c>
      <c r="E76" s="66">
        <f>COUNTIF(Table612917[I2.3],E$37)/$B$36</f>
        <v>0</v>
      </c>
      <c r="F76" s="62">
        <f t="shared" si="0"/>
        <v>1</v>
      </c>
      <c r="H76" s="57" t="s">
        <v>655</v>
      </c>
      <c r="I76" s="66">
        <f>COUNTIFS(Table612917[Prodi],"S1 Sistem Informasi",Table612917[I2.3],I$37)/$I$36</f>
        <v>0</v>
      </c>
      <c r="J76" s="66">
        <f>COUNTIFS(Table612917[Prodi],"S1 Sistem Informasi",Table612917[I2.3],J$37)/$I$36</f>
        <v>1</v>
      </c>
      <c r="K76" s="66">
        <f>COUNTIFS(Table612917[Prodi],"S1 Sistem Informasi",Table612917[I2.3],K$37)/$I$36</f>
        <v>0</v>
      </c>
      <c r="L76" s="66">
        <f>COUNTIFS(Table612917[Prodi],"S1 Sistem Informasi",Table612917[I2.3],L$37)/$I$36</f>
        <v>0</v>
      </c>
      <c r="M76" s="62">
        <f t="shared" si="4"/>
        <v>1</v>
      </c>
      <c r="N76"/>
      <c r="O76" s="57" t="s">
        <v>655</v>
      </c>
      <c r="P76" s="66">
        <f>COUNTIFS(Table612917[Prodi],"S1 Teknik Komputer",Table612917[I2.3],P$37)/$P$36</f>
        <v>0.5</v>
      </c>
      <c r="Q76" s="66">
        <f>COUNTIFS(Table612917[Prodi],"S1 Teknik Komputer",Table612917[I2.3],Q$37)/$P$36</f>
        <v>0.5</v>
      </c>
      <c r="R76" s="66">
        <f>COUNTIFS(Table612917[Prodi],"S1 Teknik Komputer",Table612917[I2.3],R$37)/$P$36</f>
        <v>0</v>
      </c>
      <c r="S76" s="66">
        <f>COUNTIFS(Table612917[Prodi],"S1 Teknik Komputer",Table612917[I2.3],S$37)/$P$36</f>
        <v>0</v>
      </c>
      <c r="T76" s="62">
        <f t="shared" si="5"/>
        <v>1</v>
      </c>
      <c r="U76"/>
      <c r="V76" s="57" t="s">
        <v>655</v>
      </c>
      <c r="W76" s="66" t="e">
        <f>COUNTIFS(Table612917[Prodi],"D3 Sistem Informasi",Table612917[I2.3],W$37)/$W$36</f>
        <v>#DIV/0!</v>
      </c>
      <c r="X76" s="66" t="e">
        <f>COUNTIFS(Table612917[Prodi],"D3 Sistem Informasi",Table612917[I2.3],X$37)/$W$36</f>
        <v>#DIV/0!</v>
      </c>
      <c r="Y76" s="66" t="e">
        <f>COUNTIFS(Table612917[Prodi],"D3 Sistem Informasi",Table612917[I2.3],Y$37)/$W$36</f>
        <v>#DIV/0!</v>
      </c>
      <c r="Z76" s="66" t="e">
        <f>COUNTIFS(Table612917[Prodi],"D3 Sistem Informasi",Table612917[I2.3],Z$37)/$W$36</f>
        <v>#DIV/0!</v>
      </c>
      <c r="AA76" s="62" t="e">
        <f t="shared" si="6"/>
        <v>#DIV/0!</v>
      </c>
      <c r="AB76"/>
      <c r="AC76"/>
      <c r="AD76"/>
      <c r="AE76"/>
      <c r="AF76"/>
      <c r="AG76"/>
      <c r="AH76"/>
      <c r="AI76"/>
      <c r="AJ76"/>
      <c r="AK76"/>
      <c r="AL76"/>
      <c r="AM76"/>
      <c r="AN76"/>
      <c r="AO76"/>
      <c r="AP76"/>
      <c r="AQ76"/>
      <c r="AR76"/>
    </row>
    <row r="77" spans="1:44" s="118" customFormat="1" ht="16.5" x14ac:dyDescent="0.3">
      <c r="A77" s="57" t="s">
        <v>656</v>
      </c>
      <c r="B77" s="66">
        <f>COUNTIF(Table612917[I2.4],B$37)/$B$36</f>
        <v>0.75</v>
      </c>
      <c r="C77" s="66">
        <f>COUNTIF(Table612917[I2.4],C$37)/$B$36</f>
        <v>0.25</v>
      </c>
      <c r="D77" s="66">
        <f>COUNTIF(Table612917[I2.4],D$37)/$B$36</f>
        <v>0</v>
      </c>
      <c r="E77" s="66">
        <f>COUNTIF(Table612917[I2.4],E$37)/$B$36</f>
        <v>0</v>
      </c>
      <c r="F77" s="62">
        <f t="shared" si="0"/>
        <v>1</v>
      </c>
      <c r="H77" s="57" t="s">
        <v>656</v>
      </c>
      <c r="I77" s="66">
        <f>COUNTIFS(Table612917[Prodi],"S1 Sistem Informasi",Table612917[I2.4],I$37)/$I$36</f>
        <v>1</v>
      </c>
      <c r="J77" s="66">
        <f>COUNTIFS(Table612917[Prodi],"S1 Sistem Informasi",Table612917[I2.4],J$37)/$I$36</f>
        <v>0</v>
      </c>
      <c r="K77" s="66">
        <f>COUNTIFS(Table612917[Prodi],"S1 Sistem Informasi",Table612917[I2.4],K$37)/$I$36</f>
        <v>0</v>
      </c>
      <c r="L77" s="66">
        <f>COUNTIFS(Table612917[Prodi],"S1 Sistem Informasi",Table612917[I2.4],L$37)/$I$36</f>
        <v>0</v>
      </c>
      <c r="M77" s="62">
        <f t="shared" si="4"/>
        <v>1</v>
      </c>
      <c r="N77"/>
      <c r="O77" s="57" t="s">
        <v>656</v>
      </c>
      <c r="P77" s="66">
        <f>COUNTIFS(Table612917[Prodi],"S1 Teknik Komputer",Table612917[I2.4],P$37)/$P$36</f>
        <v>0.5</v>
      </c>
      <c r="Q77" s="66">
        <f>COUNTIFS(Table612917[Prodi],"S1 Teknik Komputer",Table612917[I2.4],Q$37)/$P$36</f>
        <v>0.5</v>
      </c>
      <c r="R77" s="66">
        <f>COUNTIFS(Table612917[Prodi],"S1 Teknik Komputer",Table612917[I2.4],R$37)/$P$36</f>
        <v>0</v>
      </c>
      <c r="S77" s="66">
        <f>COUNTIFS(Table612917[Prodi],"S1 Teknik Komputer",Table612917[I2.4],S$37)/$P$36</f>
        <v>0</v>
      </c>
      <c r="T77" s="62">
        <f t="shared" si="5"/>
        <v>1</v>
      </c>
      <c r="U77"/>
      <c r="V77" s="57" t="s">
        <v>656</v>
      </c>
      <c r="W77" s="66" t="e">
        <f>COUNTIFS(Table612917[Prodi],"D3 Sistem Informasi",Table612917[I2.4],W$37)/$W$36</f>
        <v>#DIV/0!</v>
      </c>
      <c r="X77" s="66" t="e">
        <f>COUNTIFS(Table612917[Prodi],"D3 Sistem Informasi",Table612917[I2.4],X$37)/$W$36</f>
        <v>#DIV/0!</v>
      </c>
      <c r="Y77" s="66" t="e">
        <f>COUNTIFS(Table612917[Prodi],"D3 Sistem Informasi",Table612917[I2.4],Y$37)/$W$36</f>
        <v>#DIV/0!</v>
      </c>
      <c r="Z77" s="66" t="e">
        <f>COUNTIFS(Table612917[Prodi],"D3 Sistem Informasi",Table612917[I2.4],Z$37)/$W$36</f>
        <v>#DIV/0!</v>
      </c>
      <c r="AA77" s="62" t="e">
        <f t="shared" si="6"/>
        <v>#DIV/0!</v>
      </c>
      <c r="AB77"/>
      <c r="AC77"/>
      <c r="AD77"/>
      <c r="AE77"/>
      <c r="AF77"/>
      <c r="AG77"/>
      <c r="AH77"/>
      <c r="AI77"/>
      <c r="AJ77"/>
      <c r="AK77"/>
      <c r="AL77"/>
      <c r="AM77"/>
      <c r="AN77"/>
      <c r="AO77"/>
      <c r="AP77"/>
      <c r="AQ77"/>
      <c r="AR77"/>
    </row>
    <row r="78" spans="1:44" s="118" customFormat="1" ht="17.25" thickBot="1" x14ac:dyDescent="0.35">
      <c r="A78" s="67"/>
      <c r="B78" s="61">
        <f>AVERAGE(B74:B77)</f>
        <v>0.3125</v>
      </c>
      <c r="C78" s="61">
        <f>AVERAGE(C74:C77)</f>
        <v>0.6875</v>
      </c>
      <c r="D78" s="61">
        <f>AVERAGE(D74:D77)</f>
        <v>0</v>
      </c>
      <c r="E78" s="61">
        <f>AVERAGE(E74:E77)</f>
        <v>0</v>
      </c>
      <c r="F78" s="62">
        <f t="shared" si="0"/>
        <v>1</v>
      </c>
      <c r="H78" s="67"/>
      <c r="I78" s="61">
        <f>AVERAGE(I74:I77)</f>
        <v>0.25</v>
      </c>
      <c r="J78" s="61">
        <f>AVERAGE(J74:J77)</f>
        <v>0.75</v>
      </c>
      <c r="K78" s="61">
        <f>AVERAGE(K74:K77)</f>
        <v>0</v>
      </c>
      <c r="L78" s="61">
        <f>AVERAGE(L74:L77)</f>
        <v>0</v>
      </c>
      <c r="M78" s="62">
        <f t="shared" si="4"/>
        <v>1</v>
      </c>
      <c r="N78"/>
      <c r="O78" s="67"/>
      <c r="P78" s="61">
        <f>AVERAGE(P74:P77)</f>
        <v>0.375</v>
      </c>
      <c r="Q78" s="61">
        <f>AVERAGE(Q74:Q77)</f>
        <v>0.625</v>
      </c>
      <c r="R78" s="61">
        <f>AVERAGE(R74:R77)</f>
        <v>0</v>
      </c>
      <c r="S78" s="61">
        <f>AVERAGE(S74:S77)</f>
        <v>0</v>
      </c>
      <c r="T78" s="62">
        <f t="shared" si="5"/>
        <v>1</v>
      </c>
      <c r="U78"/>
      <c r="V78" s="67"/>
      <c r="W78" s="61" t="e">
        <f>AVERAGE(W74:W77)</f>
        <v>#DIV/0!</v>
      </c>
      <c r="X78" s="61" t="e">
        <f>AVERAGE(X74:X77)</f>
        <v>#DIV/0!</v>
      </c>
      <c r="Y78" s="61" t="e">
        <f>AVERAGE(Y74:Y77)</f>
        <v>#DIV/0!</v>
      </c>
      <c r="Z78" s="61" t="e">
        <f>AVERAGE(Z74:Z77)</f>
        <v>#DIV/0!</v>
      </c>
      <c r="AA78" s="62" t="e">
        <f t="shared" si="6"/>
        <v>#DIV/0!</v>
      </c>
      <c r="AB78"/>
      <c r="AC78"/>
      <c r="AD78"/>
      <c r="AE78"/>
      <c r="AF78"/>
      <c r="AG78"/>
      <c r="AH78"/>
      <c r="AI78"/>
      <c r="AJ78"/>
      <c r="AK78"/>
      <c r="AL78"/>
      <c r="AM78"/>
      <c r="AN78"/>
      <c r="AO78"/>
      <c r="AP78"/>
      <c r="AQ78"/>
      <c r="AR78"/>
    </row>
    <row r="79" spans="1:44" ht="15.75" thickBot="1" x14ac:dyDescent="0.3"/>
    <row r="80" spans="1:44" s="118" customFormat="1" ht="17.25" thickBot="1" x14ac:dyDescent="0.3">
      <c r="A80" s="64" t="s">
        <v>14</v>
      </c>
      <c r="B80" s="65" t="s">
        <v>1161</v>
      </c>
      <c r="C80"/>
      <c r="H80" s="64" t="s">
        <v>14</v>
      </c>
      <c r="I80" s="65" t="s">
        <v>142</v>
      </c>
      <c r="J80"/>
      <c r="O80" s="64" t="s">
        <v>14</v>
      </c>
      <c r="P80" s="65" t="s">
        <v>1195</v>
      </c>
      <c r="Q80"/>
      <c r="U80"/>
      <c r="V80" s="64" t="s">
        <v>14</v>
      </c>
      <c r="W80" s="65" t="s">
        <v>127</v>
      </c>
      <c r="X80"/>
      <c r="AB80"/>
      <c r="AC80"/>
      <c r="AD80"/>
      <c r="AE80"/>
      <c r="AF80"/>
      <c r="AG80"/>
      <c r="AH80"/>
      <c r="AI80"/>
      <c r="AJ80"/>
      <c r="AK80"/>
      <c r="AL80"/>
      <c r="AM80"/>
      <c r="AN80"/>
      <c r="AO80"/>
      <c r="AP80"/>
      <c r="AQ80"/>
      <c r="AR80"/>
    </row>
    <row r="81" spans="1:44" s="118" customFormat="1" ht="17.25" thickBot="1" x14ac:dyDescent="0.3">
      <c r="A81" s="64" t="s">
        <v>647</v>
      </c>
      <c r="B81" s="65">
        <v>2024</v>
      </c>
      <c r="C81"/>
      <c r="H81" s="64" t="s">
        <v>647</v>
      </c>
      <c r="I81" s="65">
        <v>2024</v>
      </c>
      <c r="J81"/>
      <c r="O81" s="64" t="s">
        <v>647</v>
      </c>
      <c r="P81" s="65">
        <v>2024</v>
      </c>
      <c r="Q81"/>
      <c r="U81"/>
      <c r="V81" s="64" t="s">
        <v>647</v>
      </c>
      <c r="W81" s="65">
        <v>2024</v>
      </c>
      <c r="X81"/>
      <c r="AB81"/>
      <c r="AC81"/>
      <c r="AD81"/>
      <c r="AE81"/>
      <c r="AF81"/>
      <c r="AG81"/>
      <c r="AH81"/>
      <c r="AI81"/>
      <c r="AJ81"/>
      <c r="AK81"/>
      <c r="AL81"/>
      <c r="AM81"/>
      <c r="AN81"/>
      <c r="AO81"/>
      <c r="AP81"/>
      <c r="AQ81"/>
      <c r="AR81"/>
    </row>
    <row r="82" spans="1:44" s="118" customFormat="1" ht="17.25" thickBot="1" x14ac:dyDescent="0.3">
      <c r="A82" s="64" t="s">
        <v>646</v>
      </c>
      <c r="B82" s="65">
        <f>COUNTIF(Table9131518[Prodi],"S1 Desain Komunikasi Visual") + COUNTIF(Table9131518[Prodi],"S1 Desain Produk") + COUNTIF(Table9131518[Prodi],"D4 Produksi Film dan Televisi")</f>
        <v>4</v>
      </c>
      <c r="C82"/>
      <c r="H82" s="64" t="s">
        <v>646</v>
      </c>
      <c r="I82" s="65">
        <f>COUNTIF(Table9131518[Prodi],"S1 Desain Komunikasi Visual")</f>
        <v>3</v>
      </c>
      <c r="J82"/>
      <c r="O82" s="64" t="s">
        <v>646</v>
      </c>
      <c r="P82" s="65">
        <f>COUNTIF(Table9131518[Prodi],P80)</f>
        <v>0</v>
      </c>
      <c r="Q82"/>
      <c r="U82"/>
      <c r="V82" s="64" t="s">
        <v>646</v>
      </c>
      <c r="W82" s="65">
        <f>COUNTIF(Table9131518[Prodi],W80)</f>
        <v>1</v>
      </c>
      <c r="X82"/>
      <c r="AB82"/>
      <c r="AC82"/>
      <c r="AD82"/>
      <c r="AE82"/>
      <c r="AF82"/>
      <c r="AG82"/>
      <c r="AH82"/>
      <c r="AI82"/>
      <c r="AJ82"/>
      <c r="AK82"/>
      <c r="AL82"/>
      <c r="AM82"/>
      <c r="AN82"/>
      <c r="AO82"/>
      <c r="AP82"/>
      <c r="AQ82"/>
      <c r="AR82"/>
    </row>
    <row r="83" spans="1:44" s="118" customFormat="1" ht="16.5" x14ac:dyDescent="0.3">
      <c r="A83" s="166"/>
      <c r="B83" s="56" t="s">
        <v>1205</v>
      </c>
      <c r="C83" s="56" t="s">
        <v>1206</v>
      </c>
      <c r="D83" s="56" t="s">
        <v>1229</v>
      </c>
      <c r="E83" s="56" t="s">
        <v>1436</v>
      </c>
      <c r="F83" s="167"/>
      <c r="H83" s="166"/>
      <c r="I83" s="56" t="s">
        <v>1205</v>
      </c>
      <c r="J83" s="56" t="s">
        <v>1206</v>
      </c>
      <c r="K83" s="56" t="s">
        <v>1229</v>
      </c>
      <c r="L83" s="56" t="s">
        <v>1436</v>
      </c>
      <c r="M83" s="167"/>
      <c r="O83" s="166"/>
      <c r="P83" s="56" t="s">
        <v>1205</v>
      </c>
      <c r="Q83" s="56" t="s">
        <v>1206</v>
      </c>
      <c r="R83" s="56" t="s">
        <v>1229</v>
      </c>
      <c r="S83" s="56" t="s">
        <v>1436</v>
      </c>
      <c r="T83" s="167"/>
      <c r="U83"/>
      <c r="V83" s="166"/>
      <c r="W83" s="56" t="s">
        <v>1205</v>
      </c>
      <c r="X83" s="56" t="s">
        <v>1206</v>
      </c>
      <c r="Y83" s="56" t="s">
        <v>1229</v>
      </c>
      <c r="Z83" s="56" t="s">
        <v>1436</v>
      </c>
      <c r="AA83" s="167"/>
      <c r="AB83"/>
      <c r="AC83"/>
      <c r="AD83"/>
      <c r="AE83"/>
      <c r="AF83"/>
      <c r="AG83"/>
      <c r="AH83"/>
      <c r="AI83"/>
      <c r="AJ83"/>
      <c r="AK83"/>
      <c r="AL83"/>
      <c r="AM83"/>
      <c r="AN83"/>
      <c r="AO83"/>
      <c r="AP83"/>
      <c r="AQ83"/>
      <c r="AR83"/>
    </row>
    <row r="84" spans="1:44" s="118" customFormat="1" ht="16.5" x14ac:dyDescent="0.3">
      <c r="A84" s="168" t="s">
        <v>26</v>
      </c>
      <c r="B84" s="169">
        <f>COUNTIF(Table9131518[B1],B$83)/$B$82</f>
        <v>0.75</v>
      </c>
      <c r="C84" s="169">
        <f>COUNTIF(Table9131518[B1],C$83)/$B$82</f>
        <v>0.25</v>
      </c>
      <c r="D84" s="169">
        <f>COUNTIF(Table9131518[B1],D$83)/$B$82</f>
        <v>0</v>
      </c>
      <c r="E84" s="169">
        <f>COUNTIF(Table9131518[B1],E$83)/$B$82</f>
        <v>0</v>
      </c>
      <c r="F84" s="62">
        <f>SUM(B84:E84)</f>
        <v>1</v>
      </c>
      <c r="H84" s="168" t="s">
        <v>26</v>
      </c>
      <c r="I84" s="169">
        <f>COUNTIFS(Table9131518[Prodi],"S1 Desain Komunikasi Visual",Table9131518[B1],I$83)/$I$82</f>
        <v>0.66666666666666663</v>
      </c>
      <c r="J84" s="169">
        <f>COUNTIFS(Table9131518[Prodi],"S1 Desain Komunikasi Visual",Table9131518[B1],J$83)/$I$82</f>
        <v>0.33333333333333331</v>
      </c>
      <c r="K84" s="169">
        <f>COUNTIFS(Table9131518[Prodi],"S1 Desain Komunikasi Visual",Table9131518[B1],K$83)/$I$82</f>
        <v>0</v>
      </c>
      <c r="L84" s="169">
        <f>COUNTIFS(Table9131518[Prodi],"S1 Desain Komunikasi Visual",Table9131518[B1],L$83)/$I$82</f>
        <v>0</v>
      </c>
      <c r="M84" s="62">
        <f>SUM(I84:L84)</f>
        <v>1</v>
      </c>
      <c r="O84" s="168" t="s">
        <v>26</v>
      </c>
      <c r="P84" s="169" t="e">
        <f>COUNTIFS(Table9131518[Prodi],$P$80,Table9131518[B1],P$83)/$P$82</f>
        <v>#DIV/0!</v>
      </c>
      <c r="Q84" s="169" t="e">
        <f>COUNTIFS(Table9131518[Prodi],$P$80,Table9131518[B1],Q$83)/$P$82</f>
        <v>#DIV/0!</v>
      </c>
      <c r="R84" s="169" t="e">
        <f>COUNTIFS(Table9131518[Prodi],$P$80,Table9131518[B1],R$83)/$P$82</f>
        <v>#DIV/0!</v>
      </c>
      <c r="S84" s="169" t="e">
        <f>COUNTIFS(Table9131518[Prodi],$P$80,Table9131518[B1],S$83)/$P$82</f>
        <v>#DIV/0!</v>
      </c>
      <c r="T84" s="62" t="e">
        <f>SUM(P84:S84)</f>
        <v>#DIV/0!</v>
      </c>
      <c r="U84"/>
      <c r="V84" s="168" t="s">
        <v>26</v>
      </c>
      <c r="W84" s="169">
        <f>COUNTIFS(Table9131518[Prodi],$W$80,Table9131518[B1],W$83)/$W$82</f>
        <v>1</v>
      </c>
      <c r="X84" s="169">
        <f>COUNTIFS(Table9131518[Prodi],$W$80,Table9131518[B1],X$83)/$W$82</f>
        <v>0</v>
      </c>
      <c r="Y84" s="169">
        <f>COUNTIFS(Table9131518[Prodi],$W$80,Table9131518[B1],Y$83)/$W$82</f>
        <v>0</v>
      </c>
      <c r="Z84" s="169">
        <f>COUNTIFS(Table9131518[Prodi],$W$80,Table9131518[B1],Z$83)/$W$82</f>
        <v>0</v>
      </c>
      <c r="AA84" s="62">
        <f>SUM(W84:Z84)</f>
        <v>1</v>
      </c>
      <c r="AB84"/>
      <c r="AC84"/>
      <c r="AD84"/>
      <c r="AE84"/>
      <c r="AF84"/>
      <c r="AG84"/>
      <c r="AH84"/>
      <c r="AI84"/>
      <c r="AJ84"/>
      <c r="AK84"/>
      <c r="AL84"/>
      <c r="AM84"/>
      <c r="AN84"/>
      <c r="AO84"/>
      <c r="AP84"/>
      <c r="AQ84"/>
      <c r="AR84"/>
    </row>
    <row r="85" spans="1:44" s="118" customFormat="1" ht="16.5" x14ac:dyDescent="0.3">
      <c r="A85" s="168" t="s">
        <v>27</v>
      </c>
      <c r="B85" s="169">
        <f>COUNTIF(Table9131518[B2],B$83)/$B$82</f>
        <v>0.5</v>
      </c>
      <c r="C85" s="169">
        <f>COUNTIF(Table9131518[B2],C$83)/$B$82</f>
        <v>0.5</v>
      </c>
      <c r="D85" s="169">
        <f>COUNTIF(Table9131518[B2],D$83)/$B$82</f>
        <v>0</v>
      </c>
      <c r="E85" s="169">
        <f>COUNTIF(Table9131518[B2],E$83)/$B$82</f>
        <v>0</v>
      </c>
      <c r="F85" s="62">
        <f t="shared" ref="F85:F123" si="7">SUM(B85:E85)</f>
        <v>1</v>
      </c>
      <c r="H85" s="168" t="s">
        <v>27</v>
      </c>
      <c r="I85" s="169">
        <f>COUNTIFS(Table9131518[Prodi],"S1 Desain Komunikasi Visual",Table9131518[B2],I$83)/$I$82</f>
        <v>0.33333333333333331</v>
      </c>
      <c r="J85" s="169">
        <f>COUNTIFS(Table9131518[Prodi],"S1 Desain Komunikasi Visual",Table9131518[B2],J$83)/$I$82</f>
        <v>0.66666666666666663</v>
      </c>
      <c r="K85" s="169">
        <f>COUNTIFS(Table9131518[Prodi],"S1 Desain Komunikasi Visual",Table9131518[B2],K$83)/$I$82</f>
        <v>0</v>
      </c>
      <c r="L85" s="169">
        <f>COUNTIFS(Table9131518[Prodi],"S1 Desain Komunikasi Visual",Table9131518[B2],L$83)/$I$82</f>
        <v>0</v>
      </c>
      <c r="M85" s="62">
        <f t="shared" ref="M85:M102" si="8">SUM(I85:L85)</f>
        <v>1</v>
      </c>
      <c r="O85" s="168" t="s">
        <v>27</v>
      </c>
      <c r="P85" s="169" t="e">
        <f>COUNTIFS(Table9131518[Prodi],$P$80,Table9131518[B2],P$83)/$P$82</f>
        <v>#DIV/0!</v>
      </c>
      <c r="Q85" s="169" t="e">
        <f>COUNTIFS(Table9131518[Prodi],$P$80,Table9131518[B2],Q$83)/$P$82</f>
        <v>#DIV/0!</v>
      </c>
      <c r="R85" s="169" t="e">
        <f>COUNTIFS(Table9131518[Prodi],$P$80,Table9131518[B2],R$83)/$P$82</f>
        <v>#DIV/0!</v>
      </c>
      <c r="S85" s="169" t="e">
        <f>COUNTIFS(Table9131518[Prodi],$P$80,Table9131518[B2],S$83)/$P$82</f>
        <v>#DIV/0!</v>
      </c>
      <c r="T85" s="62" t="e">
        <f t="shared" ref="T85:T102" si="9">SUM(P85:S85)</f>
        <v>#DIV/0!</v>
      </c>
      <c r="U85"/>
      <c r="V85" s="168" t="s">
        <v>27</v>
      </c>
      <c r="W85" s="169">
        <f>COUNTIFS(Table9131518[Prodi],$W$80,Table9131518[B2],W$83)/$W$82</f>
        <v>1</v>
      </c>
      <c r="X85" s="169">
        <f>COUNTIFS(Table9131518[Prodi],$W$80,Table9131518[B2],X$83)/$W$82</f>
        <v>0</v>
      </c>
      <c r="Y85" s="169">
        <f>COUNTIFS(Table9131518[Prodi],$W$80,Table9131518[B2],Y$83)/$W$82</f>
        <v>0</v>
      </c>
      <c r="Z85" s="169">
        <f>COUNTIFS(Table9131518[Prodi],$W$80,Table9131518[B2],Z$83)/$W$82</f>
        <v>0</v>
      </c>
      <c r="AA85" s="62">
        <f t="shared" ref="AA85:AA102" si="10">SUM(W85:Z85)</f>
        <v>1</v>
      </c>
      <c r="AB85"/>
      <c r="AC85"/>
      <c r="AD85"/>
      <c r="AE85"/>
      <c r="AF85"/>
      <c r="AG85"/>
      <c r="AH85"/>
      <c r="AI85"/>
      <c r="AJ85"/>
      <c r="AK85"/>
      <c r="AL85"/>
      <c r="AM85"/>
      <c r="AN85"/>
      <c r="AO85"/>
      <c r="AP85"/>
      <c r="AQ85"/>
      <c r="AR85"/>
    </row>
    <row r="86" spans="1:44" s="118" customFormat="1" ht="16.5" x14ac:dyDescent="0.3">
      <c r="A86" s="168" t="s">
        <v>28</v>
      </c>
      <c r="B86" s="169">
        <f>COUNTIF(Table9131518[B3],B$83)/$B$82</f>
        <v>0.5</v>
      </c>
      <c r="C86" s="169">
        <f>COUNTIF(Table9131518[B3],C$83)/$B$82</f>
        <v>0.5</v>
      </c>
      <c r="D86" s="169">
        <f>COUNTIF(Table9131518[B3],D$83)/$B$82</f>
        <v>0</v>
      </c>
      <c r="E86" s="169">
        <f>COUNTIF(Table9131518[B3],E$83)/$B$82</f>
        <v>0</v>
      </c>
      <c r="F86" s="62">
        <f t="shared" si="7"/>
        <v>1</v>
      </c>
      <c r="H86" s="168" t="s">
        <v>28</v>
      </c>
      <c r="I86" s="169">
        <f>COUNTIFS(Table9131518[Prodi],"S1 Desain Komunikasi Visual",Table9131518[B3],I$83)/$I$82</f>
        <v>0.66666666666666663</v>
      </c>
      <c r="J86" s="169">
        <f>COUNTIFS(Table9131518[Prodi],"S1 Desain Komunikasi Visual",Table9131518[B3],J$83)/$I$82</f>
        <v>0.33333333333333331</v>
      </c>
      <c r="K86" s="169">
        <f>COUNTIFS(Table9131518[Prodi],"S1 Desain Komunikasi Visual",Table9131518[B3],K$83)/$I$82</f>
        <v>0</v>
      </c>
      <c r="L86" s="169">
        <f>COUNTIFS(Table9131518[Prodi],"S1 Desain Komunikasi Visual",Table9131518[B3],L$83)/$I$82</f>
        <v>0</v>
      </c>
      <c r="M86" s="62">
        <f t="shared" si="8"/>
        <v>1</v>
      </c>
      <c r="O86" s="168" t="s">
        <v>28</v>
      </c>
      <c r="P86" s="169" t="e">
        <f>COUNTIFS(Table9131518[Prodi],$P$80,Table9131518[B3],P$83)/$P$82</f>
        <v>#DIV/0!</v>
      </c>
      <c r="Q86" s="169" t="e">
        <f>COUNTIFS(Table9131518[Prodi],$P$80,Table9131518[B3],Q$83)/$P$82</f>
        <v>#DIV/0!</v>
      </c>
      <c r="R86" s="169" t="e">
        <f>COUNTIFS(Table9131518[Prodi],$P$80,Table9131518[B3],R$83)/$P$82</f>
        <v>#DIV/0!</v>
      </c>
      <c r="S86" s="169" t="e">
        <f>COUNTIFS(Table9131518[Prodi],$P$80,Table9131518[B3],S$83)/$P$82</f>
        <v>#DIV/0!</v>
      </c>
      <c r="T86" s="62" t="e">
        <f t="shared" si="9"/>
        <v>#DIV/0!</v>
      </c>
      <c r="U86"/>
      <c r="V86" s="168" t="s">
        <v>28</v>
      </c>
      <c r="W86" s="169">
        <f>COUNTIFS(Table9131518[Prodi],$W$80,Table9131518[B3],W$83)/$W$82</f>
        <v>0</v>
      </c>
      <c r="X86" s="169">
        <f>COUNTIFS(Table9131518[Prodi],$W$80,Table9131518[B3],X$83)/$W$82</f>
        <v>1</v>
      </c>
      <c r="Y86" s="169">
        <f>COUNTIFS(Table9131518[Prodi],$W$80,Table9131518[B3],Y$83)/$W$82</f>
        <v>0</v>
      </c>
      <c r="Z86" s="169">
        <f>COUNTIFS(Table9131518[Prodi],$W$80,Table9131518[B3],Z$83)/$W$82</f>
        <v>0</v>
      </c>
      <c r="AA86" s="62">
        <f t="shared" si="10"/>
        <v>1</v>
      </c>
      <c r="AB86"/>
      <c r="AC86"/>
      <c r="AD86"/>
      <c r="AE86"/>
      <c r="AF86"/>
      <c r="AG86"/>
      <c r="AH86"/>
      <c r="AI86"/>
      <c r="AJ86"/>
      <c r="AK86"/>
      <c r="AL86"/>
      <c r="AM86"/>
      <c r="AN86"/>
      <c r="AO86"/>
      <c r="AP86"/>
      <c r="AQ86"/>
      <c r="AR86"/>
    </row>
    <row r="87" spans="1:44" s="118" customFormat="1" ht="16.5" x14ac:dyDescent="0.3">
      <c r="A87" s="168" t="s">
        <v>29</v>
      </c>
      <c r="B87" s="169">
        <f>COUNTIF(Table9131518[B4],B$83)/$B$82</f>
        <v>1</v>
      </c>
      <c r="C87" s="169">
        <f>COUNTIF(Table9131518[B4],C$83)/$B$82</f>
        <v>0</v>
      </c>
      <c r="D87" s="169">
        <f>COUNTIF(Table9131518[B4],D$83)/$B$82</f>
        <v>0</v>
      </c>
      <c r="E87" s="169">
        <f>COUNTIF(Table9131518[B4],E$83)/$B$82</f>
        <v>0</v>
      </c>
      <c r="F87" s="62">
        <f t="shared" si="7"/>
        <v>1</v>
      </c>
      <c r="H87" s="168" t="s">
        <v>29</v>
      </c>
      <c r="I87" s="169">
        <f>COUNTIFS(Table9131518[Prodi],"S1 Desain Komunikasi Visual",Table9131518[B4],I$83)/$I$82</f>
        <v>1</v>
      </c>
      <c r="J87" s="169">
        <f>COUNTIFS(Table9131518[Prodi],"S1 Desain Komunikasi Visual",Table9131518[B4],J$83)/$I$82</f>
        <v>0</v>
      </c>
      <c r="K87" s="169">
        <f>COUNTIFS(Table9131518[Prodi],"S1 Desain Komunikasi Visual",Table9131518[B4],K$83)/$I$82</f>
        <v>0</v>
      </c>
      <c r="L87" s="169">
        <f>COUNTIFS(Table9131518[Prodi],"S1 Desain Komunikasi Visual",Table9131518[B4],L$83)/$I$82</f>
        <v>0</v>
      </c>
      <c r="M87" s="62">
        <f t="shared" si="8"/>
        <v>1</v>
      </c>
      <c r="O87" s="168" t="s">
        <v>29</v>
      </c>
      <c r="P87" s="169" t="e">
        <f>COUNTIFS(Table9131518[Prodi],$P$80,Table9131518[B4],P$83)/$P$82</f>
        <v>#DIV/0!</v>
      </c>
      <c r="Q87" s="169" t="e">
        <f>COUNTIFS(Table9131518[Prodi],$P$80,Table9131518[B4],Q$83)/$P$82</f>
        <v>#DIV/0!</v>
      </c>
      <c r="R87" s="169" t="e">
        <f>COUNTIFS(Table9131518[Prodi],$P$80,Table9131518[B4],R$83)/$P$82</f>
        <v>#DIV/0!</v>
      </c>
      <c r="S87" s="169" t="e">
        <f>COUNTIFS(Table9131518[Prodi],$P$80,Table9131518[B4],S$83)/$P$82</f>
        <v>#DIV/0!</v>
      </c>
      <c r="T87" s="62" t="e">
        <f t="shared" si="9"/>
        <v>#DIV/0!</v>
      </c>
      <c r="U87"/>
      <c r="V87" s="168" t="s">
        <v>29</v>
      </c>
      <c r="W87" s="169">
        <f>COUNTIFS(Table9131518[Prodi],$W$80,Table9131518[B4],W$83)/$W$82</f>
        <v>1</v>
      </c>
      <c r="X87" s="169">
        <f>COUNTIFS(Table9131518[Prodi],$W$80,Table9131518[B4],X$83)/$W$82</f>
        <v>0</v>
      </c>
      <c r="Y87" s="169">
        <f>COUNTIFS(Table9131518[Prodi],$W$80,Table9131518[B4],Y$83)/$W$82</f>
        <v>0</v>
      </c>
      <c r="Z87" s="169">
        <f>COUNTIFS(Table9131518[Prodi],$W$80,Table9131518[B4],Z$83)/$W$82</f>
        <v>0</v>
      </c>
      <c r="AA87" s="62">
        <f t="shared" si="10"/>
        <v>1</v>
      </c>
      <c r="AB87"/>
      <c r="AC87"/>
      <c r="AD87"/>
      <c r="AE87"/>
      <c r="AF87"/>
      <c r="AG87"/>
      <c r="AH87"/>
      <c r="AI87"/>
      <c r="AJ87"/>
      <c r="AK87"/>
      <c r="AL87"/>
      <c r="AM87"/>
      <c r="AN87"/>
      <c r="AO87"/>
      <c r="AP87"/>
      <c r="AQ87"/>
      <c r="AR87"/>
    </row>
    <row r="88" spans="1:44" s="118" customFormat="1" ht="16.5" x14ac:dyDescent="0.3">
      <c r="A88" s="168" t="s">
        <v>30</v>
      </c>
      <c r="B88" s="169">
        <f>COUNTIF(Table9131518[B5],B$83)/$B$82</f>
        <v>0.5</v>
      </c>
      <c r="C88" s="169">
        <f>COUNTIF(Table9131518[B5],C$83)/$B$82</f>
        <v>0.5</v>
      </c>
      <c r="D88" s="169">
        <f>COUNTIF(Table9131518[B5],D$83)/$B$82</f>
        <v>0</v>
      </c>
      <c r="E88" s="169">
        <f>COUNTIF(Table9131518[B5],E$83)/$B$82</f>
        <v>0</v>
      </c>
      <c r="F88" s="62">
        <f t="shared" si="7"/>
        <v>1</v>
      </c>
      <c r="H88" s="168" t="s">
        <v>30</v>
      </c>
      <c r="I88" s="169">
        <f>COUNTIFS(Table9131518[Prodi],"S1 Desain Komunikasi Visual",Table9131518[B5],I$83)/$I$82</f>
        <v>0.66666666666666663</v>
      </c>
      <c r="J88" s="169">
        <f>COUNTIFS(Table9131518[Prodi],"S1 Desain Komunikasi Visual",Table9131518[B5],J$83)/$I$82</f>
        <v>0.33333333333333331</v>
      </c>
      <c r="K88" s="169">
        <f>COUNTIFS(Table9131518[Prodi],"S1 Desain Komunikasi Visual",Table9131518[B5],K$83)/$I$82</f>
        <v>0</v>
      </c>
      <c r="L88" s="169">
        <f>COUNTIFS(Table9131518[Prodi],"S1 Desain Komunikasi Visual",Table9131518[B5],L$83)/$I$82</f>
        <v>0</v>
      </c>
      <c r="M88" s="62">
        <f t="shared" si="8"/>
        <v>1</v>
      </c>
      <c r="O88" s="168" t="s">
        <v>30</v>
      </c>
      <c r="P88" s="169" t="e">
        <f>COUNTIFS(Table9131518[Prodi],$P$80,Table9131518[B5],P$83)/$P$82</f>
        <v>#DIV/0!</v>
      </c>
      <c r="Q88" s="169" t="e">
        <f>COUNTIFS(Table9131518[Prodi],$P$80,Table9131518[B5],Q$83)/$P$82</f>
        <v>#DIV/0!</v>
      </c>
      <c r="R88" s="169" t="e">
        <f>COUNTIFS(Table9131518[Prodi],$P$80,Table9131518[B5],R$83)/$P$82</f>
        <v>#DIV/0!</v>
      </c>
      <c r="S88" s="169" t="e">
        <f>COUNTIFS(Table9131518[Prodi],$P$80,Table9131518[B5],S$83)/$P$82</f>
        <v>#DIV/0!</v>
      </c>
      <c r="T88" s="62" t="e">
        <f t="shared" si="9"/>
        <v>#DIV/0!</v>
      </c>
      <c r="U88"/>
      <c r="V88" s="168" t="s">
        <v>30</v>
      </c>
      <c r="W88" s="169">
        <f>COUNTIFS(Table9131518[Prodi],$W$80,Table9131518[B5],W$83)/$W$82</f>
        <v>0</v>
      </c>
      <c r="X88" s="169">
        <f>COUNTIFS(Table9131518[Prodi],$W$80,Table9131518[B5],X$83)/$W$82</f>
        <v>1</v>
      </c>
      <c r="Y88" s="169">
        <f>COUNTIFS(Table9131518[Prodi],$W$80,Table9131518[B5],Y$83)/$W$82</f>
        <v>0</v>
      </c>
      <c r="Z88" s="169">
        <f>COUNTIFS(Table9131518[Prodi],$W$80,Table9131518[B5],Z$83)/$W$82</f>
        <v>0</v>
      </c>
      <c r="AA88" s="62">
        <f t="shared" si="10"/>
        <v>1</v>
      </c>
      <c r="AB88"/>
      <c r="AC88"/>
      <c r="AD88"/>
      <c r="AE88"/>
      <c r="AF88"/>
      <c r="AG88"/>
      <c r="AH88"/>
      <c r="AI88"/>
      <c r="AJ88"/>
      <c r="AK88"/>
      <c r="AL88"/>
      <c r="AM88"/>
      <c r="AN88"/>
      <c r="AO88"/>
      <c r="AP88"/>
      <c r="AQ88"/>
      <c r="AR88"/>
    </row>
    <row r="89" spans="1:44" s="118" customFormat="1" ht="16.5" x14ac:dyDescent="0.3">
      <c r="A89" s="170"/>
      <c r="B89" s="61">
        <f>AVERAGE(B84:B88)</f>
        <v>0.65</v>
      </c>
      <c r="C89" s="61">
        <f>AVERAGE(C84:C88)</f>
        <v>0.35</v>
      </c>
      <c r="D89" s="61">
        <f>AVERAGE(D84:D88)</f>
        <v>0</v>
      </c>
      <c r="E89" s="61">
        <f>AVERAGE(E84:E88)</f>
        <v>0</v>
      </c>
      <c r="F89" s="62">
        <f t="shared" si="7"/>
        <v>1</v>
      </c>
      <c r="H89" s="170"/>
      <c r="I89" s="61">
        <f>AVERAGE(I84:I88)</f>
        <v>0.66666666666666663</v>
      </c>
      <c r="J89" s="61">
        <f>AVERAGE(J84:J88)</f>
        <v>0.33333333333333331</v>
      </c>
      <c r="K89" s="61">
        <f>AVERAGE(K84:K88)</f>
        <v>0</v>
      </c>
      <c r="L89" s="61">
        <f>AVERAGE(L84:L88)</f>
        <v>0</v>
      </c>
      <c r="M89" s="62">
        <f t="shared" si="8"/>
        <v>1</v>
      </c>
      <c r="O89" s="170"/>
      <c r="P89" s="61" t="e">
        <f>AVERAGE(P84:P88)</f>
        <v>#DIV/0!</v>
      </c>
      <c r="Q89" s="61" t="e">
        <f>AVERAGE(Q84:Q88)</f>
        <v>#DIV/0!</v>
      </c>
      <c r="R89" s="61" t="e">
        <f>AVERAGE(R84:R88)</f>
        <v>#DIV/0!</v>
      </c>
      <c r="S89" s="61" t="e">
        <f>AVERAGE(S84:S88)</f>
        <v>#DIV/0!</v>
      </c>
      <c r="T89" s="62" t="e">
        <f t="shared" si="9"/>
        <v>#DIV/0!</v>
      </c>
      <c r="U89"/>
      <c r="V89" s="170"/>
      <c r="W89" s="61">
        <f>AVERAGE(W84:W88)</f>
        <v>0.6</v>
      </c>
      <c r="X89" s="61">
        <f>AVERAGE(X84:X88)</f>
        <v>0.4</v>
      </c>
      <c r="Y89" s="61">
        <f>AVERAGE(Y84:Y88)</f>
        <v>0</v>
      </c>
      <c r="Z89" s="61">
        <f>AVERAGE(Z84:Z88)</f>
        <v>0</v>
      </c>
      <c r="AA89" s="62">
        <f t="shared" si="10"/>
        <v>1</v>
      </c>
      <c r="AB89"/>
      <c r="AC89"/>
      <c r="AD89"/>
      <c r="AE89"/>
      <c r="AF89"/>
      <c r="AG89"/>
      <c r="AH89"/>
      <c r="AI89"/>
      <c r="AJ89"/>
      <c r="AK89"/>
      <c r="AL89"/>
      <c r="AM89"/>
      <c r="AN89"/>
      <c r="AO89"/>
      <c r="AP89"/>
      <c r="AQ89"/>
      <c r="AR89"/>
    </row>
    <row r="90" spans="1:44" s="118" customFormat="1" ht="16.5" x14ac:dyDescent="0.3">
      <c r="A90" s="168" t="s">
        <v>31</v>
      </c>
      <c r="B90" s="169">
        <f>COUNTIF(Table9131518[C1],B$83)/$B$82</f>
        <v>0.75</v>
      </c>
      <c r="C90" s="169">
        <f>COUNTIF(Table9131518[C1],C$83)/$B$82</f>
        <v>0.25</v>
      </c>
      <c r="D90" s="169">
        <f>COUNTIF(Table9131518[C1],D$83)/$B$82</f>
        <v>0</v>
      </c>
      <c r="E90" s="169">
        <f>COUNTIF(Table9131518[C1],E$83)/$B$82</f>
        <v>0</v>
      </c>
      <c r="F90" s="62">
        <f t="shared" si="7"/>
        <v>1</v>
      </c>
      <c r="H90" s="168" t="s">
        <v>31</v>
      </c>
      <c r="I90" s="169">
        <f>COUNTIFS(Table9131518[Prodi],"S1 Desain Komunikasi Visual",Table9131518[C1],I$83)/$I$82</f>
        <v>0.66666666666666663</v>
      </c>
      <c r="J90" s="169">
        <f>COUNTIFS(Table9131518[Prodi],"S1 Desain Komunikasi Visual",Table9131518[C1],J$83)/$I$82</f>
        <v>0.33333333333333331</v>
      </c>
      <c r="K90" s="169">
        <f>COUNTIFS(Table9131518[Prodi],"S1 Desain Komunikasi Visual",Table9131518[C1],K$83)/$I$82</f>
        <v>0</v>
      </c>
      <c r="L90" s="169">
        <f>COUNTIFS(Table9131518[Prodi],"S1 Desain Komunikasi Visual",Table9131518[C1],L$83)/$I$82</f>
        <v>0</v>
      </c>
      <c r="M90" s="62">
        <f t="shared" si="8"/>
        <v>1</v>
      </c>
      <c r="O90" s="168" t="s">
        <v>31</v>
      </c>
      <c r="P90" s="169" t="e">
        <f>COUNTIFS(Table9131518[Prodi],$P$80,Table9131518[C1],P$83)/$P$82</f>
        <v>#DIV/0!</v>
      </c>
      <c r="Q90" s="169" t="e">
        <f>COUNTIFS(Table9131518[Prodi],$P$80,Table9131518[C1],Q$83)/$P$82</f>
        <v>#DIV/0!</v>
      </c>
      <c r="R90" s="169" t="e">
        <f>COUNTIFS(Table9131518[Prodi],$P$80,Table9131518[C1],R$83)/$P$82</f>
        <v>#DIV/0!</v>
      </c>
      <c r="S90" s="169" t="e">
        <f>COUNTIFS(Table9131518[Prodi],$P$80,Table9131518[C1],S$83)/$P$82</f>
        <v>#DIV/0!</v>
      </c>
      <c r="T90" s="62" t="e">
        <f t="shared" si="9"/>
        <v>#DIV/0!</v>
      </c>
      <c r="U90"/>
      <c r="V90" s="168" t="s">
        <v>31</v>
      </c>
      <c r="W90" s="169">
        <f>COUNTIFS(Table9131518[Prodi],$W$80,Table9131518[C1],W$83)/$W$82</f>
        <v>1</v>
      </c>
      <c r="X90" s="169">
        <f>COUNTIFS(Table9131518[Prodi],$W$80,Table9131518[C1],X$83)/$W$82</f>
        <v>0</v>
      </c>
      <c r="Y90" s="169">
        <f>COUNTIFS(Table9131518[Prodi],$W$80,Table9131518[C1],Y$83)/$W$82</f>
        <v>0</v>
      </c>
      <c r="Z90" s="169">
        <f>COUNTIFS(Table9131518[Prodi],$W$80,Table9131518[C1],Z$83)/$W$82</f>
        <v>0</v>
      </c>
      <c r="AA90" s="62">
        <f t="shared" si="10"/>
        <v>1</v>
      </c>
      <c r="AB90"/>
      <c r="AC90"/>
      <c r="AD90"/>
      <c r="AE90"/>
      <c r="AF90"/>
      <c r="AG90"/>
      <c r="AH90"/>
      <c r="AI90"/>
      <c r="AJ90"/>
      <c r="AK90"/>
      <c r="AL90"/>
      <c r="AM90"/>
      <c r="AN90"/>
      <c r="AO90"/>
      <c r="AP90"/>
      <c r="AQ90"/>
      <c r="AR90"/>
    </row>
    <row r="91" spans="1:44" s="118" customFormat="1" ht="16.5" x14ac:dyDescent="0.3">
      <c r="A91" s="168" t="s">
        <v>32</v>
      </c>
      <c r="B91" s="169">
        <f>COUNTIF(Table9131518[C2],B$83)/$B$82</f>
        <v>0.25</v>
      </c>
      <c r="C91" s="169">
        <f>COUNTIF(Table9131518[C2],C$83)/$B$82</f>
        <v>0.75</v>
      </c>
      <c r="D91" s="169">
        <f>COUNTIF(Table9131518[C2],D$83)/$B$82</f>
        <v>0</v>
      </c>
      <c r="E91" s="169">
        <f>COUNTIF(Table9131518[C2],E$83)/$B$82</f>
        <v>0</v>
      </c>
      <c r="F91" s="62">
        <f t="shared" si="7"/>
        <v>1</v>
      </c>
      <c r="H91" s="168" t="s">
        <v>32</v>
      </c>
      <c r="I91" s="169">
        <f>COUNTIFS(Table9131518[Prodi],"S1 Desain Komunikasi Visual",Table9131518[C2],I$83)/$I$82</f>
        <v>0</v>
      </c>
      <c r="J91" s="169">
        <f>COUNTIFS(Table9131518[Prodi],"S1 Desain Komunikasi Visual",Table9131518[C2],J$83)/$I$82</f>
        <v>1</v>
      </c>
      <c r="K91" s="169">
        <f>COUNTIFS(Table9131518[Prodi],"S1 Desain Komunikasi Visual",Table9131518[C2],K$83)/$I$82</f>
        <v>0</v>
      </c>
      <c r="L91" s="169">
        <f>COUNTIFS(Table9131518[Prodi],"S1 Desain Komunikasi Visual",Table9131518[C2],L$83)/$I$82</f>
        <v>0</v>
      </c>
      <c r="M91" s="62">
        <f t="shared" si="8"/>
        <v>1</v>
      </c>
      <c r="O91" s="168" t="s">
        <v>32</v>
      </c>
      <c r="P91" s="169" t="e">
        <f>COUNTIFS(Table9131518[Prodi],$P$80,Table9131518[C2],P$83)/$P$82</f>
        <v>#DIV/0!</v>
      </c>
      <c r="Q91" s="169" t="e">
        <f>COUNTIFS(Table9131518[Prodi],$P$80,Table9131518[C2],Q$83)/$P$82</f>
        <v>#DIV/0!</v>
      </c>
      <c r="R91" s="169" t="e">
        <f>COUNTIFS(Table9131518[Prodi],$P$80,Table9131518[C2],R$83)/$P$82</f>
        <v>#DIV/0!</v>
      </c>
      <c r="S91" s="169" t="e">
        <f>COUNTIFS(Table9131518[Prodi],$P$80,Table9131518[C2],S$83)/$P$82</f>
        <v>#DIV/0!</v>
      </c>
      <c r="T91" s="62" t="e">
        <f t="shared" si="9"/>
        <v>#DIV/0!</v>
      </c>
      <c r="U91"/>
      <c r="V91" s="168" t="s">
        <v>32</v>
      </c>
      <c r="W91" s="169">
        <f>COUNTIFS(Table9131518[Prodi],$W$80,Table9131518[C2],W$83)/$W$82</f>
        <v>1</v>
      </c>
      <c r="X91" s="169">
        <f>COUNTIFS(Table9131518[Prodi],$W$80,Table9131518[C2],X$83)/$W$82</f>
        <v>0</v>
      </c>
      <c r="Y91" s="169">
        <f>COUNTIFS(Table9131518[Prodi],$W$80,Table9131518[C2],Y$83)/$W$82</f>
        <v>0</v>
      </c>
      <c r="Z91" s="169">
        <f>COUNTIFS(Table9131518[Prodi],$W$80,Table9131518[C2],Z$83)/$W$82</f>
        <v>0</v>
      </c>
      <c r="AA91" s="62">
        <f t="shared" si="10"/>
        <v>1</v>
      </c>
      <c r="AB91"/>
      <c r="AC91"/>
      <c r="AD91"/>
      <c r="AE91"/>
      <c r="AF91"/>
      <c r="AG91"/>
      <c r="AH91"/>
      <c r="AI91"/>
      <c r="AJ91"/>
      <c r="AK91"/>
      <c r="AL91"/>
      <c r="AM91"/>
      <c r="AN91"/>
      <c r="AO91"/>
      <c r="AP91"/>
      <c r="AQ91"/>
      <c r="AR91"/>
    </row>
    <row r="92" spans="1:44" s="118" customFormat="1" ht="16.5" x14ac:dyDescent="0.3">
      <c r="A92" s="171"/>
      <c r="B92" s="61">
        <f>AVERAGE(B90:B91)</f>
        <v>0.5</v>
      </c>
      <c r="C92" s="61">
        <f>AVERAGE(C90:C91)</f>
        <v>0.5</v>
      </c>
      <c r="D92" s="61">
        <f>AVERAGE(D90:D91)</f>
        <v>0</v>
      </c>
      <c r="E92" s="61">
        <f>AVERAGE(E90:E91)</f>
        <v>0</v>
      </c>
      <c r="F92" s="62">
        <f t="shared" si="7"/>
        <v>1</v>
      </c>
      <c r="H92" s="171"/>
      <c r="I92" s="61">
        <f>AVERAGE(I90:I91)</f>
        <v>0.33333333333333331</v>
      </c>
      <c r="J92" s="61">
        <f>AVERAGE(J90:J91)</f>
        <v>0.66666666666666663</v>
      </c>
      <c r="K92" s="61">
        <f>AVERAGE(K90:K91)</f>
        <v>0</v>
      </c>
      <c r="L92" s="61">
        <f>AVERAGE(L90:L91)</f>
        <v>0</v>
      </c>
      <c r="M92" s="62">
        <f t="shared" si="8"/>
        <v>1</v>
      </c>
      <c r="O92" s="171"/>
      <c r="P92" s="61" t="e">
        <f>AVERAGE(P90:P91)</f>
        <v>#DIV/0!</v>
      </c>
      <c r="Q92" s="61" t="e">
        <f>AVERAGE(Q90:Q91)</f>
        <v>#DIV/0!</v>
      </c>
      <c r="R92" s="61" t="e">
        <f>AVERAGE(R90:R91)</f>
        <v>#DIV/0!</v>
      </c>
      <c r="S92" s="61" t="e">
        <f>AVERAGE(S90:S91)</f>
        <v>#DIV/0!</v>
      </c>
      <c r="T92" s="62" t="e">
        <f t="shared" si="9"/>
        <v>#DIV/0!</v>
      </c>
      <c r="U92"/>
      <c r="V92" s="171"/>
      <c r="W92" s="61">
        <f>AVERAGE(W90:W91)</f>
        <v>1</v>
      </c>
      <c r="X92" s="61">
        <f>AVERAGE(X90:X91)</f>
        <v>0</v>
      </c>
      <c r="Y92" s="61">
        <f>AVERAGE(Y90:Y91)</f>
        <v>0</v>
      </c>
      <c r="Z92" s="61">
        <f>AVERAGE(Z90:Z91)</f>
        <v>0</v>
      </c>
      <c r="AA92" s="62">
        <f t="shared" si="10"/>
        <v>1</v>
      </c>
      <c r="AB92"/>
      <c r="AC92"/>
      <c r="AD92"/>
      <c r="AE92"/>
      <c r="AF92"/>
      <c r="AG92"/>
      <c r="AH92"/>
      <c r="AI92"/>
      <c r="AJ92"/>
      <c r="AK92"/>
      <c r="AL92"/>
      <c r="AM92"/>
      <c r="AN92"/>
      <c r="AO92"/>
      <c r="AP92"/>
      <c r="AQ92"/>
      <c r="AR92"/>
    </row>
    <row r="93" spans="1:44" s="118" customFormat="1" ht="16.5" x14ac:dyDescent="0.3">
      <c r="A93" s="172" t="s">
        <v>33</v>
      </c>
      <c r="B93" s="169">
        <f>COUNTIF(Table9131518[D1],B$83)/$B$82</f>
        <v>0.25</v>
      </c>
      <c r="C93" s="169">
        <f>COUNTIF(Table9131518[D1],C$83)/$B$82</f>
        <v>0.75</v>
      </c>
      <c r="D93" s="169">
        <f>COUNTIF(Table9131518[D1],D$83)/$B$82</f>
        <v>0</v>
      </c>
      <c r="E93" s="169">
        <f>COUNTIF(Table9131518[D1],E$83)/$B$82</f>
        <v>0</v>
      </c>
      <c r="F93" s="62">
        <f t="shared" si="7"/>
        <v>1</v>
      </c>
      <c r="H93" s="172" t="s">
        <v>33</v>
      </c>
      <c r="I93" s="169">
        <f>COUNTIFS(Table9131518[Prodi],"S1 Desain Komunikasi Visual",Table9131518[D1],I$83)/$I$82</f>
        <v>0</v>
      </c>
      <c r="J93" s="169">
        <f>COUNTIFS(Table9131518[Prodi],"S1 Desain Komunikasi Visual",Table9131518[D1],J$83)/$I$82</f>
        <v>1</v>
      </c>
      <c r="K93" s="169">
        <f>COUNTIFS(Table9131518[Prodi],"S1 Desain Komunikasi Visual",Table9131518[D1],K$83)/$I$82</f>
        <v>0</v>
      </c>
      <c r="L93" s="169">
        <f>COUNTIFS(Table9131518[Prodi],"S1 Desain Komunikasi Visual",Table9131518[D1],L$83)/$I$82</f>
        <v>0</v>
      </c>
      <c r="M93" s="62">
        <f t="shared" si="8"/>
        <v>1</v>
      </c>
      <c r="O93" s="172" t="s">
        <v>33</v>
      </c>
      <c r="P93" s="169" t="e">
        <f>COUNTIFS(Table9131518[Prodi],$P$80,Table9131518[D1],P$83)/$P$82</f>
        <v>#DIV/0!</v>
      </c>
      <c r="Q93" s="169" t="e">
        <f>COUNTIFS(Table9131518[Prodi],$P$80,Table9131518[D1],Q$83)/$P$82</f>
        <v>#DIV/0!</v>
      </c>
      <c r="R93" s="169" t="e">
        <f>COUNTIFS(Table9131518[Prodi],$P$80,Table9131518[D1],R$83)/$P$82</f>
        <v>#DIV/0!</v>
      </c>
      <c r="S93" s="169" t="e">
        <f>COUNTIFS(Table9131518[Prodi],$P$80,Table9131518[D1],S$83)/$P$82</f>
        <v>#DIV/0!</v>
      </c>
      <c r="T93" s="62" t="e">
        <f t="shared" si="9"/>
        <v>#DIV/0!</v>
      </c>
      <c r="U93"/>
      <c r="V93" s="172" t="s">
        <v>33</v>
      </c>
      <c r="W93" s="169">
        <f>COUNTIFS(Table9131518[Prodi],$W$80,Table9131518[D1],W$83)/$W$82</f>
        <v>1</v>
      </c>
      <c r="X93" s="169">
        <f>COUNTIFS(Table9131518[Prodi],$W$80,Table9131518[D1],X$83)/$W$82</f>
        <v>0</v>
      </c>
      <c r="Y93" s="169">
        <f>COUNTIFS(Table9131518[Prodi],$W$80,Table9131518[D1],Y$83)/$W$82</f>
        <v>0</v>
      </c>
      <c r="Z93" s="169">
        <f>COUNTIFS(Table9131518[Prodi],$W$80,Table9131518[D1],Z$83)/$W$82</f>
        <v>0</v>
      </c>
      <c r="AA93" s="62">
        <f t="shared" si="10"/>
        <v>1</v>
      </c>
      <c r="AB93"/>
      <c r="AC93"/>
      <c r="AD93"/>
      <c r="AE93"/>
      <c r="AF93"/>
      <c r="AG93"/>
      <c r="AH93"/>
      <c r="AI93"/>
      <c r="AJ93"/>
      <c r="AK93"/>
      <c r="AL93"/>
      <c r="AM93"/>
      <c r="AN93"/>
      <c r="AO93"/>
      <c r="AP93"/>
      <c r="AQ93"/>
      <c r="AR93"/>
    </row>
    <row r="94" spans="1:44" s="118" customFormat="1" ht="16.5" x14ac:dyDescent="0.3">
      <c r="A94" s="168" t="s">
        <v>34</v>
      </c>
      <c r="B94" s="169">
        <f>COUNTIF(Table9131518[D2],B$83)/$B$82</f>
        <v>0</v>
      </c>
      <c r="C94" s="169">
        <f>COUNTIF(Table9131518[D2],C$83)/$B$82</f>
        <v>1</v>
      </c>
      <c r="D94" s="169">
        <f>COUNTIF(Table9131518[D2],D$83)/$B$82</f>
        <v>0</v>
      </c>
      <c r="E94" s="169">
        <f>COUNTIF(Table9131518[D2],E$83)/$B$82</f>
        <v>0</v>
      </c>
      <c r="F94" s="62">
        <f t="shared" si="7"/>
        <v>1</v>
      </c>
      <c r="H94" s="168" t="s">
        <v>34</v>
      </c>
      <c r="I94" s="169">
        <f>COUNTIFS(Table9131518[Prodi],"S1 Desain Komunikasi Visual",Table9131518[D2],I$83)/$I$82</f>
        <v>0</v>
      </c>
      <c r="J94" s="169">
        <f>COUNTIFS(Table9131518[Prodi],"S1 Desain Komunikasi Visual",Table9131518[D2],J$83)/$I$82</f>
        <v>1</v>
      </c>
      <c r="K94" s="169">
        <f>COUNTIFS(Table9131518[Prodi],"S1 Desain Komunikasi Visual",Table9131518[D2],K$83)/$I$82</f>
        <v>0</v>
      </c>
      <c r="L94" s="169">
        <f>COUNTIFS(Table9131518[Prodi],"S1 Desain Komunikasi Visual",Table9131518[D2],L$83)/$I$82</f>
        <v>0</v>
      </c>
      <c r="M94" s="62">
        <f t="shared" si="8"/>
        <v>1</v>
      </c>
      <c r="O94" s="168" t="s">
        <v>34</v>
      </c>
      <c r="P94" s="169" t="e">
        <f>COUNTIFS(Table9131518[Prodi],$P$80,Table9131518[D2],P$83)/$P$82</f>
        <v>#DIV/0!</v>
      </c>
      <c r="Q94" s="169" t="e">
        <f>COUNTIFS(Table9131518[Prodi],$P$80,Table9131518[D2],Q$83)/$P$82</f>
        <v>#DIV/0!</v>
      </c>
      <c r="R94" s="169" t="e">
        <f>COUNTIFS(Table9131518[Prodi],$P$80,Table9131518[D2],R$83)/$P$82</f>
        <v>#DIV/0!</v>
      </c>
      <c r="S94" s="169" t="e">
        <f>COUNTIFS(Table9131518[Prodi],$P$80,Table9131518[D2],S$83)/$P$82</f>
        <v>#DIV/0!</v>
      </c>
      <c r="T94" s="62" t="e">
        <f t="shared" si="9"/>
        <v>#DIV/0!</v>
      </c>
      <c r="U94"/>
      <c r="V94" s="168" t="s">
        <v>34</v>
      </c>
      <c r="W94" s="169">
        <f>COUNTIFS(Table9131518[Prodi],$W$80,Table9131518[D2],W$83)/$W$82</f>
        <v>0</v>
      </c>
      <c r="X94" s="169">
        <f>COUNTIFS(Table9131518[Prodi],$W$80,Table9131518[D2],X$83)/$W$82</f>
        <v>1</v>
      </c>
      <c r="Y94" s="169">
        <f>COUNTIFS(Table9131518[Prodi],$W$80,Table9131518[D2],Y$83)/$W$82</f>
        <v>0</v>
      </c>
      <c r="Z94" s="169">
        <f>COUNTIFS(Table9131518[Prodi],$W$80,Table9131518[D2],Z$83)/$W$82</f>
        <v>0</v>
      </c>
      <c r="AA94" s="62">
        <f t="shared" si="10"/>
        <v>1</v>
      </c>
      <c r="AB94"/>
      <c r="AC94"/>
      <c r="AD94"/>
      <c r="AE94"/>
      <c r="AF94"/>
      <c r="AG94"/>
      <c r="AH94"/>
      <c r="AI94"/>
      <c r="AJ94"/>
      <c r="AK94"/>
      <c r="AL94"/>
      <c r="AM94"/>
      <c r="AN94"/>
      <c r="AO94"/>
      <c r="AP94"/>
      <c r="AQ94"/>
      <c r="AR94"/>
    </row>
    <row r="95" spans="1:44" s="118" customFormat="1" ht="16.5" x14ac:dyDescent="0.3">
      <c r="A95" s="171"/>
      <c r="B95" s="61">
        <f>AVERAGE(B93:B94)</f>
        <v>0.125</v>
      </c>
      <c r="C95" s="61">
        <f>AVERAGE(C93:C94)</f>
        <v>0.875</v>
      </c>
      <c r="D95" s="61">
        <f>AVERAGE(D93:D94)</f>
        <v>0</v>
      </c>
      <c r="E95" s="61">
        <f>AVERAGE(E93:E94)</f>
        <v>0</v>
      </c>
      <c r="F95" s="62">
        <f t="shared" si="7"/>
        <v>1</v>
      </c>
      <c r="H95" s="171"/>
      <c r="I95" s="61">
        <f>AVERAGE(I93:I94)</f>
        <v>0</v>
      </c>
      <c r="J95" s="61">
        <f>AVERAGE(J93:J94)</f>
        <v>1</v>
      </c>
      <c r="K95" s="61">
        <f>AVERAGE(K93:K94)</f>
        <v>0</v>
      </c>
      <c r="L95" s="61">
        <f>AVERAGE(L93:L94)</f>
        <v>0</v>
      </c>
      <c r="M95" s="62">
        <f t="shared" si="8"/>
        <v>1</v>
      </c>
      <c r="O95" s="171"/>
      <c r="P95" s="61" t="e">
        <f>AVERAGE(P93:P94)</f>
        <v>#DIV/0!</v>
      </c>
      <c r="Q95" s="61" t="e">
        <f>AVERAGE(Q93:Q94)</f>
        <v>#DIV/0!</v>
      </c>
      <c r="R95" s="61" t="e">
        <f>AVERAGE(R93:R94)</f>
        <v>#DIV/0!</v>
      </c>
      <c r="S95" s="61" t="e">
        <f>AVERAGE(S93:S94)</f>
        <v>#DIV/0!</v>
      </c>
      <c r="T95" s="62" t="e">
        <f t="shared" si="9"/>
        <v>#DIV/0!</v>
      </c>
      <c r="U95"/>
      <c r="V95" s="171"/>
      <c r="W95" s="61">
        <f>AVERAGE(W93:W94)</f>
        <v>0.5</v>
      </c>
      <c r="X95" s="61">
        <f>AVERAGE(X93:X94)</f>
        <v>0.5</v>
      </c>
      <c r="Y95" s="61">
        <f>AVERAGE(Y93:Y94)</f>
        <v>0</v>
      </c>
      <c r="Z95" s="61">
        <f>AVERAGE(Z93:Z94)</f>
        <v>0</v>
      </c>
      <c r="AA95" s="62">
        <f t="shared" si="10"/>
        <v>1</v>
      </c>
      <c r="AB95"/>
      <c r="AC95"/>
      <c r="AD95"/>
      <c r="AE95"/>
      <c r="AF95"/>
      <c r="AG95"/>
      <c r="AH95"/>
      <c r="AI95"/>
      <c r="AJ95"/>
      <c r="AK95"/>
      <c r="AL95"/>
      <c r="AM95"/>
      <c r="AN95"/>
      <c r="AO95"/>
      <c r="AP95"/>
      <c r="AQ95"/>
      <c r="AR95"/>
    </row>
    <row r="96" spans="1:44" s="118" customFormat="1" ht="16.5" x14ac:dyDescent="0.3">
      <c r="A96" s="172" t="s">
        <v>35</v>
      </c>
      <c r="B96" s="169">
        <f>COUNTIF(Table9131518[E1],B$83)/$B$82</f>
        <v>0.5</v>
      </c>
      <c r="C96" s="169">
        <f>COUNTIF(Table9131518[E1],C$83)/$B$82</f>
        <v>0.5</v>
      </c>
      <c r="D96" s="169">
        <f>COUNTIF(Table9131518[E1],D$83)/$B$82</f>
        <v>0</v>
      </c>
      <c r="E96" s="169">
        <f>COUNTIF(Table9131518[E1],E$83)/$B$82</f>
        <v>0</v>
      </c>
      <c r="F96" s="62">
        <f t="shared" si="7"/>
        <v>1</v>
      </c>
      <c r="H96" s="172" t="s">
        <v>35</v>
      </c>
      <c r="I96" s="169">
        <f>COUNTIFS(Table9131518[Prodi],"S1 Desain Komunikasi Visual",Table9131518[E1],I$83)/$I$82</f>
        <v>0.66666666666666663</v>
      </c>
      <c r="J96" s="169">
        <f>COUNTIFS(Table9131518[Prodi],"S1 Desain Komunikasi Visual",Table9131518[E1],J$83)/$I$82</f>
        <v>0.33333333333333331</v>
      </c>
      <c r="K96" s="169">
        <f>COUNTIFS(Table9131518[Prodi],"S1 Desain Komunikasi Visual",Table9131518[E1],K$83)/$I$82</f>
        <v>0</v>
      </c>
      <c r="L96" s="169">
        <f>COUNTIFS(Table9131518[Prodi],"S1 Desain Komunikasi Visual",Table9131518[E1],L$83)/$I$82</f>
        <v>0</v>
      </c>
      <c r="M96" s="62">
        <f t="shared" si="8"/>
        <v>1</v>
      </c>
      <c r="O96" s="172" t="s">
        <v>35</v>
      </c>
      <c r="P96" s="169" t="e">
        <f>COUNTIFS(Table9131518[Prodi],$P$80,Table9131518[E1],P$83)/$P$82</f>
        <v>#DIV/0!</v>
      </c>
      <c r="Q96" s="169" t="e">
        <f>COUNTIFS(Table9131518[Prodi],$P$80,Table9131518[E1],Q$83)/$P$82</f>
        <v>#DIV/0!</v>
      </c>
      <c r="R96" s="169" t="e">
        <f>COUNTIFS(Table9131518[Prodi],$P$80,Table9131518[E1],R$83)/$P$82</f>
        <v>#DIV/0!</v>
      </c>
      <c r="S96" s="169" t="e">
        <f>COUNTIFS(Table9131518[Prodi],$P$80,Table9131518[E1],S$83)/$P$82</f>
        <v>#DIV/0!</v>
      </c>
      <c r="T96" s="62" t="e">
        <f t="shared" si="9"/>
        <v>#DIV/0!</v>
      </c>
      <c r="U96"/>
      <c r="V96" s="172" t="s">
        <v>35</v>
      </c>
      <c r="W96" s="169">
        <f>COUNTIFS(Table9131518[Prodi],$W$80,Table9131518[E1],W$83)/$W$82</f>
        <v>0</v>
      </c>
      <c r="X96" s="169">
        <f>COUNTIFS(Table9131518[Prodi],$W$80,Table9131518[E1],X$83)/$W$82</f>
        <v>1</v>
      </c>
      <c r="Y96" s="169">
        <f>COUNTIFS(Table9131518[Prodi],$W$80,Table9131518[E1],Y$83)/$W$82</f>
        <v>0</v>
      </c>
      <c r="Z96" s="169">
        <f>COUNTIFS(Table9131518[Prodi],$W$80,Table9131518[E1],Z$83)/$W$82</f>
        <v>0</v>
      </c>
      <c r="AA96" s="62">
        <f t="shared" si="10"/>
        <v>1</v>
      </c>
      <c r="AB96"/>
      <c r="AC96"/>
      <c r="AD96"/>
      <c r="AE96"/>
      <c r="AF96"/>
      <c r="AG96"/>
      <c r="AH96"/>
      <c r="AI96"/>
      <c r="AJ96"/>
      <c r="AK96"/>
      <c r="AL96"/>
      <c r="AM96"/>
      <c r="AN96"/>
      <c r="AO96"/>
      <c r="AP96"/>
      <c r="AQ96"/>
      <c r="AR96"/>
    </row>
    <row r="97" spans="1:44" s="118" customFormat="1" ht="16.5" x14ac:dyDescent="0.3">
      <c r="A97" s="168" t="s">
        <v>36</v>
      </c>
      <c r="B97" s="169">
        <f>COUNTIF(Table9131518[E2],B$83)/$B$82</f>
        <v>0.5</v>
      </c>
      <c r="C97" s="169">
        <f>COUNTIF(Table9131518[E2],C$83)/$B$82</f>
        <v>0.5</v>
      </c>
      <c r="D97" s="169">
        <f>COUNTIF(Table9131518[E2],D$83)/$B$82</f>
        <v>0</v>
      </c>
      <c r="E97" s="169">
        <f>COUNTIF(Table9131518[E2],E$83)/$B$82</f>
        <v>0</v>
      </c>
      <c r="F97" s="62">
        <f t="shared" si="7"/>
        <v>1</v>
      </c>
      <c r="H97" s="168" t="s">
        <v>36</v>
      </c>
      <c r="I97" s="169">
        <f>COUNTIFS(Table9131518[Prodi],"S1 Desain Komunikasi Visual",Table9131518[E2],I$83)/$I$82</f>
        <v>0.33333333333333331</v>
      </c>
      <c r="J97" s="169">
        <f>COUNTIFS(Table9131518[Prodi],"S1 Desain Komunikasi Visual",Table9131518[E2],J$83)/$I$82</f>
        <v>0.66666666666666663</v>
      </c>
      <c r="K97" s="169">
        <f>COUNTIFS(Table9131518[Prodi],"S1 Desain Komunikasi Visual",Table9131518[E2],K$83)/$I$82</f>
        <v>0</v>
      </c>
      <c r="L97" s="169">
        <f>COUNTIFS(Table9131518[Prodi],"S1 Desain Komunikasi Visual",Table9131518[E2],L$83)/$I$82</f>
        <v>0</v>
      </c>
      <c r="M97" s="62">
        <f t="shared" si="8"/>
        <v>1</v>
      </c>
      <c r="O97" s="168" t="s">
        <v>36</v>
      </c>
      <c r="P97" s="169" t="e">
        <f>COUNTIFS(Table9131518[Prodi],$P$80,Table9131518[E2],P$83)/$P$82</f>
        <v>#DIV/0!</v>
      </c>
      <c r="Q97" s="169" t="e">
        <f>COUNTIFS(Table9131518[Prodi],$P$80,Table9131518[E2],Q$83)/$P$82</f>
        <v>#DIV/0!</v>
      </c>
      <c r="R97" s="169" t="e">
        <f>COUNTIFS(Table9131518[Prodi],$P$80,Table9131518[E2],R$83)/$P$82</f>
        <v>#DIV/0!</v>
      </c>
      <c r="S97" s="169" t="e">
        <f>COUNTIFS(Table9131518[Prodi],$P$80,Table9131518[E2],S$83)/$P$82</f>
        <v>#DIV/0!</v>
      </c>
      <c r="T97" s="62" t="e">
        <f t="shared" si="9"/>
        <v>#DIV/0!</v>
      </c>
      <c r="U97"/>
      <c r="V97" s="168" t="s">
        <v>36</v>
      </c>
      <c r="W97" s="169">
        <f>COUNTIFS(Table9131518[Prodi],$W$80,Table9131518[E2],W$83)/$W$82</f>
        <v>1</v>
      </c>
      <c r="X97" s="169">
        <f>COUNTIFS(Table9131518[Prodi],$W$80,Table9131518[E2],X$83)/$W$82</f>
        <v>0</v>
      </c>
      <c r="Y97" s="169">
        <f>COUNTIFS(Table9131518[Prodi],$W$80,Table9131518[E2],Y$83)/$W$82</f>
        <v>0</v>
      </c>
      <c r="Z97" s="169">
        <f>COUNTIFS(Table9131518[Prodi],$W$80,Table9131518[E2],Z$83)/$W$82</f>
        <v>0</v>
      </c>
      <c r="AA97" s="62">
        <f t="shared" si="10"/>
        <v>1</v>
      </c>
      <c r="AB97"/>
      <c r="AC97"/>
      <c r="AD97"/>
      <c r="AE97"/>
      <c r="AF97"/>
      <c r="AG97"/>
      <c r="AH97"/>
      <c r="AI97"/>
      <c r="AJ97"/>
      <c r="AK97"/>
      <c r="AL97"/>
      <c r="AM97"/>
      <c r="AN97"/>
      <c r="AO97"/>
      <c r="AP97"/>
      <c r="AQ97"/>
      <c r="AR97"/>
    </row>
    <row r="98" spans="1:44" s="118" customFormat="1" ht="16.5" x14ac:dyDescent="0.3">
      <c r="A98" s="168" t="s">
        <v>1168</v>
      </c>
      <c r="B98" s="169">
        <f>COUNTIF(Table9131518[E3],B$83)/$B$82</f>
        <v>0.5</v>
      </c>
      <c r="C98" s="169">
        <f>COUNTIF(Table9131518[E3],C$83)/$B$82</f>
        <v>0.5</v>
      </c>
      <c r="D98" s="169">
        <f>COUNTIF(Table9131518[E3],D$83)/$B$82</f>
        <v>0</v>
      </c>
      <c r="E98" s="169">
        <f>COUNTIF(Table9131518[E3],E$83)/$B$82</f>
        <v>0</v>
      </c>
      <c r="F98" s="62">
        <f t="shared" si="7"/>
        <v>1</v>
      </c>
      <c r="H98" s="168" t="s">
        <v>1168</v>
      </c>
      <c r="I98" s="169">
        <f>COUNTIFS(Table9131518[Prodi],"S1 Desain Komunikasi Visual",Table9131518[E3],I$83)/$I$82</f>
        <v>0.33333333333333331</v>
      </c>
      <c r="J98" s="169">
        <f>COUNTIFS(Table9131518[Prodi],"S1 Desain Komunikasi Visual",Table9131518[E3],J$83)/$I$82</f>
        <v>0.66666666666666663</v>
      </c>
      <c r="K98" s="169">
        <f>COUNTIFS(Table9131518[Prodi],"S1 Desain Komunikasi Visual",Table9131518[E3],K$83)/$I$82</f>
        <v>0</v>
      </c>
      <c r="L98" s="169">
        <f>COUNTIFS(Table9131518[Prodi],"S1 Desain Komunikasi Visual",Table9131518[E3],L$83)/$I$82</f>
        <v>0</v>
      </c>
      <c r="M98" s="62">
        <f t="shared" si="8"/>
        <v>1</v>
      </c>
      <c r="O98" s="168" t="s">
        <v>1168</v>
      </c>
      <c r="P98" s="169" t="e">
        <f>COUNTIFS(Table9131518[Prodi],$P$80,Table9131518[E3],P$83)/$P$82</f>
        <v>#DIV/0!</v>
      </c>
      <c r="Q98" s="169" t="e">
        <f>COUNTIFS(Table9131518[Prodi],$P$80,Table9131518[E3],Q$83)/$P$82</f>
        <v>#DIV/0!</v>
      </c>
      <c r="R98" s="169" t="e">
        <f>COUNTIFS(Table9131518[Prodi],$P$80,Table9131518[E3],R$83)/$P$82</f>
        <v>#DIV/0!</v>
      </c>
      <c r="S98" s="169" t="e">
        <f>COUNTIFS(Table9131518[Prodi],$P$80,Table9131518[E3],S$83)/$P$82</f>
        <v>#DIV/0!</v>
      </c>
      <c r="T98" s="62" t="e">
        <f t="shared" si="9"/>
        <v>#DIV/0!</v>
      </c>
      <c r="U98"/>
      <c r="V98" s="168" t="s">
        <v>1168</v>
      </c>
      <c r="W98" s="169">
        <f>COUNTIFS(Table9131518[Prodi],$W$80,Table9131518[E3],W$83)/$W$82</f>
        <v>1</v>
      </c>
      <c r="X98" s="169">
        <f>COUNTIFS(Table9131518[Prodi],$W$80,Table9131518[E3],X$83)/$W$82</f>
        <v>0</v>
      </c>
      <c r="Y98" s="169">
        <f>COUNTIFS(Table9131518[Prodi],$W$80,Table9131518[E3],Y$83)/$W$82</f>
        <v>0</v>
      </c>
      <c r="Z98" s="169">
        <f>COUNTIFS(Table9131518[Prodi],$W$80,Table9131518[E3],Z$83)/$W$82</f>
        <v>0</v>
      </c>
      <c r="AA98" s="62">
        <f t="shared" si="10"/>
        <v>1</v>
      </c>
      <c r="AB98"/>
      <c r="AC98"/>
      <c r="AD98"/>
      <c r="AE98"/>
      <c r="AF98"/>
      <c r="AG98"/>
      <c r="AH98"/>
      <c r="AI98"/>
      <c r="AJ98"/>
      <c r="AK98"/>
      <c r="AL98"/>
      <c r="AM98"/>
      <c r="AN98"/>
      <c r="AO98"/>
      <c r="AP98"/>
      <c r="AQ98"/>
      <c r="AR98"/>
    </row>
    <row r="99" spans="1:44" s="118" customFormat="1" ht="16.5" x14ac:dyDescent="0.3">
      <c r="A99" s="171"/>
      <c r="B99" s="61">
        <f>AVERAGE(B96:B98)</f>
        <v>0.5</v>
      </c>
      <c r="C99" s="61">
        <f>AVERAGE(C96:C98)</f>
        <v>0.5</v>
      </c>
      <c r="D99" s="61">
        <f>AVERAGE(D96:D98)</f>
        <v>0</v>
      </c>
      <c r="E99" s="61">
        <f>AVERAGE(E96:E98)</f>
        <v>0</v>
      </c>
      <c r="F99" s="62">
        <f t="shared" si="7"/>
        <v>1</v>
      </c>
      <c r="H99" s="171"/>
      <c r="I99" s="61">
        <f>AVERAGE(I96:I98)</f>
        <v>0.44444444444444442</v>
      </c>
      <c r="J99" s="61">
        <f>AVERAGE(J96:J98)</f>
        <v>0.55555555555555547</v>
      </c>
      <c r="K99" s="61">
        <f>AVERAGE(K96:K98)</f>
        <v>0</v>
      </c>
      <c r="L99" s="61">
        <f>AVERAGE(L96:L98)</f>
        <v>0</v>
      </c>
      <c r="M99" s="62">
        <f t="shared" si="8"/>
        <v>0.99999999999999989</v>
      </c>
      <c r="O99" s="171"/>
      <c r="P99" s="61" t="e">
        <f>AVERAGE(P96:P98)</f>
        <v>#DIV/0!</v>
      </c>
      <c r="Q99" s="61" t="e">
        <f>AVERAGE(Q96:Q98)</f>
        <v>#DIV/0!</v>
      </c>
      <c r="R99" s="61" t="e">
        <f>AVERAGE(R96:R98)</f>
        <v>#DIV/0!</v>
      </c>
      <c r="S99" s="61" t="e">
        <f>AVERAGE(S96:S98)</f>
        <v>#DIV/0!</v>
      </c>
      <c r="T99" s="62" t="e">
        <f t="shared" si="9"/>
        <v>#DIV/0!</v>
      </c>
      <c r="U99"/>
      <c r="V99" s="171"/>
      <c r="W99" s="61">
        <f>AVERAGE(W96:W98)</f>
        <v>0.66666666666666663</v>
      </c>
      <c r="X99" s="61">
        <f>AVERAGE(X96:X98)</f>
        <v>0.33333333333333331</v>
      </c>
      <c r="Y99" s="61">
        <f>AVERAGE(Y96:Y98)</f>
        <v>0</v>
      </c>
      <c r="Z99" s="61">
        <f>AVERAGE(Z96:Z98)</f>
        <v>0</v>
      </c>
      <c r="AA99" s="62">
        <f t="shared" si="10"/>
        <v>1</v>
      </c>
      <c r="AB99"/>
      <c r="AC99"/>
      <c r="AD99"/>
      <c r="AE99"/>
      <c r="AF99"/>
      <c r="AG99"/>
      <c r="AH99"/>
      <c r="AI99"/>
      <c r="AJ99"/>
      <c r="AK99"/>
      <c r="AL99"/>
      <c r="AM99"/>
      <c r="AN99"/>
      <c r="AO99"/>
      <c r="AP99"/>
      <c r="AQ99"/>
      <c r="AR99"/>
    </row>
    <row r="100" spans="1:44" s="118" customFormat="1" ht="16.5" x14ac:dyDescent="0.3">
      <c r="A100" s="172" t="s">
        <v>37</v>
      </c>
      <c r="B100" s="169">
        <f>COUNTIF(Table9131518[F1],B$83)/$B$82</f>
        <v>0.25</v>
      </c>
      <c r="C100" s="169">
        <f>COUNTIF(Table9131518[F1],C$83)/$B$82</f>
        <v>0.75</v>
      </c>
      <c r="D100" s="169">
        <f>COUNTIF(Table9131518[F1],D$83)/$B$82</f>
        <v>0</v>
      </c>
      <c r="E100" s="169">
        <f>COUNTIF(Table9131518[F1],E$83)/$B$82</f>
        <v>0</v>
      </c>
      <c r="F100" s="62">
        <f t="shared" si="7"/>
        <v>1</v>
      </c>
      <c r="H100" s="172" t="s">
        <v>37</v>
      </c>
      <c r="I100" s="169">
        <f>COUNTIFS(Table9131518[Prodi],"S1 Desain Komunikasi Visual",Table9131518[F1],I$83)/$I$82</f>
        <v>0</v>
      </c>
      <c r="J100" s="169">
        <f>COUNTIFS(Table9131518[Prodi],"S1 Desain Komunikasi Visual",Table9131518[F1],J$83)/$I$82</f>
        <v>1</v>
      </c>
      <c r="K100" s="169">
        <f>COUNTIFS(Table9131518[Prodi],"S1 Desain Komunikasi Visual",Table9131518[F1],K$83)/$I$82</f>
        <v>0</v>
      </c>
      <c r="L100" s="169">
        <f>COUNTIFS(Table9131518[Prodi],"S1 Desain Komunikasi Visual",Table9131518[F1],L$83)/$I$82</f>
        <v>0</v>
      </c>
      <c r="M100" s="62">
        <f t="shared" si="8"/>
        <v>1</v>
      </c>
      <c r="O100" s="172" t="s">
        <v>37</v>
      </c>
      <c r="P100" s="169" t="e">
        <f>COUNTIFS(Table9131518[Prodi],$P$80,Table9131518[F1],P$83)/$P$82</f>
        <v>#DIV/0!</v>
      </c>
      <c r="Q100" s="169" t="e">
        <f>COUNTIFS(Table9131518[Prodi],$P$80,Table9131518[F1],Q$83)/$P$82</f>
        <v>#DIV/0!</v>
      </c>
      <c r="R100" s="169" t="e">
        <f>COUNTIFS(Table9131518[Prodi],$P$80,Table9131518[F1],R$83)/$P$82</f>
        <v>#DIV/0!</v>
      </c>
      <c r="S100" s="169" t="e">
        <f>COUNTIFS(Table9131518[Prodi],$P$80,Table9131518[F1],S$83)/$P$82</f>
        <v>#DIV/0!</v>
      </c>
      <c r="T100" s="62" t="e">
        <f t="shared" si="9"/>
        <v>#DIV/0!</v>
      </c>
      <c r="U100"/>
      <c r="V100" s="172" t="s">
        <v>37</v>
      </c>
      <c r="W100" s="169">
        <f>COUNTIFS(Table9131518[Prodi],$W$80,Table9131518[F1],W$83)/$W$82</f>
        <v>1</v>
      </c>
      <c r="X100" s="169">
        <f>COUNTIFS(Table9131518[Prodi],$W$80,Table9131518[F1],X$83)/$W$82</f>
        <v>0</v>
      </c>
      <c r="Y100" s="169">
        <f>COUNTIFS(Table9131518[Prodi],$W$80,Table9131518[F1],Y$83)/$W$82</f>
        <v>0</v>
      </c>
      <c r="Z100" s="169">
        <f>COUNTIFS(Table9131518[Prodi],$W$80,Table9131518[F1],Z$83)/$W$82</f>
        <v>0</v>
      </c>
      <c r="AA100" s="62">
        <f t="shared" si="10"/>
        <v>1</v>
      </c>
      <c r="AB100"/>
      <c r="AC100"/>
      <c r="AD100"/>
      <c r="AE100"/>
      <c r="AF100"/>
      <c r="AG100"/>
      <c r="AH100"/>
      <c r="AI100"/>
      <c r="AJ100"/>
      <c r="AK100"/>
      <c r="AL100"/>
      <c r="AM100"/>
      <c r="AN100"/>
      <c r="AO100"/>
      <c r="AP100"/>
      <c r="AQ100"/>
      <c r="AR100"/>
    </row>
    <row r="101" spans="1:44" s="118" customFormat="1" ht="16.5" x14ac:dyDescent="0.3">
      <c r="A101" s="168" t="s">
        <v>38</v>
      </c>
      <c r="B101" s="169">
        <f>COUNTIF(Table9131518[F2],B$83)/$B$82</f>
        <v>0.25</v>
      </c>
      <c r="C101" s="169">
        <f>COUNTIF(Table9131518[F2],C$83)/$B$82</f>
        <v>0.75</v>
      </c>
      <c r="D101" s="169">
        <f>COUNTIF(Table9131518[F2],D$83)/$B$82</f>
        <v>0</v>
      </c>
      <c r="E101" s="169">
        <f>COUNTIF(Table9131518[F2],E$83)/$B$82</f>
        <v>0</v>
      </c>
      <c r="F101" s="62">
        <f t="shared" si="7"/>
        <v>1</v>
      </c>
      <c r="H101" s="168" t="s">
        <v>38</v>
      </c>
      <c r="I101" s="169">
        <f>COUNTIFS(Table9131518[Prodi],"S1 Desain Komunikasi Visual",Table9131518[F2],I$83)/$I$82</f>
        <v>0.33333333333333331</v>
      </c>
      <c r="J101" s="169">
        <f>COUNTIFS(Table9131518[Prodi],"S1 Desain Komunikasi Visual",Table9131518[F2],J$83)/$I$82</f>
        <v>0.66666666666666663</v>
      </c>
      <c r="K101" s="169">
        <f>COUNTIFS(Table9131518[Prodi],"S1 Desain Komunikasi Visual",Table9131518[F2],K$83)/$I$82</f>
        <v>0</v>
      </c>
      <c r="L101" s="169">
        <f>COUNTIFS(Table9131518[Prodi],"S1 Desain Komunikasi Visual",Table9131518[F2],L$83)/$I$82</f>
        <v>0</v>
      </c>
      <c r="M101" s="62">
        <f t="shared" si="8"/>
        <v>1</v>
      </c>
      <c r="O101" s="168" t="s">
        <v>38</v>
      </c>
      <c r="P101" s="169" t="e">
        <f>COUNTIFS(Table9131518[Prodi],$P$80,Table9131518[F2],P$83)/$P$82</f>
        <v>#DIV/0!</v>
      </c>
      <c r="Q101" s="169" t="e">
        <f>COUNTIFS(Table9131518[Prodi],$P$80,Table9131518[F2],Q$83)/$P$82</f>
        <v>#DIV/0!</v>
      </c>
      <c r="R101" s="169" t="e">
        <f>COUNTIFS(Table9131518[Prodi],$P$80,Table9131518[F2],R$83)/$P$82</f>
        <v>#DIV/0!</v>
      </c>
      <c r="S101" s="169" t="e">
        <f>COUNTIFS(Table9131518[Prodi],$P$80,Table9131518[F2],S$83)/$P$82</f>
        <v>#DIV/0!</v>
      </c>
      <c r="T101" s="62" t="e">
        <f t="shared" si="9"/>
        <v>#DIV/0!</v>
      </c>
      <c r="U101"/>
      <c r="V101" s="168" t="s">
        <v>38</v>
      </c>
      <c r="W101" s="169">
        <f>COUNTIFS(Table9131518[Prodi],$W$80,Table9131518[F2],W$83)/$W$82</f>
        <v>0</v>
      </c>
      <c r="X101" s="169">
        <f>COUNTIFS(Table9131518[Prodi],$W$80,Table9131518[F2],X$83)/$W$82</f>
        <v>1</v>
      </c>
      <c r="Y101" s="169">
        <f>COUNTIFS(Table9131518[Prodi],$W$80,Table9131518[F2],Y$83)/$W$82</f>
        <v>0</v>
      </c>
      <c r="Z101" s="169">
        <f>COUNTIFS(Table9131518[Prodi],$W$80,Table9131518[F2],Z$83)/$W$82</f>
        <v>0</v>
      </c>
      <c r="AA101" s="62">
        <f t="shared" si="10"/>
        <v>1</v>
      </c>
      <c r="AB101"/>
      <c r="AC101"/>
      <c r="AD101"/>
      <c r="AE101"/>
      <c r="AF101"/>
      <c r="AG101"/>
      <c r="AH101"/>
      <c r="AI101"/>
      <c r="AJ101"/>
      <c r="AK101"/>
      <c r="AL101"/>
      <c r="AM101"/>
      <c r="AN101"/>
      <c r="AO101"/>
      <c r="AP101"/>
      <c r="AQ101"/>
      <c r="AR101"/>
    </row>
    <row r="102" spans="1:44" s="118" customFormat="1" ht="16.5" x14ac:dyDescent="0.3">
      <c r="A102" s="168" t="s">
        <v>39</v>
      </c>
      <c r="B102" s="169">
        <f>COUNTIF(Table9131518[F3],B$83)/$B$82</f>
        <v>0.75</v>
      </c>
      <c r="C102" s="169">
        <f>COUNTIF(Table9131518[F3],C$83)/$B$82</f>
        <v>0.25</v>
      </c>
      <c r="D102" s="169">
        <f>COUNTIF(Table9131518[F3],D$83)/$B$82</f>
        <v>0</v>
      </c>
      <c r="E102" s="169">
        <f>COUNTIF(Table9131518[F3],E$83)/$B$82</f>
        <v>0</v>
      </c>
      <c r="F102" s="62">
        <f t="shared" si="7"/>
        <v>1</v>
      </c>
      <c r="H102" s="168" t="s">
        <v>39</v>
      </c>
      <c r="I102" s="169">
        <f>COUNTIFS(Table9131518[Prodi],"S1 Desain Komunikasi Visual",Table9131518[F3],I$83)/$I$82</f>
        <v>0.66666666666666663</v>
      </c>
      <c r="J102" s="169">
        <f>COUNTIFS(Table9131518[Prodi],"S1 Desain Komunikasi Visual",Table9131518[F3],J$83)/$I$82</f>
        <v>0.33333333333333331</v>
      </c>
      <c r="K102" s="169">
        <f>COUNTIFS(Table9131518[Prodi],"S1 Desain Komunikasi Visual",Table9131518[F3],K$83)/$I$82</f>
        <v>0</v>
      </c>
      <c r="L102" s="169">
        <f>COUNTIFS(Table9131518[Prodi],"S1 Desain Komunikasi Visual",Table9131518[F3],L$83)/$I$82</f>
        <v>0</v>
      </c>
      <c r="M102" s="62">
        <f t="shared" si="8"/>
        <v>1</v>
      </c>
      <c r="O102" s="168" t="s">
        <v>39</v>
      </c>
      <c r="P102" s="169" t="e">
        <f>COUNTIFS(Table9131518[Prodi],$P$80,Table9131518[F3],P$83)/$P$82</f>
        <v>#DIV/0!</v>
      </c>
      <c r="Q102" s="169" t="e">
        <f>COUNTIFS(Table9131518[Prodi],$P$80,Table9131518[F3],Q$83)/$P$82</f>
        <v>#DIV/0!</v>
      </c>
      <c r="R102" s="169" t="e">
        <f>COUNTIFS(Table9131518[Prodi],$P$80,Table9131518[F3],R$83)/$P$82</f>
        <v>#DIV/0!</v>
      </c>
      <c r="S102" s="169" t="e">
        <f>COUNTIFS(Table9131518[Prodi],$P$80,Table9131518[F3],S$83)/$P$82</f>
        <v>#DIV/0!</v>
      </c>
      <c r="T102" s="62" t="e">
        <f t="shared" si="9"/>
        <v>#DIV/0!</v>
      </c>
      <c r="U102"/>
      <c r="V102" s="168" t="s">
        <v>39</v>
      </c>
      <c r="W102" s="169">
        <f>COUNTIFS(Table9131518[Prodi],$W$80,Table9131518[F3],W$83)/$W$82</f>
        <v>1</v>
      </c>
      <c r="X102" s="169">
        <f>COUNTIFS(Table9131518[Prodi],$W$80,Table9131518[F3],X$83)/$W$82</f>
        <v>0</v>
      </c>
      <c r="Y102" s="169">
        <f>COUNTIFS(Table9131518[Prodi],$W$80,Table9131518[F3],Y$83)/$W$82</f>
        <v>0</v>
      </c>
      <c r="Z102" s="169">
        <f>COUNTIFS(Table9131518[Prodi],$W$80,Table9131518[F3],Z$83)/$W$82</f>
        <v>0</v>
      </c>
      <c r="AA102" s="62">
        <f t="shared" si="10"/>
        <v>1</v>
      </c>
      <c r="AB102"/>
      <c r="AC102"/>
      <c r="AD102"/>
      <c r="AE102"/>
      <c r="AF102"/>
      <c r="AG102"/>
      <c r="AH102"/>
      <c r="AI102"/>
      <c r="AJ102"/>
      <c r="AK102"/>
      <c r="AL102"/>
      <c r="AM102"/>
      <c r="AN102"/>
      <c r="AO102"/>
      <c r="AP102"/>
      <c r="AQ102"/>
      <c r="AR102"/>
    </row>
    <row r="103" spans="1:44" s="118" customFormat="1" ht="16.5" x14ac:dyDescent="0.3">
      <c r="A103" s="171"/>
      <c r="B103" s="61">
        <f>AVERAGE(B100:B102)</f>
        <v>0.41666666666666669</v>
      </c>
      <c r="C103" s="61">
        <f>AVERAGE(C100:C102)</f>
        <v>0.58333333333333337</v>
      </c>
      <c r="D103" s="61">
        <f>AVERAGE(D100:D102)</f>
        <v>0</v>
      </c>
      <c r="E103" s="61">
        <f>AVERAGE(E100:E102)</f>
        <v>0</v>
      </c>
      <c r="F103" s="62">
        <f>SUM(B103:E103)</f>
        <v>1</v>
      </c>
      <c r="H103" s="171"/>
      <c r="I103" s="61">
        <f>AVERAGE(I100:I102)</f>
        <v>0.33333333333333331</v>
      </c>
      <c r="J103" s="61">
        <f>AVERAGE(J100:J102)</f>
        <v>0.66666666666666663</v>
      </c>
      <c r="K103" s="61">
        <f>AVERAGE(K100:K102)</f>
        <v>0</v>
      </c>
      <c r="L103" s="61">
        <f>AVERAGE(L100:L102)</f>
        <v>0</v>
      </c>
      <c r="M103" s="62">
        <f>SUM(I103:L103)</f>
        <v>1</v>
      </c>
      <c r="O103" s="171"/>
      <c r="P103" s="61" t="e">
        <f>AVERAGE(P100:P102)</f>
        <v>#DIV/0!</v>
      </c>
      <c r="Q103" s="61" t="e">
        <f>AVERAGE(Q100:Q102)</f>
        <v>#DIV/0!</v>
      </c>
      <c r="R103" s="61" t="e">
        <f>AVERAGE(R100:R102)</f>
        <v>#DIV/0!</v>
      </c>
      <c r="S103" s="61" t="e">
        <f>AVERAGE(S100:S102)</f>
        <v>#DIV/0!</v>
      </c>
      <c r="T103" s="62" t="e">
        <f>SUM(P103:S103)</f>
        <v>#DIV/0!</v>
      </c>
      <c r="U103"/>
      <c r="V103" s="171"/>
      <c r="W103" s="61">
        <f>AVERAGE(W100:W102)</f>
        <v>0.66666666666666663</v>
      </c>
      <c r="X103" s="61">
        <f>AVERAGE(X100:X102)</f>
        <v>0.33333333333333331</v>
      </c>
      <c r="Y103" s="61">
        <f>AVERAGE(Y100:Y102)</f>
        <v>0</v>
      </c>
      <c r="Z103" s="61">
        <f>AVERAGE(Z100:Z102)</f>
        <v>0</v>
      </c>
      <c r="AA103" s="62">
        <f>SUM(W103:Z103)</f>
        <v>1</v>
      </c>
      <c r="AB103"/>
      <c r="AC103"/>
      <c r="AD103"/>
      <c r="AE103"/>
      <c r="AF103"/>
      <c r="AG103"/>
      <c r="AH103"/>
      <c r="AI103"/>
      <c r="AJ103"/>
      <c r="AK103"/>
      <c r="AL103"/>
      <c r="AM103"/>
      <c r="AN103"/>
      <c r="AO103"/>
      <c r="AP103"/>
      <c r="AQ103"/>
      <c r="AR103"/>
    </row>
    <row r="104" spans="1:44" s="118" customFormat="1" ht="16.5" x14ac:dyDescent="0.3">
      <c r="A104" s="168" t="s">
        <v>40</v>
      </c>
      <c r="B104" s="169">
        <f>COUNTIF(Table9131518[G1],B$83)/$B$82</f>
        <v>0.75</v>
      </c>
      <c r="C104" s="169">
        <f>COUNTIF(Table9131518[G1],C$83)/$B$82</f>
        <v>0.25</v>
      </c>
      <c r="D104" s="169">
        <f>COUNTIF(Table9131518[G1],D$83)/$B$82</f>
        <v>0</v>
      </c>
      <c r="E104" s="169">
        <f>COUNTIF(Table9131518[G1],E$83)/$B$82</f>
        <v>0</v>
      </c>
      <c r="F104" s="62">
        <f t="shared" si="7"/>
        <v>1</v>
      </c>
      <c r="H104" s="168" t="s">
        <v>40</v>
      </c>
      <c r="I104" s="169">
        <f>COUNTIFS(Table9131518[Prodi],"S1 Desain Komunikasi Visual",Table9131518[G1],I$83)/$I$82</f>
        <v>0.66666666666666663</v>
      </c>
      <c r="J104" s="169">
        <f>COUNTIFS(Table9131518[Prodi],"S1 Desain Komunikasi Visual",Table9131518[G1],J$83)/$I$82</f>
        <v>0.33333333333333331</v>
      </c>
      <c r="K104" s="169">
        <f>COUNTIFS(Table9131518[Prodi],"S1 Desain Komunikasi Visual",Table9131518[G1],K$83)/$I$82</f>
        <v>0</v>
      </c>
      <c r="L104" s="169">
        <f>COUNTIFS(Table9131518[Prodi],"S1 Desain Komunikasi Visual",Table9131518[G1],L$83)/$I$82</f>
        <v>0</v>
      </c>
      <c r="M104" s="62">
        <f t="shared" ref="M104:M123" si="11">SUM(I104:L104)</f>
        <v>1</v>
      </c>
      <c r="O104" s="168" t="s">
        <v>40</v>
      </c>
      <c r="P104" s="169" t="e">
        <f>COUNTIFS(Table9131518[Prodi],$P$80,Table9131518[G1],P$83)/$P$82</f>
        <v>#DIV/0!</v>
      </c>
      <c r="Q104" s="169" t="e">
        <f>COUNTIFS(Table9131518[Prodi],$P$80,Table9131518[G1],Q$83)/$P$82</f>
        <v>#DIV/0!</v>
      </c>
      <c r="R104" s="169" t="e">
        <f>COUNTIFS(Table9131518[Prodi],$P$80,Table9131518[G1],R$83)/$P$82</f>
        <v>#DIV/0!</v>
      </c>
      <c r="S104" s="169" t="e">
        <f>COUNTIFS(Table9131518[Prodi],$P$80,Table9131518[G1],S$83)/$P$82</f>
        <v>#DIV/0!</v>
      </c>
      <c r="T104" s="62" t="e">
        <f t="shared" ref="T104:T123" si="12">SUM(P104:S104)</f>
        <v>#DIV/0!</v>
      </c>
      <c r="U104"/>
      <c r="V104" s="168" t="s">
        <v>40</v>
      </c>
      <c r="W104" s="169">
        <f>COUNTIFS(Table9131518[Prodi],$W$80,Table9131518[G1],W$83)/$W$82</f>
        <v>1</v>
      </c>
      <c r="X104" s="169">
        <f>COUNTIFS(Table9131518[Prodi],$W$80,Table9131518[G1],X$83)/$W$82</f>
        <v>0</v>
      </c>
      <c r="Y104" s="169">
        <f>COUNTIFS(Table9131518[Prodi],$W$80,Table9131518[G1],Y$83)/$W$82</f>
        <v>0</v>
      </c>
      <c r="Z104" s="169">
        <f>COUNTIFS(Table9131518[Prodi],$W$80,Table9131518[G1],Z$83)/$W$82</f>
        <v>0</v>
      </c>
      <c r="AA104" s="62">
        <f t="shared" ref="AA104:AA123" si="13">SUM(W104:Z104)</f>
        <v>1</v>
      </c>
      <c r="AB104"/>
      <c r="AC104"/>
      <c r="AD104"/>
      <c r="AE104"/>
      <c r="AF104"/>
      <c r="AG104"/>
      <c r="AH104"/>
      <c r="AI104"/>
      <c r="AJ104"/>
      <c r="AK104"/>
      <c r="AL104"/>
      <c r="AM104"/>
      <c r="AN104"/>
      <c r="AO104"/>
      <c r="AP104"/>
      <c r="AQ104"/>
      <c r="AR104"/>
    </row>
    <row r="105" spans="1:44" s="118" customFormat="1" ht="16.5" x14ac:dyDescent="0.3">
      <c r="A105" s="172" t="s">
        <v>41</v>
      </c>
      <c r="B105" s="169">
        <f>COUNTIF(Table9131518[G2],B$83)/$B$82</f>
        <v>0.5</v>
      </c>
      <c r="C105" s="169">
        <f>COUNTIF(Table9131518[G2],C$83)/$B$82</f>
        <v>0.5</v>
      </c>
      <c r="D105" s="169">
        <f>COUNTIF(Table9131518[G2],D$83)/$B$82</f>
        <v>0</v>
      </c>
      <c r="E105" s="169">
        <f>COUNTIF(Table9131518[G2],E$83)/$B$82</f>
        <v>0</v>
      </c>
      <c r="F105" s="62">
        <f t="shared" si="7"/>
        <v>1</v>
      </c>
      <c r="H105" s="172" t="s">
        <v>41</v>
      </c>
      <c r="I105" s="169">
        <f>COUNTIFS(Table9131518[Prodi],"S1 Desain Komunikasi Visual",Table9131518[G2],I$83)/$I$82</f>
        <v>0.66666666666666663</v>
      </c>
      <c r="J105" s="169">
        <f>COUNTIFS(Table9131518[Prodi],"S1 Desain Komunikasi Visual",Table9131518[G2],J$83)/$I$82</f>
        <v>0.33333333333333331</v>
      </c>
      <c r="K105" s="169">
        <f>COUNTIFS(Table9131518[Prodi],"S1 Desain Komunikasi Visual",Table9131518[G2],K$83)/$I$82</f>
        <v>0</v>
      </c>
      <c r="L105" s="169">
        <f>COUNTIFS(Table9131518[Prodi],"S1 Desain Komunikasi Visual",Table9131518[G2],L$83)/$I$82</f>
        <v>0</v>
      </c>
      <c r="M105" s="62">
        <f t="shared" si="11"/>
        <v>1</v>
      </c>
      <c r="O105" s="172" t="s">
        <v>41</v>
      </c>
      <c r="P105" s="169" t="e">
        <f>COUNTIFS(Table9131518[Prodi],$P$80,Table9131518[G2],P$83)/$P$82</f>
        <v>#DIV/0!</v>
      </c>
      <c r="Q105" s="169" t="e">
        <f>COUNTIFS(Table9131518[Prodi],$P$80,Table9131518[G2],Q$83)/$P$82</f>
        <v>#DIV/0!</v>
      </c>
      <c r="R105" s="169" t="e">
        <f>COUNTIFS(Table9131518[Prodi],$P$80,Table9131518[G2],R$83)/$P$82</f>
        <v>#DIV/0!</v>
      </c>
      <c r="S105" s="169" t="e">
        <f>COUNTIFS(Table9131518[Prodi],$P$80,Table9131518[G2],S$83)/$P$82</f>
        <v>#DIV/0!</v>
      </c>
      <c r="T105" s="62" t="e">
        <f t="shared" si="12"/>
        <v>#DIV/0!</v>
      </c>
      <c r="U105"/>
      <c r="V105" s="172" t="s">
        <v>41</v>
      </c>
      <c r="W105" s="169">
        <f>COUNTIFS(Table9131518[Prodi],$W$80,Table9131518[G2],W$83)/$W$82</f>
        <v>0</v>
      </c>
      <c r="X105" s="169">
        <f>COUNTIFS(Table9131518[Prodi],$W$80,Table9131518[G2],X$83)/$W$82</f>
        <v>1</v>
      </c>
      <c r="Y105" s="169">
        <f>COUNTIFS(Table9131518[Prodi],$W$80,Table9131518[G2],Y$83)/$W$82</f>
        <v>0</v>
      </c>
      <c r="Z105" s="169">
        <f>COUNTIFS(Table9131518[Prodi],$W$80,Table9131518[G2],Z$83)/$W$82</f>
        <v>0</v>
      </c>
      <c r="AA105" s="62">
        <f t="shared" si="13"/>
        <v>1</v>
      </c>
      <c r="AB105"/>
      <c r="AC105"/>
      <c r="AD105"/>
      <c r="AE105"/>
      <c r="AF105"/>
      <c r="AG105"/>
      <c r="AH105"/>
      <c r="AI105"/>
      <c r="AJ105"/>
      <c r="AK105"/>
      <c r="AL105"/>
      <c r="AM105"/>
      <c r="AN105"/>
      <c r="AO105"/>
      <c r="AP105"/>
      <c r="AQ105"/>
      <c r="AR105"/>
    </row>
    <row r="106" spans="1:44" s="118" customFormat="1" ht="16.5" x14ac:dyDescent="0.3">
      <c r="A106" s="168" t="s">
        <v>1172</v>
      </c>
      <c r="B106" s="169">
        <f>COUNTIF(Table9131518[G3],B$83)/$B$82</f>
        <v>0.75</v>
      </c>
      <c r="C106" s="169">
        <f>COUNTIF(Table9131518[G3],C$83)/$B$82</f>
        <v>0.25</v>
      </c>
      <c r="D106" s="169">
        <f>COUNTIF(Table9131518[G3],D$83)/$B$82</f>
        <v>0</v>
      </c>
      <c r="E106" s="169">
        <f>COUNTIF(Table9131518[G3],E$83)/$B$82</f>
        <v>0</v>
      </c>
      <c r="F106" s="62">
        <f t="shared" si="7"/>
        <v>1</v>
      </c>
      <c r="H106" s="168" t="s">
        <v>1172</v>
      </c>
      <c r="I106" s="169">
        <f>COUNTIFS(Table9131518[Prodi],"S1 Desain Komunikasi Visual",Table9131518[G3],I$83)/$I$82</f>
        <v>0.66666666666666663</v>
      </c>
      <c r="J106" s="169">
        <f>COUNTIFS(Table9131518[Prodi],"S1 Desain Komunikasi Visual",Table9131518[G3],J$83)/$I$82</f>
        <v>0.33333333333333331</v>
      </c>
      <c r="K106" s="169">
        <f>COUNTIFS(Table9131518[Prodi],"S1 Desain Komunikasi Visual",Table9131518[G3],K$83)/$I$82</f>
        <v>0</v>
      </c>
      <c r="L106" s="169">
        <f>COUNTIFS(Table9131518[Prodi],"S1 Desain Komunikasi Visual",Table9131518[G3],L$83)/$I$82</f>
        <v>0</v>
      </c>
      <c r="M106" s="62">
        <f t="shared" si="11"/>
        <v>1</v>
      </c>
      <c r="O106" s="168" t="s">
        <v>1172</v>
      </c>
      <c r="P106" s="169" t="e">
        <f>COUNTIFS(Table9131518[Prodi],$P$80,Table9131518[G3],P$83)/$P$82</f>
        <v>#DIV/0!</v>
      </c>
      <c r="Q106" s="169" t="e">
        <f>COUNTIFS(Table9131518[Prodi],$P$80,Table9131518[G3],Q$83)/$P$82</f>
        <v>#DIV/0!</v>
      </c>
      <c r="R106" s="169" t="e">
        <f>COUNTIFS(Table9131518[Prodi],$P$80,Table9131518[G3],R$83)/$P$82</f>
        <v>#DIV/0!</v>
      </c>
      <c r="S106" s="169" t="e">
        <f>COUNTIFS(Table9131518[Prodi],$P$80,Table9131518[G3],S$83)/$P$82</f>
        <v>#DIV/0!</v>
      </c>
      <c r="T106" s="62" t="e">
        <f t="shared" si="12"/>
        <v>#DIV/0!</v>
      </c>
      <c r="U106"/>
      <c r="V106" s="168" t="s">
        <v>1172</v>
      </c>
      <c r="W106" s="169">
        <f>COUNTIFS(Table9131518[Prodi],$W$80,Table9131518[G3],W$83)/$W$82</f>
        <v>1</v>
      </c>
      <c r="X106" s="169">
        <f>COUNTIFS(Table9131518[Prodi],$W$80,Table9131518[G3],X$83)/$W$82</f>
        <v>0</v>
      </c>
      <c r="Y106" s="169">
        <f>COUNTIFS(Table9131518[Prodi],$W$80,Table9131518[G3],Y$83)/$W$82</f>
        <v>0</v>
      </c>
      <c r="Z106" s="169">
        <f>COUNTIFS(Table9131518[Prodi],$W$80,Table9131518[G3],Z$83)/$W$82</f>
        <v>0</v>
      </c>
      <c r="AA106" s="62">
        <f t="shared" si="13"/>
        <v>1</v>
      </c>
      <c r="AB106"/>
      <c r="AC106"/>
      <c r="AD106"/>
      <c r="AE106"/>
      <c r="AF106"/>
      <c r="AG106"/>
      <c r="AH106"/>
      <c r="AI106"/>
      <c r="AJ106"/>
      <c r="AK106"/>
      <c r="AL106"/>
      <c r="AM106"/>
      <c r="AN106"/>
      <c r="AO106"/>
      <c r="AP106"/>
      <c r="AQ106"/>
      <c r="AR106"/>
    </row>
    <row r="107" spans="1:44" s="118" customFormat="1" ht="16.5" x14ac:dyDescent="0.3">
      <c r="A107" s="171"/>
      <c r="B107" s="61">
        <f>AVERAGE(B104:B106)</f>
        <v>0.66666666666666663</v>
      </c>
      <c r="C107" s="61">
        <f>AVERAGE(C104:C106)</f>
        <v>0.33333333333333331</v>
      </c>
      <c r="D107" s="61">
        <f>AVERAGE(D104:D106)</f>
        <v>0</v>
      </c>
      <c r="E107" s="61">
        <f>AVERAGE(E104:E106)</f>
        <v>0</v>
      </c>
      <c r="F107" s="62">
        <f t="shared" si="7"/>
        <v>1</v>
      </c>
      <c r="H107" s="171"/>
      <c r="I107" s="61">
        <f>AVERAGE(I104:I106)</f>
        <v>0.66666666666666663</v>
      </c>
      <c r="J107" s="61">
        <f>AVERAGE(J104:J106)</f>
        <v>0.33333333333333331</v>
      </c>
      <c r="K107" s="61">
        <f>AVERAGE(K104:K106)</f>
        <v>0</v>
      </c>
      <c r="L107" s="61">
        <f>AVERAGE(L104:L106)</f>
        <v>0</v>
      </c>
      <c r="M107" s="62">
        <f t="shared" si="11"/>
        <v>1</v>
      </c>
      <c r="O107" s="171"/>
      <c r="P107" s="61" t="e">
        <f>AVERAGE(P104:P106)</f>
        <v>#DIV/0!</v>
      </c>
      <c r="Q107" s="61" t="e">
        <f>AVERAGE(Q104:Q106)</f>
        <v>#DIV/0!</v>
      </c>
      <c r="R107" s="61" t="e">
        <f>AVERAGE(R104:R106)</f>
        <v>#DIV/0!</v>
      </c>
      <c r="S107" s="61" t="e">
        <f>AVERAGE(S104:S106)</f>
        <v>#DIV/0!</v>
      </c>
      <c r="T107" s="62" t="e">
        <f t="shared" si="12"/>
        <v>#DIV/0!</v>
      </c>
      <c r="U107"/>
      <c r="V107" s="171"/>
      <c r="W107" s="61">
        <f>AVERAGE(W104:W106)</f>
        <v>0.66666666666666663</v>
      </c>
      <c r="X107" s="61">
        <f>AVERAGE(X104:X106)</f>
        <v>0.33333333333333331</v>
      </c>
      <c r="Y107" s="61">
        <f>AVERAGE(Y104:Y106)</f>
        <v>0</v>
      </c>
      <c r="Z107" s="61">
        <f>AVERAGE(Z104:Z106)</f>
        <v>0</v>
      </c>
      <c r="AA107" s="62">
        <f t="shared" si="13"/>
        <v>1</v>
      </c>
      <c r="AB107"/>
      <c r="AC107"/>
      <c r="AD107"/>
      <c r="AE107"/>
      <c r="AF107"/>
      <c r="AG107"/>
      <c r="AH107"/>
      <c r="AI107"/>
      <c r="AJ107"/>
      <c r="AK107"/>
      <c r="AL107"/>
      <c r="AM107"/>
      <c r="AN107"/>
      <c r="AO107"/>
      <c r="AP107"/>
      <c r="AQ107"/>
      <c r="AR107"/>
    </row>
    <row r="108" spans="1:44" s="118" customFormat="1" ht="16.5" x14ac:dyDescent="0.3">
      <c r="A108" s="168" t="s">
        <v>42</v>
      </c>
      <c r="B108" s="169">
        <f>COUNTIF(Table9131518[H1],B$83)/$B$82</f>
        <v>0.75</v>
      </c>
      <c r="C108" s="169">
        <f>COUNTIF(Table9131518[H1],C$83)/$B$82</f>
        <v>0.25</v>
      </c>
      <c r="D108" s="169">
        <f>COUNTIF(Table9131518[H1],D$83)/$B$82</f>
        <v>0</v>
      </c>
      <c r="E108" s="169">
        <f>COUNTIF(Table9131518[H1],E$83)/$B$82</f>
        <v>0</v>
      </c>
      <c r="F108" s="62">
        <f t="shared" si="7"/>
        <v>1</v>
      </c>
      <c r="H108" s="168" t="s">
        <v>42</v>
      </c>
      <c r="I108" s="169">
        <f>COUNTIFS(Table9131518[Prodi],"S1 Desain Komunikasi Visual",Table9131518[H1],I$83)/$I$82</f>
        <v>0.66666666666666663</v>
      </c>
      <c r="J108" s="169">
        <f>COUNTIFS(Table9131518[Prodi],"S1 Desain Komunikasi Visual",Table9131518[H1],J$83)/$I$82</f>
        <v>0.33333333333333331</v>
      </c>
      <c r="K108" s="169">
        <f>COUNTIFS(Table9131518[Prodi],"S1 Desain Komunikasi Visual",Table9131518[H1],K$83)/$I$82</f>
        <v>0</v>
      </c>
      <c r="L108" s="169">
        <f>COUNTIFS(Table9131518[Prodi],"S1 Desain Komunikasi Visual",Table9131518[H1],L$83)/$I$82</f>
        <v>0</v>
      </c>
      <c r="M108" s="62">
        <f t="shared" si="11"/>
        <v>1</v>
      </c>
      <c r="O108" s="168" t="s">
        <v>42</v>
      </c>
      <c r="P108" s="169" t="e">
        <f>COUNTIFS(Table9131518[Prodi],$P$80,Table9131518[H1],P$83)/$P$82</f>
        <v>#DIV/0!</v>
      </c>
      <c r="Q108" s="169" t="e">
        <f>COUNTIFS(Table9131518[Prodi],$P$80,Table9131518[H1],Q$83)/$P$82</f>
        <v>#DIV/0!</v>
      </c>
      <c r="R108" s="169" t="e">
        <f>COUNTIFS(Table9131518[Prodi],$P$80,Table9131518[H1],R$83)/$P$82</f>
        <v>#DIV/0!</v>
      </c>
      <c r="S108" s="169" t="e">
        <f>COUNTIFS(Table9131518[Prodi],$P$80,Table9131518[H1],S$83)/$P$82</f>
        <v>#DIV/0!</v>
      </c>
      <c r="T108" s="62" t="e">
        <f t="shared" si="12"/>
        <v>#DIV/0!</v>
      </c>
      <c r="U108"/>
      <c r="V108" s="168" t="s">
        <v>42</v>
      </c>
      <c r="W108" s="169">
        <f>COUNTIFS(Table9131518[Prodi],$W$80,Table9131518[H1],W$83)/$W$82</f>
        <v>1</v>
      </c>
      <c r="X108" s="169">
        <f>COUNTIFS(Table9131518[Prodi],$W$80,Table9131518[H1],X$83)/$W$82</f>
        <v>0</v>
      </c>
      <c r="Y108" s="169">
        <f>COUNTIFS(Table9131518[Prodi],$W$80,Table9131518[H1],Y$83)/$W$82</f>
        <v>0</v>
      </c>
      <c r="Z108" s="169">
        <f>COUNTIFS(Table9131518[Prodi],$W$80,Table9131518[H1],Z$83)/$W$82</f>
        <v>0</v>
      </c>
      <c r="AA108" s="62">
        <f t="shared" si="13"/>
        <v>1</v>
      </c>
      <c r="AB108"/>
      <c r="AC108"/>
      <c r="AD108"/>
      <c r="AE108"/>
      <c r="AF108"/>
      <c r="AG108"/>
      <c r="AH108"/>
      <c r="AI108"/>
      <c r="AJ108"/>
      <c r="AK108"/>
      <c r="AL108"/>
      <c r="AM108"/>
      <c r="AN108"/>
      <c r="AO108"/>
      <c r="AP108"/>
      <c r="AQ108"/>
      <c r="AR108"/>
    </row>
    <row r="109" spans="1:44" s="118" customFormat="1" ht="16.5" x14ac:dyDescent="0.3">
      <c r="A109" s="172" t="s">
        <v>43</v>
      </c>
      <c r="B109" s="169">
        <f>COUNTIF(Table9131518[H2],B$83)/$B$82</f>
        <v>0.25</v>
      </c>
      <c r="C109" s="169">
        <f>COUNTIF(Table9131518[H2],C$83)/$B$82</f>
        <v>0.75</v>
      </c>
      <c r="D109" s="169">
        <f>COUNTIF(Table9131518[H2],D$83)/$B$82</f>
        <v>0</v>
      </c>
      <c r="E109" s="169">
        <f>COUNTIF(Table9131518[H2],E$83)/$B$82</f>
        <v>0</v>
      </c>
      <c r="F109" s="62">
        <f t="shared" si="7"/>
        <v>1</v>
      </c>
      <c r="H109" s="172" t="s">
        <v>43</v>
      </c>
      <c r="I109" s="169">
        <f>COUNTIFS(Table9131518[Prodi],"S1 Desain Komunikasi Visual",Table9131518[H2],I$83)/$I$82</f>
        <v>0.33333333333333331</v>
      </c>
      <c r="J109" s="169">
        <f>COUNTIFS(Table9131518[Prodi],"S1 Desain Komunikasi Visual",Table9131518[H2],J$83)/$I$82</f>
        <v>0.66666666666666663</v>
      </c>
      <c r="K109" s="169">
        <f>COUNTIFS(Table9131518[Prodi],"S1 Desain Komunikasi Visual",Table9131518[H2],K$83)/$I$82</f>
        <v>0</v>
      </c>
      <c r="L109" s="169">
        <f>COUNTIFS(Table9131518[Prodi],"S1 Desain Komunikasi Visual",Table9131518[H2],L$83)/$I$82</f>
        <v>0</v>
      </c>
      <c r="M109" s="62">
        <f t="shared" si="11"/>
        <v>1</v>
      </c>
      <c r="O109" s="172" t="s">
        <v>43</v>
      </c>
      <c r="P109" s="169" t="e">
        <f>COUNTIFS(Table9131518[Prodi],$P$80,Table9131518[H2],P$83)/$P$82</f>
        <v>#DIV/0!</v>
      </c>
      <c r="Q109" s="169" t="e">
        <f>COUNTIFS(Table9131518[Prodi],$P$80,Table9131518[H2],Q$83)/$P$82</f>
        <v>#DIV/0!</v>
      </c>
      <c r="R109" s="169" t="e">
        <f>COUNTIFS(Table9131518[Prodi],$P$80,Table9131518[H2],R$83)/$P$82</f>
        <v>#DIV/0!</v>
      </c>
      <c r="S109" s="169" t="e">
        <f>COUNTIFS(Table9131518[Prodi],$P$80,Table9131518[H2],S$83)/$P$82</f>
        <v>#DIV/0!</v>
      </c>
      <c r="T109" s="62" t="e">
        <f t="shared" si="12"/>
        <v>#DIV/0!</v>
      </c>
      <c r="U109"/>
      <c r="V109" s="172" t="s">
        <v>43</v>
      </c>
      <c r="W109" s="169">
        <f>COUNTIFS(Table9131518[Prodi],$W$80,Table9131518[H2],W$83)/$W$82</f>
        <v>0</v>
      </c>
      <c r="X109" s="169">
        <f>COUNTIFS(Table9131518[Prodi],$W$80,Table9131518[H2],X$83)/$W$82</f>
        <v>1</v>
      </c>
      <c r="Y109" s="169">
        <f>COUNTIFS(Table9131518[Prodi],$W$80,Table9131518[H2],Y$83)/$W$82</f>
        <v>0</v>
      </c>
      <c r="Z109" s="169">
        <f>COUNTIFS(Table9131518[Prodi],$W$80,Table9131518[H2],Z$83)/$W$82</f>
        <v>0</v>
      </c>
      <c r="AA109" s="62">
        <f t="shared" si="13"/>
        <v>1</v>
      </c>
      <c r="AB109"/>
      <c r="AC109"/>
      <c r="AD109"/>
      <c r="AE109"/>
      <c r="AF109"/>
      <c r="AG109"/>
      <c r="AH109"/>
      <c r="AI109"/>
      <c r="AJ109"/>
      <c r="AK109"/>
      <c r="AL109"/>
      <c r="AM109"/>
      <c r="AN109"/>
      <c r="AO109"/>
      <c r="AP109"/>
      <c r="AQ109"/>
      <c r="AR109"/>
    </row>
    <row r="110" spans="1:44" s="118" customFormat="1" ht="16.5" x14ac:dyDescent="0.3">
      <c r="A110" s="168" t="s">
        <v>44</v>
      </c>
      <c r="B110" s="169">
        <f>COUNTIF(Table9131518[H3],B$83)/$B$82</f>
        <v>0.25</v>
      </c>
      <c r="C110" s="169">
        <f>COUNTIF(Table9131518[H3],C$83)/$B$82</f>
        <v>0.75</v>
      </c>
      <c r="D110" s="169">
        <f>COUNTIF(Table9131518[H3],D$83)/$B$82</f>
        <v>0</v>
      </c>
      <c r="E110" s="169">
        <f>COUNTIF(Table9131518[H3],E$83)/$B$82</f>
        <v>0</v>
      </c>
      <c r="F110" s="62">
        <f t="shared" si="7"/>
        <v>1</v>
      </c>
      <c r="H110" s="168" t="s">
        <v>44</v>
      </c>
      <c r="I110" s="169">
        <f>COUNTIFS(Table9131518[Prodi],"S1 Desain Komunikasi Visual",Table9131518[H3],I$83)/$I$82</f>
        <v>0.33333333333333331</v>
      </c>
      <c r="J110" s="169">
        <f>COUNTIFS(Table9131518[Prodi],"S1 Desain Komunikasi Visual",Table9131518[H3],J$83)/$I$82</f>
        <v>0.66666666666666663</v>
      </c>
      <c r="K110" s="169">
        <f>COUNTIFS(Table9131518[Prodi],"S1 Desain Komunikasi Visual",Table9131518[H3],K$83)/$I$82</f>
        <v>0</v>
      </c>
      <c r="L110" s="169">
        <f>COUNTIFS(Table9131518[Prodi],"S1 Desain Komunikasi Visual",Table9131518[H3],L$83)/$I$82</f>
        <v>0</v>
      </c>
      <c r="M110" s="62">
        <f t="shared" si="11"/>
        <v>1</v>
      </c>
      <c r="O110" s="168" t="s">
        <v>44</v>
      </c>
      <c r="P110" s="169" t="e">
        <f>COUNTIFS(Table9131518[Prodi],$P$80,Table9131518[H3],P$83)/$P$82</f>
        <v>#DIV/0!</v>
      </c>
      <c r="Q110" s="169" t="e">
        <f>COUNTIFS(Table9131518[Prodi],$P$80,Table9131518[H3],Q$83)/$P$82</f>
        <v>#DIV/0!</v>
      </c>
      <c r="R110" s="169" t="e">
        <f>COUNTIFS(Table9131518[Prodi],$P$80,Table9131518[H3],R$83)/$P$82</f>
        <v>#DIV/0!</v>
      </c>
      <c r="S110" s="169" t="e">
        <f>COUNTIFS(Table9131518[Prodi],$P$80,Table9131518[H3],S$83)/$P$82</f>
        <v>#DIV/0!</v>
      </c>
      <c r="T110" s="62" t="e">
        <f t="shared" si="12"/>
        <v>#DIV/0!</v>
      </c>
      <c r="U110"/>
      <c r="V110" s="168" t="s">
        <v>44</v>
      </c>
      <c r="W110" s="169">
        <f>COUNTIFS(Table9131518[Prodi],$W$80,Table9131518[H3],W$83)/$W$82</f>
        <v>0</v>
      </c>
      <c r="X110" s="169">
        <f>COUNTIFS(Table9131518[Prodi],$W$80,Table9131518[H3],X$83)/$W$82</f>
        <v>1</v>
      </c>
      <c r="Y110" s="169">
        <f>COUNTIFS(Table9131518[Prodi],$W$80,Table9131518[H3],Y$83)/$W$82</f>
        <v>0</v>
      </c>
      <c r="Z110" s="169">
        <f>COUNTIFS(Table9131518[Prodi],$W$80,Table9131518[H3],Z$83)/$W$82</f>
        <v>0</v>
      </c>
      <c r="AA110" s="62">
        <f t="shared" si="13"/>
        <v>1</v>
      </c>
      <c r="AB110"/>
      <c r="AC110"/>
      <c r="AD110"/>
      <c r="AE110"/>
      <c r="AF110"/>
      <c r="AG110"/>
      <c r="AH110"/>
      <c r="AI110"/>
      <c r="AJ110"/>
      <c r="AK110"/>
      <c r="AL110"/>
      <c r="AM110"/>
      <c r="AN110"/>
      <c r="AO110"/>
      <c r="AP110"/>
      <c r="AQ110"/>
      <c r="AR110"/>
    </row>
    <row r="111" spans="1:44" s="118" customFormat="1" ht="16.5" x14ac:dyDescent="0.3">
      <c r="A111" s="168" t="s">
        <v>45</v>
      </c>
      <c r="B111" s="169">
        <f>COUNTIF(Table9131518[H4],B$83)/$B$82</f>
        <v>0.75</v>
      </c>
      <c r="C111" s="169">
        <f>COUNTIF(Table9131518[H4],C$83)/$B$82</f>
        <v>0.25</v>
      </c>
      <c r="D111" s="169">
        <f>COUNTIF(Table9131518[H4],D$83)/$B$82</f>
        <v>0</v>
      </c>
      <c r="E111" s="169">
        <f>COUNTIF(Table9131518[H4],E$83)/$B$82</f>
        <v>0</v>
      </c>
      <c r="F111" s="62">
        <f t="shared" si="7"/>
        <v>1</v>
      </c>
      <c r="H111" s="168" t="s">
        <v>45</v>
      </c>
      <c r="I111" s="169">
        <f>COUNTIFS(Table9131518[Prodi],"S1 Desain Komunikasi Visual",Table9131518[H4],I$83)/$I$82</f>
        <v>0.66666666666666663</v>
      </c>
      <c r="J111" s="169">
        <f>COUNTIFS(Table9131518[Prodi],"S1 Desain Komunikasi Visual",Table9131518[H4],J$83)/$I$82</f>
        <v>0.33333333333333331</v>
      </c>
      <c r="K111" s="169">
        <f>COUNTIFS(Table9131518[Prodi],"S1 Desain Komunikasi Visual",Table9131518[H4],K$83)/$I$82</f>
        <v>0</v>
      </c>
      <c r="L111" s="169">
        <f>COUNTIFS(Table9131518[Prodi],"S1 Desain Komunikasi Visual",Table9131518[H4],L$83)/$I$82</f>
        <v>0</v>
      </c>
      <c r="M111" s="62">
        <f t="shared" si="11"/>
        <v>1</v>
      </c>
      <c r="O111" s="168" t="s">
        <v>45</v>
      </c>
      <c r="P111" s="169" t="e">
        <f>COUNTIFS(Table9131518[Prodi],$P$80,Table9131518[H4],P$83)/$P$82</f>
        <v>#DIV/0!</v>
      </c>
      <c r="Q111" s="169" t="e">
        <f>COUNTIFS(Table9131518[Prodi],$P$80,Table9131518[H4],Q$83)/$P$82</f>
        <v>#DIV/0!</v>
      </c>
      <c r="R111" s="169" t="e">
        <f>COUNTIFS(Table9131518[Prodi],$P$80,Table9131518[H4],R$83)/$P$82</f>
        <v>#DIV/0!</v>
      </c>
      <c r="S111" s="169" t="e">
        <f>COUNTIFS(Table9131518[Prodi],$P$80,Table9131518[H4],S$83)/$P$82</f>
        <v>#DIV/0!</v>
      </c>
      <c r="T111" s="62" t="e">
        <f t="shared" si="12"/>
        <v>#DIV/0!</v>
      </c>
      <c r="U111"/>
      <c r="V111" s="168" t="s">
        <v>45</v>
      </c>
      <c r="W111" s="169">
        <f>COUNTIFS(Table9131518[Prodi],$W$80,Table9131518[H4],W$83)/$W$82</f>
        <v>1</v>
      </c>
      <c r="X111" s="169">
        <f>COUNTIFS(Table9131518[Prodi],$W$80,Table9131518[H4],X$83)/$W$82</f>
        <v>0</v>
      </c>
      <c r="Y111" s="169">
        <f>COUNTIFS(Table9131518[Prodi],$W$80,Table9131518[H4],Y$83)/$W$82</f>
        <v>0</v>
      </c>
      <c r="Z111" s="169">
        <f>COUNTIFS(Table9131518[Prodi],$W$80,Table9131518[H4],Z$83)/$W$82</f>
        <v>0</v>
      </c>
      <c r="AA111" s="62">
        <f t="shared" si="13"/>
        <v>1</v>
      </c>
      <c r="AB111"/>
      <c r="AC111"/>
      <c r="AD111"/>
      <c r="AE111"/>
      <c r="AF111"/>
      <c r="AG111"/>
      <c r="AH111"/>
      <c r="AI111"/>
      <c r="AJ111"/>
      <c r="AK111"/>
      <c r="AL111"/>
      <c r="AM111"/>
      <c r="AN111"/>
      <c r="AO111"/>
      <c r="AP111"/>
      <c r="AQ111"/>
      <c r="AR111"/>
    </row>
    <row r="112" spans="1:44" s="118" customFormat="1" ht="16.5" x14ac:dyDescent="0.3">
      <c r="A112" s="171"/>
      <c r="B112" s="61">
        <f>AVERAGE(B108:B111)</f>
        <v>0.5</v>
      </c>
      <c r="C112" s="61">
        <f>AVERAGE(C108:C111)</f>
        <v>0.5</v>
      </c>
      <c r="D112" s="61">
        <f>AVERAGE(D108:D111)</f>
        <v>0</v>
      </c>
      <c r="E112" s="61">
        <f>AVERAGE(E108:E111)</f>
        <v>0</v>
      </c>
      <c r="F112" s="62">
        <f t="shared" si="7"/>
        <v>1</v>
      </c>
      <c r="H112" s="171"/>
      <c r="I112" s="61">
        <f>AVERAGE(I108:I111)</f>
        <v>0.5</v>
      </c>
      <c r="J112" s="61">
        <f>AVERAGE(J108:J111)</f>
        <v>0.49999999999999994</v>
      </c>
      <c r="K112" s="61">
        <f>AVERAGE(K108:K111)</f>
        <v>0</v>
      </c>
      <c r="L112" s="61">
        <f>AVERAGE(L108:L111)</f>
        <v>0</v>
      </c>
      <c r="M112" s="62">
        <f t="shared" si="11"/>
        <v>1</v>
      </c>
      <c r="O112" s="171"/>
      <c r="P112" s="61" t="e">
        <f>AVERAGE(P108:P111)</f>
        <v>#DIV/0!</v>
      </c>
      <c r="Q112" s="61" t="e">
        <f>AVERAGE(Q108:Q111)</f>
        <v>#DIV/0!</v>
      </c>
      <c r="R112" s="61" t="e">
        <f>AVERAGE(R108:R111)</f>
        <v>#DIV/0!</v>
      </c>
      <c r="S112" s="61" t="e">
        <f>AVERAGE(S108:S111)</f>
        <v>#DIV/0!</v>
      </c>
      <c r="T112" s="62" t="e">
        <f t="shared" si="12"/>
        <v>#DIV/0!</v>
      </c>
      <c r="U112"/>
      <c r="V112" s="171"/>
      <c r="W112" s="61">
        <f>AVERAGE(W108:W111)</f>
        <v>0.5</v>
      </c>
      <c r="X112" s="61">
        <f>AVERAGE(X108:X111)</f>
        <v>0.5</v>
      </c>
      <c r="Y112" s="61">
        <f>AVERAGE(Y108:Y111)</f>
        <v>0</v>
      </c>
      <c r="Z112" s="61">
        <f>AVERAGE(Z108:Z111)</f>
        <v>0</v>
      </c>
      <c r="AA112" s="62">
        <f t="shared" si="13"/>
        <v>1</v>
      </c>
      <c r="AB112"/>
      <c r="AC112"/>
      <c r="AD112"/>
      <c r="AE112"/>
      <c r="AF112"/>
      <c r="AG112"/>
      <c r="AH112"/>
      <c r="AI112"/>
      <c r="AJ112"/>
      <c r="AK112"/>
      <c r="AL112"/>
      <c r="AM112"/>
      <c r="AN112"/>
      <c r="AO112"/>
      <c r="AP112"/>
      <c r="AQ112"/>
      <c r="AR112"/>
    </row>
    <row r="113" spans="1:44" s="118" customFormat="1" ht="16.5" x14ac:dyDescent="0.3">
      <c r="A113" s="168" t="s">
        <v>1175</v>
      </c>
      <c r="B113" s="169">
        <f>COUNTIF(Table9131518[I1.1],B$83)/$B$82</f>
        <v>0</v>
      </c>
      <c r="C113" s="169">
        <f>COUNTIF(Table9131518[I1.1],C$83)/$B$82</f>
        <v>0.25</v>
      </c>
      <c r="D113" s="169">
        <f>COUNTIF(Table9131518[I1.1],D$83)/$B$82</f>
        <v>0.25</v>
      </c>
      <c r="E113" s="169">
        <f>COUNTIF(Table9131518[I1.1],E$83)/$B$82</f>
        <v>0.5</v>
      </c>
      <c r="F113" s="62">
        <f t="shared" si="7"/>
        <v>1</v>
      </c>
      <c r="H113" s="168" t="s">
        <v>1175</v>
      </c>
      <c r="I113" s="169">
        <f>COUNTIFS(Table9131518[Prodi],"S1 Desain Komunikasi Visual",Table9131518[I1.1],I$83)/$I$82</f>
        <v>0</v>
      </c>
      <c r="J113" s="169">
        <f>COUNTIFS(Table9131518[Prodi],"S1 Desain Komunikasi Visual",Table9131518[I1.1],J$83)/$I$82</f>
        <v>0.33333333333333331</v>
      </c>
      <c r="K113" s="169">
        <f>COUNTIFS(Table9131518[Prodi],"S1 Desain Komunikasi Visual",Table9131518[I1.1],K$83)/$I$82</f>
        <v>0.33333333333333331</v>
      </c>
      <c r="L113" s="169">
        <f>COUNTIFS(Table9131518[Prodi],"S1 Desain Komunikasi Visual",Table9131518[I1.1],L$83)/$I$82</f>
        <v>0.33333333333333331</v>
      </c>
      <c r="M113" s="62">
        <f t="shared" si="11"/>
        <v>1</v>
      </c>
      <c r="O113" s="168" t="s">
        <v>1175</v>
      </c>
      <c r="P113" s="169" t="e">
        <f>COUNTIFS(Table9131518[Prodi],$P$80,Table9131518[I1.1],P$83)/$P$82</f>
        <v>#DIV/0!</v>
      </c>
      <c r="Q113" s="169" t="e">
        <f>COUNTIFS(Table9131518[Prodi],$P$80,Table9131518[I1.1],Q$83)/$P$82</f>
        <v>#DIV/0!</v>
      </c>
      <c r="R113" s="169" t="e">
        <f>COUNTIFS(Table9131518[Prodi],$P$80,Table9131518[I1.1],R$83)/$P$82</f>
        <v>#DIV/0!</v>
      </c>
      <c r="S113" s="169" t="e">
        <f>COUNTIFS(Table9131518[Prodi],$P$80,Table9131518[I1.1],S$83)/$P$82</f>
        <v>#DIV/0!</v>
      </c>
      <c r="T113" s="62" t="e">
        <f t="shared" si="12"/>
        <v>#DIV/0!</v>
      </c>
      <c r="U113"/>
      <c r="V113" s="168" t="s">
        <v>1175</v>
      </c>
      <c r="W113" s="169">
        <f>COUNTIFS(Table9131518[Prodi],$W$80,Table9131518[I1.1],W$83)/$W$82</f>
        <v>0</v>
      </c>
      <c r="X113" s="169">
        <f>COUNTIFS(Table9131518[Prodi],$W$80,Table9131518[I1.1],X$83)/$W$82</f>
        <v>0</v>
      </c>
      <c r="Y113" s="169">
        <f>COUNTIFS(Table9131518[Prodi],$W$80,Table9131518[I1.1],Y$83)/$W$82</f>
        <v>0</v>
      </c>
      <c r="Z113" s="169">
        <f>COUNTIFS(Table9131518[Prodi],$W$80,Table9131518[I1.1],Z$83)/$W$82</f>
        <v>1</v>
      </c>
      <c r="AA113" s="62">
        <f t="shared" si="13"/>
        <v>1</v>
      </c>
      <c r="AB113"/>
      <c r="AC113"/>
      <c r="AD113"/>
      <c r="AE113"/>
      <c r="AF113"/>
      <c r="AG113"/>
      <c r="AH113"/>
      <c r="AI113"/>
      <c r="AJ113"/>
      <c r="AK113"/>
      <c r="AL113"/>
      <c r="AM113"/>
      <c r="AN113"/>
      <c r="AO113"/>
      <c r="AP113"/>
      <c r="AQ113"/>
      <c r="AR113"/>
    </row>
    <row r="114" spans="1:44" s="118" customFormat="1" ht="16.5" x14ac:dyDescent="0.3">
      <c r="A114" s="172" t="s">
        <v>1176</v>
      </c>
      <c r="B114" s="169">
        <f>COUNTIF(Table9131518[I1.2],B$83)/$B$82</f>
        <v>0</v>
      </c>
      <c r="C114" s="169">
        <f>COUNTIF(Table9131518[I1.2],C$83)/$B$82</f>
        <v>0.25</v>
      </c>
      <c r="D114" s="169">
        <f>COUNTIF(Table9131518[I1.2],D$83)/$B$82</f>
        <v>0.5</v>
      </c>
      <c r="E114" s="169">
        <f>COUNTIF(Table9131518[I1.2],E$83)/$B$82</f>
        <v>0.25</v>
      </c>
      <c r="F114" s="62">
        <f t="shared" si="7"/>
        <v>1</v>
      </c>
      <c r="H114" s="172" t="s">
        <v>1176</v>
      </c>
      <c r="I114" s="169">
        <f>COUNTIFS(Table9131518[Prodi],"S1 Desain Komunikasi Visual",Table9131518[I1.2],I$83)/$I$82</f>
        <v>0</v>
      </c>
      <c r="J114" s="169">
        <f>COUNTIFS(Table9131518[Prodi],"S1 Desain Komunikasi Visual",Table9131518[I1.2],J$83)/$I$82</f>
        <v>0.33333333333333331</v>
      </c>
      <c r="K114" s="169">
        <f>COUNTIFS(Table9131518[Prodi],"S1 Desain Komunikasi Visual",Table9131518[I1.2],K$83)/$I$82</f>
        <v>0.33333333333333331</v>
      </c>
      <c r="L114" s="169">
        <f>COUNTIFS(Table9131518[Prodi],"S1 Desain Komunikasi Visual",Table9131518[I1.2],L$83)/$I$82</f>
        <v>0.33333333333333331</v>
      </c>
      <c r="M114" s="62">
        <f t="shared" si="11"/>
        <v>1</v>
      </c>
      <c r="O114" s="172" t="s">
        <v>1176</v>
      </c>
      <c r="P114" s="169" t="e">
        <f>COUNTIFS(Table9131518[Prodi],$P$80,Table9131518[I1.2],P$83)/$P$82</f>
        <v>#DIV/0!</v>
      </c>
      <c r="Q114" s="169" t="e">
        <f>COUNTIFS(Table9131518[Prodi],$P$80,Table9131518[I1.2],Q$83)/$P$82</f>
        <v>#DIV/0!</v>
      </c>
      <c r="R114" s="169" t="e">
        <f>COUNTIFS(Table9131518[Prodi],$P$80,Table9131518[I1.2],R$83)/$P$82</f>
        <v>#DIV/0!</v>
      </c>
      <c r="S114" s="169" t="e">
        <f>COUNTIFS(Table9131518[Prodi],$P$80,Table9131518[I1.2],S$83)/$P$82</f>
        <v>#DIV/0!</v>
      </c>
      <c r="T114" s="62" t="e">
        <f t="shared" si="12"/>
        <v>#DIV/0!</v>
      </c>
      <c r="U114"/>
      <c r="V114" s="172" t="s">
        <v>1176</v>
      </c>
      <c r="W114" s="169">
        <f>COUNTIFS(Table9131518[Prodi],$W$80,Table9131518[I1.2],W$83)/$W$82</f>
        <v>0</v>
      </c>
      <c r="X114" s="169">
        <f>COUNTIFS(Table9131518[Prodi],$W$80,Table9131518[I1.2],X$83)/$W$82</f>
        <v>0</v>
      </c>
      <c r="Y114" s="169">
        <f>COUNTIFS(Table9131518[Prodi],$W$80,Table9131518[I1.2],Y$83)/$W$82</f>
        <v>1</v>
      </c>
      <c r="Z114" s="169">
        <f>COUNTIFS(Table9131518[Prodi],$W$80,Table9131518[I1.2],Z$83)/$W$82</f>
        <v>0</v>
      </c>
      <c r="AA114" s="62">
        <f t="shared" si="13"/>
        <v>1</v>
      </c>
      <c r="AB114"/>
      <c r="AC114"/>
      <c r="AD114"/>
      <c r="AE114"/>
      <c r="AF114"/>
      <c r="AG114"/>
      <c r="AH114"/>
      <c r="AI114"/>
      <c r="AJ114"/>
      <c r="AK114"/>
      <c r="AL114"/>
      <c r="AM114"/>
      <c r="AN114"/>
      <c r="AO114"/>
      <c r="AP114"/>
      <c r="AQ114"/>
      <c r="AR114"/>
    </row>
    <row r="115" spans="1:44" s="118" customFormat="1" ht="16.5" x14ac:dyDescent="0.3">
      <c r="A115" s="168" t="s">
        <v>1177</v>
      </c>
      <c r="B115" s="169">
        <f>COUNTIF(Table9131518[I1.3],B$83)/$B$82</f>
        <v>0</v>
      </c>
      <c r="C115" s="169">
        <f>COUNTIF(Table9131518[I1.3],C$83)/$B$82</f>
        <v>0.25</v>
      </c>
      <c r="D115" s="169">
        <f>COUNTIF(Table9131518[I1.3],D$83)/$B$82</f>
        <v>0.25</v>
      </c>
      <c r="E115" s="169">
        <f>COUNTIF(Table9131518[I1.3],E$83)/$B$82</f>
        <v>0.5</v>
      </c>
      <c r="F115" s="62">
        <f t="shared" si="7"/>
        <v>1</v>
      </c>
      <c r="H115" s="168" t="s">
        <v>1177</v>
      </c>
      <c r="I115" s="169">
        <f>COUNTIFS(Table9131518[Prodi],"S1 Desain Komunikasi Visual",Table9131518[I1.3],I$83)/$I$82</f>
        <v>0</v>
      </c>
      <c r="J115" s="169">
        <f>COUNTIFS(Table9131518[Prodi],"S1 Desain Komunikasi Visual",Table9131518[I1.3],J$83)/$I$82</f>
        <v>0.33333333333333331</v>
      </c>
      <c r="K115" s="169">
        <f>COUNTIFS(Table9131518[Prodi],"S1 Desain Komunikasi Visual",Table9131518[I1.3],K$83)/$I$82</f>
        <v>0.33333333333333331</v>
      </c>
      <c r="L115" s="169">
        <f>COUNTIFS(Table9131518[Prodi],"S1 Desain Komunikasi Visual",Table9131518[I1.3],L$83)/$I$82</f>
        <v>0.33333333333333331</v>
      </c>
      <c r="M115" s="62">
        <f t="shared" si="11"/>
        <v>1</v>
      </c>
      <c r="O115" s="168" t="s">
        <v>1177</v>
      </c>
      <c r="P115" s="169" t="e">
        <f>COUNTIFS(Table9131518[Prodi],$P$80,Table9131518[I1.3],P$83)/$P$82</f>
        <v>#DIV/0!</v>
      </c>
      <c r="Q115" s="169" t="e">
        <f>COUNTIFS(Table9131518[Prodi],$P$80,Table9131518[I1.3],Q$83)/$P$82</f>
        <v>#DIV/0!</v>
      </c>
      <c r="R115" s="169" t="e">
        <f>COUNTIFS(Table9131518[Prodi],$P$80,Table9131518[I1.3],R$83)/$P$82</f>
        <v>#DIV/0!</v>
      </c>
      <c r="S115" s="169" t="e">
        <f>COUNTIFS(Table9131518[Prodi],$P$80,Table9131518[I1.3],S$83)/$P$82</f>
        <v>#DIV/0!</v>
      </c>
      <c r="T115" s="62" t="e">
        <f t="shared" si="12"/>
        <v>#DIV/0!</v>
      </c>
      <c r="U115"/>
      <c r="V115" s="168" t="s">
        <v>1177</v>
      </c>
      <c r="W115" s="169">
        <f>COUNTIFS(Table9131518[Prodi],$W$80,Table9131518[I1.3],W$83)/$W$82</f>
        <v>0</v>
      </c>
      <c r="X115" s="169">
        <f>COUNTIFS(Table9131518[Prodi],$W$80,Table9131518[I1.3],X$83)/$W$82</f>
        <v>0</v>
      </c>
      <c r="Y115" s="169">
        <f>COUNTIFS(Table9131518[Prodi],$W$80,Table9131518[I1.3],Y$83)/$W$82</f>
        <v>0</v>
      </c>
      <c r="Z115" s="169">
        <f>COUNTIFS(Table9131518[Prodi],$W$80,Table9131518[I1.3],Z$83)/$W$82</f>
        <v>1</v>
      </c>
      <c r="AA115" s="62">
        <f t="shared" si="13"/>
        <v>1</v>
      </c>
      <c r="AB115"/>
      <c r="AC115"/>
      <c r="AD115"/>
      <c r="AE115"/>
      <c r="AF115"/>
      <c r="AG115"/>
      <c r="AH115"/>
      <c r="AI115"/>
      <c r="AJ115"/>
      <c r="AK115"/>
      <c r="AL115"/>
      <c r="AM115"/>
      <c r="AN115"/>
      <c r="AO115"/>
      <c r="AP115"/>
      <c r="AQ115"/>
      <c r="AR115"/>
    </row>
    <row r="116" spans="1:44" s="118" customFormat="1" ht="16.5" x14ac:dyDescent="0.3">
      <c r="A116" s="168" t="s">
        <v>1178</v>
      </c>
      <c r="B116" s="169">
        <f>COUNTIF(Table9131518[I1.4],B$83)/$B$82</f>
        <v>0</v>
      </c>
      <c r="C116" s="169">
        <f>COUNTIF(Table9131518[I1.4],C$83)/$B$82</f>
        <v>0.25</v>
      </c>
      <c r="D116" s="169">
        <f>COUNTIF(Table9131518[I1.4],D$83)/$B$82</f>
        <v>0.25</v>
      </c>
      <c r="E116" s="169">
        <f>COUNTIF(Table9131518[I1.4],E$83)/$B$82</f>
        <v>0.5</v>
      </c>
      <c r="F116" s="62">
        <f t="shared" si="7"/>
        <v>1</v>
      </c>
      <c r="H116" s="168" t="s">
        <v>1178</v>
      </c>
      <c r="I116" s="169">
        <f>COUNTIFS(Table9131518[Prodi],"S1 Desain Komunikasi Visual",Table9131518[I1.4],I$83)/$I$82</f>
        <v>0</v>
      </c>
      <c r="J116" s="169">
        <f>COUNTIFS(Table9131518[Prodi],"S1 Desain Komunikasi Visual",Table9131518[I1.4],J$83)/$I$82</f>
        <v>0.33333333333333331</v>
      </c>
      <c r="K116" s="169">
        <f>COUNTIFS(Table9131518[Prodi],"S1 Desain Komunikasi Visual",Table9131518[I1.4],K$83)/$I$82</f>
        <v>0</v>
      </c>
      <c r="L116" s="169">
        <f>COUNTIFS(Table9131518[Prodi],"S1 Desain Komunikasi Visual",Table9131518[I1.4],L$83)/$I$82</f>
        <v>0.66666666666666663</v>
      </c>
      <c r="M116" s="62">
        <f t="shared" si="11"/>
        <v>1</v>
      </c>
      <c r="O116" s="168" t="s">
        <v>1178</v>
      </c>
      <c r="P116" s="169" t="e">
        <f>COUNTIFS(Table9131518[Prodi],$P$80,Table9131518[I1.4],P$83)/$P$82</f>
        <v>#DIV/0!</v>
      </c>
      <c r="Q116" s="169" t="e">
        <f>COUNTIFS(Table9131518[Prodi],$P$80,Table9131518[I1.4],Q$83)/$P$82</f>
        <v>#DIV/0!</v>
      </c>
      <c r="R116" s="169" t="e">
        <f>COUNTIFS(Table9131518[Prodi],$P$80,Table9131518[I1.4],R$83)/$P$82</f>
        <v>#DIV/0!</v>
      </c>
      <c r="S116" s="169" t="e">
        <f>COUNTIFS(Table9131518[Prodi],$P$80,Table9131518[I1.4],S$83)/$P$82</f>
        <v>#DIV/0!</v>
      </c>
      <c r="T116" s="62" t="e">
        <f t="shared" si="12"/>
        <v>#DIV/0!</v>
      </c>
      <c r="U116"/>
      <c r="V116" s="168" t="s">
        <v>1178</v>
      </c>
      <c r="W116" s="169">
        <f>COUNTIFS(Table9131518[Prodi],$W$80,Table9131518[I1.4],W$83)/$W$82</f>
        <v>0</v>
      </c>
      <c r="X116" s="169">
        <f>COUNTIFS(Table9131518[Prodi],$W$80,Table9131518[I1.4],X$83)/$W$82</f>
        <v>0</v>
      </c>
      <c r="Y116" s="169">
        <f>COUNTIFS(Table9131518[Prodi],$W$80,Table9131518[I1.4],Y$83)/$W$82</f>
        <v>1</v>
      </c>
      <c r="Z116" s="169">
        <f>COUNTIFS(Table9131518[Prodi],$W$80,Table9131518[I1.4],Z$83)/$W$82</f>
        <v>0</v>
      </c>
      <c r="AA116" s="62">
        <f t="shared" si="13"/>
        <v>1</v>
      </c>
      <c r="AB116"/>
      <c r="AC116"/>
      <c r="AD116"/>
      <c r="AE116"/>
      <c r="AF116"/>
      <c r="AG116"/>
      <c r="AH116"/>
      <c r="AI116"/>
      <c r="AJ116"/>
      <c r="AK116"/>
      <c r="AL116"/>
      <c r="AM116"/>
      <c r="AN116"/>
      <c r="AO116"/>
      <c r="AP116"/>
      <c r="AQ116"/>
      <c r="AR116"/>
    </row>
    <row r="117" spans="1:44" s="118" customFormat="1" ht="16.5" x14ac:dyDescent="0.3">
      <c r="A117" s="168" t="s">
        <v>1179</v>
      </c>
      <c r="B117" s="169">
        <f>COUNTIF(Table9131518[I1.5],B$83)/$B$82</f>
        <v>0</v>
      </c>
      <c r="C117" s="169">
        <f>COUNTIF(Table9131518[I1.5],C$83)/$B$82</f>
        <v>0.25</v>
      </c>
      <c r="D117" s="169">
        <f>COUNTIF(Table9131518[I1.5],D$83)/$B$82</f>
        <v>0.25</v>
      </c>
      <c r="E117" s="169">
        <f>COUNTIF(Table9131518[I1.5],E$83)/$B$82</f>
        <v>0.5</v>
      </c>
      <c r="F117" s="62">
        <f t="shared" si="7"/>
        <v>1</v>
      </c>
      <c r="H117" s="168" t="s">
        <v>1179</v>
      </c>
      <c r="I117" s="169">
        <f>COUNTIFS(Table9131518[Prodi],"S1 Desain Komunikasi Visual",Table9131518[I1.5],I$83)/$I$82</f>
        <v>0</v>
      </c>
      <c r="J117" s="169">
        <f>COUNTIFS(Table9131518[Prodi],"S1 Desain Komunikasi Visual",Table9131518[I1.5],J$83)/$I$82</f>
        <v>0.33333333333333331</v>
      </c>
      <c r="K117" s="169">
        <f>COUNTIFS(Table9131518[Prodi],"S1 Desain Komunikasi Visual",Table9131518[I1.5],K$83)/$I$82</f>
        <v>0.33333333333333331</v>
      </c>
      <c r="L117" s="169">
        <f>COUNTIFS(Table9131518[Prodi],"S1 Desain Komunikasi Visual",Table9131518[I1.5],L$83)/$I$82</f>
        <v>0.33333333333333331</v>
      </c>
      <c r="M117" s="62">
        <f t="shared" si="11"/>
        <v>1</v>
      </c>
      <c r="O117" s="168" t="s">
        <v>1179</v>
      </c>
      <c r="P117" s="169" t="e">
        <f>COUNTIFS(Table9131518[Prodi],$P$80,Table9131518[I1.5],P$83)/$P$82</f>
        <v>#DIV/0!</v>
      </c>
      <c r="Q117" s="169" t="e">
        <f>COUNTIFS(Table9131518[Prodi],$P$80,Table9131518[I1.5],Q$83)/$P$82</f>
        <v>#DIV/0!</v>
      </c>
      <c r="R117" s="169" t="e">
        <f>COUNTIFS(Table9131518[Prodi],$P$80,Table9131518[I1.5],R$83)/$P$82</f>
        <v>#DIV/0!</v>
      </c>
      <c r="S117" s="169" t="e">
        <f>COUNTIFS(Table9131518[Prodi],$P$80,Table9131518[I1.5],S$83)/$P$82</f>
        <v>#DIV/0!</v>
      </c>
      <c r="T117" s="62" t="e">
        <f t="shared" si="12"/>
        <v>#DIV/0!</v>
      </c>
      <c r="U117"/>
      <c r="V117" s="168" t="s">
        <v>1179</v>
      </c>
      <c r="W117" s="169">
        <f>COUNTIFS(Table9131518[Prodi],$W$80,Table9131518[I1.5],W$83)/$W$82</f>
        <v>0</v>
      </c>
      <c r="X117" s="169">
        <f>COUNTIFS(Table9131518[Prodi],$W$80,Table9131518[I1.5],X$83)/$W$82</f>
        <v>0</v>
      </c>
      <c r="Y117" s="169">
        <f>COUNTIFS(Table9131518[Prodi],$W$80,Table9131518[I1.5],Y$83)/$W$82</f>
        <v>0</v>
      </c>
      <c r="Z117" s="169">
        <f>COUNTIFS(Table9131518[Prodi],$W$80,Table9131518[I1.5],Z$83)/$W$82</f>
        <v>1</v>
      </c>
      <c r="AA117" s="62">
        <f t="shared" si="13"/>
        <v>1</v>
      </c>
      <c r="AB117"/>
      <c r="AC117"/>
      <c r="AD117"/>
      <c r="AE117"/>
      <c r="AF117"/>
      <c r="AG117"/>
      <c r="AH117"/>
      <c r="AI117"/>
      <c r="AJ117"/>
      <c r="AK117"/>
      <c r="AL117"/>
      <c r="AM117"/>
      <c r="AN117"/>
      <c r="AO117"/>
      <c r="AP117"/>
      <c r="AQ117"/>
      <c r="AR117"/>
    </row>
    <row r="118" spans="1:44" s="118" customFormat="1" ht="16.5" x14ac:dyDescent="0.3">
      <c r="A118" s="171"/>
      <c r="B118" s="61">
        <f>AVERAGE(B113:B117)</f>
        <v>0</v>
      </c>
      <c r="C118" s="61">
        <f>AVERAGE(C113:C117)</f>
        <v>0.25</v>
      </c>
      <c r="D118" s="61">
        <f>AVERAGE(D113:D117)</f>
        <v>0.3</v>
      </c>
      <c r="E118" s="61">
        <f>AVERAGE(E113:E117)</f>
        <v>0.45</v>
      </c>
      <c r="F118" s="62">
        <f t="shared" si="7"/>
        <v>1</v>
      </c>
      <c r="H118" s="171"/>
      <c r="I118" s="61">
        <f>AVERAGE(I113:I117)</f>
        <v>0</v>
      </c>
      <c r="J118" s="61">
        <f>AVERAGE(J113:J117)</f>
        <v>0.33333333333333331</v>
      </c>
      <c r="K118" s="61">
        <f>AVERAGE(K113:K117)</f>
        <v>0.26666666666666666</v>
      </c>
      <c r="L118" s="61">
        <f>AVERAGE(L113:L117)</f>
        <v>0.39999999999999997</v>
      </c>
      <c r="M118" s="62">
        <f t="shared" si="11"/>
        <v>1</v>
      </c>
      <c r="O118" s="171"/>
      <c r="P118" s="61" t="e">
        <f>AVERAGE(P113:P117)</f>
        <v>#DIV/0!</v>
      </c>
      <c r="Q118" s="61" t="e">
        <f>AVERAGE(Q113:Q117)</f>
        <v>#DIV/0!</v>
      </c>
      <c r="R118" s="61" t="e">
        <f>AVERAGE(R113:R117)</f>
        <v>#DIV/0!</v>
      </c>
      <c r="S118" s="61" t="e">
        <f>AVERAGE(S113:S117)</f>
        <v>#DIV/0!</v>
      </c>
      <c r="T118" s="62" t="e">
        <f t="shared" si="12"/>
        <v>#DIV/0!</v>
      </c>
      <c r="U118"/>
      <c r="V118" s="171"/>
      <c r="W118" s="61">
        <f>AVERAGE(W113:W117)</f>
        <v>0</v>
      </c>
      <c r="X118" s="61">
        <f>AVERAGE(X113:X117)</f>
        <v>0</v>
      </c>
      <c r="Y118" s="61">
        <f>AVERAGE(Y113:Y117)</f>
        <v>0.4</v>
      </c>
      <c r="Z118" s="61">
        <f>AVERAGE(Z113:Z117)</f>
        <v>0.6</v>
      </c>
      <c r="AA118" s="62">
        <f t="shared" si="13"/>
        <v>1</v>
      </c>
      <c r="AB118"/>
      <c r="AC118"/>
      <c r="AD118"/>
      <c r="AE118"/>
      <c r="AF118"/>
      <c r="AG118"/>
      <c r="AH118"/>
      <c r="AI118"/>
      <c r="AJ118"/>
      <c r="AK118"/>
      <c r="AL118"/>
      <c r="AM118"/>
      <c r="AN118"/>
      <c r="AO118"/>
      <c r="AP118"/>
      <c r="AQ118"/>
      <c r="AR118"/>
    </row>
    <row r="119" spans="1:44" s="118" customFormat="1" ht="16.5" x14ac:dyDescent="0.3">
      <c r="A119" s="168" t="s">
        <v>1181</v>
      </c>
      <c r="B119" s="169">
        <f>COUNTIF(Table9131518[I2.1],B$83)/$B$82</f>
        <v>0</v>
      </c>
      <c r="C119" s="169">
        <f>COUNTIF(Table9131518[I2.1],C$83)/$B$82</f>
        <v>0.25</v>
      </c>
      <c r="D119" s="169">
        <f>COUNTIF(Table9131518[I2.1],D$83)/$B$82</f>
        <v>0.25</v>
      </c>
      <c r="E119" s="169">
        <f>COUNTIF(Table9131518[I2.1],E$83)/$B$82</f>
        <v>0.5</v>
      </c>
      <c r="F119" s="62">
        <f t="shared" si="7"/>
        <v>1</v>
      </c>
      <c r="H119" s="168" t="s">
        <v>1181</v>
      </c>
      <c r="I119" s="169">
        <f>COUNTIFS(Table9131518[Prodi],"S1 Desain Komunikasi Visual",Table9131518[I2.1],I$83)/$I$82</f>
        <v>0</v>
      </c>
      <c r="J119" s="169">
        <f>COUNTIFS(Table9131518[Prodi],"S1 Desain Komunikasi Visual",Table9131518[I2.1],J$83)/$I$82</f>
        <v>0.33333333333333331</v>
      </c>
      <c r="K119" s="169">
        <f>COUNTIFS(Table9131518[Prodi],"S1 Desain Komunikasi Visual",Table9131518[I2.1],K$83)/$I$82</f>
        <v>0.33333333333333331</v>
      </c>
      <c r="L119" s="169">
        <f>COUNTIFS(Table9131518[Prodi],"S1 Desain Komunikasi Visual",Table9131518[I2.1],L$83)/$I$82</f>
        <v>0.33333333333333331</v>
      </c>
      <c r="M119" s="62">
        <f t="shared" si="11"/>
        <v>1</v>
      </c>
      <c r="O119" s="168" t="s">
        <v>1181</v>
      </c>
      <c r="P119" s="169" t="e">
        <f>COUNTIFS(Table9131518[Prodi],$P$80,Table9131518[I2.1],P$83)/$P$82</f>
        <v>#DIV/0!</v>
      </c>
      <c r="Q119" s="169" t="e">
        <f>COUNTIFS(Table9131518[Prodi],$P$80,Table9131518[I2.1],Q$83)/$P$82</f>
        <v>#DIV/0!</v>
      </c>
      <c r="R119" s="169" t="e">
        <f>COUNTIFS(Table9131518[Prodi],$P$80,Table9131518[I2.1],R$83)/$P$82</f>
        <v>#DIV/0!</v>
      </c>
      <c r="S119" s="169" t="e">
        <f>COUNTIFS(Table9131518[Prodi],$P$80,Table9131518[I2.1],S$83)/$P$82</f>
        <v>#DIV/0!</v>
      </c>
      <c r="T119" s="62" t="e">
        <f t="shared" si="12"/>
        <v>#DIV/0!</v>
      </c>
      <c r="U119"/>
      <c r="V119" s="168" t="s">
        <v>1181</v>
      </c>
      <c r="W119" s="169">
        <f>COUNTIFS(Table9131518[Prodi],$W$80,Table9131518[I2.1],W$83)/$W$82</f>
        <v>0</v>
      </c>
      <c r="X119" s="169">
        <f>COUNTIFS(Table9131518[Prodi],$W$80,Table9131518[I2.1],X$83)/$W$82</f>
        <v>0</v>
      </c>
      <c r="Y119" s="169">
        <f>COUNTIFS(Table9131518[Prodi],$W$80,Table9131518[I2.1],Y$83)/$W$82</f>
        <v>0</v>
      </c>
      <c r="Z119" s="169">
        <f>COUNTIFS(Table9131518[Prodi],$W$80,Table9131518[I2.1],Z$83)/$W$82</f>
        <v>1</v>
      </c>
      <c r="AA119" s="62">
        <f t="shared" si="13"/>
        <v>1</v>
      </c>
      <c r="AB119"/>
      <c r="AC119"/>
      <c r="AD119"/>
      <c r="AE119"/>
      <c r="AF119"/>
      <c r="AG119"/>
      <c r="AH119"/>
      <c r="AI119"/>
      <c r="AJ119"/>
      <c r="AK119"/>
      <c r="AL119"/>
      <c r="AM119"/>
      <c r="AN119"/>
      <c r="AO119"/>
      <c r="AP119"/>
      <c r="AQ119"/>
      <c r="AR119"/>
    </row>
    <row r="120" spans="1:44" s="118" customFormat="1" ht="16.5" x14ac:dyDescent="0.3">
      <c r="A120" s="172" t="s">
        <v>1182</v>
      </c>
      <c r="B120" s="169">
        <f>COUNTIF(Table9131518[I2.2],B$83)/$B$82</f>
        <v>0</v>
      </c>
      <c r="C120" s="169">
        <f>COUNTIF(Table9131518[I2.2],C$83)/$B$82</f>
        <v>0.25</v>
      </c>
      <c r="D120" s="169">
        <f>COUNTIF(Table9131518[I2.2],D$83)/$B$82</f>
        <v>0.25</v>
      </c>
      <c r="E120" s="169">
        <f>COUNTIF(Table9131518[I2.2],E$83)/$B$82</f>
        <v>0.5</v>
      </c>
      <c r="F120" s="62">
        <f t="shared" si="7"/>
        <v>1</v>
      </c>
      <c r="H120" s="172" t="s">
        <v>1182</v>
      </c>
      <c r="I120" s="169">
        <f>COUNTIFS(Table9131518[Prodi],"S1 Desain Komunikasi Visual",Table9131518[I2.2],I$83)/$I$82</f>
        <v>0</v>
      </c>
      <c r="J120" s="169">
        <f>COUNTIFS(Table9131518[Prodi],"S1 Desain Komunikasi Visual",Table9131518[I2.2],J$83)/$I$82</f>
        <v>0.33333333333333331</v>
      </c>
      <c r="K120" s="169">
        <f>COUNTIFS(Table9131518[Prodi],"S1 Desain Komunikasi Visual",Table9131518[I2.2],K$83)/$I$82</f>
        <v>0</v>
      </c>
      <c r="L120" s="169">
        <f>COUNTIFS(Table9131518[Prodi],"S1 Desain Komunikasi Visual",Table9131518[I2.2],L$83)/$I$82</f>
        <v>0.66666666666666663</v>
      </c>
      <c r="M120" s="62">
        <f t="shared" si="11"/>
        <v>1</v>
      </c>
      <c r="O120" s="172" t="s">
        <v>1182</v>
      </c>
      <c r="P120" s="169" t="e">
        <f>COUNTIFS(Table9131518[Prodi],$P$80,Table9131518[I2.2],P$83)/$P$82</f>
        <v>#DIV/0!</v>
      </c>
      <c r="Q120" s="169" t="e">
        <f>COUNTIFS(Table9131518[Prodi],$P$80,Table9131518[I2.2],Q$83)/$P$82</f>
        <v>#DIV/0!</v>
      </c>
      <c r="R120" s="169" t="e">
        <f>COUNTIFS(Table9131518[Prodi],$P$80,Table9131518[I2.2],R$83)/$P$82</f>
        <v>#DIV/0!</v>
      </c>
      <c r="S120" s="169" t="e">
        <f>COUNTIFS(Table9131518[Prodi],$P$80,Table9131518[I2.2],S$83)/$P$82</f>
        <v>#DIV/0!</v>
      </c>
      <c r="T120" s="62" t="e">
        <f t="shared" si="12"/>
        <v>#DIV/0!</v>
      </c>
      <c r="U120"/>
      <c r="V120" s="172" t="s">
        <v>1182</v>
      </c>
      <c r="W120" s="169">
        <f>COUNTIFS(Table9131518[Prodi],$W$80,Table9131518[I2.2],W$83)/$W$82</f>
        <v>0</v>
      </c>
      <c r="X120" s="169">
        <f>COUNTIFS(Table9131518[Prodi],$W$80,Table9131518[I2.2],X$83)/$W$82</f>
        <v>0</v>
      </c>
      <c r="Y120" s="169">
        <f>COUNTIFS(Table9131518[Prodi],$W$80,Table9131518[I2.2],Y$83)/$W$82</f>
        <v>1</v>
      </c>
      <c r="Z120" s="169">
        <f>COUNTIFS(Table9131518[Prodi],$W$80,Table9131518[I2.2],Z$83)/$W$82</f>
        <v>0</v>
      </c>
      <c r="AA120" s="62">
        <f t="shared" si="13"/>
        <v>1</v>
      </c>
      <c r="AB120"/>
      <c r="AC120"/>
      <c r="AD120"/>
      <c r="AE120"/>
      <c r="AF120"/>
      <c r="AG120"/>
      <c r="AH120"/>
      <c r="AI120"/>
      <c r="AJ120"/>
      <c r="AK120"/>
      <c r="AL120"/>
      <c r="AM120"/>
      <c r="AN120"/>
      <c r="AO120"/>
      <c r="AP120"/>
      <c r="AQ120"/>
      <c r="AR120"/>
    </row>
    <row r="121" spans="1:44" s="118" customFormat="1" ht="16.5" x14ac:dyDescent="0.3">
      <c r="A121" s="168" t="s">
        <v>1183</v>
      </c>
      <c r="B121" s="169">
        <f>COUNTIF(Table9131518[I2.3],B$83)/$B$82</f>
        <v>0</v>
      </c>
      <c r="C121" s="169">
        <f>COUNTIF(Table9131518[I2.3],C$83)/$B$82</f>
        <v>0.25</v>
      </c>
      <c r="D121" s="169">
        <f>COUNTIF(Table9131518[I2.3],D$83)/$B$82</f>
        <v>0.5</v>
      </c>
      <c r="E121" s="169">
        <f>COUNTIF(Table9131518[I2.3],E$83)/$B$82</f>
        <v>0.25</v>
      </c>
      <c r="F121" s="62">
        <f t="shared" si="7"/>
        <v>1</v>
      </c>
      <c r="H121" s="168" t="s">
        <v>1183</v>
      </c>
      <c r="I121" s="169">
        <f>COUNTIFS(Table9131518[Prodi],"S1 Desain Komunikasi Visual",Table9131518[I2.3],I$83)/$I$82</f>
        <v>0</v>
      </c>
      <c r="J121" s="169">
        <f>COUNTIFS(Table9131518[Prodi],"S1 Desain Komunikasi Visual",Table9131518[I2.3],J$83)/$I$82</f>
        <v>0.33333333333333331</v>
      </c>
      <c r="K121" s="169">
        <f>COUNTIFS(Table9131518[Prodi],"S1 Desain Komunikasi Visual",Table9131518[I2.3],K$83)/$I$82</f>
        <v>0.33333333333333331</v>
      </c>
      <c r="L121" s="169">
        <f>COUNTIFS(Table9131518[Prodi],"S1 Desain Komunikasi Visual",Table9131518[I2.3],L$83)/$I$82</f>
        <v>0.33333333333333331</v>
      </c>
      <c r="M121" s="62">
        <f t="shared" si="11"/>
        <v>1</v>
      </c>
      <c r="O121" s="168" t="s">
        <v>1183</v>
      </c>
      <c r="P121" s="169" t="e">
        <f>COUNTIFS(Table9131518[Prodi],$P$80,Table9131518[I2.3],P$83)/$P$82</f>
        <v>#DIV/0!</v>
      </c>
      <c r="Q121" s="169" t="e">
        <f>COUNTIFS(Table9131518[Prodi],$P$80,Table9131518[I2.3],Q$83)/$P$82</f>
        <v>#DIV/0!</v>
      </c>
      <c r="R121" s="169" t="e">
        <f>COUNTIFS(Table9131518[Prodi],$P$80,Table9131518[I2.3],R$83)/$P$82</f>
        <v>#DIV/0!</v>
      </c>
      <c r="S121" s="169" t="e">
        <f>COUNTIFS(Table9131518[Prodi],$P$80,Table9131518[I2.3],S$83)/$P$82</f>
        <v>#DIV/0!</v>
      </c>
      <c r="T121" s="62" t="e">
        <f t="shared" si="12"/>
        <v>#DIV/0!</v>
      </c>
      <c r="U121"/>
      <c r="V121" s="168" t="s">
        <v>1183</v>
      </c>
      <c r="W121" s="169">
        <f>COUNTIFS(Table9131518[Prodi],$W$80,Table9131518[I2.3],W$83)/$W$82</f>
        <v>0</v>
      </c>
      <c r="X121" s="169">
        <f>COUNTIFS(Table9131518[Prodi],$W$80,Table9131518[I2.3],X$83)/$W$82</f>
        <v>0</v>
      </c>
      <c r="Y121" s="169">
        <f>COUNTIFS(Table9131518[Prodi],$W$80,Table9131518[I2.3],Y$83)/$W$82</f>
        <v>1</v>
      </c>
      <c r="Z121" s="169">
        <f>COUNTIFS(Table9131518[Prodi],$W$80,Table9131518[I2.3],Z$83)/$W$82</f>
        <v>0</v>
      </c>
      <c r="AA121" s="62">
        <f t="shared" si="13"/>
        <v>1</v>
      </c>
      <c r="AB121"/>
      <c r="AC121"/>
      <c r="AD121"/>
      <c r="AE121"/>
      <c r="AF121"/>
      <c r="AG121"/>
      <c r="AH121"/>
      <c r="AI121"/>
      <c r="AJ121"/>
      <c r="AK121"/>
      <c r="AL121"/>
      <c r="AM121"/>
      <c r="AN121"/>
      <c r="AO121"/>
      <c r="AP121"/>
      <c r="AQ121"/>
      <c r="AR121"/>
    </row>
    <row r="122" spans="1:44" s="118" customFormat="1" ht="16.5" x14ac:dyDescent="0.3">
      <c r="A122" s="168" t="s">
        <v>1184</v>
      </c>
      <c r="B122" s="169">
        <f>COUNTIF(Table9131518[I2.4],B$83)/$B$82</f>
        <v>0</v>
      </c>
      <c r="C122" s="169">
        <f>COUNTIF(Table9131518[I2.4],C$83)/$B$82</f>
        <v>0.25</v>
      </c>
      <c r="D122" s="169">
        <f>COUNTIF(Table9131518[I2.4],D$83)/$B$82</f>
        <v>0</v>
      </c>
      <c r="E122" s="169">
        <f>COUNTIF(Table9131518[I2.4],E$83)/$B$82</f>
        <v>0.75</v>
      </c>
      <c r="F122" s="62">
        <f t="shared" si="7"/>
        <v>1</v>
      </c>
      <c r="H122" s="168" t="s">
        <v>1184</v>
      </c>
      <c r="I122" s="169">
        <f>COUNTIFS(Table9131518[Prodi],"S1 Desain Komunikasi Visual",Table9131518[I2.4],I$83)/$I$82</f>
        <v>0</v>
      </c>
      <c r="J122" s="169">
        <f>COUNTIFS(Table9131518[Prodi],"S1 Desain Komunikasi Visual",Table9131518[I2.4],J$83)/$I$82</f>
        <v>0.33333333333333331</v>
      </c>
      <c r="K122" s="169">
        <f>COUNTIFS(Table9131518[Prodi],"S1 Desain Komunikasi Visual",Table9131518[I2.4],K$83)/$I$82</f>
        <v>0</v>
      </c>
      <c r="L122" s="169">
        <f>COUNTIFS(Table9131518[Prodi],"S1 Desain Komunikasi Visual",Table9131518[I2.4],L$83)/$I$82</f>
        <v>0.66666666666666663</v>
      </c>
      <c r="M122" s="62">
        <f t="shared" si="11"/>
        <v>1</v>
      </c>
      <c r="O122" s="168" t="s">
        <v>1184</v>
      </c>
      <c r="P122" s="169" t="e">
        <f>COUNTIFS(Table9131518[Prodi],$P$80,Table9131518[I2.4],P$83)/$P$82</f>
        <v>#DIV/0!</v>
      </c>
      <c r="Q122" s="169" t="e">
        <f>COUNTIFS(Table9131518[Prodi],$P$80,Table9131518[I2.4],Q$83)/$P$82</f>
        <v>#DIV/0!</v>
      </c>
      <c r="R122" s="169" t="e">
        <f>COUNTIFS(Table9131518[Prodi],$P$80,Table9131518[I2.4],R$83)/$P$82</f>
        <v>#DIV/0!</v>
      </c>
      <c r="S122" s="169" t="e">
        <f>COUNTIFS(Table9131518[Prodi],$P$80,Table9131518[I2.4],S$83)/$P$82</f>
        <v>#DIV/0!</v>
      </c>
      <c r="T122" s="62" t="e">
        <f t="shared" si="12"/>
        <v>#DIV/0!</v>
      </c>
      <c r="U122"/>
      <c r="V122" s="168" t="s">
        <v>1184</v>
      </c>
      <c r="W122" s="169">
        <f>COUNTIFS(Table9131518[Prodi],$W$80,Table9131518[I2.4],W$83)/$W$82</f>
        <v>0</v>
      </c>
      <c r="X122" s="169">
        <f>COUNTIFS(Table9131518[Prodi],$W$80,Table9131518[I2.4],X$83)/$W$82</f>
        <v>0</v>
      </c>
      <c r="Y122" s="169">
        <f>COUNTIFS(Table9131518[Prodi],$W$80,Table9131518[I2.4],Y$83)/$W$82</f>
        <v>0</v>
      </c>
      <c r="Z122" s="169">
        <f>COUNTIFS(Table9131518[Prodi],$W$80,Table9131518[I2.4],Z$83)/$W$82</f>
        <v>1</v>
      </c>
      <c r="AA122" s="62">
        <f t="shared" si="13"/>
        <v>1</v>
      </c>
      <c r="AB122"/>
      <c r="AC122"/>
      <c r="AD122"/>
      <c r="AE122"/>
      <c r="AF122"/>
      <c r="AG122"/>
      <c r="AH122"/>
      <c r="AI122"/>
      <c r="AJ122"/>
      <c r="AK122"/>
      <c r="AL122"/>
      <c r="AM122"/>
      <c r="AN122"/>
      <c r="AO122"/>
      <c r="AP122"/>
      <c r="AQ122"/>
      <c r="AR122"/>
    </row>
    <row r="123" spans="1:44" s="118" customFormat="1" ht="17.25" thickBot="1" x14ac:dyDescent="0.35">
      <c r="A123" s="173"/>
      <c r="B123" s="68">
        <f>AVERAGE(B119:B122)</f>
        <v>0</v>
      </c>
      <c r="C123" s="68">
        <f>AVERAGE(C119:C122)</f>
        <v>0.25</v>
      </c>
      <c r="D123" s="68">
        <f>AVERAGE(D119:D122)</f>
        <v>0.25</v>
      </c>
      <c r="E123" s="68">
        <f>AVERAGE(E119:E122)</f>
        <v>0.5</v>
      </c>
      <c r="F123" s="174">
        <f t="shared" si="7"/>
        <v>1</v>
      </c>
      <c r="H123" s="173"/>
      <c r="I123" s="68">
        <f>AVERAGE(I119:I122)</f>
        <v>0</v>
      </c>
      <c r="J123" s="68">
        <f>AVERAGE(J119:J122)</f>
        <v>0.33333333333333331</v>
      </c>
      <c r="K123" s="68">
        <f>AVERAGE(K119:K122)</f>
        <v>0.16666666666666666</v>
      </c>
      <c r="L123" s="68">
        <f>AVERAGE(L119:L122)</f>
        <v>0.5</v>
      </c>
      <c r="M123" s="174">
        <f t="shared" si="11"/>
        <v>1</v>
      </c>
      <c r="O123" s="173"/>
      <c r="P123" s="68" t="e">
        <f>AVERAGE(P119:P122)</f>
        <v>#DIV/0!</v>
      </c>
      <c r="Q123" s="68" t="e">
        <f>AVERAGE(Q119:Q122)</f>
        <v>#DIV/0!</v>
      </c>
      <c r="R123" s="68" t="e">
        <f>AVERAGE(R119:R122)</f>
        <v>#DIV/0!</v>
      </c>
      <c r="S123" s="68" t="e">
        <f>AVERAGE(S119:S122)</f>
        <v>#DIV/0!</v>
      </c>
      <c r="T123" s="174" t="e">
        <f t="shared" si="12"/>
        <v>#DIV/0!</v>
      </c>
      <c r="U123"/>
      <c r="V123" s="173"/>
      <c r="W123" s="68">
        <f>AVERAGE(W119:W122)</f>
        <v>0</v>
      </c>
      <c r="X123" s="68">
        <f>AVERAGE(X119:X122)</f>
        <v>0</v>
      </c>
      <c r="Y123" s="68">
        <f>AVERAGE(Y119:Y122)</f>
        <v>0.5</v>
      </c>
      <c r="Z123" s="68">
        <f>AVERAGE(Z119:Z122)</f>
        <v>0.5</v>
      </c>
      <c r="AA123" s="174">
        <f t="shared" si="13"/>
        <v>1</v>
      </c>
      <c r="AB123"/>
      <c r="AC123"/>
      <c r="AD123"/>
      <c r="AE123"/>
      <c r="AF123"/>
      <c r="AG123"/>
      <c r="AH123"/>
      <c r="AI123"/>
      <c r="AJ123"/>
      <c r="AK123"/>
      <c r="AL123"/>
      <c r="AM123"/>
      <c r="AN123"/>
      <c r="AO123"/>
      <c r="AP123"/>
      <c r="AQ123"/>
      <c r="AR123"/>
    </row>
    <row r="124" spans="1:44" s="118" customFormat="1" ht="15.75" thickBot="1" x14ac:dyDescent="0.3">
      <c r="A124" s="119"/>
      <c r="B124" s="119"/>
      <c r="C124"/>
      <c r="O124"/>
      <c r="P124"/>
      <c r="Q124"/>
      <c r="R124"/>
      <c r="S124"/>
      <c r="T124"/>
      <c r="U124"/>
      <c r="V124"/>
      <c r="W124"/>
      <c r="X124"/>
      <c r="Y124"/>
      <c r="Z124"/>
      <c r="AA124"/>
      <c r="AB124"/>
      <c r="AC124"/>
      <c r="AD124"/>
      <c r="AE124"/>
      <c r="AF124"/>
      <c r="AG124"/>
      <c r="AH124"/>
      <c r="AI124"/>
      <c r="AJ124"/>
      <c r="AK124"/>
      <c r="AL124"/>
      <c r="AM124"/>
      <c r="AN124"/>
      <c r="AO124"/>
      <c r="AP124"/>
      <c r="AQ124"/>
      <c r="AR124"/>
    </row>
    <row r="125" spans="1:44" s="118" customFormat="1" ht="17.25" thickBot="1" x14ac:dyDescent="0.3">
      <c r="A125" s="64" t="s">
        <v>14</v>
      </c>
      <c r="B125" s="65" t="s">
        <v>1185</v>
      </c>
      <c r="C125"/>
      <c r="D125"/>
      <c r="E125"/>
      <c r="F125"/>
      <c r="H125" s="64" t="s">
        <v>14</v>
      </c>
      <c r="I125" s="65" t="s">
        <v>1357</v>
      </c>
      <c r="J125"/>
      <c r="K125"/>
      <c r="L125"/>
      <c r="M125"/>
      <c r="N125"/>
      <c r="O125" s="64" t="s">
        <v>14</v>
      </c>
      <c r="P125" s="65" t="s">
        <v>1577</v>
      </c>
      <c r="Q125"/>
      <c r="R125"/>
      <c r="S125"/>
      <c r="T125"/>
      <c r="U125"/>
      <c r="V125" s="64" t="s">
        <v>14</v>
      </c>
      <c r="W125" s="65" t="s">
        <v>67</v>
      </c>
      <c r="X125"/>
      <c r="Y125"/>
      <c r="Z125"/>
      <c r="AA125"/>
      <c r="AB125"/>
      <c r="AC125"/>
      <c r="AD125"/>
      <c r="AE125"/>
      <c r="AF125"/>
      <c r="AG125"/>
      <c r="AH125"/>
      <c r="AI125"/>
      <c r="AJ125"/>
      <c r="AK125"/>
      <c r="AL125"/>
      <c r="AM125"/>
      <c r="AN125"/>
      <c r="AO125"/>
      <c r="AP125"/>
      <c r="AQ125"/>
      <c r="AR125"/>
    </row>
    <row r="126" spans="1:44" s="118" customFormat="1" ht="17.25" thickBot="1" x14ac:dyDescent="0.3">
      <c r="A126" s="64" t="s">
        <v>647</v>
      </c>
      <c r="B126" s="65">
        <v>2023</v>
      </c>
      <c r="C126"/>
      <c r="D126"/>
      <c r="E126"/>
      <c r="F126"/>
      <c r="H126" s="64" t="s">
        <v>647</v>
      </c>
      <c r="I126" s="65">
        <v>2023</v>
      </c>
      <c r="J126"/>
      <c r="K126"/>
      <c r="L126"/>
      <c r="M126"/>
      <c r="N126"/>
      <c r="O126" s="64" t="s">
        <v>647</v>
      </c>
      <c r="P126" s="65">
        <v>2023</v>
      </c>
      <c r="Q126"/>
      <c r="R126"/>
      <c r="S126"/>
      <c r="T126"/>
      <c r="U126"/>
      <c r="V126" s="64" t="s">
        <v>647</v>
      </c>
      <c r="W126" s="65">
        <v>2023</v>
      </c>
      <c r="X126"/>
      <c r="Y126"/>
      <c r="Z126"/>
      <c r="AA126"/>
      <c r="AB126"/>
      <c r="AC126"/>
      <c r="AD126"/>
      <c r="AE126"/>
      <c r="AF126"/>
      <c r="AG126"/>
      <c r="AH126"/>
      <c r="AI126"/>
      <c r="AJ126"/>
      <c r="AK126"/>
      <c r="AL126"/>
      <c r="AM126"/>
      <c r="AN126"/>
      <c r="AO126"/>
      <c r="AP126"/>
      <c r="AQ126"/>
      <c r="AR126"/>
    </row>
    <row r="127" spans="1:44" s="118" customFormat="1" ht="17.25" thickBot="1" x14ac:dyDescent="0.3">
      <c r="A127" s="64" t="s">
        <v>646</v>
      </c>
      <c r="B127" s="65">
        <f>I127+P127+W127</f>
        <v>4</v>
      </c>
      <c r="C127"/>
      <c r="D127"/>
      <c r="E127"/>
      <c r="F127"/>
      <c r="H127" s="64" t="s">
        <v>646</v>
      </c>
      <c r="I127" s="65">
        <f>COUNTIF(Table10141619[Prodi],I125)</f>
        <v>2</v>
      </c>
      <c r="J127"/>
      <c r="K127"/>
      <c r="L127"/>
      <c r="M127"/>
      <c r="N127"/>
      <c r="O127" s="64" t="s">
        <v>646</v>
      </c>
      <c r="P127" s="65">
        <f>COUNTIF(Table10141619[Prodi],P125)</f>
        <v>2</v>
      </c>
      <c r="Q127"/>
      <c r="R127"/>
      <c r="S127"/>
      <c r="T127"/>
      <c r="U127"/>
      <c r="V127" s="64" t="s">
        <v>646</v>
      </c>
      <c r="W127" s="65">
        <f>COUNTIF(Table10141619[Prodi],W125)</f>
        <v>0</v>
      </c>
      <c r="X127"/>
      <c r="Y127"/>
      <c r="Z127"/>
      <c r="AA127"/>
      <c r="AB127"/>
      <c r="AC127"/>
      <c r="AD127"/>
      <c r="AE127"/>
      <c r="AF127"/>
      <c r="AG127"/>
      <c r="AH127"/>
      <c r="AI127"/>
      <c r="AJ127"/>
      <c r="AK127"/>
      <c r="AL127"/>
      <c r="AM127"/>
      <c r="AN127"/>
      <c r="AO127"/>
      <c r="AP127"/>
      <c r="AQ127"/>
      <c r="AR127"/>
    </row>
    <row r="128" spans="1:44" s="118" customFormat="1" ht="16.5" x14ac:dyDescent="0.3">
      <c r="A128" s="55"/>
      <c r="B128" s="56" t="s">
        <v>1205</v>
      </c>
      <c r="C128" s="56" t="s">
        <v>1206</v>
      </c>
      <c r="D128" s="56" t="s">
        <v>1229</v>
      </c>
      <c r="E128" s="56" t="s">
        <v>1436</v>
      </c>
      <c r="F128" s="56"/>
      <c r="H128" s="55"/>
      <c r="I128" s="56" t="s">
        <v>1205</v>
      </c>
      <c r="J128" s="56" t="s">
        <v>1206</v>
      </c>
      <c r="K128" s="56" t="s">
        <v>1229</v>
      </c>
      <c r="L128" s="56" t="s">
        <v>1436</v>
      </c>
      <c r="M128" s="56"/>
      <c r="N128"/>
      <c r="O128" s="55"/>
      <c r="P128" s="56" t="s">
        <v>1205</v>
      </c>
      <c r="Q128" s="56" t="s">
        <v>1206</v>
      </c>
      <c r="R128" s="56" t="s">
        <v>1229</v>
      </c>
      <c r="S128" s="56" t="s">
        <v>1436</v>
      </c>
      <c r="T128" s="56"/>
      <c r="U128"/>
      <c r="V128" s="55"/>
      <c r="W128" s="56" t="s">
        <v>1205</v>
      </c>
      <c r="X128" s="56" t="s">
        <v>1206</v>
      </c>
      <c r="Y128" s="56" t="s">
        <v>1229</v>
      </c>
      <c r="Z128" s="56" t="s">
        <v>1436</v>
      </c>
      <c r="AA128" s="56"/>
      <c r="AB128"/>
      <c r="AC128"/>
      <c r="AD128"/>
      <c r="AE128"/>
      <c r="AF128"/>
      <c r="AG128"/>
      <c r="AH128"/>
      <c r="AI128"/>
      <c r="AJ128"/>
      <c r="AK128"/>
      <c r="AL128"/>
      <c r="AM128"/>
      <c r="AN128"/>
      <c r="AO128"/>
      <c r="AP128"/>
      <c r="AQ128"/>
      <c r="AR128"/>
    </row>
    <row r="129" spans="1:44" s="118" customFormat="1" ht="16.5" x14ac:dyDescent="0.3">
      <c r="A129" s="57" t="s">
        <v>26</v>
      </c>
      <c r="B129" s="66">
        <f>COUNTIF(Table10141619[B1],B$128)/$B$127</f>
        <v>0.75</v>
      </c>
      <c r="C129" s="66">
        <f>COUNTIF(Table10141619[B1],C$128)/$B$127</f>
        <v>0.25</v>
      </c>
      <c r="D129" s="66">
        <f>COUNTIF(Table10141619[B1],D$128)/$B$127</f>
        <v>0</v>
      </c>
      <c r="E129" s="66">
        <f>COUNTIF(Table10141619[B1],E$128)/$B$127</f>
        <v>0</v>
      </c>
      <c r="F129" s="62">
        <f t="shared" ref="F129:F135" si="14">SUM(B129:E129)</f>
        <v>1</v>
      </c>
      <c r="H129" s="57" t="s">
        <v>26</v>
      </c>
      <c r="I129" s="66">
        <f>COUNTIFS(Table10141619[Prodi],$I$125,Table10141619[B1],I$128)/$I$127</f>
        <v>0.5</v>
      </c>
      <c r="J129" s="66">
        <f>COUNTIFS(Table10141619[Prodi],$I$125,Table10141619[B1],J$128)/$I$127</f>
        <v>0.5</v>
      </c>
      <c r="K129" s="66">
        <f>COUNTIFS(Table10141619[Prodi],$I$125,Table10141619[B1],K$128)/$I$127</f>
        <v>0</v>
      </c>
      <c r="L129" s="66">
        <f>COUNTIFS(Table10141619[Prodi],$I$125,Table10141619[B1],L$128)/$I$127</f>
        <v>0</v>
      </c>
      <c r="M129" s="62">
        <f t="shared" ref="M129:M135" si="15">SUM(I129:L129)</f>
        <v>1</v>
      </c>
      <c r="N129"/>
      <c r="O129" s="57" t="s">
        <v>26</v>
      </c>
      <c r="P129" s="66">
        <f>COUNTIFS(Table10141619[Prodi],$P$125,Table10141619[B1],P$128)/$P$127</f>
        <v>1</v>
      </c>
      <c r="Q129" s="66">
        <f>COUNTIFS(Table10141619[Prodi],$P$125,Table10141619[B1],Q$128)/$P$127</f>
        <v>0</v>
      </c>
      <c r="R129" s="66">
        <f>COUNTIFS(Table10141619[Prodi],$P$125,Table10141619[B1],R$128)/$P$127</f>
        <v>0</v>
      </c>
      <c r="S129" s="66">
        <f>COUNTIFS(Table10141619[Prodi],$P$125,Table10141619[B1],S$128)/$P$127</f>
        <v>0</v>
      </c>
      <c r="T129" s="62">
        <f t="shared" ref="T129:T135" si="16">SUM(P129:S129)</f>
        <v>1</v>
      </c>
      <c r="U129"/>
      <c r="V129" s="57" t="s">
        <v>26</v>
      </c>
      <c r="W129" s="66" t="e">
        <f>COUNTIFS(Table10141619[Prodi],$W$125,Table10141619[B1],W$128)/$W$127</f>
        <v>#DIV/0!</v>
      </c>
      <c r="X129" s="66" t="e">
        <f>COUNTIFS(Table10141619[Prodi],$W$125,Table10141619[B1],X$128)/$W$127</f>
        <v>#DIV/0!</v>
      </c>
      <c r="Y129" s="66" t="e">
        <f>COUNTIFS(Table10141619[Prodi],$W$125,Table10141619[B1],Y$128)/$W$127</f>
        <v>#DIV/0!</v>
      </c>
      <c r="Z129" s="66" t="e">
        <f>COUNTIFS(Table10141619[Prodi],$W$125,Table10141619[B1],Z$128)/$W$127</f>
        <v>#DIV/0!</v>
      </c>
      <c r="AA129" s="62" t="e">
        <f t="shared" ref="AA129:AA135" si="17">SUM(W129:Z129)</f>
        <v>#DIV/0!</v>
      </c>
      <c r="AB129"/>
      <c r="AC129"/>
      <c r="AD129"/>
      <c r="AE129"/>
      <c r="AF129"/>
      <c r="AG129"/>
      <c r="AH129"/>
      <c r="AI129"/>
      <c r="AJ129"/>
      <c r="AK129"/>
      <c r="AL129"/>
      <c r="AM129"/>
      <c r="AN129"/>
      <c r="AO129"/>
      <c r="AP129"/>
      <c r="AQ129"/>
      <c r="AR129"/>
    </row>
    <row r="130" spans="1:44" s="118" customFormat="1" ht="16.5" x14ac:dyDescent="0.3">
      <c r="A130" s="57" t="s">
        <v>27</v>
      </c>
      <c r="B130" s="66">
        <f>COUNTIF(Table10141619[B2],B$128)/$B$127</f>
        <v>0.5</v>
      </c>
      <c r="C130" s="66">
        <f>COUNTIF(Table10141619[B2],C$128)/$B$127</f>
        <v>0.5</v>
      </c>
      <c r="D130" s="66">
        <f>COUNTIF(Table10141619[B2],D$128)/$B$127</f>
        <v>0</v>
      </c>
      <c r="E130" s="66">
        <f>COUNTIF(Table10141619[B2],E$128)/$B$127</f>
        <v>0</v>
      </c>
      <c r="F130" s="62">
        <f t="shared" si="14"/>
        <v>1</v>
      </c>
      <c r="H130" s="57" t="s">
        <v>27</v>
      </c>
      <c r="I130" s="66">
        <f>COUNTIFS(Table10141619[Prodi],$I$125,Table10141619[B2],I$128)/$I$127</f>
        <v>0.5</v>
      </c>
      <c r="J130" s="66">
        <f>COUNTIFS(Table10141619[Prodi],$I$125,Table10141619[B2],J$128)/$I$127</f>
        <v>0.5</v>
      </c>
      <c r="K130" s="66">
        <f>COUNTIFS(Table10141619[Prodi],$I$125,Table10141619[B2],K$128)/$I$127</f>
        <v>0</v>
      </c>
      <c r="L130" s="66">
        <f>COUNTIFS(Table10141619[Prodi],$I$125,Table10141619[B2],L$128)/$I$127</f>
        <v>0</v>
      </c>
      <c r="M130" s="62">
        <f t="shared" si="15"/>
        <v>1</v>
      </c>
      <c r="N130"/>
      <c r="O130" s="57" t="s">
        <v>27</v>
      </c>
      <c r="P130" s="66">
        <f>COUNTIFS(Table10141619[Prodi],$P$125,Table10141619[B2],P$128)/$P$127</f>
        <v>0.5</v>
      </c>
      <c r="Q130" s="66">
        <f>COUNTIFS(Table10141619[Prodi],$P$125,Table10141619[B2],Q$128)/$P$127</f>
        <v>0.5</v>
      </c>
      <c r="R130" s="66">
        <f>COUNTIFS(Table10141619[Prodi],$P$125,Table10141619[B2],R$128)/$P$127</f>
        <v>0</v>
      </c>
      <c r="S130" s="66">
        <f>COUNTIFS(Table10141619[Prodi],$P$125,Table10141619[B2],S$128)/$P$127</f>
        <v>0</v>
      </c>
      <c r="T130" s="62">
        <f t="shared" si="16"/>
        <v>1</v>
      </c>
      <c r="U130"/>
      <c r="V130" s="57" t="s">
        <v>27</v>
      </c>
      <c r="W130" s="66" t="e">
        <f>COUNTIFS(Table10141619[Prodi],$W$125,Table10141619[B2],W$128)/$W$127</f>
        <v>#DIV/0!</v>
      </c>
      <c r="X130" s="66" t="e">
        <f>COUNTIFS(Table10141619[Prodi],$W$125,Table10141619[B2],X$128)/$W$127</f>
        <v>#DIV/0!</v>
      </c>
      <c r="Y130" s="66" t="e">
        <f>COUNTIFS(Table10141619[Prodi],$W$125,Table10141619[B2],Y$128)/$W$127</f>
        <v>#DIV/0!</v>
      </c>
      <c r="Z130" s="66" t="e">
        <f>COUNTIFS(Table10141619[Prodi],$W$125,Table10141619[B2],Z$128)/$W$127</f>
        <v>#DIV/0!</v>
      </c>
      <c r="AA130" s="62" t="e">
        <f t="shared" si="17"/>
        <v>#DIV/0!</v>
      </c>
      <c r="AB130"/>
      <c r="AC130"/>
      <c r="AD130"/>
      <c r="AE130"/>
      <c r="AF130"/>
      <c r="AG130"/>
      <c r="AH130"/>
      <c r="AI130"/>
      <c r="AJ130"/>
      <c r="AK130"/>
      <c r="AL130"/>
      <c r="AM130"/>
      <c r="AN130"/>
      <c r="AO130"/>
      <c r="AP130"/>
      <c r="AQ130"/>
      <c r="AR130"/>
    </row>
    <row r="131" spans="1:44" s="118" customFormat="1" ht="16.5" x14ac:dyDescent="0.3">
      <c r="A131" s="57" t="s">
        <v>28</v>
      </c>
      <c r="B131" s="66">
        <f>COUNTIF(Table10141619[B3],B$128)/$B$127</f>
        <v>0.75</v>
      </c>
      <c r="C131" s="66">
        <f>COUNTIF(Table10141619[B3],C$128)/$B$127</f>
        <v>0.25</v>
      </c>
      <c r="D131" s="66">
        <f>COUNTIF(Table10141619[B3],D$128)/$B$127</f>
        <v>0</v>
      </c>
      <c r="E131" s="66">
        <f>COUNTIF(Table10141619[B3],E$128)/$B$127</f>
        <v>0</v>
      </c>
      <c r="F131" s="62">
        <f t="shared" si="14"/>
        <v>1</v>
      </c>
      <c r="H131" s="57" t="s">
        <v>28</v>
      </c>
      <c r="I131" s="66">
        <f>COUNTIFS(Table10141619[Prodi],$I$125,Table10141619[B3],I$128)/$I$127</f>
        <v>0.5</v>
      </c>
      <c r="J131" s="66">
        <f>COUNTIFS(Table10141619[Prodi],$I$125,Table10141619[B3],J$128)/$I$127</f>
        <v>0.5</v>
      </c>
      <c r="K131" s="66">
        <f>COUNTIFS(Table10141619[Prodi],$I$125,Table10141619[B3],K$128)/$I$127</f>
        <v>0</v>
      </c>
      <c r="L131" s="66">
        <f>COUNTIFS(Table10141619[Prodi],$I$125,Table10141619[B3],L$128)/$I$127</f>
        <v>0</v>
      </c>
      <c r="M131" s="62">
        <f t="shared" si="15"/>
        <v>1</v>
      </c>
      <c r="N131"/>
      <c r="O131" s="57" t="s">
        <v>28</v>
      </c>
      <c r="P131" s="66">
        <f>COUNTIFS(Table10141619[Prodi],$P$125,Table10141619[B3],P$128)/$P$127</f>
        <v>1</v>
      </c>
      <c r="Q131" s="66">
        <f>COUNTIFS(Table10141619[Prodi],$P$125,Table10141619[B3],Q$128)/$P$127</f>
        <v>0</v>
      </c>
      <c r="R131" s="66">
        <f>COUNTIFS(Table10141619[Prodi],$P$125,Table10141619[B3],R$128)/$P$127</f>
        <v>0</v>
      </c>
      <c r="S131" s="66">
        <f>COUNTIFS(Table10141619[Prodi],$P$125,Table10141619[B3],S$128)/$P$127</f>
        <v>0</v>
      </c>
      <c r="T131" s="62">
        <f t="shared" si="16"/>
        <v>1</v>
      </c>
      <c r="U131"/>
      <c r="V131" s="57" t="s">
        <v>28</v>
      </c>
      <c r="W131" s="66" t="e">
        <f>COUNTIFS(Table10141619[Prodi],$W$125,Table10141619[B3],W$128)/$W$127</f>
        <v>#DIV/0!</v>
      </c>
      <c r="X131" s="66" t="e">
        <f>COUNTIFS(Table10141619[Prodi],$W$125,Table10141619[B3],X$128)/$W$127</f>
        <v>#DIV/0!</v>
      </c>
      <c r="Y131" s="66" t="e">
        <f>COUNTIFS(Table10141619[Prodi],$W$125,Table10141619[B3],Y$128)/$W$127</f>
        <v>#DIV/0!</v>
      </c>
      <c r="Z131" s="66" t="e">
        <f>COUNTIFS(Table10141619[Prodi],$W$125,Table10141619[B3],Z$128)/$W$127</f>
        <v>#DIV/0!</v>
      </c>
      <c r="AA131" s="62" t="e">
        <f t="shared" si="17"/>
        <v>#DIV/0!</v>
      </c>
      <c r="AB131"/>
      <c r="AC131"/>
      <c r="AD131"/>
      <c r="AE131"/>
      <c r="AF131"/>
      <c r="AG131"/>
      <c r="AH131"/>
      <c r="AI131"/>
      <c r="AJ131"/>
      <c r="AK131"/>
      <c r="AL131"/>
      <c r="AM131"/>
      <c r="AN131"/>
      <c r="AO131"/>
      <c r="AP131"/>
      <c r="AQ131"/>
      <c r="AR131"/>
    </row>
    <row r="132" spans="1:44" s="118" customFormat="1" ht="16.5" x14ac:dyDescent="0.3">
      <c r="A132" s="57" t="s">
        <v>29</v>
      </c>
      <c r="B132" s="66">
        <f>COUNTIF(Table10141619[B4],B$128)/$B$127</f>
        <v>0.25</v>
      </c>
      <c r="C132" s="66">
        <f>COUNTIF(Table10141619[B4],C$128)/$B$127</f>
        <v>0.75</v>
      </c>
      <c r="D132" s="66">
        <f>COUNTIF(Table10141619[B4],D$128)/$B$127</f>
        <v>0</v>
      </c>
      <c r="E132" s="66">
        <f>COUNTIF(Table10141619[B4],E$128)/$B$127</f>
        <v>0</v>
      </c>
      <c r="F132" s="62">
        <f t="shared" si="14"/>
        <v>1</v>
      </c>
      <c r="H132" s="57" t="s">
        <v>29</v>
      </c>
      <c r="I132" s="66">
        <f>COUNTIFS(Table10141619[Prodi],$I$125,Table10141619[B4],I$128)/$I$127</f>
        <v>0</v>
      </c>
      <c r="J132" s="66">
        <f>COUNTIFS(Table10141619[Prodi],$I$125,Table10141619[B4],J$128)/$I$127</f>
        <v>1</v>
      </c>
      <c r="K132" s="66">
        <f>COUNTIFS(Table10141619[Prodi],$I$125,Table10141619[B4],K$128)/$I$127</f>
        <v>0</v>
      </c>
      <c r="L132" s="66">
        <f>COUNTIFS(Table10141619[Prodi],$I$125,Table10141619[B4],L$128)/$I$127</f>
        <v>0</v>
      </c>
      <c r="M132" s="62">
        <f t="shared" si="15"/>
        <v>1</v>
      </c>
      <c r="N132"/>
      <c r="O132" s="57" t="s">
        <v>29</v>
      </c>
      <c r="P132" s="66">
        <f>COUNTIFS(Table10141619[Prodi],$P$125,Table10141619[B4],P$128)/$P$127</f>
        <v>0.5</v>
      </c>
      <c r="Q132" s="66">
        <f>COUNTIFS(Table10141619[Prodi],$P$125,Table10141619[B4],Q$128)/$P$127</f>
        <v>0.5</v>
      </c>
      <c r="R132" s="66">
        <f>COUNTIFS(Table10141619[Prodi],$P$125,Table10141619[B4],R$128)/$P$127</f>
        <v>0</v>
      </c>
      <c r="S132" s="66">
        <f>COUNTIFS(Table10141619[Prodi],$P$125,Table10141619[B4],S$128)/$P$127</f>
        <v>0</v>
      </c>
      <c r="T132" s="62">
        <f t="shared" si="16"/>
        <v>1</v>
      </c>
      <c r="U132"/>
      <c r="V132" s="57" t="s">
        <v>29</v>
      </c>
      <c r="W132" s="66" t="e">
        <f>COUNTIFS(Table10141619[Prodi],$W$125,Table10141619[B4],W$128)/$W$127</f>
        <v>#DIV/0!</v>
      </c>
      <c r="X132" s="66" t="e">
        <f>COUNTIFS(Table10141619[Prodi],$W$125,Table10141619[B4],X$128)/$W$127</f>
        <v>#DIV/0!</v>
      </c>
      <c r="Y132" s="66" t="e">
        <f>COUNTIFS(Table10141619[Prodi],$W$125,Table10141619[B4],Y$128)/$W$127</f>
        <v>#DIV/0!</v>
      </c>
      <c r="Z132" s="66" t="e">
        <f>COUNTIFS(Table10141619[Prodi],$W$125,Table10141619[B4],Z$128)/$W$127</f>
        <v>#DIV/0!</v>
      </c>
      <c r="AA132" s="62" t="e">
        <f t="shared" si="17"/>
        <v>#DIV/0!</v>
      </c>
      <c r="AB132"/>
      <c r="AC132"/>
      <c r="AD132"/>
      <c r="AE132"/>
      <c r="AF132"/>
      <c r="AG132"/>
      <c r="AH132"/>
      <c r="AI132"/>
      <c r="AJ132"/>
      <c r="AK132"/>
      <c r="AL132"/>
      <c r="AM132"/>
      <c r="AN132"/>
      <c r="AO132"/>
      <c r="AP132"/>
      <c r="AQ132"/>
      <c r="AR132"/>
    </row>
    <row r="133" spans="1:44" s="118" customFormat="1" ht="16.5" x14ac:dyDescent="0.3">
      <c r="A133" s="60"/>
      <c r="B133" s="61">
        <f>AVERAGE(B129:B132)</f>
        <v>0.5625</v>
      </c>
      <c r="C133" s="61">
        <f>AVERAGE(C129:C132)</f>
        <v>0.4375</v>
      </c>
      <c r="D133" s="61">
        <f>AVERAGE(D129:D132)</f>
        <v>0</v>
      </c>
      <c r="E133" s="61">
        <f>AVERAGE(E129:E132)</f>
        <v>0</v>
      </c>
      <c r="F133" s="62">
        <f t="shared" si="14"/>
        <v>1</v>
      </c>
      <c r="H133" s="60"/>
      <c r="I133" s="61">
        <f>AVERAGE(I129:I132)</f>
        <v>0.375</v>
      </c>
      <c r="J133" s="61">
        <f>AVERAGE(J129:J132)</f>
        <v>0.625</v>
      </c>
      <c r="K133" s="61">
        <f>AVERAGE(K129:K132)</f>
        <v>0</v>
      </c>
      <c r="L133" s="61">
        <f>AVERAGE(L129:L132)</f>
        <v>0</v>
      </c>
      <c r="M133" s="62">
        <f t="shared" si="15"/>
        <v>1</v>
      </c>
      <c r="N133"/>
      <c r="O133" s="60"/>
      <c r="P133" s="61">
        <f>AVERAGE(P129:P132)</f>
        <v>0.75</v>
      </c>
      <c r="Q133" s="61">
        <f>AVERAGE(Q129:Q132)</f>
        <v>0.25</v>
      </c>
      <c r="R133" s="61">
        <f>AVERAGE(R129:R132)</f>
        <v>0</v>
      </c>
      <c r="S133" s="61">
        <f>AVERAGE(S129:S132)</f>
        <v>0</v>
      </c>
      <c r="T133" s="62">
        <f t="shared" si="16"/>
        <v>1</v>
      </c>
      <c r="U133"/>
      <c r="V133" s="60"/>
      <c r="W133" s="61" t="e">
        <f>AVERAGE(W129:W132)</f>
        <v>#DIV/0!</v>
      </c>
      <c r="X133" s="61" t="e">
        <f>AVERAGE(X129:X132)</f>
        <v>#DIV/0!</v>
      </c>
      <c r="Y133" s="61" t="e">
        <f>AVERAGE(Y129:Y132)</f>
        <v>#DIV/0!</v>
      </c>
      <c r="Z133" s="61" t="e">
        <f>AVERAGE(Z129:Z132)</f>
        <v>#DIV/0!</v>
      </c>
      <c r="AA133" s="62" t="e">
        <f t="shared" si="17"/>
        <v>#DIV/0!</v>
      </c>
      <c r="AB133"/>
      <c r="AC133"/>
      <c r="AD133"/>
      <c r="AE133"/>
      <c r="AF133"/>
      <c r="AG133"/>
      <c r="AH133"/>
      <c r="AI133"/>
      <c r="AJ133"/>
      <c r="AK133"/>
      <c r="AL133"/>
      <c r="AM133"/>
      <c r="AN133"/>
      <c r="AO133"/>
      <c r="AP133"/>
      <c r="AQ133"/>
      <c r="AR133"/>
    </row>
    <row r="134" spans="1:44" s="118" customFormat="1" ht="16.5" x14ac:dyDescent="0.3">
      <c r="A134" s="57" t="s">
        <v>31</v>
      </c>
      <c r="B134" s="66">
        <f>COUNTIF(Table10141619[C1],B$128)/$B$127</f>
        <v>0.75</v>
      </c>
      <c r="C134" s="66">
        <f>COUNTIF(Table10141619[C1],C$128)/$B$127</f>
        <v>0.25</v>
      </c>
      <c r="D134" s="66">
        <f>COUNTIF(Table10141619[C1],D$128)/$B$127</f>
        <v>0</v>
      </c>
      <c r="E134" s="66">
        <f>COUNTIF(Table10141619[C1],E$128)/$B$127</f>
        <v>0</v>
      </c>
      <c r="F134" s="62">
        <f t="shared" si="14"/>
        <v>1</v>
      </c>
      <c r="H134" s="57" t="s">
        <v>31</v>
      </c>
      <c r="I134" s="66">
        <f>COUNTIFS(Table10141619[Prodi],$I$125,Table10141619[C1],I$128)/$I$127</f>
        <v>1</v>
      </c>
      <c r="J134" s="66">
        <f>COUNTIFS(Table10141619[Prodi],$I$125,Table10141619[C1],J$128)/$I$127</f>
        <v>0</v>
      </c>
      <c r="K134" s="66">
        <f>COUNTIFS(Table10141619[Prodi],$I$125,Table10141619[C1],K$128)/$I$127</f>
        <v>0</v>
      </c>
      <c r="L134" s="66">
        <f>COUNTIFS(Table10141619[Prodi],$I$125,Table10141619[C1],L$128)/$I$127</f>
        <v>0</v>
      </c>
      <c r="M134" s="62">
        <f t="shared" si="15"/>
        <v>1</v>
      </c>
      <c r="N134"/>
      <c r="O134" s="57" t="s">
        <v>31</v>
      </c>
      <c r="P134" s="66">
        <f>COUNTIFS(Table10141619[Prodi],$P$125,Table10141619[C1],P$128)/$P$127</f>
        <v>0.5</v>
      </c>
      <c r="Q134" s="66">
        <f>COUNTIFS(Table10141619[Prodi],$P$125,Table10141619[C1],Q$128)/$P$127</f>
        <v>0.5</v>
      </c>
      <c r="R134" s="66">
        <f>COUNTIFS(Table10141619[Prodi],$P$125,Table10141619[C1],R$128)/$P$127</f>
        <v>0</v>
      </c>
      <c r="S134" s="66">
        <f>COUNTIFS(Table10141619[Prodi],$P$125,Table10141619[C1],S$128)/$P$127</f>
        <v>0</v>
      </c>
      <c r="T134" s="62">
        <f t="shared" si="16"/>
        <v>1</v>
      </c>
      <c r="U134"/>
      <c r="V134" s="57" t="s">
        <v>31</v>
      </c>
      <c r="W134" s="66" t="e">
        <f>COUNTIFS(Table10141619[Prodi],$W$125,Table10141619[C1],W$128)/$W$127</f>
        <v>#DIV/0!</v>
      </c>
      <c r="X134" s="66" t="e">
        <f>COUNTIFS(Table10141619[Prodi],$W$125,Table10141619[C1],X$128)/$W$127</f>
        <v>#DIV/0!</v>
      </c>
      <c r="Y134" s="66" t="e">
        <f>COUNTIFS(Table10141619[Prodi],$W$125,Table10141619[C1],Y$128)/$W$127</f>
        <v>#DIV/0!</v>
      </c>
      <c r="Z134" s="66" t="e">
        <f>COUNTIFS(Table10141619[Prodi],$W$125,Table10141619[C1],Z$128)/$W$127</f>
        <v>#DIV/0!</v>
      </c>
      <c r="AA134" s="62" t="e">
        <f t="shared" si="17"/>
        <v>#DIV/0!</v>
      </c>
      <c r="AB134"/>
      <c r="AC134"/>
      <c r="AD134"/>
      <c r="AE134"/>
      <c r="AF134"/>
      <c r="AG134"/>
      <c r="AH134"/>
      <c r="AI134"/>
      <c r="AJ134"/>
      <c r="AK134"/>
      <c r="AL134"/>
      <c r="AM134"/>
      <c r="AN134"/>
      <c r="AO134"/>
      <c r="AP134"/>
      <c r="AQ134"/>
      <c r="AR134"/>
    </row>
    <row r="135" spans="1:44" s="118" customFormat="1" ht="16.5" x14ac:dyDescent="0.3">
      <c r="A135" s="57" t="s">
        <v>32</v>
      </c>
      <c r="B135" s="66">
        <f>COUNTIF(Table10141619[C2],B$128)/$B$127</f>
        <v>0.5</v>
      </c>
      <c r="C135" s="66">
        <f>COUNTIF(Table10141619[C2],C$128)/$B$127</f>
        <v>0.5</v>
      </c>
      <c r="D135" s="66">
        <f>COUNTIF(Table10141619[C2],D$128)/$B$127</f>
        <v>0</v>
      </c>
      <c r="E135" s="66">
        <f>COUNTIF(Table10141619[C2],E$128)/$B$127</f>
        <v>0</v>
      </c>
      <c r="F135" s="62">
        <f t="shared" si="14"/>
        <v>1</v>
      </c>
      <c r="H135" s="57" t="s">
        <v>32</v>
      </c>
      <c r="I135" s="66">
        <f>COUNTIFS(Table10141619[Prodi],$I$125,Table10141619[C2],I$128)/$I$127</f>
        <v>0.5</v>
      </c>
      <c r="J135" s="66">
        <f>COUNTIFS(Table10141619[Prodi],$I$125,Table10141619[C2],J$128)/$I$127</f>
        <v>0.5</v>
      </c>
      <c r="K135" s="66">
        <f>COUNTIFS(Table10141619[Prodi],$I$125,Table10141619[C2],K$128)/$I$127</f>
        <v>0</v>
      </c>
      <c r="L135" s="66">
        <f>COUNTIFS(Table10141619[Prodi],$I$125,Table10141619[C2],L$128)/$I$127</f>
        <v>0</v>
      </c>
      <c r="M135" s="62">
        <f t="shared" si="15"/>
        <v>1</v>
      </c>
      <c r="N135"/>
      <c r="O135" s="57" t="s">
        <v>32</v>
      </c>
      <c r="P135" s="66">
        <f>COUNTIFS(Table10141619[Prodi],$P$125,Table10141619[C2],P$128)/$P$127</f>
        <v>0.5</v>
      </c>
      <c r="Q135" s="66">
        <f>COUNTIFS(Table10141619[Prodi],$P$125,Table10141619[C2],Q$128)/$P$127</f>
        <v>0.5</v>
      </c>
      <c r="R135" s="66">
        <f>COUNTIFS(Table10141619[Prodi],$P$125,Table10141619[C2],R$128)/$P$127</f>
        <v>0</v>
      </c>
      <c r="S135" s="66">
        <f>COUNTIFS(Table10141619[Prodi],$P$125,Table10141619[C2],S$128)/$P$127</f>
        <v>0</v>
      </c>
      <c r="T135" s="62">
        <f t="shared" si="16"/>
        <v>1</v>
      </c>
      <c r="U135"/>
      <c r="V135" s="57" t="s">
        <v>32</v>
      </c>
      <c r="W135" s="66" t="e">
        <f>COUNTIFS(Table10141619[Prodi],$W$125,Table10141619[C2],W$128)/$W$127</f>
        <v>#DIV/0!</v>
      </c>
      <c r="X135" s="66" t="e">
        <f>COUNTIFS(Table10141619[Prodi],$W$125,Table10141619[C2],X$128)/$W$127</f>
        <v>#DIV/0!</v>
      </c>
      <c r="Y135" s="66" t="e">
        <f>COUNTIFS(Table10141619[Prodi],$W$125,Table10141619[C2],Y$128)/$W$127</f>
        <v>#DIV/0!</v>
      </c>
      <c r="Z135" s="66" t="e">
        <f>COUNTIFS(Table10141619[Prodi],$W$125,Table10141619[C2],Z$128)/$W$127</f>
        <v>#DIV/0!</v>
      </c>
      <c r="AA135" s="62" t="e">
        <f t="shared" si="17"/>
        <v>#DIV/0!</v>
      </c>
      <c r="AB135"/>
      <c r="AC135"/>
      <c r="AD135"/>
      <c r="AE135"/>
      <c r="AF135"/>
      <c r="AG135"/>
      <c r="AH135"/>
      <c r="AI135"/>
      <c r="AJ135"/>
      <c r="AK135"/>
      <c r="AL135"/>
      <c r="AM135"/>
      <c r="AN135"/>
      <c r="AO135"/>
      <c r="AP135"/>
      <c r="AQ135"/>
      <c r="AR135"/>
    </row>
    <row r="136" spans="1:44" s="118" customFormat="1" ht="16.5" x14ac:dyDescent="0.3">
      <c r="A136" s="60"/>
      <c r="B136" s="61">
        <f>AVERAGE(B134:B135)</f>
        <v>0.625</v>
      </c>
      <c r="C136" s="61">
        <f>AVERAGE(C134:C135)</f>
        <v>0.375</v>
      </c>
      <c r="D136" s="61">
        <f>AVERAGE(D134:D135)</f>
        <v>0</v>
      </c>
      <c r="E136" s="61">
        <f>AVERAGE(E134:E135)</f>
        <v>0</v>
      </c>
      <c r="F136" s="62">
        <f>SUM(B136:E136)</f>
        <v>1</v>
      </c>
      <c r="H136" s="60"/>
      <c r="I136" s="61">
        <f>AVERAGE(I134:I135)</f>
        <v>0.75</v>
      </c>
      <c r="J136" s="61">
        <f>AVERAGE(J134:J135)</f>
        <v>0.25</v>
      </c>
      <c r="K136" s="61">
        <f>AVERAGE(K134:K135)</f>
        <v>0</v>
      </c>
      <c r="L136" s="61">
        <f>AVERAGE(L134:L135)</f>
        <v>0</v>
      </c>
      <c r="M136" s="62">
        <f>SUM(I136:L136)</f>
        <v>1</v>
      </c>
      <c r="N136"/>
      <c r="O136" s="60"/>
      <c r="P136" s="61">
        <f>AVERAGE(P134:P135)</f>
        <v>0.5</v>
      </c>
      <c r="Q136" s="61">
        <f>AVERAGE(Q134:Q135)</f>
        <v>0.5</v>
      </c>
      <c r="R136" s="61">
        <f>AVERAGE(R134:R135)</f>
        <v>0</v>
      </c>
      <c r="S136" s="61">
        <f>AVERAGE(S134:S135)</f>
        <v>0</v>
      </c>
      <c r="T136" s="62">
        <f>SUM(P136:S136)</f>
        <v>1</v>
      </c>
      <c r="U136"/>
      <c r="V136" s="60"/>
      <c r="W136" s="61" t="e">
        <f>AVERAGE(W134:W135)</f>
        <v>#DIV/0!</v>
      </c>
      <c r="X136" s="61" t="e">
        <f>AVERAGE(X134:X135)</f>
        <v>#DIV/0!</v>
      </c>
      <c r="Y136" s="61" t="e">
        <f>AVERAGE(Y134:Y135)</f>
        <v>#DIV/0!</v>
      </c>
      <c r="Z136" s="61" t="e">
        <f>AVERAGE(Z134:Z135)</f>
        <v>#DIV/0!</v>
      </c>
      <c r="AA136" s="62" t="e">
        <f>SUM(W136:Z136)</f>
        <v>#DIV/0!</v>
      </c>
      <c r="AB136"/>
      <c r="AC136"/>
      <c r="AD136"/>
      <c r="AE136"/>
      <c r="AF136"/>
      <c r="AG136"/>
      <c r="AH136"/>
      <c r="AI136"/>
      <c r="AJ136"/>
      <c r="AK136"/>
      <c r="AL136"/>
      <c r="AM136"/>
      <c r="AN136"/>
      <c r="AO136"/>
      <c r="AP136"/>
      <c r="AQ136"/>
      <c r="AR136"/>
    </row>
    <row r="137" spans="1:44" s="118" customFormat="1" ht="16.5" x14ac:dyDescent="0.3">
      <c r="A137" s="57" t="s">
        <v>33</v>
      </c>
      <c r="B137" s="66">
        <f>COUNTIF(Table10141619[D1],B$128)/$B$127</f>
        <v>0.25</v>
      </c>
      <c r="C137" s="66">
        <f>COUNTIF(Table10141619[D1],C$128)/$B$127</f>
        <v>0.75</v>
      </c>
      <c r="D137" s="66">
        <f>COUNTIF(Table10141619[D1],D$128)/$B$127</f>
        <v>0</v>
      </c>
      <c r="E137" s="66">
        <f>COUNTIF(Table10141619[D1],E$128)/$B$127</f>
        <v>0</v>
      </c>
      <c r="F137" s="62">
        <f t="shared" ref="F137:F167" si="18">SUM(B137:E137)</f>
        <v>1</v>
      </c>
      <c r="H137" s="57" t="s">
        <v>33</v>
      </c>
      <c r="I137" s="66">
        <f>COUNTIFS(Table10141619[Prodi],$I$125,Table10141619[D1],I$128)/$I$127</f>
        <v>0</v>
      </c>
      <c r="J137" s="66">
        <f>COUNTIFS(Table10141619[Prodi],$I$125,Table10141619[D1],J$128)/$I$127</f>
        <v>1</v>
      </c>
      <c r="K137" s="66">
        <f>COUNTIFS(Table10141619[Prodi],$I$125,Table10141619[D1],K$128)/$I$127</f>
        <v>0</v>
      </c>
      <c r="L137" s="66">
        <f>COUNTIFS(Table10141619[Prodi],$I$125,Table10141619[D1],L$128)/$I$127</f>
        <v>0</v>
      </c>
      <c r="M137" s="62">
        <f t="shared" ref="M137:M167" si="19">SUM(I137:L137)</f>
        <v>1</v>
      </c>
      <c r="N137"/>
      <c r="O137" s="57" t="s">
        <v>33</v>
      </c>
      <c r="P137" s="66">
        <f>COUNTIFS(Table10141619[Prodi],$P$125,Table10141619[D1],P$128)/$P$127</f>
        <v>0.5</v>
      </c>
      <c r="Q137" s="66">
        <f>COUNTIFS(Table10141619[Prodi],$P$125,Table10141619[D1],Q$128)/$P$127</f>
        <v>0.5</v>
      </c>
      <c r="R137" s="66">
        <f>COUNTIFS(Table10141619[Prodi],$P$125,Table10141619[D1],R$128)/$P$127</f>
        <v>0</v>
      </c>
      <c r="S137" s="66">
        <f>COUNTIFS(Table10141619[Prodi],$P$125,Table10141619[D1],S$128)/$P$127</f>
        <v>0</v>
      </c>
      <c r="T137" s="62">
        <f t="shared" ref="T137:T167" si="20">SUM(P137:S137)</f>
        <v>1</v>
      </c>
      <c r="U137"/>
      <c r="V137" s="57" t="s">
        <v>33</v>
      </c>
      <c r="W137" s="66" t="e">
        <f>COUNTIFS(Table10141619[Prodi],$W$125,Table10141619[D1],W$128)/$W$127</f>
        <v>#DIV/0!</v>
      </c>
      <c r="X137" s="66" t="e">
        <f>COUNTIFS(Table10141619[Prodi],$W$125,Table10141619[D1],X$128)/$W$127</f>
        <v>#DIV/0!</v>
      </c>
      <c r="Y137" s="66" t="e">
        <f>COUNTIFS(Table10141619[Prodi],$W$125,Table10141619[D1],Y$128)/$W$127</f>
        <v>#DIV/0!</v>
      </c>
      <c r="Z137" s="66" t="e">
        <f>COUNTIFS(Table10141619[Prodi],$W$125,Table10141619[D1],Z$128)/$W$127</f>
        <v>#DIV/0!</v>
      </c>
      <c r="AA137" s="62" t="e">
        <f t="shared" ref="AA137:AA167" si="21">SUM(W137:Z137)</f>
        <v>#DIV/0!</v>
      </c>
      <c r="AB137"/>
      <c r="AC137"/>
      <c r="AD137"/>
      <c r="AE137"/>
      <c r="AF137"/>
      <c r="AG137"/>
      <c r="AH137"/>
      <c r="AI137"/>
      <c r="AJ137"/>
      <c r="AK137"/>
      <c r="AL137"/>
      <c r="AM137"/>
      <c r="AN137"/>
      <c r="AO137"/>
      <c r="AP137"/>
      <c r="AQ137"/>
      <c r="AR137"/>
    </row>
    <row r="138" spans="1:44" s="118" customFormat="1" ht="16.5" x14ac:dyDescent="0.3">
      <c r="A138" s="57" t="s">
        <v>34</v>
      </c>
      <c r="B138" s="66">
        <f>COUNTIF(Table10141619[D2],B$128)/$B$127</f>
        <v>0.5</v>
      </c>
      <c r="C138" s="66">
        <f>COUNTIF(Table10141619[D2],C$128)/$B$127</f>
        <v>0</v>
      </c>
      <c r="D138" s="66">
        <f>COUNTIF(Table10141619[D2],D$128)/$B$127</f>
        <v>0.5</v>
      </c>
      <c r="E138" s="66">
        <f>COUNTIF(Table10141619[D2],E$128)/$B$127</f>
        <v>0</v>
      </c>
      <c r="F138" s="62">
        <f t="shared" si="18"/>
        <v>1</v>
      </c>
      <c r="H138" s="57" t="s">
        <v>34</v>
      </c>
      <c r="I138" s="66">
        <f>COUNTIFS(Table10141619[Prodi],$I$125,Table10141619[D2],I$128)/$I$127</f>
        <v>0</v>
      </c>
      <c r="J138" s="66">
        <f>COUNTIFS(Table10141619[Prodi],$I$125,Table10141619[D2],J$128)/$I$127</f>
        <v>0</v>
      </c>
      <c r="K138" s="66">
        <f>COUNTIFS(Table10141619[Prodi],$I$125,Table10141619[D2],K$128)/$I$127</f>
        <v>1</v>
      </c>
      <c r="L138" s="66">
        <f>COUNTIFS(Table10141619[Prodi],$I$125,Table10141619[D2],L$128)/$I$127</f>
        <v>0</v>
      </c>
      <c r="M138" s="62">
        <f t="shared" si="19"/>
        <v>1</v>
      </c>
      <c r="N138"/>
      <c r="O138" s="57" t="s">
        <v>34</v>
      </c>
      <c r="P138" s="66">
        <f>COUNTIFS(Table10141619[Prodi],$P$125,Table10141619[D2],P$128)/$P$127</f>
        <v>1</v>
      </c>
      <c r="Q138" s="66">
        <f>COUNTIFS(Table10141619[Prodi],$P$125,Table10141619[D2],Q$128)/$P$127</f>
        <v>0</v>
      </c>
      <c r="R138" s="66">
        <f>COUNTIFS(Table10141619[Prodi],$P$125,Table10141619[D2],R$128)/$P$127</f>
        <v>0</v>
      </c>
      <c r="S138" s="66">
        <f>COUNTIFS(Table10141619[Prodi],$P$125,Table10141619[D2],S$128)/$P$127</f>
        <v>0</v>
      </c>
      <c r="T138" s="62">
        <f t="shared" si="20"/>
        <v>1</v>
      </c>
      <c r="U138"/>
      <c r="V138" s="57" t="s">
        <v>34</v>
      </c>
      <c r="W138" s="66" t="e">
        <f>COUNTIFS(Table10141619[Prodi],$W$125,Table10141619[D2],W$128)/$W$127</f>
        <v>#DIV/0!</v>
      </c>
      <c r="X138" s="66" t="e">
        <f>COUNTIFS(Table10141619[Prodi],$W$125,Table10141619[D2],X$128)/$W$127</f>
        <v>#DIV/0!</v>
      </c>
      <c r="Y138" s="66" t="e">
        <f>COUNTIFS(Table10141619[Prodi],$W$125,Table10141619[D2],Y$128)/$W$127</f>
        <v>#DIV/0!</v>
      </c>
      <c r="Z138" s="66" t="e">
        <f>COUNTIFS(Table10141619[Prodi],$W$125,Table10141619[D2],Z$128)/$W$127</f>
        <v>#DIV/0!</v>
      </c>
      <c r="AA138" s="62" t="e">
        <f t="shared" si="21"/>
        <v>#DIV/0!</v>
      </c>
      <c r="AB138"/>
      <c r="AC138"/>
      <c r="AD138"/>
      <c r="AE138"/>
      <c r="AF138"/>
      <c r="AG138"/>
      <c r="AH138"/>
      <c r="AI138"/>
      <c r="AJ138"/>
      <c r="AK138"/>
      <c r="AL138"/>
      <c r="AM138"/>
      <c r="AN138"/>
      <c r="AO138"/>
      <c r="AP138"/>
      <c r="AQ138"/>
      <c r="AR138"/>
    </row>
    <row r="139" spans="1:44" s="118" customFormat="1" ht="16.5" x14ac:dyDescent="0.3">
      <c r="A139" s="60"/>
      <c r="B139" s="61">
        <f>AVERAGE(B137:B138)</f>
        <v>0.375</v>
      </c>
      <c r="C139" s="61">
        <f>AVERAGE(C137:C138)</f>
        <v>0.375</v>
      </c>
      <c r="D139" s="61">
        <f>AVERAGE(D137:D138)</f>
        <v>0.25</v>
      </c>
      <c r="E139" s="61">
        <f>AVERAGE(E137:E138)</f>
        <v>0</v>
      </c>
      <c r="F139" s="62">
        <f t="shared" si="18"/>
        <v>1</v>
      </c>
      <c r="H139" s="60"/>
      <c r="I139" s="61">
        <f>AVERAGE(I137:I138)</f>
        <v>0</v>
      </c>
      <c r="J139" s="61">
        <f>AVERAGE(J137:J138)</f>
        <v>0.5</v>
      </c>
      <c r="K139" s="61">
        <f>AVERAGE(K137:K138)</f>
        <v>0.5</v>
      </c>
      <c r="L139" s="61">
        <f>AVERAGE(L137:L138)</f>
        <v>0</v>
      </c>
      <c r="M139" s="62">
        <f t="shared" si="19"/>
        <v>1</v>
      </c>
      <c r="N139"/>
      <c r="O139" s="60"/>
      <c r="P139" s="61">
        <f>AVERAGE(P137:P138)</f>
        <v>0.75</v>
      </c>
      <c r="Q139" s="61">
        <f>AVERAGE(Q137:Q138)</f>
        <v>0.25</v>
      </c>
      <c r="R139" s="61">
        <f>AVERAGE(R137:R138)</f>
        <v>0</v>
      </c>
      <c r="S139" s="61">
        <f>AVERAGE(S137:S138)</f>
        <v>0</v>
      </c>
      <c r="T139" s="62">
        <f t="shared" si="20"/>
        <v>1</v>
      </c>
      <c r="U139"/>
      <c r="V139" s="60"/>
      <c r="W139" s="61" t="e">
        <f>AVERAGE(W137:W138)</f>
        <v>#DIV/0!</v>
      </c>
      <c r="X139" s="61" t="e">
        <f>AVERAGE(X137:X138)</f>
        <v>#DIV/0!</v>
      </c>
      <c r="Y139" s="61" t="e">
        <f>AVERAGE(Y137:Y138)</f>
        <v>#DIV/0!</v>
      </c>
      <c r="Z139" s="61" t="e">
        <f>AVERAGE(Z137:Z138)</f>
        <v>#DIV/0!</v>
      </c>
      <c r="AA139" s="62" t="e">
        <f t="shared" si="21"/>
        <v>#DIV/0!</v>
      </c>
      <c r="AB139"/>
      <c r="AC139"/>
      <c r="AD139"/>
      <c r="AE139"/>
      <c r="AF139"/>
      <c r="AG139"/>
      <c r="AH139"/>
      <c r="AI139"/>
      <c r="AJ139"/>
      <c r="AK139"/>
      <c r="AL139"/>
      <c r="AM139"/>
      <c r="AN139"/>
      <c r="AO139"/>
      <c r="AP139"/>
      <c r="AQ139"/>
      <c r="AR139"/>
    </row>
    <row r="140" spans="1:44" s="118" customFormat="1" ht="16.5" x14ac:dyDescent="0.3">
      <c r="A140" s="57" t="s">
        <v>35</v>
      </c>
      <c r="B140" s="66">
        <f>COUNTIF(Table10141619[E1],B$128)/$B$127</f>
        <v>0.75</v>
      </c>
      <c r="C140" s="66">
        <f>COUNTIF(Table10141619[E1],C$128)/$B$127</f>
        <v>0.25</v>
      </c>
      <c r="D140" s="66">
        <f>COUNTIF(Table10141619[E1],D$128)/$B$127</f>
        <v>0</v>
      </c>
      <c r="E140" s="66">
        <f>COUNTIF(Table10141619[E1],E$128)/$B$127</f>
        <v>0</v>
      </c>
      <c r="F140" s="62">
        <f t="shared" si="18"/>
        <v>1</v>
      </c>
      <c r="H140" s="57" t="s">
        <v>35</v>
      </c>
      <c r="I140" s="66">
        <f>COUNTIFS(Table10141619[Prodi],$I$125,Table10141619[E1],I$128)/$I$127</f>
        <v>1</v>
      </c>
      <c r="J140" s="66">
        <f>COUNTIFS(Table10141619[Prodi],$I$125,Table10141619[E1],J$128)/$I$127</f>
        <v>0</v>
      </c>
      <c r="K140" s="66">
        <f>COUNTIFS(Table10141619[Prodi],$I$125,Table10141619[E1],K$128)/$I$127</f>
        <v>0</v>
      </c>
      <c r="L140" s="66">
        <f>COUNTIFS(Table10141619[Prodi],$I$125,Table10141619[E1],L$128)/$I$127</f>
        <v>0</v>
      </c>
      <c r="M140" s="62">
        <f t="shared" si="19"/>
        <v>1</v>
      </c>
      <c r="N140"/>
      <c r="O140" s="57" t="s">
        <v>35</v>
      </c>
      <c r="P140" s="66">
        <f>COUNTIFS(Table10141619[Prodi],$P$125,Table10141619[E1],P$128)/$P$127</f>
        <v>0.5</v>
      </c>
      <c r="Q140" s="66">
        <f>COUNTIFS(Table10141619[Prodi],$P$125,Table10141619[E1],Q$128)/$P$127</f>
        <v>0.5</v>
      </c>
      <c r="R140" s="66">
        <f>COUNTIFS(Table10141619[Prodi],$P$125,Table10141619[E1],R$128)/$P$127</f>
        <v>0</v>
      </c>
      <c r="S140" s="66">
        <f>COUNTIFS(Table10141619[Prodi],$P$125,Table10141619[E1],S$128)/$P$127</f>
        <v>0</v>
      </c>
      <c r="T140" s="62">
        <f t="shared" si="20"/>
        <v>1</v>
      </c>
      <c r="U140"/>
      <c r="V140" s="57" t="s">
        <v>35</v>
      </c>
      <c r="W140" s="66" t="e">
        <f>COUNTIFS(Table10141619[Prodi],$W$125,Table10141619[E1],W$128)/$W$127</f>
        <v>#DIV/0!</v>
      </c>
      <c r="X140" s="66" t="e">
        <f>COUNTIFS(Table10141619[Prodi],$W$125,Table10141619[E1],X$128)/$W$127</f>
        <v>#DIV/0!</v>
      </c>
      <c r="Y140" s="66" t="e">
        <f>COUNTIFS(Table10141619[Prodi],$W$125,Table10141619[E1],Y$128)/$W$127</f>
        <v>#DIV/0!</v>
      </c>
      <c r="Z140" s="66" t="e">
        <f>COUNTIFS(Table10141619[Prodi],$W$125,Table10141619[E1],Z$128)/$W$127</f>
        <v>#DIV/0!</v>
      </c>
      <c r="AA140" s="62" t="e">
        <f t="shared" si="21"/>
        <v>#DIV/0!</v>
      </c>
      <c r="AB140"/>
      <c r="AC140"/>
      <c r="AD140"/>
      <c r="AE140"/>
      <c r="AF140"/>
      <c r="AG140"/>
      <c r="AH140"/>
      <c r="AI140"/>
      <c r="AJ140"/>
      <c r="AK140"/>
      <c r="AL140"/>
      <c r="AM140"/>
      <c r="AN140"/>
      <c r="AO140"/>
      <c r="AP140"/>
      <c r="AQ140"/>
      <c r="AR140"/>
    </row>
    <row r="141" spans="1:44" s="118" customFormat="1" ht="16.5" x14ac:dyDescent="0.3">
      <c r="A141" s="57" t="s">
        <v>36</v>
      </c>
      <c r="B141" s="66">
        <f>COUNTIF(Table10141619[E2],B$128)/$B$127</f>
        <v>0.75</v>
      </c>
      <c r="C141" s="66">
        <f>COUNTIF(Table10141619[E2],C$128)/$B$127</f>
        <v>0.25</v>
      </c>
      <c r="D141" s="66">
        <f>COUNTIF(Table10141619[E2],D$128)/$B$127</f>
        <v>0</v>
      </c>
      <c r="E141" s="66">
        <f>COUNTIF(Table10141619[E2],E$128)/$B$127</f>
        <v>0</v>
      </c>
      <c r="F141" s="62">
        <f t="shared" si="18"/>
        <v>1</v>
      </c>
      <c r="H141" s="57" t="s">
        <v>36</v>
      </c>
      <c r="I141" s="66">
        <f>COUNTIFS(Table10141619[Prodi],$I$125,Table10141619[E2],I$128)/$I$127</f>
        <v>0.5</v>
      </c>
      <c r="J141" s="66">
        <f>COUNTIFS(Table10141619[Prodi],$I$125,Table10141619[E2],J$128)/$I$127</f>
        <v>0.5</v>
      </c>
      <c r="K141" s="66">
        <f>COUNTIFS(Table10141619[Prodi],$I$125,Table10141619[E2],K$128)/$I$127</f>
        <v>0</v>
      </c>
      <c r="L141" s="66">
        <f>COUNTIFS(Table10141619[Prodi],$I$125,Table10141619[E2],L$128)/$I$127</f>
        <v>0</v>
      </c>
      <c r="M141" s="62">
        <f t="shared" si="19"/>
        <v>1</v>
      </c>
      <c r="N141"/>
      <c r="O141" s="57" t="s">
        <v>36</v>
      </c>
      <c r="P141" s="66">
        <f>COUNTIFS(Table10141619[Prodi],$P$125,Table10141619[E2],P$128)/$P$127</f>
        <v>1</v>
      </c>
      <c r="Q141" s="66">
        <f>COUNTIFS(Table10141619[Prodi],$P$125,Table10141619[E2],Q$128)/$P$127</f>
        <v>0</v>
      </c>
      <c r="R141" s="66">
        <f>COUNTIFS(Table10141619[Prodi],$P$125,Table10141619[E2],R$128)/$P$127</f>
        <v>0</v>
      </c>
      <c r="S141" s="66">
        <f>COUNTIFS(Table10141619[Prodi],$P$125,Table10141619[E2],S$128)/$P$127</f>
        <v>0</v>
      </c>
      <c r="T141" s="62">
        <f t="shared" si="20"/>
        <v>1</v>
      </c>
      <c r="U141"/>
      <c r="V141" s="57" t="s">
        <v>36</v>
      </c>
      <c r="W141" s="66" t="e">
        <f>COUNTIFS(Table10141619[Prodi],$W$125,Table10141619[E2],W$128)/$W$127</f>
        <v>#DIV/0!</v>
      </c>
      <c r="X141" s="66" t="e">
        <f>COUNTIFS(Table10141619[Prodi],$W$125,Table10141619[E2],X$128)/$W$127</f>
        <v>#DIV/0!</v>
      </c>
      <c r="Y141" s="66" t="e">
        <f>COUNTIFS(Table10141619[Prodi],$W$125,Table10141619[E2],Y$128)/$W$127</f>
        <v>#DIV/0!</v>
      </c>
      <c r="Z141" s="66" t="e">
        <f>COUNTIFS(Table10141619[Prodi],$W$125,Table10141619[E2],Z$128)/$W$127</f>
        <v>#DIV/0!</v>
      </c>
      <c r="AA141" s="62" t="e">
        <f t="shared" si="21"/>
        <v>#DIV/0!</v>
      </c>
      <c r="AB141"/>
      <c r="AC141"/>
      <c r="AD141"/>
      <c r="AE141"/>
      <c r="AF141"/>
      <c r="AG141"/>
      <c r="AH141"/>
      <c r="AI141"/>
      <c r="AJ141"/>
      <c r="AK141"/>
      <c r="AL141"/>
      <c r="AM141"/>
      <c r="AN141"/>
      <c r="AO141"/>
      <c r="AP141"/>
      <c r="AQ141"/>
      <c r="AR141"/>
    </row>
    <row r="142" spans="1:44" s="118" customFormat="1" ht="16.5" x14ac:dyDescent="0.3">
      <c r="A142" s="60"/>
      <c r="B142" s="61">
        <f>AVERAGE(B140:B141)</f>
        <v>0.75</v>
      </c>
      <c r="C142" s="61">
        <f>AVERAGE(C140:C141)</f>
        <v>0.25</v>
      </c>
      <c r="D142" s="61">
        <f>AVERAGE(D140:D141)</f>
        <v>0</v>
      </c>
      <c r="E142" s="61">
        <f>AVERAGE(E140:E141)</f>
        <v>0</v>
      </c>
      <c r="F142" s="62">
        <f t="shared" si="18"/>
        <v>1</v>
      </c>
      <c r="H142" s="60"/>
      <c r="I142" s="61">
        <f>AVERAGE(I140:I141)</f>
        <v>0.75</v>
      </c>
      <c r="J142" s="61">
        <f>AVERAGE(J140:J141)</f>
        <v>0.25</v>
      </c>
      <c r="K142" s="61">
        <f>AVERAGE(K140:K141)</f>
        <v>0</v>
      </c>
      <c r="L142" s="61">
        <f>AVERAGE(L140:L141)</f>
        <v>0</v>
      </c>
      <c r="M142" s="62">
        <f t="shared" si="19"/>
        <v>1</v>
      </c>
      <c r="N142"/>
      <c r="O142" s="60"/>
      <c r="P142" s="61">
        <f>AVERAGE(P140:P141)</f>
        <v>0.75</v>
      </c>
      <c r="Q142" s="61">
        <f>AVERAGE(Q140:Q141)</f>
        <v>0.25</v>
      </c>
      <c r="R142" s="61">
        <f>AVERAGE(R140:R141)</f>
        <v>0</v>
      </c>
      <c r="S142" s="61">
        <f>AVERAGE(S140:S141)</f>
        <v>0</v>
      </c>
      <c r="T142" s="62">
        <f t="shared" si="20"/>
        <v>1</v>
      </c>
      <c r="U142"/>
      <c r="V142" s="60"/>
      <c r="W142" s="61" t="e">
        <f>AVERAGE(W140:W141)</f>
        <v>#DIV/0!</v>
      </c>
      <c r="X142" s="61" t="e">
        <f>AVERAGE(X140:X141)</f>
        <v>#DIV/0!</v>
      </c>
      <c r="Y142" s="61" t="e">
        <f>AVERAGE(Y140:Y141)</f>
        <v>#DIV/0!</v>
      </c>
      <c r="Z142" s="61" t="e">
        <f>AVERAGE(Z140:Z141)</f>
        <v>#DIV/0!</v>
      </c>
      <c r="AA142" s="62" t="e">
        <f t="shared" si="21"/>
        <v>#DIV/0!</v>
      </c>
      <c r="AB142"/>
      <c r="AC142"/>
      <c r="AD142"/>
      <c r="AE142"/>
      <c r="AF142"/>
      <c r="AG142"/>
      <c r="AH142"/>
      <c r="AI142"/>
      <c r="AJ142"/>
      <c r="AK142"/>
      <c r="AL142"/>
      <c r="AM142"/>
      <c r="AN142"/>
      <c r="AO142"/>
      <c r="AP142"/>
      <c r="AQ142"/>
      <c r="AR142"/>
    </row>
    <row r="143" spans="1:44" s="118" customFormat="1" ht="16.5" x14ac:dyDescent="0.3">
      <c r="A143" s="57" t="s">
        <v>37</v>
      </c>
      <c r="B143" s="66">
        <f>COUNTIF(Table10141619[F1],B$128)/$B$127</f>
        <v>0</v>
      </c>
      <c r="C143" s="66">
        <f>COUNTIF(Table10141619[F1],C$128)/$B$127</f>
        <v>1</v>
      </c>
      <c r="D143" s="66">
        <f>COUNTIF(Table10141619[F1],D$128)/$B$127</f>
        <v>0</v>
      </c>
      <c r="E143" s="66">
        <f>COUNTIF(Table10141619[F1],E$128)/$B$127</f>
        <v>0</v>
      </c>
      <c r="F143" s="62">
        <f t="shared" si="18"/>
        <v>1</v>
      </c>
      <c r="H143" s="57" t="s">
        <v>37</v>
      </c>
      <c r="I143" s="66">
        <f>COUNTIFS(Table10141619[Prodi],$I$125,Table10141619[F1],I$128)/$I$127</f>
        <v>0</v>
      </c>
      <c r="J143" s="66">
        <f>COUNTIFS(Table10141619[Prodi],$I$125,Table10141619[F1],J$128)/$I$127</f>
        <v>1</v>
      </c>
      <c r="K143" s="66">
        <f>COUNTIFS(Table10141619[Prodi],$I$125,Table10141619[F1],K$128)/$I$127</f>
        <v>0</v>
      </c>
      <c r="L143" s="66">
        <f>COUNTIFS(Table10141619[Prodi],$I$125,Table10141619[F1],L$128)/$I$127</f>
        <v>0</v>
      </c>
      <c r="M143" s="62">
        <f t="shared" si="19"/>
        <v>1</v>
      </c>
      <c r="N143"/>
      <c r="O143" s="57" t="s">
        <v>37</v>
      </c>
      <c r="P143" s="66">
        <f>COUNTIFS(Table10141619[Prodi],$P$125,Table10141619[F1],P$128)/$P$127</f>
        <v>0</v>
      </c>
      <c r="Q143" s="66">
        <f>COUNTIFS(Table10141619[Prodi],$P$125,Table10141619[F1],Q$128)/$P$127</f>
        <v>1</v>
      </c>
      <c r="R143" s="66">
        <f>COUNTIFS(Table10141619[Prodi],$P$125,Table10141619[F1],R$128)/$P$127</f>
        <v>0</v>
      </c>
      <c r="S143" s="66">
        <f>COUNTIFS(Table10141619[Prodi],$P$125,Table10141619[F1],S$128)/$P$127</f>
        <v>0</v>
      </c>
      <c r="T143" s="62">
        <f t="shared" si="20"/>
        <v>1</v>
      </c>
      <c r="U143"/>
      <c r="V143" s="57" t="s">
        <v>37</v>
      </c>
      <c r="W143" s="66" t="e">
        <f>COUNTIFS(Table10141619[Prodi],$W$125,Table10141619[F1],W$128)/$W$127</f>
        <v>#DIV/0!</v>
      </c>
      <c r="X143" s="66" t="e">
        <f>COUNTIFS(Table10141619[Prodi],$W$125,Table10141619[F1],X$128)/$W$127</f>
        <v>#DIV/0!</v>
      </c>
      <c r="Y143" s="66" t="e">
        <f>COUNTIFS(Table10141619[Prodi],$W$125,Table10141619[F1],Y$128)/$W$127</f>
        <v>#DIV/0!</v>
      </c>
      <c r="Z143" s="66" t="e">
        <f>COUNTIFS(Table10141619[Prodi],$W$125,Table10141619[F1],Z$128)/$W$127</f>
        <v>#DIV/0!</v>
      </c>
      <c r="AA143" s="62" t="e">
        <f t="shared" si="21"/>
        <v>#DIV/0!</v>
      </c>
      <c r="AB143"/>
      <c r="AC143"/>
      <c r="AD143"/>
      <c r="AE143"/>
      <c r="AF143"/>
      <c r="AG143"/>
      <c r="AH143"/>
      <c r="AI143"/>
      <c r="AJ143"/>
      <c r="AK143"/>
      <c r="AL143"/>
      <c r="AM143"/>
      <c r="AN143"/>
      <c r="AO143"/>
      <c r="AP143"/>
      <c r="AQ143"/>
      <c r="AR143"/>
    </row>
    <row r="144" spans="1:44" s="118" customFormat="1" ht="16.5" x14ac:dyDescent="0.3">
      <c r="A144" s="57" t="s">
        <v>38</v>
      </c>
      <c r="B144" s="66">
        <f>COUNTIF(Table10141619[F2],B$128)/$B$127</f>
        <v>0.75</v>
      </c>
      <c r="C144" s="66">
        <f>COUNTIF(Table10141619[F2],C$128)/$B$127</f>
        <v>0.25</v>
      </c>
      <c r="D144" s="66">
        <f>COUNTIF(Table10141619[F2],D$128)/$B$127</f>
        <v>0</v>
      </c>
      <c r="E144" s="66">
        <f>COUNTIF(Table10141619[F2],E$128)/$B$127</f>
        <v>0</v>
      </c>
      <c r="F144" s="62">
        <f t="shared" si="18"/>
        <v>1</v>
      </c>
      <c r="H144" s="57" t="s">
        <v>38</v>
      </c>
      <c r="I144" s="66">
        <f>COUNTIFS(Table10141619[Prodi],$I$125,Table10141619[F2],I$128)/$I$127</f>
        <v>1</v>
      </c>
      <c r="J144" s="66">
        <f>COUNTIFS(Table10141619[Prodi],$I$125,Table10141619[F2],J$128)/$I$127</f>
        <v>0</v>
      </c>
      <c r="K144" s="66">
        <f>COUNTIFS(Table10141619[Prodi],$I$125,Table10141619[F2],K$128)/$I$127</f>
        <v>0</v>
      </c>
      <c r="L144" s="66">
        <f>COUNTIFS(Table10141619[Prodi],$I$125,Table10141619[F2],L$128)/$I$127</f>
        <v>0</v>
      </c>
      <c r="M144" s="62">
        <f t="shared" si="19"/>
        <v>1</v>
      </c>
      <c r="N144"/>
      <c r="O144" s="57" t="s">
        <v>38</v>
      </c>
      <c r="P144" s="66">
        <f>COUNTIFS(Table10141619[Prodi],$P$125,Table10141619[F2],P$128)/$P$127</f>
        <v>0.5</v>
      </c>
      <c r="Q144" s="66">
        <f>COUNTIFS(Table10141619[Prodi],$P$125,Table10141619[F2],Q$128)/$P$127</f>
        <v>0.5</v>
      </c>
      <c r="R144" s="66">
        <f>COUNTIFS(Table10141619[Prodi],$P$125,Table10141619[F2],R$128)/$P$127</f>
        <v>0</v>
      </c>
      <c r="S144" s="66">
        <f>COUNTIFS(Table10141619[Prodi],$P$125,Table10141619[F2],S$128)/$P$127</f>
        <v>0</v>
      </c>
      <c r="T144" s="62">
        <f t="shared" si="20"/>
        <v>1</v>
      </c>
      <c r="U144"/>
      <c r="V144" s="57" t="s">
        <v>38</v>
      </c>
      <c r="W144" s="66" t="e">
        <f>COUNTIFS(Table10141619[Prodi],$W$125,Table10141619[F2],W$128)/$W$127</f>
        <v>#DIV/0!</v>
      </c>
      <c r="X144" s="66" t="e">
        <f>COUNTIFS(Table10141619[Prodi],$W$125,Table10141619[F2],X$128)/$W$127</f>
        <v>#DIV/0!</v>
      </c>
      <c r="Y144" s="66" t="e">
        <f>COUNTIFS(Table10141619[Prodi],$W$125,Table10141619[F2],Y$128)/$W$127</f>
        <v>#DIV/0!</v>
      </c>
      <c r="Z144" s="66" t="e">
        <f>COUNTIFS(Table10141619[Prodi],$W$125,Table10141619[F2],Z$128)/$W$127</f>
        <v>#DIV/0!</v>
      </c>
      <c r="AA144" s="62" t="e">
        <f t="shared" si="21"/>
        <v>#DIV/0!</v>
      </c>
      <c r="AB144"/>
      <c r="AC144"/>
      <c r="AD144"/>
      <c r="AE144"/>
      <c r="AF144"/>
      <c r="AG144"/>
      <c r="AH144"/>
      <c r="AI144"/>
      <c r="AJ144"/>
      <c r="AK144"/>
      <c r="AL144"/>
      <c r="AM144"/>
      <c r="AN144"/>
      <c r="AO144"/>
      <c r="AP144"/>
      <c r="AQ144"/>
      <c r="AR144"/>
    </row>
    <row r="145" spans="1:44" s="118" customFormat="1" ht="16.5" x14ac:dyDescent="0.3">
      <c r="A145" s="57" t="s">
        <v>39</v>
      </c>
      <c r="B145" s="66">
        <f>COUNTIF(Table10141619[F3],B$128)/$B$127</f>
        <v>1</v>
      </c>
      <c r="C145" s="66">
        <f>COUNTIF(Table10141619[F3],C$128)/$B$127</f>
        <v>0</v>
      </c>
      <c r="D145" s="66">
        <f>COUNTIF(Table10141619[F3],D$128)/$B$127</f>
        <v>0</v>
      </c>
      <c r="E145" s="66">
        <f>COUNTIF(Table10141619[F3],E$128)/$B$127</f>
        <v>0</v>
      </c>
      <c r="F145" s="62">
        <f t="shared" si="18"/>
        <v>1</v>
      </c>
      <c r="H145" s="57" t="s">
        <v>39</v>
      </c>
      <c r="I145" s="66">
        <f>COUNTIFS(Table10141619[Prodi],$I$125,Table10141619[F3],I$128)/$I$127</f>
        <v>1</v>
      </c>
      <c r="J145" s="66">
        <f>COUNTIFS(Table10141619[Prodi],$I$125,Table10141619[F3],J$128)/$I$127</f>
        <v>0</v>
      </c>
      <c r="K145" s="66">
        <f>COUNTIFS(Table10141619[Prodi],$I$125,Table10141619[F3],K$128)/$I$127</f>
        <v>0</v>
      </c>
      <c r="L145" s="66">
        <f>COUNTIFS(Table10141619[Prodi],$I$125,Table10141619[F3],L$128)/$I$127</f>
        <v>0</v>
      </c>
      <c r="M145" s="62">
        <f t="shared" si="19"/>
        <v>1</v>
      </c>
      <c r="N145"/>
      <c r="O145" s="57" t="s">
        <v>39</v>
      </c>
      <c r="P145" s="66">
        <f>COUNTIFS(Table10141619[Prodi],$P$125,Table10141619[F3],P$128)/$P$127</f>
        <v>1</v>
      </c>
      <c r="Q145" s="66">
        <f>COUNTIFS(Table10141619[Prodi],$P$125,Table10141619[F3],Q$128)/$P$127</f>
        <v>0</v>
      </c>
      <c r="R145" s="66">
        <f>COUNTIFS(Table10141619[Prodi],$P$125,Table10141619[F3],R$128)/$P$127</f>
        <v>0</v>
      </c>
      <c r="S145" s="66">
        <f>COUNTIFS(Table10141619[Prodi],$P$125,Table10141619[F3],S$128)/$P$127</f>
        <v>0</v>
      </c>
      <c r="T145" s="62">
        <f t="shared" si="20"/>
        <v>1</v>
      </c>
      <c r="U145"/>
      <c r="V145" s="57" t="s">
        <v>39</v>
      </c>
      <c r="W145" s="66" t="e">
        <f>COUNTIFS(Table10141619[Prodi],$W$125,Table10141619[F3],W$128)/$W$127</f>
        <v>#DIV/0!</v>
      </c>
      <c r="X145" s="66" t="e">
        <f>COUNTIFS(Table10141619[Prodi],$W$125,Table10141619[F3],X$128)/$W$127</f>
        <v>#DIV/0!</v>
      </c>
      <c r="Y145" s="66" t="e">
        <f>COUNTIFS(Table10141619[Prodi],$W$125,Table10141619[F3],Y$128)/$W$127</f>
        <v>#DIV/0!</v>
      </c>
      <c r="Z145" s="66" t="e">
        <f>COUNTIFS(Table10141619[Prodi],$W$125,Table10141619[F3],Z$128)/$W$127</f>
        <v>#DIV/0!</v>
      </c>
      <c r="AA145" s="62" t="e">
        <f t="shared" si="21"/>
        <v>#DIV/0!</v>
      </c>
      <c r="AB145"/>
      <c r="AC145"/>
      <c r="AD145"/>
      <c r="AE145"/>
      <c r="AF145"/>
      <c r="AG145"/>
      <c r="AH145"/>
      <c r="AI145"/>
      <c r="AJ145"/>
      <c r="AK145"/>
      <c r="AL145"/>
      <c r="AM145"/>
      <c r="AN145"/>
      <c r="AO145"/>
      <c r="AP145"/>
      <c r="AQ145"/>
      <c r="AR145"/>
    </row>
    <row r="146" spans="1:44" s="118" customFormat="1" ht="16.5" x14ac:dyDescent="0.3">
      <c r="A146" s="57" t="s">
        <v>1170</v>
      </c>
      <c r="B146" s="66">
        <f>COUNTIF(Table10141619[F4],B$128)/$B$127</f>
        <v>0.5</v>
      </c>
      <c r="C146" s="66">
        <f>COUNTIF(Table10141619[F4],C$128)/$B$127</f>
        <v>0.5</v>
      </c>
      <c r="D146" s="66">
        <f>COUNTIF(Table10141619[F4],D$128)/$B$127</f>
        <v>0</v>
      </c>
      <c r="E146" s="66">
        <f>COUNTIF(Table10141619[F4],E$128)/$B$127</f>
        <v>0</v>
      </c>
      <c r="F146" s="62">
        <f t="shared" si="18"/>
        <v>1</v>
      </c>
      <c r="H146" s="57" t="s">
        <v>1170</v>
      </c>
      <c r="I146" s="66">
        <f>COUNTIFS(Table10141619[Prodi],$I$125,Table10141619[F4],I$128)/$I$127</f>
        <v>0.5</v>
      </c>
      <c r="J146" s="66">
        <f>COUNTIFS(Table10141619[Prodi],$I$125,Table10141619[F4],J$128)/$I$127</f>
        <v>0.5</v>
      </c>
      <c r="K146" s="66">
        <f>COUNTIFS(Table10141619[Prodi],$I$125,Table10141619[F4],K$128)/$I$127</f>
        <v>0</v>
      </c>
      <c r="L146" s="66">
        <f>COUNTIFS(Table10141619[Prodi],$I$125,Table10141619[F4],L$128)/$I$127</f>
        <v>0</v>
      </c>
      <c r="M146" s="62">
        <f t="shared" si="19"/>
        <v>1</v>
      </c>
      <c r="N146"/>
      <c r="O146" s="57" t="s">
        <v>1170</v>
      </c>
      <c r="P146" s="66">
        <f>COUNTIFS(Table10141619[Prodi],$P$125,Table10141619[F4],P$128)/$P$127</f>
        <v>0.5</v>
      </c>
      <c r="Q146" s="66">
        <f>COUNTIFS(Table10141619[Prodi],$P$125,Table10141619[F4],Q$128)/$P$127</f>
        <v>0.5</v>
      </c>
      <c r="R146" s="66">
        <f>COUNTIFS(Table10141619[Prodi],$P$125,Table10141619[F4],R$128)/$P$127</f>
        <v>0</v>
      </c>
      <c r="S146" s="66">
        <f>COUNTIFS(Table10141619[Prodi],$P$125,Table10141619[F4],S$128)/$P$127</f>
        <v>0</v>
      </c>
      <c r="T146" s="62">
        <f t="shared" si="20"/>
        <v>1</v>
      </c>
      <c r="U146"/>
      <c r="V146" s="57" t="s">
        <v>1170</v>
      </c>
      <c r="W146" s="66" t="e">
        <f>COUNTIFS(Table10141619[Prodi],$W$125,Table10141619[F4],W$128)/$W$127</f>
        <v>#DIV/0!</v>
      </c>
      <c r="X146" s="66" t="e">
        <f>COUNTIFS(Table10141619[Prodi],$W$125,Table10141619[F4],X$128)/$W$127</f>
        <v>#DIV/0!</v>
      </c>
      <c r="Y146" s="66" t="e">
        <f>COUNTIFS(Table10141619[Prodi],$W$125,Table10141619[F4],Y$128)/$W$127</f>
        <v>#DIV/0!</v>
      </c>
      <c r="Z146" s="66" t="e">
        <f>COUNTIFS(Table10141619[Prodi],$W$125,Table10141619[F4],Z$128)/$W$127</f>
        <v>#DIV/0!</v>
      </c>
      <c r="AA146" s="62" t="e">
        <f t="shared" si="21"/>
        <v>#DIV/0!</v>
      </c>
      <c r="AB146"/>
      <c r="AC146"/>
      <c r="AD146"/>
      <c r="AE146"/>
      <c r="AF146"/>
      <c r="AG146"/>
      <c r="AH146"/>
      <c r="AI146"/>
      <c r="AJ146"/>
      <c r="AK146"/>
      <c r="AL146"/>
      <c r="AM146"/>
      <c r="AN146"/>
      <c r="AO146"/>
      <c r="AP146"/>
      <c r="AQ146"/>
      <c r="AR146"/>
    </row>
    <row r="147" spans="1:44" s="118" customFormat="1" ht="16.5" x14ac:dyDescent="0.3">
      <c r="A147" s="60"/>
      <c r="B147" s="61">
        <f>AVERAGE(B143:B146)</f>
        <v>0.5625</v>
      </c>
      <c r="C147" s="61">
        <f>AVERAGE(C143:C146)</f>
        <v>0.4375</v>
      </c>
      <c r="D147" s="61">
        <f>AVERAGE(D143:D146)</f>
        <v>0</v>
      </c>
      <c r="E147" s="61">
        <f>AVERAGE(E143:E146)</f>
        <v>0</v>
      </c>
      <c r="F147" s="62">
        <f t="shared" si="18"/>
        <v>1</v>
      </c>
      <c r="H147" s="60"/>
      <c r="I147" s="61">
        <f>AVERAGE(I143:I146)</f>
        <v>0.625</v>
      </c>
      <c r="J147" s="61">
        <f>AVERAGE(J143:J146)</f>
        <v>0.375</v>
      </c>
      <c r="K147" s="61">
        <f>AVERAGE(K143:K146)</f>
        <v>0</v>
      </c>
      <c r="L147" s="61">
        <f>AVERAGE(L143:L146)</f>
        <v>0</v>
      </c>
      <c r="M147" s="62">
        <f t="shared" si="19"/>
        <v>1</v>
      </c>
      <c r="N147"/>
      <c r="O147" s="60"/>
      <c r="P147" s="61">
        <f>AVERAGE(P143:P146)</f>
        <v>0.5</v>
      </c>
      <c r="Q147" s="61">
        <f>AVERAGE(Q143:Q146)</f>
        <v>0.5</v>
      </c>
      <c r="R147" s="61">
        <f>AVERAGE(R143:R146)</f>
        <v>0</v>
      </c>
      <c r="S147" s="61">
        <f>AVERAGE(S143:S146)</f>
        <v>0</v>
      </c>
      <c r="T147" s="62">
        <f t="shared" si="20"/>
        <v>1</v>
      </c>
      <c r="U147"/>
      <c r="V147" s="60"/>
      <c r="W147" s="61" t="e">
        <f>AVERAGE(W143:W146)</f>
        <v>#DIV/0!</v>
      </c>
      <c r="X147" s="61" t="e">
        <f>AVERAGE(X143:X146)</f>
        <v>#DIV/0!</v>
      </c>
      <c r="Y147" s="61" t="e">
        <f>AVERAGE(Y143:Y146)</f>
        <v>#DIV/0!</v>
      </c>
      <c r="Z147" s="61" t="e">
        <f>AVERAGE(Z143:Z146)</f>
        <v>#DIV/0!</v>
      </c>
      <c r="AA147" s="62" t="e">
        <f t="shared" si="21"/>
        <v>#DIV/0!</v>
      </c>
      <c r="AB147"/>
      <c r="AC147"/>
      <c r="AD147"/>
      <c r="AE147"/>
      <c r="AF147"/>
      <c r="AG147"/>
      <c r="AH147"/>
      <c r="AI147"/>
      <c r="AJ147"/>
      <c r="AK147"/>
      <c r="AL147"/>
      <c r="AM147"/>
      <c r="AN147"/>
      <c r="AO147"/>
      <c r="AP147"/>
      <c r="AQ147"/>
      <c r="AR147"/>
    </row>
    <row r="148" spans="1:44" s="118" customFormat="1" ht="16.5" x14ac:dyDescent="0.3">
      <c r="A148" s="57" t="s">
        <v>40</v>
      </c>
      <c r="B148" s="66">
        <f>COUNTIF(Table10141619[G1],B$128)/$B$127</f>
        <v>0.75</v>
      </c>
      <c r="C148" s="66">
        <f>COUNTIF(Table10141619[G1],C$128)/$B$127</f>
        <v>0.25</v>
      </c>
      <c r="D148" s="66">
        <f>COUNTIF(Table10141619[G1],D$128)/$B$127</f>
        <v>0</v>
      </c>
      <c r="E148" s="66">
        <f>COUNTIF(Table10141619[G1],E$128)/$B$127</f>
        <v>0</v>
      </c>
      <c r="F148" s="62">
        <f t="shared" si="18"/>
        <v>1</v>
      </c>
      <c r="H148" s="57" t="s">
        <v>40</v>
      </c>
      <c r="I148" s="66">
        <f>COUNTIFS(Table10141619[Prodi],$I$125,Table10141619[G1],I$128)/$I$127</f>
        <v>1</v>
      </c>
      <c r="J148" s="66">
        <f>COUNTIFS(Table10141619[Prodi],$I$125,Table10141619[G1],J$128)/$I$127</f>
        <v>0</v>
      </c>
      <c r="K148" s="66">
        <f>COUNTIFS(Table10141619[Prodi],$I$125,Table10141619[G1],K$128)/$I$127</f>
        <v>0</v>
      </c>
      <c r="L148" s="66">
        <f>COUNTIFS(Table10141619[Prodi],$I$125,Table10141619[G1],L$128)/$I$127</f>
        <v>0</v>
      </c>
      <c r="M148" s="62">
        <f t="shared" si="19"/>
        <v>1</v>
      </c>
      <c r="N148"/>
      <c r="O148" s="57" t="s">
        <v>40</v>
      </c>
      <c r="P148" s="66">
        <f>COUNTIFS(Table10141619[Prodi],$P$125,Table10141619[G1],P$128)/$P$127</f>
        <v>0.5</v>
      </c>
      <c r="Q148" s="66">
        <f>COUNTIFS(Table10141619[Prodi],$P$125,Table10141619[G1],Q$128)/$P$127</f>
        <v>0.5</v>
      </c>
      <c r="R148" s="66">
        <f>COUNTIFS(Table10141619[Prodi],$P$125,Table10141619[G1],R$128)/$P$127</f>
        <v>0</v>
      </c>
      <c r="S148" s="66">
        <f>COUNTIFS(Table10141619[Prodi],$P$125,Table10141619[G1],S$128)/$P$127</f>
        <v>0</v>
      </c>
      <c r="T148" s="62">
        <f t="shared" si="20"/>
        <v>1</v>
      </c>
      <c r="U148"/>
      <c r="V148" s="57" t="s">
        <v>40</v>
      </c>
      <c r="W148" s="66" t="e">
        <f>COUNTIFS(Table10141619[Prodi],$W$125,Table10141619[G1],W$128)/$W$127</f>
        <v>#DIV/0!</v>
      </c>
      <c r="X148" s="66" t="e">
        <f>COUNTIFS(Table10141619[Prodi],$W$125,Table10141619[G1],X$128)/$W$127</f>
        <v>#DIV/0!</v>
      </c>
      <c r="Y148" s="66" t="e">
        <f>COUNTIFS(Table10141619[Prodi],$W$125,Table10141619[G1],Y$128)/$W$127</f>
        <v>#DIV/0!</v>
      </c>
      <c r="Z148" s="66" t="e">
        <f>COUNTIFS(Table10141619[Prodi],$W$125,Table10141619[G1],Z$128)/$W$127</f>
        <v>#DIV/0!</v>
      </c>
      <c r="AA148" s="62" t="e">
        <f t="shared" si="21"/>
        <v>#DIV/0!</v>
      </c>
      <c r="AB148"/>
      <c r="AC148"/>
      <c r="AD148"/>
      <c r="AE148"/>
      <c r="AF148"/>
      <c r="AG148"/>
      <c r="AH148"/>
      <c r="AI148"/>
      <c r="AJ148"/>
      <c r="AK148"/>
      <c r="AL148"/>
      <c r="AM148"/>
      <c r="AN148"/>
      <c r="AO148"/>
      <c r="AP148"/>
      <c r="AQ148"/>
      <c r="AR148"/>
    </row>
    <row r="149" spans="1:44" s="118" customFormat="1" ht="16.5" x14ac:dyDescent="0.3">
      <c r="A149" s="57" t="s">
        <v>41</v>
      </c>
      <c r="B149" s="66">
        <f>COUNTIF(Table10141619[G2],B$128)/$B$127</f>
        <v>0.75</v>
      </c>
      <c r="C149" s="66">
        <f>COUNTIF(Table10141619[G2],C$128)/$B$127</f>
        <v>0.25</v>
      </c>
      <c r="D149" s="66">
        <f>COUNTIF(Table10141619[G2],D$128)/$B$127</f>
        <v>0</v>
      </c>
      <c r="E149" s="66">
        <f>COUNTIF(Table10141619[G2],E$128)/$B$127</f>
        <v>0</v>
      </c>
      <c r="F149" s="62">
        <f t="shared" si="18"/>
        <v>1</v>
      </c>
      <c r="H149" s="57" t="s">
        <v>41</v>
      </c>
      <c r="I149" s="66">
        <f>COUNTIFS(Table10141619[Prodi],$I$125,Table10141619[G2],I$128)/$I$127</f>
        <v>0.5</v>
      </c>
      <c r="J149" s="66">
        <f>COUNTIFS(Table10141619[Prodi],$I$125,Table10141619[G2],J$128)/$I$127</f>
        <v>0.5</v>
      </c>
      <c r="K149" s="66">
        <f>COUNTIFS(Table10141619[Prodi],$I$125,Table10141619[G2],K$128)/$I$127</f>
        <v>0</v>
      </c>
      <c r="L149" s="66">
        <f>COUNTIFS(Table10141619[Prodi],$I$125,Table10141619[G2],L$128)/$I$127</f>
        <v>0</v>
      </c>
      <c r="M149" s="62">
        <f t="shared" si="19"/>
        <v>1</v>
      </c>
      <c r="N149"/>
      <c r="O149" s="57" t="s">
        <v>41</v>
      </c>
      <c r="P149" s="66">
        <f>COUNTIFS(Table10141619[Prodi],$P$125,Table10141619[G2],P$128)/$P$127</f>
        <v>1</v>
      </c>
      <c r="Q149" s="66">
        <f>COUNTIFS(Table10141619[Prodi],$P$125,Table10141619[G2],Q$128)/$P$127</f>
        <v>0</v>
      </c>
      <c r="R149" s="66">
        <f>COUNTIFS(Table10141619[Prodi],$P$125,Table10141619[G2],R$128)/$P$127</f>
        <v>0</v>
      </c>
      <c r="S149" s="66">
        <f>COUNTIFS(Table10141619[Prodi],$P$125,Table10141619[G2],S$128)/$P$127</f>
        <v>0</v>
      </c>
      <c r="T149" s="62">
        <f t="shared" si="20"/>
        <v>1</v>
      </c>
      <c r="U149"/>
      <c r="V149" s="57" t="s">
        <v>41</v>
      </c>
      <c r="W149" s="66" t="e">
        <f>COUNTIFS(Table10141619[Prodi],$W$125,Table10141619[G2],W$128)/$W$127</f>
        <v>#DIV/0!</v>
      </c>
      <c r="X149" s="66" t="e">
        <f>COUNTIFS(Table10141619[Prodi],$W$125,Table10141619[G2],X$128)/$W$127</f>
        <v>#DIV/0!</v>
      </c>
      <c r="Y149" s="66" t="e">
        <f>COUNTIFS(Table10141619[Prodi],$W$125,Table10141619[G2],Y$128)/$W$127</f>
        <v>#DIV/0!</v>
      </c>
      <c r="Z149" s="66" t="e">
        <f>COUNTIFS(Table10141619[Prodi],$W$125,Table10141619[G2],Z$128)/$W$127</f>
        <v>#DIV/0!</v>
      </c>
      <c r="AA149" s="62" t="e">
        <f t="shared" si="21"/>
        <v>#DIV/0!</v>
      </c>
      <c r="AB149"/>
      <c r="AC149"/>
      <c r="AD149"/>
      <c r="AE149"/>
      <c r="AF149"/>
      <c r="AG149"/>
      <c r="AH149"/>
      <c r="AI149"/>
      <c r="AJ149"/>
      <c r="AK149"/>
      <c r="AL149"/>
      <c r="AM149"/>
      <c r="AN149"/>
      <c r="AO149"/>
      <c r="AP149"/>
      <c r="AQ149"/>
      <c r="AR149"/>
    </row>
    <row r="150" spans="1:44" s="118" customFormat="1" ht="16.5" x14ac:dyDescent="0.3">
      <c r="A150" s="57" t="s">
        <v>1172</v>
      </c>
      <c r="B150" s="66">
        <f>COUNTIF(Table10141619[G3],B$128)/$B$127</f>
        <v>0.5</v>
      </c>
      <c r="C150" s="66">
        <f>COUNTIF(Table10141619[G3],C$128)/$B$127</f>
        <v>0.5</v>
      </c>
      <c r="D150" s="66">
        <f>COUNTIF(Table10141619[G3],D$128)/$B$127</f>
        <v>0</v>
      </c>
      <c r="E150" s="66">
        <f>COUNTIF(Table10141619[G3],E$128)/$B$127</f>
        <v>0</v>
      </c>
      <c r="F150" s="62">
        <f t="shared" si="18"/>
        <v>1</v>
      </c>
      <c r="H150" s="57" t="s">
        <v>1172</v>
      </c>
      <c r="I150" s="66">
        <f>COUNTIFS(Table10141619[Prodi],$I$125,Table10141619[G3],I$128)/$I$127</f>
        <v>0.5</v>
      </c>
      <c r="J150" s="66">
        <f>COUNTIFS(Table10141619[Prodi],$I$125,Table10141619[G3],J$128)/$I$127</f>
        <v>0.5</v>
      </c>
      <c r="K150" s="66">
        <f>COUNTIFS(Table10141619[Prodi],$I$125,Table10141619[G3],K$128)/$I$127</f>
        <v>0</v>
      </c>
      <c r="L150" s="66">
        <f>COUNTIFS(Table10141619[Prodi],$I$125,Table10141619[G3],L$128)/$I$127</f>
        <v>0</v>
      </c>
      <c r="M150" s="62">
        <f t="shared" si="19"/>
        <v>1</v>
      </c>
      <c r="N150"/>
      <c r="O150" s="57" t="s">
        <v>1172</v>
      </c>
      <c r="P150" s="66">
        <f>COUNTIFS(Table10141619[Prodi],$P$125,Table10141619[G3],P$128)/$P$127</f>
        <v>0.5</v>
      </c>
      <c r="Q150" s="66">
        <f>COUNTIFS(Table10141619[Prodi],$P$125,Table10141619[G3],Q$128)/$P$127</f>
        <v>0.5</v>
      </c>
      <c r="R150" s="66">
        <f>COUNTIFS(Table10141619[Prodi],$P$125,Table10141619[G3],R$128)/$P$127</f>
        <v>0</v>
      </c>
      <c r="S150" s="66">
        <f>COUNTIFS(Table10141619[Prodi],$P$125,Table10141619[G3],S$128)/$P$127</f>
        <v>0</v>
      </c>
      <c r="T150" s="62">
        <f t="shared" si="20"/>
        <v>1</v>
      </c>
      <c r="U150"/>
      <c r="V150" s="57" t="s">
        <v>1172</v>
      </c>
      <c r="W150" s="66" t="e">
        <f>COUNTIFS(Table10141619[Prodi],$W$125,Table10141619[G3],W$128)/$W$127</f>
        <v>#DIV/0!</v>
      </c>
      <c r="X150" s="66" t="e">
        <f>COUNTIFS(Table10141619[Prodi],$W$125,Table10141619[G3],X$128)/$W$127</f>
        <v>#DIV/0!</v>
      </c>
      <c r="Y150" s="66" t="e">
        <f>COUNTIFS(Table10141619[Prodi],$W$125,Table10141619[G3],Y$128)/$W$127</f>
        <v>#DIV/0!</v>
      </c>
      <c r="Z150" s="66" t="e">
        <f>COUNTIFS(Table10141619[Prodi],$W$125,Table10141619[G3],Z$128)/$W$127</f>
        <v>#DIV/0!</v>
      </c>
      <c r="AA150" s="62" t="e">
        <f t="shared" si="21"/>
        <v>#DIV/0!</v>
      </c>
      <c r="AB150"/>
      <c r="AC150"/>
      <c r="AD150"/>
      <c r="AE150"/>
      <c r="AF150"/>
      <c r="AG150"/>
      <c r="AH150"/>
      <c r="AI150"/>
      <c r="AJ150"/>
      <c r="AK150"/>
      <c r="AL150"/>
      <c r="AM150"/>
      <c r="AN150"/>
      <c r="AO150"/>
      <c r="AP150"/>
      <c r="AQ150"/>
      <c r="AR150"/>
    </row>
    <row r="151" spans="1:44" s="118" customFormat="1" ht="16.5" x14ac:dyDescent="0.3">
      <c r="A151" s="60"/>
      <c r="B151" s="61">
        <f>AVERAGE(B148:B150)</f>
        <v>0.66666666666666663</v>
      </c>
      <c r="C151" s="61">
        <f>AVERAGE(C148:C150)</f>
        <v>0.33333333333333331</v>
      </c>
      <c r="D151" s="61">
        <f>AVERAGE(D148:D150)</f>
        <v>0</v>
      </c>
      <c r="E151" s="61">
        <f>AVERAGE(E148:E150)</f>
        <v>0</v>
      </c>
      <c r="F151" s="62">
        <f t="shared" si="18"/>
        <v>1</v>
      </c>
      <c r="H151" s="60"/>
      <c r="I151" s="61">
        <f>AVERAGE(I148:I150)</f>
        <v>0.66666666666666663</v>
      </c>
      <c r="J151" s="61">
        <f>AVERAGE(J148:J150)</f>
        <v>0.33333333333333331</v>
      </c>
      <c r="K151" s="61">
        <f>AVERAGE(K148:K150)</f>
        <v>0</v>
      </c>
      <c r="L151" s="61">
        <f>AVERAGE(L148:L150)</f>
        <v>0</v>
      </c>
      <c r="M151" s="62">
        <f t="shared" si="19"/>
        <v>1</v>
      </c>
      <c r="N151"/>
      <c r="O151" s="60"/>
      <c r="P151" s="61">
        <f>AVERAGE(P148:P150)</f>
        <v>0.66666666666666663</v>
      </c>
      <c r="Q151" s="61">
        <f>AVERAGE(Q148:Q150)</f>
        <v>0.33333333333333331</v>
      </c>
      <c r="R151" s="61">
        <f>AVERAGE(R148:R150)</f>
        <v>0</v>
      </c>
      <c r="S151" s="61">
        <f>AVERAGE(S148:S150)</f>
        <v>0</v>
      </c>
      <c r="T151" s="62">
        <f t="shared" si="20"/>
        <v>1</v>
      </c>
      <c r="U151"/>
      <c r="V151" s="60"/>
      <c r="W151" s="61" t="e">
        <f>AVERAGE(W148:W150)</f>
        <v>#DIV/0!</v>
      </c>
      <c r="X151" s="61" t="e">
        <f>AVERAGE(X148:X150)</f>
        <v>#DIV/0!</v>
      </c>
      <c r="Y151" s="61" t="e">
        <f>AVERAGE(Y148:Y150)</f>
        <v>#DIV/0!</v>
      </c>
      <c r="Z151" s="61" t="e">
        <f>AVERAGE(Z148:Z150)</f>
        <v>#DIV/0!</v>
      </c>
      <c r="AA151" s="62" t="e">
        <f t="shared" si="21"/>
        <v>#DIV/0!</v>
      </c>
      <c r="AB151"/>
      <c r="AC151"/>
      <c r="AD151"/>
      <c r="AE151"/>
      <c r="AF151"/>
      <c r="AG151"/>
      <c r="AH151"/>
      <c r="AI151"/>
      <c r="AJ151"/>
      <c r="AK151"/>
      <c r="AL151"/>
      <c r="AM151"/>
      <c r="AN151"/>
      <c r="AO151"/>
      <c r="AP151"/>
      <c r="AQ151"/>
      <c r="AR151"/>
    </row>
    <row r="152" spans="1:44" s="118" customFormat="1" ht="16.5" x14ac:dyDescent="0.3">
      <c r="A152" s="57" t="s">
        <v>42</v>
      </c>
      <c r="B152" s="66">
        <f>COUNTIF(Table10141619[H1],B$128)/$B$127</f>
        <v>0.5</v>
      </c>
      <c r="C152" s="66">
        <f>COUNTIF(Table10141619[H1],C$128)/$B$127</f>
        <v>0.5</v>
      </c>
      <c r="D152" s="66">
        <f>COUNTIF(Table10141619[H1],D$128)/$B$127</f>
        <v>0</v>
      </c>
      <c r="E152" s="66">
        <f>COUNTIF(Table10141619[H1],E$128)/$B$127</f>
        <v>0</v>
      </c>
      <c r="F152" s="62">
        <f t="shared" si="18"/>
        <v>1</v>
      </c>
      <c r="H152" s="57" t="s">
        <v>42</v>
      </c>
      <c r="I152" s="66">
        <f>COUNTIFS(Table10141619[Prodi],$I$125,Table10141619[H1],I$128)/$I$127</f>
        <v>0.5</v>
      </c>
      <c r="J152" s="66">
        <f>COUNTIFS(Table10141619[Prodi],$I$125,Table10141619[H1],J$128)/$I$127</f>
        <v>0.5</v>
      </c>
      <c r="K152" s="66">
        <f>COUNTIFS(Table10141619[Prodi],$I$125,Table10141619[H1],K$128)/$I$127</f>
        <v>0</v>
      </c>
      <c r="L152" s="66">
        <f>COUNTIFS(Table10141619[Prodi],$I$125,Table10141619[H1],L$128)/$I$127</f>
        <v>0</v>
      </c>
      <c r="M152" s="62">
        <f t="shared" si="19"/>
        <v>1</v>
      </c>
      <c r="N152"/>
      <c r="O152" s="57" t="s">
        <v>42</v>
      </c>
      <c r="P152" s="66">
        <f>COUNTIFS(Table10141619[Prodi],$P$125,Table10141619[H1],P$128)/$P$127</f>
        <v>0.5</v>
      </c>
      <c r="Q152" s="66">
        <f>COUNTIFS(Table10141619[Prodi],$P$125,Table10141619[H1],Q$128)/$P$127</f>
        <v>0.5</v>
      </c>
      <c r="R152" s="66">
        <f>COUNTIFS(Table10141619[Prodi],$P$125,Table10141619[H1],R$128)/$P$127</f>
        <v>0</v>
      </c>
      <c r="S152" s="66">
        <f>COUNTIFS(Table10141619[Prodi],$P$125,Table10141619[H1],S$128)/$P$127</f>
        <v>0</v>
      </c>
      <c r="T152" s="62">
        <f t="shared" si="20"/>
        <v>1</v>
      </c>
      <c r="U152"/>
      <c r="V152" s="57" t="s">
        <v>42</v>
      </c>
      <c r="W152" s="66" t="e">
        <f>COUNTIFS(Table10141619[Prodi],$W$125,Table10141619[H1],W$128)/$W$127</f>
        <v>#DIV/0!</v>
      </c>
      <c r="X152" s="66" t="e">
        <f>COUNTIFS(Table10141619[Prodi],$W$125,Table10141619[H1],X$128)/$W$127</f>
        <v>#DIV/0!</v>
      </c>
      <c r="Y152" s="66" t="e">
        <f>COUNTIFS(Table10141619[Prodi],$W$125,Table10141619[H1],Y$128)/$W$127</f>
        <v>#DIV/0!</v>
      </c>
      <c r="Z152" s="66" t="e">
        <f>COUNTIFS(Table10141619[Prodi],$W$125,Table10141619[H1],Z$128)/$W$127</f>
        <v>#DIV/0!</v>
      </c>
      <c r="AA152" s="62" t="e">
        <f t="shared" si="21"/>
        <v>#DIV/0!</v>
      </c>
      <c r="AB152"/>
      <c r="AC152"/>
      <c r="AD152"/>
      <c r="AE152"/>
      <c r="AF152"/>
      <c r="AG152"/>
      <c r="AH152"/>
      <c r="AI152"/>
      <c r="AJ152"/>
      <c r="AK152"/>
      <c r="AL152"/>
      <c r="AM152"/>
      <c r="AN152"/>
      <c r="AO152"/>
      <c r="AP152"/>
      <c r="AQ152"/>
      <c r="AR152"/>
    </row>
    <row r="153" spans="1:44" s="118" customFormat="1" ht="16.5" x14ac:dyDescent="0.3">
      <c r="A153" s="57" t="s">
        <v>43</v>
      </c>
      <c r="B153" s="66">
        <f>COUNTIF(Table10141619[H2],B$128)/$B$127</f>
        <v>0.5</v>
      </c>
      <c r="C153" s="66">
        <f>COUNTIF(Table10141619[H2],C$128)/$B$127</f>
        <v>0.5</v>
      </c>
      <c r="D153" s="66">
        <f>COUNTIF(Table10141619[H2],D$128)/$B$127</f>
        <v>0</v>
      </c>
      <c r="E153" s="66">
        <f>COUNTIF(Table10141619[H2],E$128)/$B$127</f>
        <v>0</v>
      </c>
      <c r="F153" s="62">
        <f t="shared" si="18"/>
        <v>1</v>
      </c>
      <c r="H153" s="57" t="s">
        <v>43</v>
      </c>
      <c r="I153" s="66">
        <f>COUNTIFS(Table10141619[Prodi],$I$125,Table10141619[H2],I$128)/$I$127</f>
        <v>0.5</v>
      </c>
      <c r="J153" s="66">
        <f>COUNTIFS(Table10141619[Prodi],$I$125,Table10141619[H2],J$128)/$I$127</f>
        <v>0.5</v>
      </c>
      <c r="K153" s="66">
        <f>COUNTIFS(Table10141619[Prodi],$I$125,Table10141619[H2],K$128)/$I$127</f>
        <v>0</v>
      </c>
      <c r="L153" s="66">
        <f>COUNTIFS(Table10141619[Prodi],$I$125,Table10141619[H2],L$128)/$I$127</f>
        <v>0</v>
      </c>
      <c r="M153" s="62">
        <f t="shared" si="19"/>
        <v>1</v>
      </c>
      <c r="N153"/>
      <c r="O153" s="57" t="s">
        <v>43</v>
      </c>
      <c r="P153" s="66">
        <f>COUNTIFS(Table10141619[Prodi],$P$125,Table10141619[H2],P$128)/$P$127</f>
        <v>0.5</v>
      </c>
      <c r="Q153" s="66">
        <f>COUNTIFS(Table10141619[Prodi],$P$125,Table10141619[H2],Q$128)/$P$127</f>
        <v>0.5</v>
      </c>
      <c r="R153" s="66">
        <f>COUNTIFS(Table10141619[Prodi],$P$125,Table10141619[H2],R$128)/$P$127</f>
        <v>0</v>
      </c>
      <c r="S153" s="66">
        <f>COUNTIFS(Table10141619[Prodi],$P$125,Table10141619[H2],S$128)/$P$127</f>
        <v>0</v>
      </c>
      <c r="T153" s="62">
        <f t="shared" si="20"/>
        <v>1</v>
      </c>
      <c r="U153"/>
      <c r="V153" s="57" t="s">
        <v>43</v>
      </c>
      <c r="W153" s="66" t="e">
        <f>COUNTIFS(Table10141619[Prodi],$W$125,Table10141619[H2],W$128)/$W$127</f>
        <v>#DIV/0!</v>
      </c>
      <c r="X153" s="66" t="e">
        <f>COUNTIFS(Table10141619[Prodi],$W$125,Table10141619[H2],X$128)/$W$127</f>
        <v>#DIV/0!</v>
      </c>
      <c r="Y153" s="66" t="e">
        <f>COUNTIFS(Table10141619[Prodi],$W$125,Table10141619[H2],Y$128)/$W$127</f>
        <v>#DIV/0!</v>
      </c>
      <c r="Z153" s="66" t="e">
        <f>COUNTIFS(Table10141619[Prodi],$W$125,Table10141619[H2],Z$128)/$W$127</f>
        <v>#DIV/0!</v>
      </c>
      <c r="AA153" s="62" t="e">
        <f t="shared" si="21"/>
        <v>#DIV/0!</v>
      </c>
      <c r="AB153"/>
      <c r="AC153"/>
      <c r="AD153"/>
      <c r="AE153"/>
      <c r="AF153"/>
      <c r="AG153"/>
      <c r="AH153"/>
      <c r="AI153"/>
      <c r="AJ153"/>
      <c r="AK153"/>
      <c r="AL153"/>
      <c r="AM153"/>
      <c r="AN153"/>
      <c r="AO153"/>
      <c r="AP153"/>
      <c r="AQ153"/>
      <c r="AR153"/>
    </row>
    <row r="154" spans="1:44" s="118" customFormat="1" ht="16.5" x14ac:dyDescent="0.3">
      <c r="A154" s="57" t="s">
        <v>44</v>
      </c>
      <c r="B154" s="66">
        <f>COUNTIF(Table10141619[H3],B$128)/$B$127</f>
        <v>1</v>
      </c>
      <c r="C154" s="66">
        <f>COUNTIF(Table10141619[H3],C$128)/$B$127</f>
        <v>0</v>
      </c>
      <c r="D154" s="66">
        <f>COUNTIF(Table10141619[H3],D$128)/$B$127</f>
        <v>0</v>
      </c>
      <c r="E154" s="66">
        <f>COUNTIF(Table10141619[H3],E$128)/$B$127</f>
        <v>0</v>
      </c>
      <c r="F154" s="62">
        <f t="shared" si="18"/>
        <v>1</v>
      </c>
      <c r="H154" s="57" t="s">
        <v>44</v>
      </c>
      <c r="I154" s="66">
        <f>COUNTIFS(Table10141619[Prodi],$I$125,Table10141619[H3],I$128)/$I$127</f>
        <v>1</v>
      </c>
      <c r="J154" s="66">
        <f>COUNTIFS(Table10141619[Prodi],$I$125,Table10141619[H3],J$128)/$I$127</f>
        <v>0</v>
      </c>
      <c r="K154" s="66">
        <f>COUNTIFS(Table10141619[Prodi],$I$125,Table10141619[H3],K$128)/$I$127</f>
        <v>0</v>
      </c>
      <c r="L154" s="66">
        <f>COUNTIFS(Table10141619[Prodi],$I$125,Table10141619[H3],L$128)/$I$127</f>
        <v>0</v>
      </c>
      <c r="M154" s="62">
        <f t="shared" si="19"/>
        <v>1</v>
      </c>
      <c r="N154"/>
      <c r="O154" s="57" t="s">
        <v>44</v>
      </c>
      <c r="P154" s="66">
        <f>COUNTIFS(Table10141619[Prodi],$P$125,Table10141619[H3],P$128)/$P$127</f>
        <v>1</v>
      </c>
      <c r="Q154" s="66">
        <f>COUNTIFS(Table10141619[Prodi],$P$125,Table10141619[H3],Q$128)/$P$127</f>
        <v>0</v>
      </c>
      <c r="R154" s="66">
        <f>COUNTIFS(Table10141619[Prodi],$P$125,Table10141619[H3],R$128)/$P$127</f>
        <v>0</v>
      </c>
      <c r="S154" s="66">
        <f>COUNTIFS(Table10141619[Prodi],$P$125,Table10141619[H3],S$128)/$P$127</f>
        <v>0</v>
      </c>
      <c r="T154" s="62">
        <f t="shared" si="20"/>
        <v>1</v>
      </c>
      <c r="U154"/>
      <c r="V154" s="57" t="s">
        <v>44</v>
      </c>
      <c r="W154" s="66" t="e">
        <f>COUNTIFS(Table10141619[Prodi],$W$125,Table10141619[H3],W$128)/$W$127</f>
        <v>#DIV/0!</v>
      </c>
      <c r="X154" s="66" t="e">
        <f>COUNTIFS(Table10141619[Prodi],$W$125,Table10141619[H3],X$128)/$W$127</f>
        <v>#DIV/0!</v>
      </c>
      <c r="Y154" s="66" t="e">
        <f>COUNTIFS(Table10141619[Prodi],$W$125,Table10141619[H3],Y$128)/$W$127</f>
        <v>#DIV/0!</v>
      </c>
      <c r="Z154" s="66" t="e">
        <f>COUNTIFS(Table10141619[Prodi],$W$125,Table10141619[H3],Z$128)/$W$127</f>
        <v>#DIV/0!</v>
      </c>
      <c r="AA154" s="62" t="e">
        <f t="shared" si="21"/>
        <v>#DIV/0!</v>
      </c>
      <c r="AB154"/>
      <c r="AC154"/>
      <c r="AD154"/>
      <c r="AE154"/>
      <c r="AF154"/>
      <c r="AG154"/>
      <c r="AH154"/>
      <c r="AI154"/>
      <c r="AJ154"/>
      <c r="AK154"/>
      <c r="AL154"/>
      <c r="AM154"/>
      <c r="AN154"/>
      <c r="AO154"/>
      <c r="AP154"/>
      <c r="AQ154"/>
      <c r="AR154"/>
    </row>
    <row r="155" spans="1:44" s="118" customFormat="1" ht="16.5" x14ac:dyDescent="0.3">
      <c r="A155" s="57" t="s">
        <v>45</v>
      </c>
      <c r="B155" s="66">
        <f>COUNTIF(Table10141619[H4],B$128)/$B$127</f>
        <v>0.75</v>
      </c>
      <c r="C155" s="66">
        <f>COUNTIF(Table10141619[H4],C$128)/$B$127</f>
        <v>0.25</v>
      </c>
      <c r="D155" s="66">
        <f>COUNTIF(Table10141619[H4],D$128)/$B$127</f>
        <v>0</v>
      </c>
      <c r="E155" s="66">
        <f>COUNTIF(Table10141619[H4],E$128)/$B$127</f>
        <v>0</v>
      </c>
      <c r="F155" s="62">
        <f t="shared" si="18"/>
        <v>1</v>
      </c>
      <c r="H155" s="57" t="s">
        <v>45</v>
      </c>
      <c r="I155" s="66">
        <f>COUNTIFS(Table10141619[Prodi],$I$125,Table10141619[H4],I$128)/$I$127</f>
        <v>0.5</v>
      </c>
      <c r="J155" s="66">
        <f>COUNTIFS(Table10141619[Prodi],$I$125,Table10141619[H4],J$128)/$I$127</f>
        <v>0.5</v>
      </c>
      <c r="K155" s="66">
        <f>COUNTIFS(Table10141619[Prodi],$I$125,Table10141619[H4],K$128)/$I$127</f>
        <v>0</v>
      </c>
      <c r="L155" s="66">
        <f>COUNTIFS(Table10141619[Prodi],$I$125,Table10141619[H4],L$128)/$I$127</f>
        <v>0</v>
      </c>
      <c r="M155" s="62">
        <f t="shared" si="19"/>
        <v>1</v>
      </c>
      <c r="N155"/>
      <c r="O155" s="57" t="s">
        <v>45</v>
      </c>
      <c r="P155" s="66">
        <f>COUNTIFS(Table10141619[Prodi],$P$125,Table10141619[H4],P$128)/$P$127</f>
        <v>1</v>
      </c>
      <c r="Q155" s="66">
        <f>COUNTIFS(Table10141619[Prodi],$P$125,Table10141619[H4],Q$128)/$P$127</f>
        <v>0</v>
      </c>
      <c r="R155" s="66">
        <f>COUNTIFS(Table10141619[Prodi],$P$125,Table10141619[H4],R$128)/$P$127</f>
        <v>0</v>
      </c>
      <c r="S155" s="66">
        <f>COUNTIFS(Table10141619[Prodi],$P$125,Table10141619[H4],S$128)/$P$127</f>
        <v>0</v>
      </c>
      <c r="T155" s="62">
        <f t="shared" si="20"/>
        <v>1</v>
      </c>
      <c r="U155"/>
      <c r="V155" s="57" t="s">
        <v>45</v>
      </c>
      <c r="W155" s="66" t="e">
        <f>COUNTIFS(Table10141619[Prodi],$W$125,Table10141619[H4],W$128)/$W$127</f>
        <v>#DIV/0!</v>
      </c>
      <c r="X155" s="66" t="e">
        <f>COUNTIFS(Table10141619[Prodi],$W$125,Table10141619[H4],X$128)/$W$127</f>
        <v>#DIV/0!</v>
      </c>
      <c r="Y155" s="66" t="e">
        <f>COUNTIFS(Table10141619[Prodi],$W$125,Table10141619[H4],Y$128)/$W$127</f>
        <v>#DIV/0!</v>
      </c>
      <c r="Z155" s="66" t="e">
        <f>COUNTIFS(Table10141619[Prodi],$W$125,Table10141619[H4],Z$128)/$W$127</f>
        <v>#DIV/0!</v>
      </c>
      <c r="AA155" s="62" t="e">
        <f t="shared" si="21"/>
        <v>#DIV/0!</v>
      </c>
      <c r="AB155"/>
      <c r="AC155"/>
      <c r="AD155"/>
      <c r="AE155"/>
      <c r="AF155"/>
      <c r="AG155"/>
      <c r="AH155"/>
      <c r="AI155"/>
      <c r="AJ155"/>
      <c r="AK155"/>
      <c r="AL155"/>
      <c r="AM155"/>
      <c r="AN155"/>
      <c r="AO155"/>
      <c r="AP155"/>
      <c r="AQ155"/>
      <c r="AR155"/>
    </row>
    <row r="156" spans="1:44" s="118" customFormat="1" ht="16.5" x14ac:dyDescent="0.3">
      <c r="A156" s="60"/>
      <c r="B156" s="61">
        <f>AVERAGE(B152:B155)</f>
        <v>0.6875</v>
      </c>
      <c r="C156" s="61">
        <f>AVERAGE(C152:C155)</f>
        <v>0.3125</v>
      </c>
      <c r="D156" s="61">
        <f>AVERAGE(D152:D155)</f>
        <v>0</v>
      </c>
      <c r="E156" s="61">
        <f>AVERAGE(E152:E155)</f>
        <v>0</v>
      </c>
      <c r="F156" s="62">
        <f t="shared" si="18"/>
        <v>1</v>
      </c>
      <c r="H156" s="60"/>
      <c r="I156" s="61">
        <f>AVERAGE(I152:I155)</f>
        <v>0.625</v>
      </c>
      <c r="J156" s="61">
        <f>AVERAGE(J152:J155)</f>
        <v>0.375</v>
      </c>
      <c r="K156" s="61">
        <f>AVERAGE(K152:K155)</f>
        <v>0</v>
      </c>
      <c r="L156" s="61">
        <f>AVERAGE(L152:L155)</f>
        <v>0</v>
      </c>
      <c r="M156" s="62">
        <f t="shared" si="19"/>
        <v>1</v>
      </c>
      <c r="N156"/>
      <c r="O156" s="60"/>
      <c r="P156" s="61">
        <f>AVERAGE(P152:P155)</f>
        <v>0.75</v>
      </c>
      <c r="Q156" s="61">
        <f>AVERAGE(Q152:Q155)</f>
        <v>0.25</v>
      </c>
      <c r="R156" s="61">
        <f>AVERAGE(R152:R155)</f>
        <v>0</v>
      </c>
      <c r="S156" s="61">
        <f>AVERAGE(S152:S155)</f>
        <v>0</v>
      </c>
      <c r="T156" s="62">
        <f t="shared" si="20"/>
        <v>1</v>
      </c>
      <c r="U156"/>
      <c r="V156" s="60"/>
      <c r="W156" s="61" t="e">
        <f>AVERAGE(W152:W155)</f>
        <v>#DIV/0!</v>
      </c>
      <c r="X156" s="61" t="e">
        <f>AVERAGE(X152:X155)</f>
        <v>#DIV/0!</v>
      </c>
      <c r="Y156" s="61" t="e">
        <f>AVERAGE(Y152:Y155)</f>
        <v>#DIV/0!</v>
      </c>
      <c r="Z156" s="61" t="e">
        <f>AVERAGE(Z152:Z155)</f>
        <v>#DIV/0!</v>
      </c>
      <c r="AA156" s="62" t="e">
        <f t="shared" si="21"/>
        <v>#DIV/0!</v>
      </c>
      <c r="AB156"/>
      <c r="AC156"/>
      <c r="AD156"/>
      <c r="AE156"/>
      <c r="AF156"/>
      <c r="AG156"/>
      <c r="AH156"/>
      <c r="AI156"/>
      <c r="AJ156"/>
      <c r="AK156"/>
      <c r="AL156"/>
      <c r="AM156"/>
      <c r="AN156"/>
      <c r="AO156"/>
      <c r="AP156"/>
      <c r="AQ156"/>
      <c r="AR156"/>
    </row>
    <row r="157" spans="1:44" s="118" customFormat="1" ht="16.5" x14ac:dyDescent="0.3">
      <c r="A157" s="57" t="s">
        <v>648</v>
      </c>
      <c r="B157" s="66">
        <f>COUNTIF(Table10141619[I1.1],B$128)/$B$127</f>
        <v>0.75</v>
      </c>
      <c r="C157" s="66">
        <f>COUNTIF(Table10141619[I1.1],C$128)/$B$127</f>
        <v>0.25</v>
      </c>
      <c r="D157" s="66">
        <f>COUNTIF(Table10141619[I1.1],D$128)/$B$127</f>
        <v>0</v>
      </c>
      <c r="E157" s="66">
        <f>COUNTIF(Table10141619[I1.1],E$128)/$B$127</f>
        <v>0</v>
      </c>
      <c r="F157" s="62">
        <f t="shared" si="18"/>
        <v>1</v>
      </c>
      <c r="H157" s="57" t="s">
        <v>648</v>
      </c>
      <c r="I157" s="66">
        <f>COUNTIFS(Table10141619[Prodi],$I$125,Table10141619[I1.1],I$128)/$I$127</f>
        <v>1</v>
      </c>
      <c r="J157" s="66">
        <f>COUNTIFS(Table10141619[Prodi],$I$125,Table10141619[I1.1],J$128)/$I$127</f>
        <v>0</v>
      </c>
      <c r="K157" s="66">
        <f>COUNTIFS(Table10141619[Prodi],$I$125,Table10141619[I1.1],K$128)/$I$127</f>
        <v>0</v>
      </c>
      <c r="L157" s="66">
        <f>COUNTIFS(Table10141619[Prodi],$I$125,Table10141619[I1.1],L$128)/$I$127</f>
        <v>0</v>
      </c>
      <c r="M157" s="62">
        <f t="shared" si="19"/>
        <v>1</v>
      </c>
      <c r="N157"/>
      <c r="O157" s="57" t="s">
        <v>648</v>
      </c>
      <c r="P157" s="66">
        <f>COUNTIFS(Table10141619[Prodi],$P$125,Table10141619[I1.1],P$128)/$P$127</f>
        <v>0.5</v>
      </c>
      <c r="Q157" s="66">
        <f>COUNTIFS(Table10141619[Prodi],$P$125,Table10141619[I1.1],Q$128)/$P$127</f>
        <v>0.5</v>
      </c>
      <c r="R157" s="66">
        <f>COUNTIFS(Table10141619[Prodi],$P$125,Table10141619[I1.1],R$128)/$P$127</f>
        <v>0</v>
      </c>
      <c r="S157" s="66">
        <f>COUNTIFS(Table10141619[Prodi],$P$125,Table10141619[I1.1],S$128)/$P$127</f>
        <v>0</v>
      </c>
      <c r="T157" s="62">
        <f t="shared" si="20"/>
        <v>1</v>
      </c>
      <c r="U157"/>
      <c r="V157" s="57" t="s">
        <v>648</v>
      </c>
      <c r="W157" s="66" t="e">
        <f>COUNTIFS(Table10141619[Prodi],$W$125,Table10141619[I1.1],W$128)/$W$127</f>
        <v>#DIV/0!</v>
      </c>
      <c r="X157" s="66" t="e">
        <f>COUNTIFS(Table10141619[Prodi],$W$125,Table10141619[I1.1],X$128)/$W$127</f>
        <v>#DIV/0!</v>
      </c>
      <c r="Y157" s="66" t="e">
        <f>COUNTIFS(Table10141619[Prodi],$W$125,Table10141619[I1.1],Y$128)/$W$127</f>
        <v>#DIV/0!</v>
      </c>
      <c r="Z157" s="66" t="e">
        <f>COUNTIFS(Table10141619[Prodi],$W$125,Table10141619[I1.1],Z$128)/$W$127</f>
        <v>#DIV/0!</v>
      </c>
      <c r="AA157" s="62" t="e">
        <f t="shared" si="21"/>
        <v>#DIV/0!</v>
      </c>
      <c r="AB157"/>
      <c r="AC157"/>
      <c r="AD157"/>
      <c r="AE157"/>
      <c r="AF157"/>
      <c r="AG157"/>
      <c r="AH157"/>
      <c r="AI157"/>
      <c r="AJ157"/>
      <c r="AK157"/>
      <c r="AL157"/>
      <c r="AM157"/>
      <c r="AN157"/>
      <c r="AO157"/>
      <c r="AP157"/>
      <c r="AQ157"/>
      <c r="AR157"/>
    </row>
    <row r="158" spans="1:44" s="118" customFormat="1" ht="16.5" x14ac:dyDescent="0.3">
      <c r="A158" s="57" t="s">
        <v>649</v>
      </c>
      <c r="B158" s="66">
        <f>COUNTIF(Table10141619[I1.2],B$128)/$B$127</f>
        <v>0.5</v>
      </c>
      <c r="C158" s="66">
        <f>COUNTIF(Table10141619[I1.2],C$128)/$B$127</f>
        <v>0.5</v>
      </c>
      <c r="D158" s="66">
        <f>COUNTIF(Table10141619[I1.2],D$128)/$B$127</f>
        <v>0</v>
      </c>
      <c r="E158" s="66">
        <f>COUNTIF(Table10141619[I1.2],E$128)/$B$127</f>
        <v>0</v>
      </c>
      <c r="F158" s="62">
        <f t="shared" si="18"/>
        <v>1</v>
      </c>
      <c r="H158" s="57" t="s">
        <v>649</v>
      </c>
      <c r="I158" s="66">
        <f>COUNTIFS(Table10141619[Prodi],$I$125,Table10141619[I1.2],I$128)/$I$127</f>
        <v>0</v>
      </c>
      <c r="J158" s="66">
        <f>COUNTIFS(Table10141619[Prodi],$I$125,Table10141619[I1.2],J$128)/$I$127</f>
        <v>1</v>
      </c>
      <c r="K158" s="66">
        <f>COUNTIFS(Table10141619[Prodi],$I$125,Table10141619[I1.2],K$128)/$I$127</f>
        <v>0</v>
      </c>
      <c r="L158" s="66">
        <f>COUNTIFS(Table10141619[Prodi],$I$125,Table10141619[I1.2],L$128)/$I$127</f>
        <v>0</v>
      </c>
      <c r="M158" s="62">
        <f t="shared" si="19"/>
        <v>1</v>
      </c>
      <c r="N158"/>
      <c r="O158" s="57" t="s">
        <v>649</v>
      </c>
      <c r="P158" s="66">
        <f>COUNTIFS(Table10141619[Prodi],$P$125,Table10141619[I1.2],P$128)/$P$127</f>
        <v>1</v>
      </c>
      <c r="Q158" s="66">
        <f>COUNTIFS(Table10141619[Prodi],$P$125,Table10141619[I1.2],Q$128)/$P$127</f>
        <v>0</v>
      </c>
      <c r="R158" s="66">
        <f>COUNTIFS(Table10141619[Prodi],$P$125,Table10141619[I1.2],R$128)/$P$127</f>
        <v>0</v>
      </c>
      <c r="S158" s="66">
        <f>COUNTIFS(Table10141619[Prodi],$P$125,Table10141619[I1.2],S$128)/$P$127</f>
        <v>0</v>
      </c>
      <c r="T158" s="62">
        <f t="shared" si="20"/>
        <v>1</v>
      </c>
      <c r="U158"/>
      <c r="V158" s="57" t="s">
        <v>649</v>
      </c>
      <c r="W158" s="66" t="e">
        <f>COUNTIFS(Table10141619[Prodi],$W$125,Table10141619[I1.2],W$128)/$W$127</f>
        <v>#DIV/0!</v>
      </c>
      <c r="X158" s="66" t="e">
        <f>COUNTIFS(Table10141619[Prodi],$W$125,Table10141619[I1.2],X$128)/$W$127</f>
        <v>#DIV/0!</v>
      </c>
      <c r="Y158" s="66" t="e">
        <f>COUNTIFS(Table10141619[Prodi],$W$125,Table10141619[I1.2],Y$128)/$W$127</f>
        <v>#DIV/0!</v>
      </c>
      <c r="Z158" s="66" t="e">
        <f>COUNTIFS(Table10141619[Prodi],$W$125,Table10141619[I1.2],Z$128)/$W$127</f>
        <v>#DIV/0!</v>
      </c>
      <c r="AA158" s="62" t="e">
        <f t="shared" si="21"/>
        <v>#DIV/0!</v>
      </c>
      <c r="AB158"/>
      <c r="AC158"/>
      <c r="AD158"/>
      <c r="AE158"/>
      <c r="AF158"/>
      <c r="AG158"/>
      <c r="AH158"/>
      <c r="AI158"/>
      <c r="AJ158"/>
      <c r="AK158"/>
      <c r="AL158"/>
      <c r="AM158"/>
      <c r="AN158"/>
      <c r="AO158"/>
      <c r="AP158"/>
      <c r="AQ158"/>
      <c r="AR158"/>
    </row>
    <row r="159" spans="1:44" s="118" customFormat="1" ht="16.5" x14ac:dyDescent="0.3">
      <c r="A159" s="57" t="s">
        <v>650</v>
      </c>
      <c r="B159" s="66">
        <f>COUNTIF(Table10141619[I1.3],B$128)/$B$127</f>
        <v>0.5</v>
      </c>
      <c r="C159" s="66">
        <f>COUNTIF(Table10141619[I1.3],C$128)/$B$127</f>
        <v>0.5</v>
      </c>
      <c r="D159" s="66">
        <f>COUNTIF(Table10141619[I1.3],D$128)/$B$127</f>
        <v>0</v>
      </c>
      <c r="E159" s="66">
        <f>COUNTIF(Table10141619[I1.3],E$128)/$B$127</f>
        <v>0</v>
      </c>
      <c r="F159" s="62">
        <f t="shared" si="18"/>
        <v>1</v>
      </c>
      <c r="H159" s="57" t="s">
        <v>650</v>
      </c>
      <c r="I159" s="66">
        <f>COUNTIFS(Table10141619[Prodi],$I$125,Table10141619[I1.3],I$128)/$I$127</f>
        <v>0.5</v>
      </c>
      <c r="J159" s="66">
        <f>COUNTIFS(Table10141619[Prodi],$I$125,Table10141619[I1.3],J$128)/$I$127</f>
        <v>0.5</v>
      </c>
      <c r="K159" s="66">
        <f>COUNTIFS(Table10141619[Prodi],$I$125,Table10141619[I1.3],K$128)/$I$127</f>
        <v>0</v>
      </c>
      <c r="L159" s="66">
        <f>COUNTIFS(Table10141619[Prodi],$I$125,Table10141619[I1.3],L$128)/$I$127</f>
        <v>0</v>
      </c>
      <c r="M159" s="62">
        <f t="shared" si="19"/>
        <v>1</v>
      </c>
      <c r="N159"/>
      <c r="O159" s="57" t="s">
        <v>650</v>
      </c>
      <c r="P159" s="66">
        <f>COUNTIFS(Table10141619[Prodi],$P$125,Table10141619[I1.3],P$128)/$P$127</f>
        <v>0.5</v>
      </c>
      <c r="Q159" s="66">
        <f>COUNTIFS(Table10141619[Prodi],$P$125,Table10141619[I1.3],Q$128)/$P$127</f>
        <v>0.5</v>
      </c>
      <c r="R159" s="66">
        <f>COUNTIFS(Table10141619[Prodi],$P$125,Table10141619[I1.3],R$128)/$P$127</f>
        <v>0</v>
      </c>
      <c r="S159" s="66">
        <f>COUNTIFS(Table10141619[Prodi],$P$125,Table10141619[I1.3],S$128)/$P$127</f>
        <v>0</v>
      </c>
      <c r="T159" s="62">
        <f t="shared" si="20"/>
        <v>1</v>
      </c>
      <c r="U159"/>
      <c r="V159" s="57" t="s">
        <v>650</v>
      </c>
      <c r="W159" s="66" t="e">
        <f>COUNTIFS(Table10141619[Prodi],$W$125,Table10141619[I1.3],W$128)/$W$127</f>
        <v>#DIV/0!</v>
      </c>
      <c r="X159" s="66" t="e">
        <f>COUNTIFS(Table10141619[Prodi],$W$125,Table10141619[I1.3],X$128)/$W$127</f>
        <v>#DIV/0!</v>
      </c>
      <c r="Y159" s="66" t="e">
        <f>COUNTIFS(Table10141619[Prodi],$W$125,Table10141619[I1.3],Y$128)/$W$127</f>
        <v>#DIV/0!</v>
      </c>
      <c r="Z159" s="66" t="e">
        <f>COUNTIFS(Table10141619[Prodi],$W$125,Table10141619[I1.3],Z$128)/$W$127</f>
        <v>#DIV/0!</v>
      </c>
      <c r="AA159" s="62" t="e">
        <f t="shared" si="21"/>
        <v>#DIV/0!</v>
      </c>
      <c r="AB159"/>
      <c r="AC159"/>
      <c r="AD159"/>
      <c r="AE159"/>
      <c r="AF159"/>
      <c r="AG159"/>
      <c r="AH159"/>
      <c r="AI159"/>
      <c r="AJ159"/>
      <c r="AK159"/>
      <c r="AL159"/>
      <c r="AM159"/>
      <c r="AN159"/>
      <c r="AO159"/>
      <c r="AP159"/>
      <c r="AQ159"/>
      <c r="AR159"/>
    </row>
    <row r="160" spans="1:44" s="118" customFormat="1" ht="16.5" x14ac:dyDescent="0.3">
      <c r="A160" s="57" t="s">
        <v>651</v>
      </c>
      <c r="B160" s="66">
        <f>COUNTIF(Table10141619[I1.4],B$128)/$B$127</f>
        <v>1</v>
      </c>
      <c r="C160" s="66">
        <f>COUNTIF(Table10141619[I1.4],C$128)/$B$127</f>
        <v>0</v>
      </c>
      <c r="D160" s="66">
        <f>COUNTIF(Table10141619[I1.4],D$128)/$B$127</f>
        <v>0</v>
      </c>
      <c r="E160" s="66">
        <f>COUNTIF(Table10141619[I1.4],E$128)/$B$127</f>
        <v>0</v>
      </c>
      <c r="F160" s="62">
        <f t="shared" si="18"/>
        <v>1</v>
      </c>
      <c r="H160" s="57" t="s">
        <v>651</v>
      </c>
      <c r="I160" s="66">
        <f>COUNTIFS(Table10141619[Prodi],$I$125,Table10141619[I1.4],I$128)/$I$127</f>
        <v>1</v>
      </c>
      <c r="J160" s="66">
        <f>COUNTIFS(Table10141619[Prodi],$I$125,Table10141619[I1.4],J$128)/$I$127</f>
        <v>0</v>
      </c>
      <c r="K160" s="66">
        <f>COUNTIFS(Table10141619[Prodi],$I$125,Table10141619[I1.4],K$128)/$I$127</f>
        <v>0</v>
      </c>
      <c r="L160" s="66">
        <f>COUNTIFS(Table10141619[Prodi],$I$125,Table10141619[I1.4],L$128)/$I$127</f>
        <v>0</v>
      </c>
      <c r="M160" s="62">
        <f t="shared" si="19"/>
        <v>1</v>
      </c>
      <c r="N160"/>
      <c r="O160" s="57" t="s">
        <v>651</v>
      </c>
      <c r="P160" s="66">
        <f>COUNTIFS(Table10141619[Prodi],$P$125,Table10141619[I1.4],P$128)/$P$127</f>
        <v>1</v>
      </c>
      <c r="Q160" s="66">
        <f>COUNTIFS(Table10141619[Prodi],$P$125,Table10141619[I1.4],Q$128)/$P$127</f>
        <v>0</v>
      </c>
      <c r="R160" s="66">
        <f>COUNTIFS(Table10141619[Prodi],$P$125,Table10141619[I1.4],R$128)/$P$127</f>
        <v>0</v>
      </c>
      <c r="S160" s="66">
        <f>COUNTIFS(Table10141619[Prodi],$P$125,Table10141619[I1.4],S$128)/$P$127</f>
        <v>0</v>
      </c>
      <c r="T160" s="62">
        <f t="shared" si="20"/>
        <v>1</v>
      </c>
      <c r="U160"/>
      <c r="V160" s="57" t="s">
        <v>651</v>
      </c>
      <c r="W160" s="66" t="e">
        <f>COUNTIFS(Table10141619[Prodi],$W$125,Table10141619[I1.4],W$128)/$W$127</f>
        <v>#DIV/0!</v>
      </c>
      <c r="X160" s="66" t="e">
        <f>COUNTIFS(Table10141619[Prodi],$W$125,Table10141619[I1.4],X$128)/$W$127</f>
        <v>#DIV/0!</v>
      </c>
      <c r="Y160" s="66" t="e">
        <f>COUNTIFS(Table10141619[Prodi],$W$125,Table10141619[I1.4],Y$128)/$W$127</f>
        <v>#DIV/0!</v>
      </c>
      <c r="Z160" s="66" t="e">
        <f>COUNTIFS(Table10141619[Prodi],$W$125,Table10141619[I1.4],Z$128)/$W$127</f>
        <v>#DIV/0!</v>
      </c>
      <c r="AA160" s="62" t="e">
        <f t="shared" si="21"/>
        <v>#DIV/0!</v>
      </c>
      <c r="AB160"/>
      <c r="AC160"/>
      <c r="AD160"/>
      <c r="AE160"/>
      <c r="AF160"/>
      <c r="AG160"/>
      <c r="AH160"/>
      <c r="AI160"/>
      <c r="AJ160"/>
      <c r="AK160"/>
      <c r="AL160"/>
      <c r="AM160"/>
      <c r="AN160"/>
      <c r="AO160"/>
      <c r="AP160"/>
      <c r="AQ160"/>
      <c r="AR160"/>
    </row>
    <row r="161" spans="1:44" s="118" customFormat="1" ht="16.5" x14ac:dyDescent="0.3">
      <c r="A161" s="57" t="s">
        <v>652</v>
      </c>
      <c r="B161" s="66">
        <f>COUNTIF(Table10141619[I1.5],B$128)/$B$127</f>
        <v>0.5</v>
      </c>
      <c r="C161" s="66">
        <f>COUNTIF(Table10141619[I1.5],C$128)/$B$127</f>
        <v>0.5</v>
      </c>
      <c r="D161" s="66">
        <f>COUNTIF(Table10141619[I1.5],D$128)/$B$127</f>
        <v>0</v>
      </c>
      <c r="E161" s="66">
        <f>COUNTIF(Table10141619[I1.5],E$128)/$B$127</f>
        <v>0</v>
      </c>
      <c r="F161" s="62">
        <f t="shared" si="18"/>
        <v>1</v>
      </c>
      <c r="H161" s="57" t="s">
        <v>652</v>
      </c>
      <c r="I161" s="66">
        <f>COUNTIFS(Table10141619[Prodi],$I$125,Table10141619[I1.5],I$128)/$I$127</f>
        <v>0.5</v>
      </c>
      <c r="J161" s="66">
        <f>COUNTIFS(Table10141619[Prodi],$I$125,Table10141619[I1.5],J$128)/$I$127</f>
        <v>0.5</v>
      </c>
      <c r="K161" s="66">
        <f>COUNTIFS(Table10141619[Prodi],$I$125,Table10141619[I1.5],K$128)/$I$127</f>
        <v>0</v>
      </c>
      <c r="L161" s="66">
        <f>COUNTIFS(Table10141619[Prodi],$I$125,Table10141619[I1.5],L$128)/$I$127</f>
        <v>0</v>
      </c>
      <c r="M161" s="62">
        <f t="shared" si="19"/>
        <v>1</v>
      </c>
      <c r="N161"/>
      <c r="O161" s="57" t="s">
        <v>652</v>
      </c>
      <c r="P161" s="66">
        <f>COUNTIFS(Table10141619[Prodi],$P$125,Table10141619[I1.5],P$128)/$P$127</f>
        <v>0.5</v>
      </c>
      <c r="Q161" s="66">
        <f>COUNTIFS(Table10141619[Prodi],$P$125,Table10141619[I1.5],Q$128)/$P$127</f>
        <v>0.5</v>
      </c>
      <c r="R161" s="66">
        <f>COUNTIFS(Table10141619[Prodi],$P$125,Table10141619[I1.5],R$128)/$P$127</f>
        <v>0</v>
      </c>
      <c r="S161" s="66">
        <f>COUNTIFS(Table10141619[Prodi],$P$125,Table10141619[I1.5],S$128)/$P$127</f>
        <v>0</v>
      </c>
      <c r="T161" s="62">
        <f t="shared" si="20"/>
        <v>1</v>
      </c>
      <c r="U161"/>
      <c r="V161" s="57" t="s">
        <v>652</v>
      </c>
      <c r="W161" s="66" t="e">
        <f>COUNTIFS(Table10141619[Prodi],$W$125,Table10141619[I1.5],W$128)/$W$127</f>
        <v>#DIV/0!</v>
      </c>
      <c r="X161" s="66" t="e">
        <f>COUNTIFS(Table10141619[Prodi],$W$125,Table10141619[I1.5],X$128)/$W$127</f>
        <v>#DIV/0!</v>
      </c>
      <c r="Y161" s="66" t="e">
        <f>COUNTIFS(Table10141619[Prodi],$W$125,Table10141619[I1.5],Y$128)/$W$127</f>
        <v>#DIV/0!</v>
      </c>
      <c r="Z161" s="66" t="e">
        <f>COUNTIFS(Table10141619[Prodi],$W$125,Table10141619[I1.5],Z$128)/$W$127</f>
        <v>#DIV/0!</v>
      </c>
      <c r="AA161" s="62" t="e">
        <f t="shared" si="21"/>
        <v>#DIV/0!</v>
      </c>
      <c r="AB161"/>
      <c r="AC161"/>
      <c r="AD161"/>
      <c r="AE161"/>
      <c r="AF161"/>
      <c r="AG161"/>
      <c r="AH161"/>
      <c r="AI161"/>
      <c r="AJ161"/>
      <c r="AK161"/>
      <c r="AL161"/>
      <c r="AM161"/>
      <c r="AN161"/>
      <c r="AO161"/>
      <c r="AP161"/>
      <c r="AQ161"/>
      <c r="AR161"/>
    </row>
    <row r="162" spans="1:44" s="118" customFormat="1" ht="16.5" x14ac:dyDescent="0.3">
      <c r="A162" s="60"/>
      <c r="B162" s="61">
        <f>AVERAGE(B158:B161)</f>
        <v>0.625</v>
      </c>
      <c r="C162" s="61">
        <f>AVERAGE(C158:C161)</f>
        <v>0.375</v>
      </c>
      <c r="D162" s="61">
        <f>AVERAGE(D158:D161)</f>
        <v>0</v>
      </c>
      <c r="E162" s="61">
        <f>AVERAGE(E158:E161)</f>
        <v>0</v>
      </c>
      <c r="F162" s="62">
        <f t="shared" si="18"/>
        <v>1</v>
      </c>
      <c r="H162" s="60"/>
      <c r="I162" s="61">
        <f>AVERAGE(I158:I161)</f>
        <v>0.5</v>
      </c>
      <c r="J162" s="61">
        <f>AVERAGE(J158:J161)</f>
        <v>0.5</v>
      </c>
      <c r="K162" s="61">
        <f>AVERAGE(K158:K161)</f>
        <v>0</v>
      </c>
      <c r="L162" s="61">
        <f>AVERAGE(L158:L161)</f>
        <v>0</v>
      </c>
      <c r="M162" s="62">
        <f t="shared" si="19"/>
        <v>1</v>
      </c>
      <c r="N162"/>
      <c r="O162" s="60"/>
      <c r="P162" s="61">
        <f>AVERAGE(P158:P161)</f>
        <v>0.75</v>
      </c>
      <c r="Q162" s="61">
        <f>AVERAGE(Q158:Q161)</f>
        <v>0.25</v>
      </c>
      <c r="R162" s="61">
        <f>AVERAGE(R158:R161)</f>
        <v>0</v>
      </c>
      <c r="S162" s="61">
        <f>AVERAGE(S158:S161)</f>
        <v>0</v>
      </c>
      <c r="T162" s="62">
        <f t="shared" si="20"/>
        <v>1</v>
      </c>
      <c r="U162"/>
      <c r="V162" s="60"/>
      <c r="W162" s="61" t="e">
        <f>AVERAGE(W158:W161)</f>
        <v>#DIV/0!</v>
      </c>
      <c r="X162" s="61" t="e">
        <f>AVERAGE(X158:X161)</f>
        <v>#DIV/0!</v>
      </c>
      <c r="Y162" s="61" t="e">
        <f>AVERAGE(Y158:Y161)</f>
        <v>#DIV/0!</v>
      </c>
      <c r="Z162" s="61" t="e">
        <f>AVERAGE(Z158:Z161)</f>
        <v>#DIV/0!</v>
      </c>
      <c r="AA162" s="62" t="e">
        <f t="shared" si="21"/>
        <v>#DIV/0!</v>
      </c>
      <c r="AB162"/>
      <c r="AC162"/>
      <c r="AD162"/>
      <c r="AE162"/>
      <c r="AF162"/>
      <c r="AG162"/>
      <c r="AH162"/>
      <c r="AI162"/>
      <c r="AJ162"/>
      <c r="AK162"/>
      <c r="AL162"/>
      <c r="AM162"/>
      <c r="AN162"/>
      <c r="AO162"/>
      <c r="AP162"/>
      <c r="AQ162"/>
      <c r="AR162"/>
    </row>
    <row r="163" spans="1:44" ht="16.5" x14ac:dyDescent="0.3">
      <c r="A163" s="57" t="s">
        <v>653</v>
      </c>
      <c r="B163" s="66">
        <f>COUNTIF(Table10141619[I2.1],B$128)/$B$127</f>
        <v>0.5</v>
      </c>
      <c r="C163" s="66">
        <f>COUNTIF(Table10141619[I2.1],C$128)/$B$127</f>
        <v>0.25</v>
      </c>
      <c r="D163" s="66">
        <f>COUNTIF(Table10141619[I2.1],D$128)/$B$127</f>
        <v>0.25</v>
      </c>
      <c r="E163" s="66">
        <f>COUNTIF(Table10141619[I2.1],E$128)/$B$127</f>
        <v>0</v>
      </c>
      <c r="F163" s="62">
        <f t="shared" si="18"/>
        <v>1</v>
      </c>
      <c r="H163" s="57" t="s">
        <v>653</v>
      </c>
      <c r="I163" s="66">
        <f>COUNTIFS(Table10141619[Prodi],$I$125,Table10141619[I2.1],I$128)/$I$127</f>
        <v>1</v>
      </c>
      <c r="J163" s="66">
        <f>COUNTIFS(Table10141619[Prodi],$I$125,Table10141619[I2.1],J$128)/$I$127</f>
        <v>0</v>
      </c>
      <c r="K163" s="66">
        <f>COUNTIFS(Table10141619[Prodi],$I$125,Table10141619[I2.1],K$128)/$I$127</f>
        <v>0</v>
      </c>
      <c r="L163" s="66">
        <f>COUNTIFS(Table10141619[Prodi],$I$125,Table10141619[I2.1],L$128)/$I$127</f>
        <v>0</v>
      </c>
      <c r="M163" s="62">
        <f t="shared" si="19"/>
        <v>1</v>
      </c>
      <c r="O163" s="57" t="s">
        <v>653</v>
      </c>
      <c r="P163" s="66">
        <f>COUNTIFS(Table10141619[Prodi],$P$125,Table10141619[I2.1],P$128)/$P$127</f>
        <v>0</v>
      </c>
      <c r="Q163" s="66">
        <f>COUNTIFS(Table10141619[Prodi],$P$125,Table10141619[I2.1],Q$128)/$P$127</f>
        <v>0.5</v>
      </c>
      <c r="R163" s="66">
        <f>COUNTIFS(Table10141619[Prodi],$P$125,Table10141619[I2.1],R$128)/$P$127</f>
        <v>0.5</v>
      </c>
      <c r="S163" s="66">
        <f>COUNTIFS(Table10141619[Prodi],$P$125,Table10141619[I2.1],S$128)/$P$127</f>
        <v>0</v>
      </c>
      <c r="T163" s="62">
        <f t="shared" si="20"/>
        <v>1</v>
      </c>
      <c r="V163" s="57" t="s">
        <v>653</v>
      </c>
      <c r="W163" s="66" t="e">
        <f>COUNTIFS(Table10141619[Prodi],$W$125,Table10141619[I2.1],W$128)/$W$127</f>
        <v>#DIV/0!</v>
      </c>
      <c r="X163" s="66" t="e">
        <f>COUNTIFS(Table10141619[Prodi],$W$125,Table10141619[I2.1],X$128)/$W$127</f>
        <v>#DIV/0!</v>
      </c>
      <c r="Y163" s="66" t="e">
        <f>COUNTIFS(Table10141619[Prodi],$W$125,Table10141619[I2.1],Y$128)/$W$127</f>
        <v>#DIV/0!</v>
      </c>
      <c r="Z163" s="66" t="e">
        <f>COUNTIFS(Table10141619[Prodi],$W$125,Table10141619[I2.1],Z$128)/$W$127</f>
        <v>#DIV/0!</v>
      </c>
      <c r="AA163" s="62" t="e">
        <f t="shared" si="21"/>
        <v>#DIV/0!</v>
      </c>
    </row>
    <row r="164" spans="1:44" ht="16.5" x14ac:dyDescent="0.3">
      <c r="A164" s="57" t="s">
        <v>654</v>
      </c>
      <c r="B164" s="66">
        <f>COUNTIF(Table10141619[I2.2],B$128)/$B$127</f>
        <v>0.25</v>
      </c>
      <c r="C164" s="66">
        <f>COUNTIF(Table10141619[I2.2],C$128)/$B$127</f>
        <v>0.75</v>
      </c>
      <c r="D164" s="66">
        <f>COUNTIF(Table10141619[I2.2],D$128)/$B$127</f>
        <v>0</v>
      </c>
      <c r="E164" s="66">
        <f>COUNTIF(Table10141619[I2.2],E$128)/$B$127</f>
        <v>0</v>
      </c>
      <c r="F164" s="62">
        <f t="shared" si="18"/>
        <v>1</v>
      </c>
      <c r="H164" s="57" t="s">
        <v>654</v>
      </c>
      <c r="I164" s="66">
        <f>COUNTIFS(Table10141619[Prodi],$I$125,Table10141619[I2.2],I$128)/$I$127</f>
        <v>0.5</v>
      </c>
      <c r="J164" s="66">
        <f>COUNTIFS(Table10141619[Prodi],$I$125,Table10141619[I2.2],J$128)/$I$127</f>
        <v>0.5</v>
      </c>
      <c r="K164" s="66">
        <f>COUNTIFS(Table10141619[Prodi],$I$125,Table10141619[I2.2],K$128)/$I$127</f>
        <v>0</v>
      </c>
      <c r="L164" s="66">
        <f>COUNTIFS(Table10141619[Prodi],$I$125,Table10141619[I2.2],L$128)/$I$127</f>
        <v>0</v>
      </c>
      <c r="M164" s="62">
        <f t="shared" si="19"/>
        <v>1</v>
      </c>
      <c r="O164" s="57" t="s">
        <v>654</v>
      </c>
      <c r="P164" s="66">
        <f>COUNTIFS(Table10141619[Prodi],$P$125,Table10141619[I2.2],P$128)/$P$127</f>
        <v>0</v>
      </c>
      <c r="Q164" s="66">
        <f>COUNTIFS(Table10141619[Prodi],$P$125,Table10141619[I2.2],Q$128)/$P$127</f>
        <v>1</v>
      </c>
      <c r="R164" s="66">
        <f>COUNTIFS(Table10141619[Prodi],$P$125,Table10141619[I2.2],R$128)/$P$127</f>
        <v>0</v>
      </c>
      <c r="S164" s="66">
        <f>COUNTIFS(Table10141619[Prodi],$P$125,Table10141619[I2.2],S$128)/$P$127</f>
        <v>0</v>
      </c>
      <c r="T164" s="62">
        <f t="shared" si="20"/>
        <v>1</v>
      </c>
      <c r="V164" s="57" t="s">
        <v>654</v>
      </c>
      <c r="W164" s="66" t="e">
        <f>COUNTIFS(Table10141619[Prodi],$W$125,Table10141619[I2.2],W$128)/$W$127</f>
        <v>#DIV/0!</v>
      </c>
      <c r="X164" s="66" t="e">
        <f>COUNTIFS(Table10141619[Prodi],$W$125,Table10141619[I2.2],X$128)/$W$127</f>
        <v>#DIV/0!</v>
      </c>
      <c r="Y164" s="66" t="e">
        <f>COUNTIFS(Table10141619[Prodi],$W$125,Table10141619[I2.2],Y$128)/$W$127</f>
        <v>#DIV/0!</v>
      </c>
      <c r="Z164" s="66" t="e">
        <f>COUNTIFS(Table10141619[Prodi],$W$125,Table10141619[I2.2],Z$128)/$W$127</f>
        <v>#DIV/0!</v>
      </c>
      <c r="AA164" s="62" t="e">
        <f t="shared" si="21"/>
        <v>#DIV/0!</v>
      </c>
    </row>
    <row r="165" spans="1:44" ht="16.5" x14ac:dyDescent="0.3">
      <c r="A165" s="57" t="s">
        <v>655</v>
      </c>
      <c r="B165" s="66">
        <f>COUNTIF(Table10141619[I2.3],B$128)/$B$127</f>
        <v>0.25</v>
      </c>
      <c r="C165" s="66">
        <f>COUNTIF(Table10141619[I2.3],C$128)/$B$127</f>
        <v>0.75</v>
      </c>
      <c r="D165" s="66">
        <f>COUNTIF(Table10141619[I2.3],D$128)/$B$127</f>
        <v>0</v>
      </c>
      <c r="E165" s="66">
        <f>COUNTIF(Table10141619[I2.3],E$128)/$B$127</f>
        <v>0</v>
      </c>
      <c r="F165" s="62">
        <f t="shared" si="18"/>
        <v>1</v>
      </c>
      <c r="H165" s="57" t="s">
        <v>655</v>
      </c>
      <c r="I165" s="66">
        <f>COUNTIFS(Table10141619[Prodi],$I$125,Table10141619[I2.3],I$128)/$I$127</f>
        <v>0</v>
      </c>
      <c r="J165" s="66">
        <f>COUNTIFS(Table10141619[Prodi],$I$125,Table10141619[I2.3],J$128)/$I$127</f>
        <v>1</v>
      </c>
      <c r="K165" s="66">
        <f>COUNTIFS(Table10141619[Prodi],$I$125,Table10141619[I2.3],K$128)/$I$127</f>
        <v>0</v>
      </c>
      <c r="L165" s="66">
        <f>COUNTIFS(Table10141619[Prodi],$I$125,Table10141619[I2.3],L$128)/$I$127</f>
        <v>0</v>
      </c>
      <c r="M165" s="62">
        <f t="shared" si="19"/>
        <v>1</v>
      </c>
      <c r="O165" s="57" t="s">
        <v>655</v>
      </c>
      <c r="P165" s="66">
        <f>COUNTIFS(Table10141619[Prodi],$P$125,Table10141619[I2.3],P$128)/$P$127</f>
        <v>0.5</v>
      </c>
      <c r="Q165" s="66">
        <f>COUNTIFS(Table10141619[Prodi],$P$125,Table10141619[I2.3],Q$128)/$P$127</f>
        <v>0.5</v>
      </c>
      <c r="R165" s="66">
        <f>COUNTIFS(Table10141619[Prodi],$P$125,Table10141619[I2.3],R$128)/$P$127</f>
        <v>0</v>
      </c>
      <c r="S165" s="66">
        <f>COUNTIFS(Table10141619[Prodi],$P$125,Table10141619[I2.3],S$128)/$P$127</f>
        <v>0</v>
      </c>
      <c r="T165" s="62">
        <f t="shared" si="20"/>
        <v>1</v>
      </c>
      <c r="V165" s="57" t="s">
        <v>655</v>
      </c>
      <c r="W165" s="66" t="e">
        <f>COUNTIFS(Table10141619[Prodi],$W$125,Table10141619[I2.3],W$128)/$W$127</f>
        <v>#DIV/0!</v>
      </c>
      <c r="X165" s="66" t="e">
        <f>COUNTIFS(Table10141619[Prodi],$W$125,Table10141619[I2.3],X$128)/$W$127</f>
        <v>#DIV/0!</v>
      </c>
      <c r="Y165" s="66" t="e">
        <f>COUNTIFS(Table10141619[Prodi],$W$125,Table10141619[I2.3],Y$128)/$W$127</f>
        <v>#DIV/0!</v>
      </c>
      <c r="Z165" s="66" t="e">
        <f>COUNTIFS(Table10141619[Prodi],$W$125,Table10141619[I2.3],Z$128)/$W$127</f>
        <v>#DIV/0!</v>
      </c>
      <c r="AA165" s="62" t="e">
        <f t="shared" si="21"/>
        <v>#DIV/0!</v>
      </c>
    </row>
    <row r="166" spans="1:44" ht="16.5" x14ac:dyDescent="0.3">
      <c r="A166" s="57" t="s">
        <v>656</v>
      </c>
      <c r="B166" s="66">
        <f>COUNTIF(Table10141619[I2.4],B$128)/$B$127</f>
        <v>0.5</v>
      </c>
      <c r="C166" s="66">
        <f>COUNTIF(Table10141619[I2.4],C$128)/$B$127</f>
        <v>0.5</v>
      </c>
      <c r="D166" s="66">
        <f>COUNTIF(Table10141619[I2.4],D$128)/$B$127</f>
        <v>0</v>
      </c>
      <c r="E166" s="66">
        <f>COUNTIF(Table10141619[I2.4],E$128)/$B$127</f>
        <v>0</v>
      </c>
      <c r="F166" s="62">
        <f t="shared" si="18"/>
        <v>1</v>
      </c>
      <c r="H166" s="57" t="s">
        <v>656</v>
      </c>
      <c r="I166" s="66">
        <f>COUNTIFS(Table10141619[Prodi],$I$125,Table10141619[I2.4],I$128)/$I$127</f>
        <v>0.5</v>
      </c>
      <c r="J166" s="66">
        <f>COUNTIFS(Table10141619[Prodi],$I$125,Table10141619[I2.4],J$128)/$I$127</f>
        <v>0.5</v>
      </c>
      <c r="K166" s="66">
        <f>COUNTIFS(Table10141619[Prodi],$I$125,Table10141619[I2.4],K$128)/$I$127</f>
        <v>0</v>
      </c>
      <c r="L166" s="66">
        <f>COUNTIFS(Table10141619[Prodi],$I$125,Table10141619[I2.4],L$128)/$I$127</f>
        <v>0</v>
      </c>
      <c r="M166" s="62">
        <f t="shared" si="19"/>
        <v>1</v>
      </c>
      <c r="O166" s="57" t="s">
        <v>656</v>
      </c>
      <c r="P166" s="66">
        <f>COUNTIFS(Table10141619[Prodi],$P$125,Table10141619[I2.4],P$128)/$P$127</f>
        <v>0.5</v>
      </c>
      <c r="Q166" s="66">
        <f>COUNTIFS(Table10141619[Prodi],$P$125,Table10141619[I2.4],Q$128)/$P$127</f>
        <v>0.5</v>
      </c>
      <c r="R166" s="66">
        <f>COUNTIFS(Table10141619[Prodi],$P$125,Table10141619[I2.4],R$128)/$P$127</f>
        <v>0</v>
      </c>
      <c r="S166" s="66">
        <f>COUNTIFS(Table10141619[Prodi],$P$125,Table10141619[I2.4],S$128)/$P$127</f>
        <v>0</v>
      </c>
      <c r="T166" s="62">
        <f t="shared" si="20"/>
        <v>1</v>
      </c>
      <c r="V166" s="57" t="s">
        <v>656</v>
      </c>
      <c r="W166" s="66" t="e">
        <f>COUNTIFS(Table10141619[Prodi],$W$125,Table10141619[I2.4],W$128)/$W$127</f>
        <v>#DIV/0!</v>
      </c>
      <c r="X166" s="66" t="e">
        <f>COUNTIFS(Table10141619[Prodi],$W$125,Table10141619[I2.4],X$128)/$W$127</f>
        <v>#DIV/0!</v>
      </c>
      <c r="Y166" s="66" t="e">
        <f>COUNTIFS(Table10141619[Prodi],$W$125,Table10141619[I2.4],Y$128)/$W$127</f>
        <v>#DIV/0!</v>
      </c>
      <c r="Z166" s="66" t="e">
        <f>COUNTIFS(Table10141619[Prodi],$W$125,Table10141619[I2.4],Z$128)/$W$127</f>
        <v>#DIV/0!</v>
      </c>
      <c r="AA166" s="62" t="e">
        <f t="shared" si="21"/>
        <v>#DIV/0!</v>
      </c>
    </row>
    <row r="167" spans="1:44" ht="17.25" thickBot="1" x14ac:dyDescent="0.35">
      <c r="A167" s="67"/>
      <c r="B167" s="61">
        <f>AVERAGE(B163:B166)</f>
        <v>0.375</v>
      </c>
      <c r="C167" s="61">
        <f>AVERAGE(C163:C166)</f>
        <v>0.5625</v>
      </c>
      <c r="D167" s="61">
        <f>AVERAGE(D163:D166)</f>
        <v>6.25E-2</v>
      </c>
      <c r="E167" s="61">
        <f>AVERAGE(E163:E166)</f>
        <v>0</v>
      </c>
      <c r="F167" s="62">
        <f t="shared" si="18"/>
        <v>1</v>
      </c>
      <c r="H167" s="67"/>
      <c r="I167" s="61">
        <f>AVERAGE(I163:I166)</f>
        <v>0.5</v>
      </c>
      <c r="J167" s="61">
        <f>AVERAGE(J163:J166)</f>
        <v>0.5</v>
      </c>
      <c r="K167" s="61">
        <f>AVERAGE(K163:K166)</f>
        <v>0</v>
      </c>
      <c r="L167" s="61">
        <f>AVERAGE(L163:L166)</f>
        <v>0</v>
      </c>
      <c r="M167" s="62">
        <f t="shared" si="19"/>
        <v>1</v>
      </c>
      <c r="O167" s="67"/>
      <c r="P167" s="61">
        <f>AVERAGE(P163:P166)</f>
        <v>0.25</v>
      </c>
      <c r="Q167" s="61">
        <f>AVERAGE(Q163:Q166)</f>
        <v>0.625</v>
      </c>
      <c r="R167" s="61">
        <f>AVERAGE(R163:R166)</f>
        <v>0.125</v>
      </c>
      <c r="S167" s="61">
        <f>AVERAGE(S163:S166)</f>
        <v>0</v>
      </c>
      <c r="T167" s="62">
        <f t="shared" si="20"/>
        <v>1</v>
      </c>
      <c r="V167" s="67"/>
      <c r="W167" s="61" t="e">
        <f>AVERAGE(W163:W166)</f>
        <v>#DIV/0!</v>
      </c>
      <c r="X167" s="61" t="e">
        <f>AVERAGE(X163:X166)</f>
        <v>#DIV/0!</v>
      </c>
      <c r="Y167" s="61" t="e">
        <f>AVERAGE(Y163:Y166)</f>
        <v>#DIV/0!</v>
      </c>
      <c r="Z167" s="61" t="e">
        <f>AVERAGE(Z163:Z166)</f>
        <v>#DIV/0!</v>
      </c>
      <c r="AA167" s="62" t="e">
        <f t="shared" si="21"/>
        <v>#DIV/0!</v>
      </c>
    </row>
    <row r="169" spans="1:44" s="176" customFormat="1" x14ac:dyDescent="0.25">
      <c r="A169" s="175"/>
      <c r="B169" s="175"/>
      <c r="D169" s="177"/>
      <c r="E169" s="177"/>
      <c r="F169" s="177"/>
      <c r="G169" s="177"/>
      <c r="H169" s="177"/>
      <c r="I169" s="177"/>
    </row>
    <row r="170" spans="1:44" ht="15.75" thickBot="1" x14ac:dyDescent="0.3"/>
    <row r="171" spans="1:44" ht="17.25" customHeight="1" thickBot="1" x14ac:dyDescent="0.3">
      <c r="A171" s="64" t="s">
        <v>647</v>
      </c>
      <c r="B171" s="65">
        <v>2024</v>
      </c>
      <c r="C171" s="237" t="str">
        <f>B34</f>
        <v>FTI</v>
      </c>
      <c r="D171" s="238"/>
      <c r="E171" s="239"/>
      <c r="H171" s="64" t="s">
        <v>647</v>
      </c>
      <c r="I171" s="65">
        <f>I35</f>
        <v>2024</v>
      </c>
      <c r="J171" s="237" t="str">
        <f>I34</f>
        <v>S1 Sistem Informasi</v>
      </c>
      <c r="K171" s="238"/>
      <c r="L171" s="239"/>
      <c r="O171" s="64" t="s">
        <v>647</v>
      </c>
      <c r="P171" s="65">
        <v>2024</v>
      </c>
      <c r="Q171" s="237" t="str">
        <f>P34</f>
        <v>S1 Teknik Komputer</v>
      </c>
      <c r="R171" s="238"/>
      <c r="S171" s="239"/>
      <c r="V171" s="64" t="s">
        <v>647</v>
      </c>
      <c r="W171" s="65">
        <f>W35</f>
        <v>2024</v>
      </c>
      <c r="X171" s="237" t="str">
        <f>W34</f>
        <v>D3 Sistem Informasi</v>
      </c>
      <c r="Y171" s="238"/>
      <c r="Z171" s="239"/>
    </row>
    <row r="172" spans="1:44" ht="17.25" customHeight="1" thickBot="1" x14ac:dyDescent="0.3">
      <c r="A172" s="69" t="s">
        <v>646</v>
      </c>
      <c r="B172" s="70">
        <f>B36</f>
        <v>4</v>
      </c>
      <c r="C172" s="240"/>
      <c r="D172" s="241"/>
      <c r="E172" s="242"/>
      <c r="H172" s="69" t="s">
        <v>646</v>
      </c>
      <c r="I172" s="70">
        <f>I36</f>
        <v>2</v>
      </c>
      <c r="J172" s="240"/>
      <c r="K172" s="241"/>
      <c r="L172" s="242"/>
      <c r="O172" s="69" t="s">
        <v>646</v>
      </c>
      <c r="P172" s="70">
        <f>P36</f>
        <v>2</v>
      </c>
      <c r="Q172" s="240"/>
      <c r="R172" s="241"/>
      <c r="S172" s="242"/>
      <c r="V172" s="69" t="s">
        <v>646</v>
      </c>
      <c r="W172" s="70">
        <f>W36</f>
        <v>0</v>
      </c>
      <c r="X172" s="240"/>
      <c r="Y172" s="241"/>
      <c r="Z172" s="242"/>
    </row>
    <row r="173" spans="1:44" ht="33" customHeight="1" thickBot="1" x14ac:dyDescent="0.3">
      <c r="A173" s="222" t="s">
        <v>658</v>
      </c>
      <c r="B173" s="223" t="s">
        <v>664</v>
      </c>
      <c r="C173" s="223"/>
      <c r="D173" s="223"/>
      <c r="E173" s="223"/>
      <c r="H173" s="222" t="s">
        <v>658</v>
      </c>
      <c r="I173" s="223" t="s">
        <v>664</v>
      </c>
      <c r="J173" s="223"/>
      <c r="K173" s="223"/>
      <c r="L173" s="223"/>
      <c r="O173" s="222" t="s">
        <v>658</v>
      </c>
      <c r="P173" s="223" t="s">
        <v>664</v>
      </c>
      <c r="Q173" s="223"/>
      <c r="R173" s="223"/>
      <c r="S173" s="223"/>
      <c r="V173" s="222" t="s">
        <v>658</v>
      </c>
      <c r="W173" s="223" t="s">
        <v>664</v>
      </c>
      <c r="X173" s="223"/>
      <c r="Y173" s="223"/>
      <c r="Z173" s="223"/>
    </row>
    <row r="174" spans="1:44" ht="15.75" thickBot="1" x14ac:dyDescent="0.3">
      <c r="A174" s="222"/>
      <c r="B174" s="72" t="s">
        <v>645</v>
      </c>
      <c r="C174" s="72" t="s">
        <v>665</v>
      </c>
      <c r="D174" s="72" t="s">
        <v>666</v>
      </c>
      <c r="E174" s="72" t="s">
        <v>667</v>
      </c>
      <c r="H174" s="222"/>
      <c r="I174" s="72" t="s">
        <v>645</v>
      </c>
      <c r="J174" s="72" t="s">
        <v>665</v>
      </c>
      <c r="K174" s="72" t="s">
        <v>666</v>
      </c>
      <c r="L174" s="72" t="s">
        <v>667</v>
      </c>
      <c r="O174" s="222"/>
      <c r="P174" s="72" t="s">
        <v>645</v>
      </c>
      <c r="Q174" s="72" t="s">
        <v>665</v>
      </c>
      <c r="R174" s="72" t="s">
        <v>666</v>
      </c>
      <c r="S174" s="72" t="s">
        <v>667</v>
      </c>
      <c r="V174" s="222"/>
      <c r="W174" s="72" t="s">
        <v>645</v>
      </c>
      <c r="X174" s="72" t="s">
        <v>665</v>
      </c>
      <c r="Y174" s="72" t="s">
        <v>666</v>
      </c>
      <c r="Z174" s="72" t="s">
        <v>667</v>
      </c>
    </row>
    <row r="175" spans="1:44" x14ac:dyDescent="0.25">
      <c r="A175" s="73">
        <v>2</v>
      </c>
      <c r="B175" s="71">
        <v>3</v>
      </c>
      <c r="C175" s="71">
        <v>4</v>
      </c>
      <c r="D175" s="71">
        <v>5</v>
      </c>
      <c r="E175" s="74"/>
      <c r="H175" s="73">
        <v>2</v>
      </c>
      <c r="I175" s="71">
        <v>3</v>
      </c>
      <c r="J175" s="71">
        <v>4</v>
      </c>
      <c r="K175" s="71">
        <v>5</v>
      </c>
      <c r="L175" s="74"/>
      <c r="O175" s="73">
        <v>2</v>
      </c>
      <c r="P175" s="71">
        <v>3</v>
      </c>
      <c r="Q175" s="71">
        <v>4</v>
      </c>
      <c r="R175" s="71">
        <v>5</v>
      </c>
      <c r="S175" s="74"/>
      <c r="V175" s="73">
        <v>2</v>
      </c>
      <c r="W175" s="71">
        <v>3</v>
      </c>
      <c r="X175" s="71">
        <v>4</v>
      </c>
      <c r="Y175" s="71">
        <v>5</v>
      </c>
      <c r="Z175" s="74"/>
    </row>
    <row r="176" spans="1:44" x14ac:dyDescent="0.25">
      <c r="A176" s="75" t="s">
        <v>1441</v>
      </c>
      <c r="B176" s="58">
        <f>B42</f>
        <v>0.75</v>
      </c>
      <c r="C176" s="58">
        <f>C42</f>
        <v>0.25</v>
      </c>
      <c r="D176" s="58">
        <f>D42</f>
        <v>0</v>
      </c>
      <c r="E176" s="58">
        <f>E42</f>
        <v>0</v>
      </c>
      <c r="H176" s="75" t="s">
        <v>1441</v>
      </c>
      <c r="I176" s="66">
        <f>I42</f>
        <v>0.5</v>
      </c>
      <c r="J176" s="66">
        <f>J42</f>
        <v>0.5</v>
      </c>
      <c r="K176" s="66">
        <f>K42</f>
        <v>0</v>
      </c>
      <c r="L176" s="66">
        <f>L42</f>
        <v>0</v>
      </c>
      <c r="O176" s="75" t="s">
        <v>1441</v>
      </c>
      <c r="P176" s="66">
        <f>P42</f>
        <v>0.25</v>
      </c>
      <c r="Q176" s="66">
        <f>Q42</f>
        <v>0.75</v>
      </c>
      <c r="R176" s="66">
        <f>R42</f>
        <v>0</v>
      </c>
      <c r="S176" s="66">
        <f>S42</f>
        <v>0</v>
      </c>
      <c r="V176" s="75" t="s">
        <v>1441</v>
      </c>
      <c r="W176" s="66" t="e">
        <f>W42</f>
        <v>#DIV/0!</v>
      </c>
      <c r="X176" s="66" t="e">
        <f>X42</f>
        <v>#DIV/0!</v>
      </c>
      <c r="Y176" s="66" t="e">
        <f>Y42</f>
        <v>#DIV/0!</v>
      </c>
      <c r="Z176" s="66" t="e">
        <f>Z42</f>
        <v>#DIV/0!</v>
      </c>
    </row>
    <row r="177" spans="1:44" x14ac:dyDescent="0.25">
      <c r="A177" s="75" t="s">
        <v>1582</v>
      </c>
      <c r="B177" s="58">
        <f>B46</f>
        <v>0.5</v>
      </c>
      <c r="C177" s="58">
        <f>C46</f>
        <v>0.5</v>
      </c>
      <c r="D177" s="58">
        <f>D46</f>
        <v>0</v>
      </c>
      <c r="E177" s="58">
        <f>E46</f>
        <v>0</v>
      </c>
      <c r="H177" s="75" t="s">
        <v>1582</v>
      </c>
      <c r="I177" s="66">
        <f>I46</f>
        <v>0.66666666666666663</v>
      </c>
      <c r="J177" s="66">
        <f>J46</f>
        <v>0.33333333333333331</v>
      </c>
      <c r="K177" s="66">
        <f>K46</f>
        <v>0</v>
      </c>
      <c r="L177" s="66">
        <f>L46</f>
        <v>0</v>
      </c>
      <c r="O177" s="75" t="s">
        <v>1582</v>
      </c>
      <c r="P177" s="66">
        <f>P46</f>
        <v>0.33333333333333331</v>
      </c>
      <c r="Q177" s="66">
        <f>Q46</f>
        <v>0.66666666666666663</v>
      </c>
      <c r="R177" s="66">
        <f>R46</f>
        <v>0</v>
      </c>
      <c r="S177" s="66">
        <f>S46</f>
        <v>0</v>
      </c>
      <c r="V177" s="75" t="s">
        <v>1582</v>
      </c>
      <c r="W177" s="66" t="e">
        <f>W46</f>
        <v>#DIV/0!</v>
      </c>
      <c r="X177" s="66" t="e">
        <f>X46</f>
        <v>#DIV/0!</v>
      </c>
      <c r="Y177" s="66" t="e">
        <f>Y46</f>
        <v>#DIV/0!</v>
      </c>
      <c r="Z177" s="66" t="e">
        <f>Z46</f>
        <v>#DIV/0!</v>
      </c>
    </row>
    <row r="178" spans="1:44" x14ac:dyDescent="0.25">
      <c r="A178" s="75" t="s">
        <v>1583</v>
      </c>
      <c r="B178" s="58">
        <f>B49</f>
        <v>0.125</v>
      </c>
      <c r="C178" s="58">
        <f>C49</f>
        <v>0.875</v>
      </c>
      <c r="D178" s="58">
        <f>D49</f>
        <v>0</v>
      </c>
      <c r="E178" s="58">
        <f>E49</f>
        <v>0</v>
      </c>
      <c r="H178" s="75" t="s">
        <v>1583</v>
      </c>
      <c r="I178" s="66">
        <f>I49</f>
        <v>0.25</v>
      </c>
      <c r="J178" s="66">
        <f>J49</f>
        <v>0.75</v>
      </c>
      <c r="K178" s="66">
        <f>K49</f>
        <v>0</v>
      </c>
      <c r="L178" s="66">
        <f>L49</f>
        <v>0</v>
      </c>
      <c r="O178" s="75" t="s">
        <v>1583</v>
      </c>
      <c r="P178" s="66">
        <f>P49</f>
        <v>0</v>
      </c>
      <c r="Q178" s="66">
        <f>Q49</f>
        <v>1</v>
      </c>
      <c r="R178" s="66">
        <f>R49</f>
        <v>0</v>
      </c>
      <c r="S178" s="66">
        <f>S49</f>
        <v>0</v>
      </c>
      <c r="V178" s="75" t="s">
        <v>1583</v>
      </c>
      <c r="W178" s="66" t="e">
        <f>W49</f>
        <v>#DIV/0!</v>
      </c>
      <c r="X178" s="66" t="e">
        <f>X49</f>
        <v>#DIV/0!</v>
      </c>
      <c r="Y178" s="66" t="e">
        <f>Y49</f>
        <v>#DIV/0!</v>
      </c>
      <c r="Z178" s="66" t="e">
        <f>Z49</f>
        <v>#DIV/0!</v>
      </c>
    </row>
    <row r="179" spans="1:44" s="118" customFormat="1" x14ac:dyDescent="0.25">
      <c r="A179" s="75" t="s">
        <v>663</v>
      </c>
      <c r="B179" s="58">
        <f>B53</f>
        <v>0.66666666666666663</v>
      </c>
      <c r="C179" s="58">
        <f>C53</f>
        <v>0.33333333333333331</v>
      </c>
      <c r="D179" s="58">
        <f>D53</f>
        <v>0</v>
      </c>
      <c r="E179" s="58">
        <f>E53</f>
        <v>0</v>
      </c>
      <c r="H179" s="75" t="s">
        <v>663</v>
      </c>
      <c r="I179" s="66">
        <f>I53</f>
        <v>0.83333333333333337</v>
      </c>
      <c r="J179" s="66">
        <f>J53</f>
        <v>0.16666666666666666</v>
      </c>
      <c r="K179" s="66">
        <f>K53</f>
        <v>0</v>
      </c>
      <c r="L179" s="66">
        <f>L53</f>
        <v>0</v>
      </c>
      <c r="M179"/>
      <c r="N179"/>
      <c r="O179" s="75" t="s">
        <v>663</v>
      </c>
      <c r="P179" s="66">
        <f>P53</f>
        <v>0.5</v>
      </c>
      <c r="Q179" s="66">
        <f>Q53</f>
        <v>0.5</v>
      </c>
      <c r="R179" s="66">
        <f>R53</f>
        <v>0</v>
      </c>
      <c r="S179" s="66">
        <f>S53</f>
        <v>0</v>
      </c>
      <c r="T179"/>
      <c r="U179"/>
      <c r="V179" s="75" t="s">
        <v>663</v>
      </c>
      <c r="W179" s="66" t="e">
        <f>W53</f>
        <v>#DIV/0!</v>
      </c>
      <c r="X179" s="66" t="e">
        <f>X53</f>
        <v>#DIV/0!</v>
      </c>
      <c r="Y179" s="66" t="e">
        <f>Y53</f>
        <v>#DIV/0!</v>
      </c>
      <c r="Z179" s="66" t="e">
        <f>Z53</f>
        <v>#DIV/0!</v>
      </c>
      <c r="AA179"/>
      <c r="AB179"/>
      <c r="AC179"/>
      <c r="AD179"/>
      <c r="AE179"/>
      <c r="AF179"/>
      <c r="AG179"/>
      <c r="AH179"/>
      <c r="AI179"/>
      <c r="AJ179"/>
      <c r="AK179"/>
      <c r="AL179"/>
      <c r="AM179"/>
      <c r="AN179"/>
      <c r="AO179"/>
      <c r="AP179"/>
      <c r="AQ179"/>
      <c r="AR179"/>
    </row>
    <row r="180" spans="1:44" s="118" customFormat="1" x14ac:dyDescent="0.25">
      <c r="A180" s="75" t="s">
        <v>330</v>
      </c>
      <c r="B180" s="58">
        <f>B58</f>
        <v>0.25</v>
      </c>
      <c r="C180" s="58">
        <f>C58</f>
        <v>0.75</v>
      </c>
      <c r="D180" s="58">
        <f>D58</f>
        <v>0</v>
      </c>
      <c r="E180" s="58">
        <f>E58</f>
        <v>0</v>
      </c>
      <c r="H180" s="75" t="s">
        <v>330</v>
      </c>
      <c r="I180" s="66">
        <f>I58</f>
        <v>0.25</v>
      </c>
      <c r="J180" s="66">
        <f>J58</f>
        <v>0.75</v>
      </c>
      <c r="K180" s="66">
        <f>K58</f>
        <v>0</v>
      </c>
      <c r="L180" s="66">
        <f>L58</f>
        <v>0</v>
      </c>
      <c r="M180"/>
      <c r="N180"/>
      <c r="O180" s="75" t="s">
        <v>330</v>
      </c>
      <c r="P180" s="66">
        <f>P58</f>
        <v>0.25</v>
      </c>
      <c r="Q180" s="66">
        <f>Q58</f>
        <v>0.75</v>
      </c>
      <c r="R180" s="66">
        <f>R58</f>
        <v>0</v>
      </c>
      <c r="S180" s="66">
        <f>S58</f>
        <v>0</v>
      </c>
      <c r="T180"/>
      <c r="U180"/>
      <c r="V180" s="75" t="s">
        <v>330</v>
      </c>
      <c r="W180" s="66" t="e">
        <f>W58</f>
        <v>#DIV/0!</v>
      </c>
      <c r="X180" s="66" t="e">
        <f>X58</f>
        <v>#DIV/0!</v>
      </c>
      <c r="Y180" s="66" t="e">
        <f>Y58</f>
        <v>#DIV/0!</v>
      </c>
      <c r="Z180" s="66" t="e">
        <f>Z58</f>
        <v>#DIV/0!</v>
      </c>
      <c r="AA180"/>
      <c r="AB180"/>
      <c r="AC180"/>
      <c r="AD180"/>
      <c r="AE180"/>
      <c r="AF180"/>
      <c r="AG180"/>
      <c r="AH180"/>
      <c r="AI180"/>
      <c r="AJ180"/>
      <c r="AK180"/>
      <c r="AL180"/>
      <c r="AM180"/>
      <c r="AN180"/>
      <c r="AO180"/>
      <c r="AP180"/>
      <c r="AQ180"/>
      <c r="AR180"/>
    </row>
    <row r="181" spans="1:44" s="118" customFormat="1" x14ac:dyDescent="0.25">
      <c r="A181" s="75" t="s">
        <v>1228</v>
      </c>
      <c r="B181" s="58">
        <f>B62</f>
        <v>0.33333333333333331</v>
      </c>
      <c r="C181" s="58">
        <f>C62</f>
        <v>0.66666666666666663</v>
      </c>
      <c r="D181" s="58">
        <f>D62</f>
        <v>0</v>
      </c>
      <c r="E181" s="58">
        <f>E62</f>
        <v>0</v>
      </c>
      <c r="H181" s="75" t="s">
        <v>1228</v>
      </c>
      <c r="I181" s="66">
        <f>I62</f>
        <v>0.33333333333333331</v>
      </c>
      <c r="J181" s="66">
        <f>J62</f>
        <v>0.66666666666666663</v>
      </c>
      <c r="K181" s="66">
        <f>K62</f>
        <v>0</v>
      </c>
      <c r="L181" s="66">
        <f>L62</f>
        <v>0</v>
      </c>
      <c r="M181"/>
      <c r="N181"/>
      <c r="O181" s="75" t="s">
        <v>1228</v>
      </c>
      <c r="P181" s="66">
        <f>P62</f>
        <v>0.33333333333333331</v>
      </c>
      <c r="Q181" s="66">
        <f>Q62</f>
        <v>0.66666666666666663</v>
      </c>
      <c r="R181" s="66">
        <f>R62</f>
        <v>0</v>
      </c>
      <c r="S181" s="66">
        <f>S62</f>
        <v>0</v>
      </c>
      <c r="T181"/>
      <c r="U181"/>
      <c r="V181" s="75" t="s">
        <v>1228</v>
      </c>
      <c r="W181" s="66" t="e">
        <f>W62</f>
        <v>#DIV/0!</v>
      </c>
      <c r="X181" s="66" t="e">
        <f>X62</f>
        <v>#DIV/0!</v>
      </c>
      <c r="Y181" s="66" t="e">
        <f>Y62</f>
        <v>#DIV/0!</v>
      </c>
      <c r="Z181" s="66" t="e">
        <f>Z62</f>
        <v>#DIV/0!</v>
      </c>
      <c r="AA181"/>
      <c r="AB181"/>
      <c r="AC181"/>
      <c r="AD181"/>
      <c r="AE181"/>
      <c r="AF181"/>
      <c r="AG181"/>
      <c r="AH181"/>
      <c r="AI181"/>
      <c r="AJ181"/>
      <c r="AK181"/>
      <c r="AL181"/>
      <c r="AM181"/>
      <c r="AN181"/>
      <c r="AO181"/>
      <c r="AP181"/>
      <c r="AQ181"/>
      <c r="AR181"/>
    </row>
    <row r="182" spans="1:44" s="118" customFormat="1" x14ac:dyDescent="0.25">
      <c r="A182" s="75" t="s">
        <v>1440</v>
      </c>
      <c r="B182" s="58">
        <f>B67</f>
        <v>0.5</v>
      </c>
      <c r="C182" s="58">
        <f>C67</f>
        <v>0.5</v>
      </c>
      <c r="D182" s="58">
        <f>D67</f>
        <v>0</v>
      </c>
      <c r="E182" s="58">
        <f>E67</f>
        <v>0</v>
      </c>
      <c r="H182" s="75" t="s">
        <v>1440</v>
      </c>
      <c r="I182" s="66">
        <f>I67</f>
        <v>0.75</v>
      </c>
      <c r="J182" s="66">
        <f>J67</f>
        <v>0.25</v>
      </c>
      <c r="K182" s="66">
        <f>K67</f>
        <v>0</v>
      </c>
      <c r="L182" s="66">
        <f>L67</f>
        <v>0</v>
      </c>
      <c r="M182"/>
      <c r="N182"/>
      <c r="O182" s="75" t="s">
        <v>1440</v>
      </c>
      <c r="P182" s="66">
        <f>P67</f>
        <v>0.25</v>
      </c>
      <c r="Q182" s="66">
        <f>Q67</f>
        <v>0.75</v>
      </c>
      <c r="R182" s="66">
        <f>R67</f>
        <v>0</v>
      </c>
      <c r="S182" s="66">
        <f>S67</f>
        <v>0</v>
      </c>
      <c r="T182"/>
      <c r="U182"/>
      <c r="V182" s="75" t="s">
        <v>1440</v>
      </c>
      <c r="W182" s="66" t="e">
        <f>W67</f>
        <v>#DIV/0!</v>
      </c>
      <c r="X182" s="66" t="e">
        <f>X67</f>
        <v>#DIV/0!</v>
      </c>
      <c r="Y182" s="66" t="e">
        <f>Y67</f>
        <v>#DIV/0!</v>
      </c>
      <c r="Z182" s="66" t="e">
        <f>Z67</f>
        <v>#DIV/0!</v>
      </c>
      <c r="AA182"/>
      <c r="AB182"/>
      <c r="AC182"/>
      <c r="AD182"/>
      <c r="AE182"/>
      <c r="AF182"/>
      <c r="AG182"/>
      <c r="AH182"/>
      <c r="AI182"/>
      <c r="AJ182"/>
      <c r="AK182"/>
      <c r="AL182"/>
      <c r="AM182"/>
      <c r="AN182"/>
      <c r="AO182"/>
      <c r="AP182"/>
      <c r="AQ182"/>
      <c r="AR182"/>
    </row>
    <row r="183" spans="1:44" s="118" customFormat="1" x14ac:dyDescent="0.25">
      <c r="A183" s="75" t="s">
        <v>1431</v>
      </c>
      <c r="B183" s="58">
        <f>B73</f>
        <v>0.625</v>
      </c>
      <c r="C183" s="58">
        <f>C73</f>
        <v>0.375</v>
      </c>
      <c r="D183" s="58">
        <f>D73</f>
        <v>0</v>
      </c>
      <c r="E183" s="58">
        <f>E73</f>
        <v>0</v>
      </c>
      <c r="H183" s="75" t="s">
        <v>1431</v>
      </c>
      <c r="I183" s="66">
        <f>I73</f>
        <v>0.75</v>
      </c>
      <c r="J183" s="66">
        <f>J73</f>
        <v>0.25</v>
      </c>
      <c r="K183" s="66">
        <f>K73</f>
        <v>0</v>
      </c>
      <c r="L183" s="66">
        <f>L73</f>
        <v>0</v>
      </c>
      <c r="M183"/>
      <c r="N183"/>
      <c r="O183" s="75" t="s">
        <v>1431</v>
      </c>
      <c r="P183" s="66">
        <f>P73</f>
        <v>0.5</v>
      </c>
      <c r="Q183" s="66">
        <f>Q73</f>
        <v>0.5</v>
      </c>
      <c r="R183" s="66">
        <f>R73</f>
        <v>0</v>
      </c>
      <c r="S183" s="66">
        <f>S73</f>
        <v>0</v>
      </c>
      <c r="T183"/>
      <c r="U183"/>
      <c r="V183" s="75" t="s">
        <v>1431</v>
      </c>
      <c r="W183" s="66" t="e">
        <f>W73</f>
        <v>#DIV/0!</v>
      </c>
      <c r="X183" s="66" t="e">
        <f>X73</f>
        <v>#DIV/0!</v>
      </c>
      <c r="Y183" s="66" t="e">
        <f>Y73</f>
        <v>#DIV/0!</v>
      </c>
      <c r="Z183" s="66" t="e">
        <f>Z73</f>
        <v>#DIV/0!</v>
      </c>
      <c r="AA183"/>
      <c r="AB183"/>
      <c r="AC183"/>
      <c r="AD183"/>
      <c r="AE183"/>
      <c r="AF183"/>
      <c r="AG183"/>
      <c r="AH183"/>
      <c r="AI183"/>
      <c r="AJ183"/>
      <c r="AK183"/>
      <c r="AL183"/>
      <c r="AM183"/>
      <c r="AN183"/>
      <c r="AO183"/>
      <c r="AP183"/>
      <c r="AQ183"/>
      <c r="AR183"/>
    </row>
    <row r="184" spans="1:44" s="118" customFormat="1" ht="15.75" thickBot="1" x14ac:dyDescent="0.3">
      <c r="A184" s="76" t="s">
        <v>1432</v>
      </c>
      <c r="B184" s="77">
        <f>B78</f>
        <v>0.3125</v>
      </c>
      <c r="C184" s="77">
        <f>C78</f>
        <v>0.6875</v>
      </c>
      <c r="D184" s="77">
        <f>D78</f>
        <v>0</v>
      </c>
      <c r="E184" s="77">
        <f>E78</f>
        <v>0</v>
      </c>
      <c r="H184" s="76" t="s">
        <v>1432</v>
      </c>
      <c r="I184" s="185">
        <f>I78</f>
        <v>0.25</v>
      </c>
      <c r="J184" s="185">
        <f>J78</f>
        <v>0.75</v>
      </c>
      <c r="K184" s="185">
        <f>K78</f>
        <v>0</v>
      </c>
      <c r="L184" s="185">
        <f>L78</f>
        <v>0</v>
      </c>
      <c r="M184"/>
      <c r="N184"/>
      <c r="O184" s="76" t="s">
        <v>1432</v>
      </c>
      <c r="P184" s="185">
        <f>P78</f>
        <v>0.375</v>
      </c>
      <c r="Q184" s="185">
        <f>Q78</f>
        <v>0.625</v>
      </c>
      <c r="R184" s="185">
        <f>R78</f>
        <v>0</v>
      </c>
      <c r="S184" s="185">
        <f>S78</f>
        <v>0</v>
      </c>
      <c r="T184"/>
      <c r="U184"/>
      <c r="V184" s="76" t="s">
        <v>1432</v>
      </c>
      <c r="W184" s="185" t="e">
        <f>W78</f>
        <v>#DIV/0!</v>
      </c>
      <c r="X184" s="185" t="e">
        <f>X78</f>
        <v>#DIV/0!</v>
      </c>
      <c r="Y184" s="185" t="e">
        <f>Y78</f>
        <v>#DIV/0!</v>
      </c>
      <c r="Z184" s="185" t="e">
        <f>Z78</f>
        <v>#DIV/0!</v>
      </c>
      <c r="AA184"/>
      <c r="AB184"/>
      <c r="AC184"/>
      <c r="AD184"/>
      <c r="AE184"/>
      <c r="AF184"/>
      <c r="AG184"/>
      <c r="AH184"/>
      <c r="AI184"/>
      <c r="AJ184"/>
      <c r="AK184"/>
      <c r="AL184"/>
      <c r="AM184"/>
      <c r="AN184"/>
      <c r="AO184"/>
      <c r="AP184"/>
      <c r="AQ184"/>
      <c r="AR184"/>
    </row>
    <row r="185" spans="1:44" s="118" customFormat="1" x14ac:dyDescent="0.25">
      <c r="A185" s="79" t="s">
        <v>669</v>
      </c>
      <c r="B185" s="81">
        <f>SUM(B176:B184)</f>
        <v>4.0625</v>
      </c>
      <c r="C185" s="81">
        <f>SUM(C176:C184)</f>
        <v>4.9375</v>
      </c>
      <c r="D185" s="81">
        <f>SUM(D176:D184)</f>
        <v>0</v>
      </c>
      <c r="E185" s="84">
        <f>SUM(E176:E184)</f>
        <v>0</v>
      </c>
      <c r="H185" s="79" t="s">
        <v>669</v>
      </c>
      <c r="I185" s="81">
        <f>SUM(I176:I184)</f>
        <v>4.5833333333333339</v>
      </c>
      <c r="J185" s="81">
        <f>SUM(J176:J184)</f>
        <v>4.4166666666666661</v>
      </c>
      <c r="K185" s="81">
        <f>SUM(K176:K184)</f>
        <v>0</v>
      </c>
      <c r="L185" s="84">
        <f>SUM(L176:L184)</f>
        <v>0</v>
      </c>
      <c r="M185"/>
      <c r="N185"/>
      <c r="O185" s="79" t="s">
        <v>669</v>
      </c>
      <c r="P185" s="81">
        <f>SUM(P176:P184)</f>
        <v>2.7916666666666665</v>
      </c>
      <c r="Q185" s="81">
        <f>SUM(Q176:Q184)</f>
        <v>6.208333333333333</v>
      </c>
      <c r="R185" s="81">
        <f>SUM(R176:R184)</f>
        <v>0</v>
      </c>
      <c r="S185" s="84">
        <f>SUM(S176:S184)</f>
        <v>0</v>
      </c>
      <c r="T185"/>
      <c r="U185"/>
      <c r="V185" s="79" t="s">
        <v>669</v>
      </c>
      <c r="W185" s="81" t="e">
        <f>SUM(W176:W184)</f>
        <v>#DIV/0!</v>
      </c>
      <c r="X185" s="81" t="e">
        <f>SUM(X176:X184)</f>
        <v>#DIV/0!</v>
      </c>
      <c r="Y185" s="81" t="e">
        <f>SUM(Y176:Y184)</f>
        <v>#DIV/0!</v>
      </c>
      <c r="Z185" s="84" t="e">
        <f>SUM(Z176:Z184)</f>
        <v>#DIV/0!</v>
      </c>
      <c r="AA185"/>
      <c r="AB185"/>
      <c r="AC185"/>
      <c r="AD185"/>
      <c r="AE185"/>
      <c r="AF185"/>
      <c r="AG185"/>
      <c r="AH185"/>
      <c r="AI185"/>
      <c r="AJ185"/>
      <c r="AK185"/>
      <c r="AL185"/>
      <c r="AM185"/>
      <c r="AN185"/>
      <c r="AO185"/>
      <c r="AP185"/>
      <c r="AQ185"/>
      <c r="AR185"/>
    </row>
    <row r="186" spans="1:44" s="118" customFormat="1" ht="15.75" thickBot="1" x14ac:dyDescent="0.3">
      <c r="A186" s="80" t="s">
        <v>670</v>
      </c>
      <c r="B186" s="82">
        <f>AVERAGE(B176:B184)</f>
        <v>0.4513888888888889</v>
      </c>
      <c r="C186" s="82">
        <f>AVERAGE(C176:C184)</f>
        <v>0.54861111111111116</v>
      </c>
      <c r="D186" s="82">
        <f>AVERAGE(D176:D184)</f>
        <v>0</v>
      </c>
      <c r="E186" s="85">
        <f>AVERAGE(E176:E184)</f>
        <v>0</v>
      </c>
      <c r="H186" s="80" t="s">
        <v>670</v>
      </c>
      <c r="I186" s="82">
        <f>AVERAGE(I176:I184)</f>
        <v>0.5092592592592593</v>
      </c>
      <c r="J186" s="82">
        <f>AVERAGE(J176:J184)</f>
        <v>0.4907407407407407</v>
      </c>
      <c r="K186" s="82">
        <f>AVERAGE(K176:K184)</f>
        <v>0</v>
      </c>
      <c r="L186" s="82">
        <f>AVERAGE(L176:L184)</f>
        <v>0</v>
      </c>
      <c r="M186"/>
      <c r="N186"/>
      <c r="O186" s="80" t="s">
        <v>670</v>
      </c>
      <c r="P186" s="82">
        <f>AVERAGE(P176:P184)</f>
        <v>0.31018518518518517</v>
      </c>
      <c r="Q186" s="82">
        <f>AVERAGE(Q176:Q184)</f>
        <v>0.68981481481481477</v>
      </c>
      <c r="R186" s="82">
        <f>AVERAGE(R176:R184)</f>
        <v>0</v>
      </c>
      <c r="S186" s="85">
        <f>AVERAGE(S176:S184)</f>
        <v>0</v>
      </c>
      <c r="T186"/>
      <c r="U186"/>
      <c r="V186" s="80" t="s">
        <v>670</v>
      </c>
      <c r="W186" s="82" t="e">
        <f>AVERAGE(W176:W184)</f>
        <v>#DIV/0!</v>
      </c>
      <c r="X186" s="82" t="e">
        <f>AVERAGE(X176:X184)</f>
        <v>#DIV/0!</v>
      </c>
      <c r="Y186" s="82" t="e">
        <f>AVERAGE(Y176:Y184)</f>
        <v>#DIV/0!</v>
      </c>
      <c r="Z186" s="85" t="e">
        <f>AVERAGE(Z176:Z184)</f>
        <v>#DIV/0!</v>
      </c>
      <c r="AA186"/>
      <c r="AB186"/>
      <c r="AC186"/>
      <c r="AD186"/>
      <c r="AE186"/>
      <c r="AF186"/>
      <c r="AG186"/>
      <c r="AH186"/>
      <c r="AI186"/>
      <c r="AJ186"/>
      <c r="AK186"/>
      <c r="AL186"/>
      <c r="AM186"/>
      <c r="AN186"/>
      <c r="AO186"/>
      <c r="AP186"/>
      <c r="AQ186"/>
      <c r="AR186"/>
    </row>
    <row r="187" spans="1:44" s="118" customFormat="1" ht="15.75" thickBot="1" x14ac:dyDescent="0.3">
      <c r="A187" s="119"/>
      <c r="B187" s="119"/>
      <c r="C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row>
    <row r="188" spans="1:44" s="118" customFormat="1" ht="17.25" thickBot="1" x14ac:dyDescent="0.3">
      <c r="A188" s="64" t="s">
        <v>647</v>
      </c>
      <c r="B188" s="65">
        <v>2024</v>
      </c>
      <c r="C188" s="237" t="s">
        <v>1161</v>
      </c>
      <c r="D188" s="238"/>
      <c r="E188" s="239"/>
      <c r="H188" s="64" t="s">
        <v>647</v>
      </c>
      <c r="I188" s="65">
        <v>2024</v>
      </c>
      <c r="J188" s="237" t="s">
        <v>1576</v>
      </c>
      <c r="K188" s="238"/>
      <c r="L188" s="239"/>
      <c r="M188"/>
      <c r="N188"/>
      <c r="O188" s="64" t="s">
        <v>647</v>
      </c>
      <c r="P188" s="65">
        <v>2024</v>
      </c>
      <c r="Q188" s="237" t="s">
        <v>1578</v>
      </c>
      <c r="R188" s="238"/>
      <c r="S188" s="239"/>
      <c r="T188"/>
      <c r="U188"/>
      <c r="V188" s="64" t="s">
        <v>647</v>
      </c>
      <c r="W188" s="65">
        <v>2024</v>
      </c>
      <c r="X188" s="237" t="s">
        <v>1579</v>
      </c>
      <c r="Y188" s="238"/>
      <c r="Z188" s="239"/>
      <c r="AA188"/>
      <c r="AB188"/>
      <c r="AC188"/>
      <c r="AD188"/>
      <c r="AE188"/>
      <c r="AF188"/>
      <c r="AG188"/>
      <c r="AH188"/>
      <c r="AI188"/>
      <c r="AJ188"/>
      <c r="AK188"/>
      <c r="AL188"/>
      <c r="AM188"/>
      <c r="AN188"/>
      <c r="AO188"/>
      <c r="AP188"/>
      <c r="AQ188"/>
      <c r="AR188"/>
    </row>
    <row r="189" spans="1:44" s="118" customFormat="1" ht="17.25" thickBot="1" x14ac:dyDescent="0.3">
      <c r="A189" s="69" t="s">
        <v>646</v>
      </c>
      <c r="B189" s="70">
        <f>B82</f>
        <v>4</v>
      </c>
      <c r="C189" s="240"/>
      <c r="D189" s="241"/>
      <c r="E189" s="242"/>
      <c r="H189" s="69" t="s">
        <v>646</v>
      </c>
      <c r="I189" s="70">
        <f>I82</f>
        <v>3</v>
      </c>
      <c r="J189" s="240"/>
      <c r="K189" s="241"/>
      <c r="L189" s="242"/>
      <c r="M189"/>
      <c r="N189"/>
      <c r="O189" s="69" t="s">
        <v>646</v>
      </c>
      <c r="P189" s="70">
        <f>P82</f>
        <v>0</v>
      </c>
      <c r="Q189" s="240"/>
      <c r="R189" s="241"/>
      <c r="S189" s="242"/>
      <c r="T189"/>
      <c r="U189"/>
      <c r="V189" s="69" t="s">
        <v>646</v>
      </c>
      <c r="W189" s="70">
        <f>W82</f>
        <v>1</v>
      </c>
      <c r="X189" s="240"/>
      <c r="Y189" s="241"/>
      <c r="Z189" s="242"/>
      <c r="AA189"/>
      <c r="AB189"/>
      <c r="AC189"/>
      <c r="AD189"/>
      <c r="AE189"/>
      <c r="AF189"/>
      <c r="AG189"/>
      <c r="AH189"/>
      <c r="AI189"/>
      <c r="AJ189"/>
      <c r="AK189"/>
      <c r="AL189"/>
      <c r="AM189"/>
      <c r="AN189"/>
      <c r="AO189"/>
      <c r="AP189"/>
      <c r="AQ189"/>
      <c r="AR189"/>
    </row>
    <row r="190" spans="1:44" s="118" customFormat="1" ht="27.75" customHeight="1" thickBot="1" x14ac:dyDescent="0.3">
      <c r="A190" s="222" t="s">
        <v>658</v>
      </c>
      <c r="B190" s="243" t="s">
        <v>664</v>
      </c>
      <c r="C190" s="243"/>
      <c r="D190" s="243"/>
      <c r="E190" s="243"/>
      <c r="H190" s="222" t="s">
        <v>658</v>
      </c>
      <c r="I190" s="243" t="s">
        <v>664</v>
      </c>
      <c r="J190" s="243"/>
      <c r="K190" s="243"/>
      <c r="L190" s="243"/>
      <c r="M190"/>
      <c r="N190"/>
      <c r="O190" s="222" t="s">
        <v>658</v>
      </c>
      <c r="P190" s="243" t="s">
        <v>664</v>
      </c>
      <c r="Q190" s="243"/>
      <c r="R190" s="243"/>
      <c r="S190" s="243"/>
      <c r="T190"/>
      <c r="U190"/>
      <c r="V190" s="222" t="s">
        <v>658</v>
      </c>
      <c r="W190" s="243" t="s">
        <v>664</v>
      </c>
      <c r="X190" s="243"/>
      <c r="Y190" s="243"/>
      <c r="Z190" s="243"/>
      <c r="AA190"/>
      <c r="AB190"/>
      <c r="AC190"/>
      <c r="AD190"/>
      <c r="AE190"/>
      <c r="AF190"/>
      <c r="AG190"/>
      <c r="AH190"/>
      <c r="AI190"/>
      <c r="AJ190"/>
      <c r="AK190"/>
      <c r="AL190"/>
      <c r="AM190"/>
      <c r="AN190"/>
      <c r="AO190"/>
      <c r="AP190"/>
      <c r="AQ190"/>
      <c r="AR190"/>
    </row>
    <row r="191" spans="1:44" s="118" customFormat="1" ht="15.75" thickBot="1" x14ac:dyDescent="0.3">
      <c r="A191" s="222"/>
      <c r="B191" s="72" t="s">
        <v>645</v>
      </c>
      <c r="C191" s="72" t="s">
        <v>665</v>
      </c>
      <c r="D191" s="72" t="s">
        <v>666</v>
      </c>
      <c r="E191" s="72" t="s">
        <v>667</v>
      </c>
      <c r="H191" s="222"/>
      <c r="I191" s="72" t="s">
        <v>645</v>
      </c>
      <c r="J191" s="72" t="s">
        <v>665</v>
      </c>
      <c r="K191" s="72" t="s">
        <v>666</v>
      </c>
      <c r="L191" s="72" t="s">
        <v>667</v>
      </c>
      <c r="M191"/>
      <c r="N191"/>
      <c r="O191" s="222"/>
      <c r="P191" s="72" t="s">
        <v>645</v>
      </c>
      <c r="Q191" s="72" t="s">
        <v>665</v>
      </c>
      <c r="R191" s="72" t="s">
        <v>666</v>
      </c>
      <c r="S191" s="72" t="s">
        <v>667</v>
      </c>
      <c r="T191"/>
      <c r="U191"/>
      <c r="V191" s="222"/>
      <c r="W191" s="72" t="s">
        <v>645</v>
      </c>
      <c r="X191" s="72" t="s">
        <v>665</v>
      </c>
      <c r="Y191" s="72" t="s">
        <v>666</v>
      </c>
      <c r="Z191" s="72" t="s">
        <v>667</v>
      </c>
      <c r="AA191"/>
      <c r="AB191"/>
      <c r="AC191"/>
      <c r="AD191"/>
      <c r="AE191"/>
      <c r="AF191"/>
      <c r="AG191"/>
      <c r="AH191"/>
      <c r="AI191"/>
      <c r="AJ191"/>
      <c r="AK191"/>
      <c r="AL191"/>
      <c r="AM191"/>
      <c r="AN191"/>
      <c r="AO191"/>
      <c r="AP191"/>
      <c r="AQ191"/>
      <c r="AR191"/>
    </row>
    <row r="192" spans="1:44" s="118" customFormat="1" x14ac:dyDescent="0.25">
      <c r="A192" s="73">
        <v>2</v>
      </c>
      <c r="B192" s="71">
        <v>3</v>
      </c>
      <c r="C192" s="71">
        <v>4</v>
      </c>
      <c r="D192" s="71">
        <v>5</v>
      </c>
      <c r="E192" s="74">
        <v>6</v>
      </c>
      <c r="H192" s="73">
        <v>2</v>
      </c>
      <c r="I192" s="71">
        <v>3</v>
      </c>
      <c r="J192" s="71">
        <v>4</v>
      </c>
      <c r="K192" s="71">
        <v>5</v>
      </c>
      <c r="L192" s="74">
        <v>6</v>
      </c>
      <c r="M192"/>
      <c r="N192"/>
      <c r="O192" s="73">
        <v>2</v>
      </c>
      <c r="P192" s="71">
        <v>3</v>
      </c>
      <c r="Q192" s="71">
        <v>4</v>
      </c>
      <c r="R192" s="71">
        <v>5</v>
      </c>
      <c r="S192" s="74">
        <v>6</v>
      </c>
      <c r="T192"/>
      <c r="U192"/>
      <c r="V192" s="73">
        <v>2</v>
      </c>
      <c r="W192" s="71">
        <v>3</v>
      </c>
      <c r="X192" s="71">
        <v>4</v>
      </c>
      <c r="Y192" s="71">
        <v>5</v>
      </c>
      <c r="Z192" s="74">
        <v>6</v>
      </c>
      <c r="AA192"/>
      <c r="AB192"/>
      <c r="AC192"/>
      <c r="AD192"/>
      <c r="AE192"/>
      <c r="AF192"/>
      <c r="AG192"/>
      <c r="AH192"/>
      <c r="AI192"/>
      <c r="AJ192"/>
      <c r="AK192"/>
      <c r="AL192"/>
      <c r="AM192"/>
      <c r="AN192"/>
      <c r="AO192"/>
      <c r="AP192"/>
      <c r="AQ192"/>
      <c r="AR192"/>
    </row>
    <row r="193" spans="1:44" s="118" customFormat="1" x14ac:dyDescent="0.25">
      <c r="A193" s="75" t="s">
        <v>1442</v>
      </c>
      <c r="B193" s="58">
        <f>B89</f>
        <v>0.65</v>
      </c>
      <c r="C193" s="58">
        <f>C89</f>
        <v>0.35</v>
      </c>
      <c r="D193" s="58">
        <f>D89</f>
        <v>0</v>
      </c>
      <c r="E193" s="58">
        <f>E89</f>
        <v>0</v>
      </c>
      <c r="H193" s="75" t="s">
        <v>1445</v>
      </c>
      <c r="I193" s="66">
        <f>I89</f>
        <v>0.66666666666666663</v>
      </c>
      <c r="J193" s="66">
        <f>J89</f>
        <v>0.33333333333333331</v>
      </c>
      <c r="K193" s="66">
        <f>K89</f>
        <v>0</v>
      </c>
      <c r="L193" s="66">
        <f>L89</f>
        <v>0</v>
      </c>
      <c r="M193"/>
      <c r="N193"/>
      <c r="O193" s="75" t="s">
        <v>1442</v>
      </c>
      <c r="P193" s="66" t="e">
        <f>P89</f>
        <v>#DIV/0!</v>
      </c>
      <c r="Q193" s="66" t="e">
        <f>Q89</f>
        <v>#DIV/0!</v>
      </c>
      <c r="R193" s="66" t="e">
        <f>R89</f>
        <v>#DIV/0!</v>
      </c>
      <c r="S193" s="66" t="e">
        <f>S89</f>
        <v>#DIV/0!</v>
      </c>
      <c r="T193"/>
      <c r="U193"/>
      <c r="V193" s="75" t="s">
        <v>1442</v>
      </c>
      <c r="W193" s="66">
        <f>W89</f>
        <v>0.6</v>
      </c>
      <c r="X193" s="66">
        <f>X89</f>
        <v>0.4</v>
      </c>
      <c r="Y193" s="66">
        <f>Y89</f>
        <v>0</v>
      </c>
      <c r="Z193" s="66">
        <f>Z89</f>
        <v>0</v>
      </c>
      <c r="AA193"/>
      <c r="AB193"/>
      <c r="AC193"/>
      <c r="AD193"/>
      <c r="AE193"/>
      <c r="AF193"/>
      <c r="AG193"/>
      <c r="AH193"/>
      <c r="AI193"/>
      <c r="AJ193"/>
      <c r="AK193"/>
      <c r="AL193"/>
      <c r="AM193"/>
      <c r="AN193"/>
      <c r="AO193"/>
      <c r="AP193"/>
      <c r="AQ193"/>
      <c r="AR193"/>
    </row>
    <row r="194" spans="1:44" s="118" customFormat="1" x14ac:dyDescent="0.25">
      <c r="A194" s="75" t="s">
        <v>1443</v>
      </c>
      <c r="B194" s="58">
        <f>B92</f>
        <v>0.5</v>
      </c>
      <c r="C194" s="58">
        <f>C92</f>
        <v>0.5</v>
      </c>
      <c r="D194" s="58">
        <f>D92</f>
        <v>0</v>
      </c>
      <c r="E194" s="58">
        <f>E92</f>
        <v>0</v>
      </c>
      <c r="H194" s="75" t="s">
        <v>1443</v>
      </c>
      <c r="I194" s="66">
        <f>I92</f>
        <v>0.33333333333333331</v>
      </c>
      <c r="J194" s="66">
        <f>J92</f>
        <v>0.66666666666666663</v>
      </c>
      <c r="K194" s="66">
        <f>K92</f>
        <v>0</v>
      </c>
      <c r="L194" s="66">
        <f>L92</f>
        <v>0</v>
      </c>
      <c r="M194"/>
      <c r="N194"/>
      <c r="O194" s="75" t="s">
        <v>1443</v>
      </c>
      <c r="P194" s="66" t="e">
        <f>P92</f>
        <v>#DIV/0!</v>
      </c>
      <c r="Q194" s="66" t="e">
        <f>Q92</f>
        <v>#DIV/0!</v>
      </c>
      <c r="R194" s="66" t="e">
        <f>R92</f>
        <v>#DIV/0!</v>
      </c>
      <c r="S194" s="66" t="e">
        <f>S92</f>
        <v>#DIV/0!</v>
      </c>
      <c r="T194"/>
      <c r="U194"/>
      <c r="V194" s="75" t="s">
        <v>1443</v>
      </c>
      <c r="W194" s="66">
        <f>W92</f>
        <v>1</v>
      </c>
      <c r="X194" s="66">
        <f>X92</f>
        <v>0</v>
      </c>
      <c r="Y194" s="66">
        <f>Y92</f>
        <v>0</v>
      </c>
      <c r="Z194" s="66">
        <f>Z92</f>
        <v>0</v>
      </c>
      <c r="AA194"/>
      <c r="AB194"/>
      <c r="AC194"/>
      <c r="AD194"/>
      <c r="AE194"/>
      <c r="AF194"/>
      <c r="AG194"/>
      <c r="AH194"/>
      <c r="AI194"/>
      <c r="AJ194"/>
      <c r="AK194"/>
      <c r="AL194"/>
      <c r="AM194"/>
      <c r="AN194"/>
      <c r="AO194"/>
      <c r="AP194"/>
      <c r="AQ194"/>
      <c r="AR194"/>
    </row>
    <row r="195" spans="1:44" s="118" customFormat="1" x14ac:dyDescent="0.25">
      <c r="A195" s="75" t="s">
        <v>661</v>
      </c>
      <c r="B195" s="58">
        <f>B95</f>
        <v>0.125</v>
      </c>
      <c r="C195" s="58">
        <f>C95</f>
        <v>0.875</v>
      </c>
      <c r="D195" s="58">
        <f>D95</f>
        <v>0</v>
      </c>
      <c r="E195" s="58">
        <f>E95</f>
        <v>0</v>
      </c>
      <c r="H195" s="75" t="s">
        <v>661</v>
      </c>
      <c r="I195" s="66">
        <f>I95</f>
        <v>0</v>
      </c>
      <c r="J195" s="66">
        <f>J95</f>
        <v>1</v>
      </c>
      <c r="K195" s="66">
        <f>K95</f>
        <v>0</v>
      </c>
      <c r="L195" s="66">
        <f>L95</f>
        <v>0</v>
      </c>
      <c r="M195"/>
      <c r="N195"/>
      <c r="O195" s="75" t="s">
        <v>661</v>
      </c>
      <c r="P195" s="66" t="e">
        <f>P95</f>
        <v>#DIV/0!</v>
      </c>
      <c r="Q195" s="66" t="e">
        <f>Q95</f>
        <v>#DIV/0!</v>
      </c>
      <c r="R195" s="66" t="e">
        <f>R95</f>
        <v>#DIV/0!</v>
      </c>
      <c r="S195" s="66" t="e">
        <f>S95</f>
        <v>#DIV/0!</v>
      </c>
      <c r="T195"/>
      <c r="U195"/>
      <c r="V195" s="75" t="s">
        <v>661</v>
      </c>
      <c r="W195" s="66">
        <f>W95</f>
        <v>0.5</v>
      </c>
      <c r="X195" s="66">
        <f>X95</f>
        <v>0.5</v>
      </c>
      <c r="Y195" s="66">
        <f>Y95</f>
        <v>0</v>
      </c>
      <c r="Z195" s="66">
        <f>Z95</f>
        <v>0</v>
      </c>
      <c r="AA195"/>
      <c r="AB195"/>
      <c r="AC195"/>
      <c r="AD195"/>
      <c r="AE195"/>
      <c r="AF195"/>
      <c r="AG195"/>
      <c r="AH195"/>
      <c r="AI195"/>
      <c r="AJ195"/>
      <c r="AK195"/>
      <c r="AL195"/>
      <c r="AM195"/>
      <c r="AN195"/>
      <c r="AO195"/>
      <c r="AP195"/>
      <c r="AQ195"/>
      <c r="AR195"/>
    </row>
    <row r="196" spans="1:44" s="118" customFormat="1" x14ac:dyDescent="0.25">
      <c r="A196" s="75" t="s">
        <v>1444</v>
      </c>
      <c r="B196" s="58">
        <f>B99</f>
        <v>0.5</v>
      </c>
      <c r="C196" s="58">
        <f>C99</f>
        <v>0.5</v>
      </c>
      <c r="D196" s="58">
        <f>D99</f>
        <v>0</v>
      </c>
      <c r="E196" s="58">
        <f>E99</f>
        <v>0</v>
      </c>
      <c r="H196" s="75" t="s">
        <v>1444</v>
      </c>
      <c r="I196" s="66">
        <f>I99</f>
        <v>0.44444444444444442</v>
      </c>
      <c r="J196" s="66">
        <f>J99</f>
        <v>0.55555555555555547</v>
      </c>
      <c r="K196" s="66">
        <f>K99</f>
        <v>0</v>
      </c>
      <c r="L196" s="66">
        <f>L99</f>
        <v>0</v>
      </c>
      <c r="M196"/>
      <c r="N196"/>
      <c r="O196" s="75" t="s">
        <v>1444</v>
      </c>
      <c r="P196" s="66" t="e">
        <f>P99</f>
        <v>#DIV/0!</v>
      </c>
      <c r="Q196" s="66" t="e">
        <f>Q99</f>
        <v>#DIV/0!</v>
      </c>
      <c r="R196" s="66" t="e">
        <f>R99</f>
        <v>#DIV/0!</v>
      </c>
      <c r="S196" s="66" t="e">
        <f>S99</f>
        <v>#DIV/0!</v>
      </c>
      <c r="T196"/>
      <c r="U196"/>
      <c r="V196" s="75" t="s">
        <v>1444</v>
      </c>
      <c r="W196" s="66">
        <f>W99</f>
        <v>0.66666666666666663</v>
      </c>
      <c r="X196" s="66">
        <f>X99</f>
        <v>0.33333333333333331</v>
      </c>
      <c r="Y196" s="66">
        <f>Y99</f>
        <v>0</v>
      </c>
      <c r="Z196" s="66">
        <f>Z99</f>
        <v>0</v>
      </c>
      <c r="AA196"/>
      <c r="AB196"/>
      <c r="AC196"/>
      <c r="AD196"/>
      <c r="AE196"/>
      <c r="AF196"/>
      <c r="AG196"/>
      <c r="AH196"/>
      <c r="AI196"/>
      <c r="AJ196"/>
      <c r="AK196"/>
      <c r="AL196"/>
      <c r="AM196"/>
      <c r="AN196"/>
      <c r="AO196"/>
      <c r="AP196"/>
      <c r="AQ196"/>
      <c r="AR196"/>
    </row>
    <row r="197" spans="1:44" s="118" customFormat="1" x14ac:dyDescent="0.25">
      <c r="A197" s="75" t="s">
        <v>663</v>
      </c>
      <c r="B197" s="58">
        <f>B103</f>
        <v>0.41666666666666669</v>
      </c>
      <c r="C197" s="58">
        <f>C103</f>
        <v>0.58333333333333337</v>
      </c>
      <c r="D197" s="58">
        <f>D103</f>
        <v>0</v>
      </c>
      <c r="E197" s="58">
        <f>E103</f>
        <v>0</v>
      </c>
      <c r="H197" s="75" t="s">
        <v>663</v>
      </c>
      <c r="I197" s="66">
        <f>I103</f>
        <v>0.33333333333333331</v>
      </c>
      <c r="J197" s="66">
        <f>J103</f>
        <v>0.66666666666666663</v>
      </c>
      <c r="K197" s="66">
        <f>K103</f>
        <v>0</v>
      </c>
      <c r="L197" s="66">
        <f>L103</f>
        <v>0</v>
      </c>
      <c r="M197"/>
      <c r="N197"/>
      <c r="O197" s="75" t="s">
        <v>663</v>
      </c>
      <c r="P197" s="66" t="e">
        <f>P103</f>
        <v>#DIV/0!</v>
      </c>
      <c r="Q197" s="66" t="e">
        <f>Q103</f>
        <v>#DIV/0!</v>
      </c>
      <c r="R197" s="66" t="e">
        <f>R103</f>
        <v>#DIV/0!</v>
      </c>
      <c r="S197" s="66" t="e">
        <f>S103</f>
        <v>#DIV/0!</v>
      </c>
      <c r="T197"/>
      <c r="U197"/>
      <c r="V197" s="75" t="s">
        <v>663</v>
      </c>
      <c r="W197" s="66">
        <f>W103</f>
        <v>0.66666666666666663</v>
      </c>
      <c r="X197" s="66">
        <f>X103</f>
        <v>0.33333333333333331</v>
      </c>
      <c r="Y197" s="66">
        <f>Y103</f>
        <v>0</v>
      </c>
      <c r="Z197" s="66">
        <f>Z103</f>
        <v>0</v>
      </c>
      <c r="AA197"/>
      <c r="AB197"/>
      <c r="AC197"/>
      <c r="AD197"/>
      <c r="AE197"/>
      <c r="AF197"/>
      <c r="AG197"/>
      <c r="AH197"/>
      <c r="AI197"/>
      <c r="AJ197"/>
      <c r="AK197"/>
      <c r="AL197"/>
      <c r="AM197"/>
      <c r="AN197"/>
      <c r="AO197"/>
      <c r="AP197"/>
      <c r="AQ197"/>
      <c r="AR197"/>
    </row>
    <row r="198" spans="1:44" s="118" customFormat="1" x14ac:dyDescent="0.25">
      <c r="A198" s="75" t="s">
        <v>1441</v>
      </c>
      <c r="B198" s="58">
        <f>B107</f>
        <v>0.66666666666666663</v>
      </c>
      <c r="C198" s="58">
        <f>C107</f>
        <v>0.33333333333333331</v>
      </c>
      <c r="D198" s="58">
        <f>D107</f>
        <v>0</v>
      </c>
      <c r="E198" s="58">
        <f>E107</f>
        <v>0</v>
      </c>
      <c r="H198" s="75" t="s">
        <v>1441</v>
      </c>
      <c r="I198" s="66">
        <f>I107</f>
        <v>0.66666666666666663</v>
      </c>
      <c r="J198" s="66">
        <f>J107</f>
        <v>0.33333333333333331</v>
      </c>
      <c r="K198" s="66">
        <f>K107</f>
        <v>0</v>
      </c>
      <c r="L198" s="66">
        <f>L107</f>
        <v>0</v>
      </c>
      <c r="M198"/>
      <c r="N198"/>
      <c r="O198" s="75" t="s">
        <v>1441</v>
      </c>
      <c r="P198" s="66" t="e">
        <f>P107</f>
        <v>#DIV/0!</v>
      </c>
      <c r="Q198" s="66" t="e">
        <f>Q107</f>
        <v>#DIV/0!</v>
      </c>
      <c r="R198" s="66" t="e">
        <f>R107</f>
        <v>#DIV/0!</v>
      </c>
      <c r="S198" s="66" t="e">
        <f>S107</f>
        <v>#DIV/0!</v>
      </c>
      <c r="T198"/>
      <c r="U198"/>
      <c r="V198" s="75" t="s">
        <v>1441</v>
      </c>
      <c r="W198" s="66">
        <f>W107</f>
        <v>0.66666666666666663</v>
      </c>
      <c r="X198" s="66">
        <f>X107</f>
        <v>0.33333333333333331</v>
      </c>
      <c r="Y198" s="66">
        <f>Y107</f>
        <v>0</v>
      </c>
      <c r="Z198" s="66">
        <f>Z107</f>
        <v>0</v>
      </c>
      <c r="AA198"/>
      <c r="AB198"/>
      <c r="AC198"/>
      <c r="AD198"/>
      <c r="AE198"/>
      <c r="AF198"/>
      <c r="AG198"/>
      <c r="AH198"/>
      <c r="AI198"/>
      <c r="AJ198"/>
      <c r="AK198"/>
      <c r="AL198"/>
      <c r="AM198"/>
      <c r="AN198"/>
      <c r="AO198"/>
      <c r="AP198"/>
      <c r="AQ198"/>
      <c r="AR198"/>
    </row>
    <row r="199" spans="1:44" s="118" customFormat="1" x14ac:dyDescent="0.25">
      <c r="A199" s="75" t="s">
        <v>91</v>
      </c>
      <c r="B199" s="58">
        <f>B112</f>
        <v>0.5</v>
      </c>
      <c r="C199" s="58">
        <f>C112</f>
        <v>0.5</v>
      </c>
      <c r="D199" s="58">
        <f>D112</f>
        <v>0</v>
      </c>
      <c r="E199" s="58">
        <f>E112</f>
        <v>0</v>
      </c>
      <c r="H199" s="75" t="s">
        <v>91</v>
      </c>
      <c r="I199" s="66">
        <f>I112</f>
        <v>0.5</v>
      </c>
      <c r="J199" s="66">
        <f>J112</f>
        <v>0.49999999999999994</v>
      </c>
      <c r="K199" s="66">
        <f>K112</f>
        <v>0</v>
      </c>
      <c r="L199" s="66">
        <f>L112</f>
        <v>0</v>
      </c>
      <c r="M199"/>
      <c r="N199"/>
      <c r="O199" s="75" t="s">
        <v>91</v>
      </c>
      <c r="P199" s="66" t="e">
        <f>P112</f>
        <v>#DIV/0!</v>
      </c>
      <c r="Q199" s="66" t="e">
        <f>Q112</f>
        <v>#DIV/0!</v>
      </c>
      <c r="R199" s="66" t="e">
        <f>R112</f>
        <v>#DIV/0!</v>
      </c>
      <c r="S199" s="66" t="e">
        <f>S112</f>
        <v>#DIV/0!</v>
      </c>
      <c r="T199"/>
      <c r="U199"/>
      <c r="V199" s="75" t="s">
        <v>91</v>
      </c>
      <c r="W199" s="66">
        <f>W112</f>
        <v>0.5</v>
      </c>
      <c r="X199" s="66">
        <f>X112</f>
        <v>0.5</v>
      </c>
      <c r="Y199" s="66">
        <f>Y112</f>
        <v>0</v>
      </c>
      <c r="Z199" s="66">
        <f>Z112</f>
        <v>0</v>
      </c>
      <c r="AA199"/>
      <c r="AB199"/>
      <c r="AC199"/>
      <c r="AD199"/>
      <c r="AE199"/>
      <c r="AF199"/>
      <c r="AG199"/>
      <c r="AH199"/>
      <c r="AI199"/>
      <c r="AJ199"/>
      <c r="AK199"/>
      <c r="AL199"/>
      <c r="AM199"/>
      <c r="AN199"/>
      <c r="AO199"/>
      <c r="AP199"/>
      <c r="AQ199"/>
      <c r="AR199"/>
    </row>
    <row r="200" spans="1:44" s="118" customFormat="1" x14ac:dyDescent="0.25">
      <c r="A200" s="75" t="s">
        <v>1431</v>
      </c>
      <c r="B200" s="58">
        <f>B118</f>
        <v>0</v>
      </c>
      <c r="C200" s="58">
        <f>C118</f>
        <v>0.25</v>
      </c>
      <c r="D200" s="58">
        <f>D118</f>
        <v>0.3</v>
      </c>
      <c r="E200" s="58">
        <f>E118</f>
        <v>0.45</v>
      </c>
      <c r="H200" s="75" t="s">
        <v>1431</v>
      </c>
      <c r="I200" s="66">
        <f>I118</f>
        <v>0</v>
      </c>
      <c r="J200" s="66">
        <f>J118</f>
        <v>0.33333333333333331</v>
      </c>
      <c r="K200" s="66">
        <f>K118</f>
        <v>0.26666666666666666</v>
      </c>
      <c r="L200" s="66">
        <f>L118</f>
        <v>0.39999999999999997</v>
      </c>
      <c r="M200"/>
      <c r="N200"/>
      <c r="O200" s="75" t="s">
        <v>1431</v>
      </c>
      <c r="P200" s="66" t="e">
        <f>P118</f>
        <v>#DIV/0!</v>
      </c>
      <c r="Q200" s="66" t="e">
        <f>Q118</f>
        <v>#DIV/0!</v>
      </c>
      <c r="R200" s="66" t="e">
        <f>R118</f>
        <v>#DIV/0!</v>
      </c>
      <c r="S200" s="66" t="e">
        <f>S118</f>
        <v>#DIV/0!</v>
      </c>
      <c r="T200"/>
      <c r="U200"/>
      <c r="V200" s="75" t="s">
        <v>1431</v>
      </c>
      <c r="W200" s="66">
        <f>W118</f>
        <v>0</v>
      </c>
      <c r="X200" s="66">
        <f>X118</f>
        <v>0</v>
      </c>
      <c r="Y200" s="66">
        <f>Y118</f>
        <v>0.4</v>
      </c>
      <c r="Z200" s="66">
        <f>Z118</f>
        <v>0.6</v>
      </c>
      <c r="AA200"/>
      <c r="AB200"/>
      <c r="AC200"/>
      <c r="AD200"/>
      <c r="AE200"/>
      <c r="AF200"/>
      <c r="AG200"/>
      <c r="AH200"/>
      <c r="AI200"/>
      <c r="AJ200"/>
      <c r="AK200"/>
      <c r="AL200"/>
      <c r="AM200"/>
      <c r="AN200"/>
      <c r="AO200"/>
      <c r="AP200"/>
      <c r="AQ200"/>
      <c r="AR200"/>
    </row>
    <row r="201" spans="1:44" s="118" customFormat="1" ht="15.75" thickBot="1" x14ac:dyDescent="0.3">
      <c r="A201" s="76" t="s">
        <v>1432</v>
      </c>
      <c r="B201" s="77">
        <f>B123</f>
        <v>0</v>
      </c>
      <c r="C201" s="77">
        <f>C123</f>
        <v>0.25</v>
      </c>
      <c r="D201" s="77">
        <f>D123</f>
        <v>0.25</v>
      </c>
      <c r="E201" s="77">
        <f>E123</f>
        <v>0.5</v>
      </c>
      <c r="H201" s="76" t="s">
        <v>1432</v>
      </c>
      <c r="I201" s="185">
        <f>I123</f>
        <v>0</v>
      </c>
      <c r="J201" s="185">
        <f>J123</f>
        <v>0.33333333333333331</v>
      </c>
      <c r="K201" s="185">
        <f>K123</f>
        <v>0.16666666666666666</v>
      </c>
      <c r="L201" s="185">
        <f>L123</f>
        <v>0.5</v>
      </c>
      <c r="M201"/>
      <c r="N201"/>
      <c r="O201" s="76" t="s">
        <v>1432</v>
      </c>
      <c r="P201" s="185" t="e">
        <f>P123</f>
        <v>#DIV/0!</v>
      </c>
      <c r="Q201" s="185" t="e">
        <f>Q123</f>
        <v>#DIV/0!</v>
      </c>
      <c r="R201" s="185" t="e">
        <f>R123</f>
        <v>#DIV/0!</v>
      </c>
      <c r="S201" s="185" t="e">
        <f>S123</f>
        <v>#DIV/0!</v>
      </c>
      <c r="T201"/>
      <c r="U201"/>
      <c r="V201" s="76" t="s">
        <v>1432</v>
      </c>
      <c r="W201" s="185">
        <f>W123</f>
        <v>0</v>
      </c>
      <c r="X201" s="185">
        <f>X123</f>
        <v>0</v>
      </c>
      <c r="Y201" s="185">
        <f>Y123</f>
        <v>0.5</v>
      </c>
      <c r="Z201" s="185">
        <f>Z123</f>
        <v>0.5</v>
      </c>
      <c r="AA201"/>
      <c r="AB201"/>
      <c r="AC201"/>
      <c r="AD201"/>
      <c r="AE201"/>
      <c r="AF201"/>
      <c r="AG201"/>
      <c r="AH201"/>
      <c r="AI201"/>
      <c r="AJ201"/>
      <c r="AK201"/>
      <c r="AL201"/>
      <c r="AM201"/>
      <c r="AN201"/>
      <c r="AO201"/>
      <c r="AP201"/>
      <c r="AQ201"/>
      <c r="AR201"/>
    </row>
    <row r="202" spans="1:44" s="118" customFormat="1" x14ac:dyDescent="0.25">
      <c r="A202" s="79" t="s">
        <v>669</v>
      </c>
      <c r="B202" s="81">
        <f>SUM(B193:B201)</f>
        <v>3.3583333333333329</v>
      </c>
      <c r="C202" s="81">
        <f>SUM(C193:C201)</f>
        <v>4.1416666666666675</v>
      </c>
      <c r="D202" s="81">
        <f>SUM(D193:D201)</f>
        <v>0.55000000000000004</v>
      </c>
      <c r="E202" s="84">
        <f>SUM(E193:E201)</f>
        <v>0.95</v>
      </c>
      <c r="H202" s="79" t="s">
        <v>669</v>
      </c>
      <c r="I202" s="81">
        <f>SUM(I193:I201)</f>
        <v>2.9444444444444442</v>
      </c>
      <c r="J202" s="81">
        <f>SUM(J193:J201)</f>
        <v>4.7222222222222214</v>
      </c>
      <c r="K202" s="81">
        <f>SUM(K193:K201)</f>
        <v>0.43333333333333335</v>
      </c>
      <c r="L202" s="84">
        <f>SUM(L193:L201)</f>
        <v>0.89999999999999991</v>
      </c>
      <c r="M202"/>
      <c r="N202"/>
      <c r="O202" s="79" t="s">
        <v>669</v>
      </c>
      <c r="P202" s="81" t="e">
        <f>SUM(P193:P201)</f>
        <v>#DIV/0!</v>
      </c>
      <c r="Q202" s="81" t="e">
        <f>SUM(Q193:Q201)</f>
        <v>#DIV/0!</v>
      </c>
      <c r="R202" s="81" t="e">
        <f>SUM(R193:R201)</f>
        <v>#DIV/0!</v>
      </c>
      <c r="S202" s="84" t="e">
        <f>SUM(S193:S201)</f>
        <v>#DIV/0!</v>
      </c>
      <c r="T202"/>
      <c r="U202"/>
      <c r="V202" s="79" t="s">
        <v>669</v>
      </c>
      <c r="W202" s="81">
        <f>SUM(W193:W201)</f>
        <v>4.5999999999999996</v>
      </c>
      <c r="X202" s="81">
        <f>SUM(X193:X201)</f>
        <v>2.4</v>
      </c>
      <c r="Y202" s="81">
        <f>SUM(Y193:Y201)</f>
        <v>0.9</v>
      </c>
      <c r="Z202" s="84">
        <f>SUM(Z193:Z201)</f>
        <v>1.1000000000000001</v>
      </c>
      <c r="AA202"/>
      <c r="AB202"/>
      <c r="AC202"/>
      <c r="AD202"/>
      <c r="AE202"/>
      <c r="AF202"/>
      <c r="AG202"/>
      <c r="AH202"/>
      <c r="AI202"/>
      <c r="AJ202"/>
      <c r="AK202"/>
      <c r="AL202"/>
      <c r="AM202"/>
      <c r="AN202"/>
      <c r="AO202"/>
      <c r="AP202"/>
      <c r="AQ202"/>
      <c r="AR202"/>
    </row>
    <row r="203" spans="1:44" s="118" customFormat="1" ht="15.75" thickBot="1" x14ac:dyDescent="0.3">
      <c r="A203" s="80" t="s">
        <v>670</v>
      </c>
      <c r="B203" s="82">
        <f>AVERAGE(B193:B201)</f>
        <v>0.37314814814814812</v>
      </c>
      <c r="C203" s="82">
        <f>AVERAGE(C193:C201)</f>
        <v>0.46018518518518525</v>
      </c>
      <c r="D203" s="82">
        <f>AVERAGE(D193:D201)</f>
        <v>6.1111111111111116E-2</v>
      </c>
      <c r="E203" s="85">
        <f>AVERAGE(E193:E201)</f>
        <v>0.10555555555555556</v>
      </c>
      <c r="H203" s="80" t="s">
        <v>670</v>
      </c>
      <c r="I203" s="82">
        <f>AVERAGE(I193:I201)</f>
        <v>0.32716049382716045</v>
      </c>
      <c r="J203" s="82">
        <f>AVERAGE(J193:J201)</f>
        <v>0.52469135802469125</v>
      </c>
      <c r="K203" s="82">
        <f>AVERAGE(K193:K201)</f>
        <v>4.8148148148148148E-2</v>
      </c>
      <c r="L203" s="82">
        <f>AVERAGE(L193:L201)</f>
        <v>9.9999999999999992E-2</v>
      </c>
      <c r="M203"/>
      <c r="N203"/>
      <c r="O203" s="80" t="s">
        <v>670</v>
      </c>
      <c r="P203" s="82" t="e">
        <f>AVERAGE(P193:P201)</f>
        <v>#DIV/0!</v>
      </c>
      <c r="Q203" s="82" t="e">
        <f>AVERAGE(Q193:Q201)</f>
        <v>#DIV/0!</v>
      </c>
      <c r="R203" s="82" t="e">
        <f>AVERAGE(R193:R201)</f>
        <v>#DIV/0!</v>
      </c>
      <c r="S203" s="85" t="e">
        <f>AVERAGE(S193:S201)</f>
        <v>#DIV/0!</v>
      </c>
      <c r="T203"/>
      <c r="U203"/>
      <c r="V203" s="80" t="s">
        <v>670</v>
      </c>
      <c r="W203" s="82">
        <f>AVERAGE(W193:W201)</f>
        <v>0.51111111111111107</v>
      </c>
      <c r="X203" s="82">
        <f>AVERAGE(X193:X201)</f>
        <v>0.26666666666666666</v>
      </c>
      <c r="Y203" s="82">
        <f>AVERAGE(Y193:Y201)</f>
        <v>0.1</v>
      </c>
      <c r="Z203" s="85">
        <f>AVERAGE(Z193:Z201)</f>
        <v>0.12222222222222223</v>
      </c>
      <c r="AA203"/>
      <c r="AB203"/>
      <c r="AC203"/>
      <c r="AD203"/>
      <c r="AE203"/>
      <c r="AF203"/>
      <c r="AG203"/>
      <c r="AH203"/>
      <c r="AI203"/>
      <c r="AJ203"/>
      <c r="AK203"/>
      <c r="AL203"/>
      <c r="AM203"/>
      <c r="AN203"/>
      <c r="AO203"/>
      <c r="AP203"/>
      <c r="AQ203"/>
      <c r="AR203"/>
    </row>
    <row r="204" spans="1:44" s="118" customFormat="1" ht="15.75" thickBot="1" x14ac:dyDescent="0.3">
      <c r="A204" s="119"/>
      <c r="B204" s="119"/>
      <c r="C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row>
    <row r="205" spans="1:44" s="118" customFormat="1" ht="17.25" thickBot="1" x14ac:dyDescent="0.3">
      <c r="A205" s="64" t="s">
        <v>647</v>
      </c>
      <c r="B205" s="65">
        <v>2024</v>
      </c>
      <c r="C205" s="237" t="s">
        <v>1185</v>
      </c>
      <c r="D205" s="238"/>
      <c r="E205" s="239"/>
      <c r="H205" s="64" t="s">
        <v>647</v>
      </c>
      <c r="I205" s="65">
        <v>2024</v>
      </c>
      <c r="J205" s="237" t="s">
        <v>1357</v>
      </c>
      <c r="K205" s="238"/>
      <c r="L205" s="239"/>
      <c r="M205"/>
      <c r="N205"/>
      <c r="O205" s="64" t="s">
        <v>647</v>
      </c>
      <c r="P205" s="65">
        <v>2024</v>
      </c>
      <c r="Q205" s="237" t="s">
        <v>1577</v>
      </c>
      <c r="R205" s="238"/>
      <c r="S205" s="239"/>
      <c r="T205"/>
      <c r="U205"/>
      <c r="V205" s="64" t="s">
        <v>647</v>
      </c>
      <c r="W205" s="65">
        <v>2024</v>
      </c>
      <c r="X205" s="237" t="s">
        <v>67</v>
      </c>
      <c r="Y205" s="238"/>
      <c r="Z205" s="239"/>
      <c r="AA205"/>
      <c r="AB205"/>
      <c r="AC205"/>
      <c r="AD205"/>
      <c r="AE205"/>
      <c r="AF205"/>
      <c r="AG205"/>
      <c r="AH205"/>
      <c r="AI205"/>
      <c r="AJ205"/>
      <c r="AK205"/>
      <c r="AL205"/>
      <c r="AM205"/>
      <c r="AN205"/>
      <c r="AO205"/>
      <c r="AP205"/>
      <c r="AQ205"/>
      <c r="AR205"/>
    </row>
    <row r="206" spans="1:44" s="118" customFormat="1" ht="17.25" thickBot="1" x14ac:dyDescent="0.3">
      <c r="A206" s="69" t="s">
        <v>646</v>
      </c>
      <c r="B206" s="70">
        <f>B127</f>
        <v>4</v>
      </c>
      <c r="C206" s="240"/>
      <c r="D206" s="241"/>
      <c r="E206" s="242"/>
      <c r="H206" s="69" t="s">
        <v>646</v>
      </c>
      <c r="I206" s="70">
        <f>I127</f>
        <v>2</v>
      </c>
      <c r="J206" s="240"/>
      <c r="K206" s="241"/>
      <c r="L206" s="242"/>
      <c r="M206"/>
      <c r="N206"/>
      <c r="O206" s="69" t="s">
        <v>646</v>
      </c>
      <c r="P206" s="70">
        <f>P127</f>
        <v>2</v>
      </c>
      <c r="Q206" s="240"/>
      <c r="R206" s="241"/>
      <c r="S206" s="242"/>
      <c r="T206"/>
      <c r="U206"/>
      <c r="V206" s="69" t="s">
        <v>646</v>
      </c>
      <c r="W206" s="70">
        <f>W127</f>
        <v>0</v>
      </c>
      <c r="X206" s="240"/>
      <c r="Y206" s="241"/>
      <c r="Z206" s="242"/>
      <c r="AA206"/>
      <c r="AB206"/>
      <c r="AC206"/>
      <c r="AD206"/>
      <c r="AE206"/>
      <c r="AF206"/>
      <c r="AG206"/>
      <c r="AH206"/>
      <c r="AI206"/>
      <c r="AJ206"/>
      <c r="AK206"/>
      <c r="AL206"/>
      <c r="AM206"/>
      <c r="AN206"/>
      <c r="AO206"/>
      <c r="AP206"/>
      <c r="AQ206"/>
      <c r="AR206"/>
    </row>
    <row r="207" spans="1:44" s="118" customFormat="1" ht="15.75" thickBot="1" x14ac:dyDescent="0.3">
      <c r="A207" s="222" t="s">
        <v>658</v>
      </c>
      <c r="B207" s="243" t="s">
        <v>664</v>
      </c>
      <c r="C207" s="243"/>
      <c r="D207" s="243"/>
      <c r="E207" s="243"/>
      <c r="H207" s="222" t="s">
        <v>658</v>
      </c>
      <c r="I207" s="243" t="s">
        <v>664</v>
      </c>
      <c r="J207" s="243"/>
      <c r="K207" s="243"/>
      <c r="L207" s="243"/>
      <c r="M207"/>
      <c r="N207"/>
      <c r="O207" s="222" t="s">
        <v>658</v>
      </c>
      <c r="P207" s="243" t="s">
        <v>664</v>
      </c>
      <c r="Q207" s="243"/>
      <c r="R207" s="243"/>
      <c r="S207" s="243"/>
      <c r="T207"/>
      <c r="U207"/>
      <c r="V207" s="222" t="s">
        <v>658</v>
      </c>
      <c r="W207" s="243" t="s">
        <v>664</v>
      </c>
      <c r="X207" s="243"/>
      <c r="Y207" s="243"/>
      <c r="Z207" s="243"/>
      <c r="AA207"/>
      <c r="AB207"/>
      <c r="AC207"/>
      <c r="AD207"/>
      <c r="AE207"/>
      <c r="AF207"/>
      <c r="AG207"/>
      <c r="AH207"/>
      <c r="AI207"/>
      <c r="AJ207"/>
      <c r="AK207"/>
      <c r="AL207"/>
      <c r="AM207"/>
      <c r="AN207"/>
      <c r="AO207"/>
      <c r="AP207"/>
      <c r="AQ207"/>
      <c r="AR207"/>
    </row>
    <row r="208" spans="1:44" s="118" customFormat="1" ht="15.75" thickBot="1" x14ac:dyDescent="0.3">
      <c r="A208" s="222"/>
      <c r="B208" s="72" t="s">
        <v>645</v>
      </c>
      <c r="C208" s="72" t="s">
        <v>665</v>
      </c>
      <c r="D208" s="72" t="s">
        <v>666</v>
      </c>
      <c r="E208" s="72" t="s">
        <v>667</v>
      </c>
      <c r="H208" s="222"/>
      <c r="I208" s="72" t="s">
        <v>645</v>
      </c>
      <c r="J208" s="72" t="s">
        <v>665</v>
      </c>
      <c r="K208" s="72" t="s">
        <v>666</v>
      </c>
      <c r="L208" s="72" t="s">
        <v>667</v>
      </c>
      <c r="M208"/>
      <c r="N208"/>
      <c r="O208" s="222"/>
      <c r="P208" s="72" t="s">
        <v>645</v>
      </c>
      <c r="Q208" s="72" t="s">
        <v>665</v>
      </c>
      <c r="R208" s="72" t="s">
        <v>666</v>
      </c>
      <c r="S208" s="72" t="s">
        <v>667</v>
      </c>
      <c r="T208"/>
      <c r="U208"/>
      <c r="V208" s="222"/>
      <c r="W208" s="72" t="s">
        <v>645</v>
      </c>
      <c r="X208" s="72" t="s">
        <v>665</v>
      </c>
      <c r="Y208" s="72" t="s">
        <v>666</v>
      </c>
      <c r="Z208" s="72" t="s">
        <v>667</v>
      </c>
      <c r="AA208"/>
      <c r="AB208"/>
      <c r="AC208"/>
      <c r="AD208"/>
      <c r="AE208"/>
      <c r="AF208"/>
      <c r="AG208"/>
      <c r="AH208"/>
      <c r="AI208"/>
      <c r="AJ208"/>
      <c r="AK208"/>
      <c r="AL208"/>
      <c r="AM208"/>
      <c r="AN208"/>
      <c r="AO208"/>
      <c r="AP208"/>
      <c r="AQ208"/>
      <c r="AR208"/>
    </row>
    <row r="209" spans="1:44" s="118" customFormat="1" x14ac:dyDescent="0.25">
      <c r="A209" s="73">
        <v>2</v>
      </c>
      <c r="B209" s="71">
        <v>3</v>
      </c>
      <c r="C209" s="71">
        <v>4</v>
      </c>
      <c r="D209" s="71">
        <v>5</v>
      </c>
      <c r="E209" s="74">
        <v>6</v>
      </c>
      <c r="H209" s="73">
        <v>2</v>
      </c>
      <c r="I209" s="71">
        <v>3</v>
      </c>
      <c r="J209" s="71">
        <v>4</v>
      </c>
      <c r="K209" s="71">
        <v>5</v>
      </c>
      <c r="L209" s="74">
        <v>6</v>
      </c>
      <c r="M209"/>
      <c r="N209"/>
      <c r="O209" s="73">
        <v>2</v>
      </c>
      <c r="P209" s="71">
        <v>3</v>
      </c>
      <c r="Q209" s="71">
        <v>4</v>
      </c>
      <c r="R209" s="71">
        <v>5</v>
      </c>
      <c r="S209" s="74">
        <v>6</v>
      </c>
      <c r="T209"/>
      <c r="U209"/>
      <c r="V209" s="73">
        <v>2</v>
      </c>
      <c r="W209" s="71">
        <v>3</v>
      </c>
      <c r="X209" s="71">
        <v>4</v>
      </c>
      <c r="Y209" s="71">
        <v>5</v>
      </c>
      <c r="Z209" s="74">
        <v>6</v>
      </c>
      <c r="AA209"/>
      <c r="AB209"/>
      <c r="AC209"/>
      <c r="AD209"/>
      <c r="AE209"/>
      <c r="AF209"/>
      <c r="AG209"/>
      <c r="AH209"/>
      <c r="AI209"/>
      <c r="AJ209"/>
      <c r="AK209"/>
      <c r="AL209"/>
      <c r="AM209"/>
      <c r="AN209"/>
      <c r="AO209"/>
      <c r="AP209"/>
      <c r="AQ209"/>
      <c r="AR209"/>
    </row>
    <row r="210" spans="1:44" s="118" customFormat="1" x14ac:dyDescent="0.25">
      <c r="A210" s="75" t="s">
        <v>1445</v>
      </c>
      <c r="B210" s="58">
        <f>B133</f>
        <v>0.5625</v>
      </c>
      <c r="C210" s="58">
        <f>C133</f>
        <v>0.4375</v>
      </c>
      <c r="D210" s="58">
        <f>D133</f>
        <v>0</v>
      </c>
      <c r="E210" s="58">
        <f>E133</f>
        <v>0</v>
      </c>
      <c r="H210" s="75" t="s">
        <v>1445</v>
      </c>
      <c r="I210" s="66">
        <f>I133</f>
        <v>0.375</v>
      </c>
      <c r="J210" s="66">
        <f>J133</f>
        <v>0.625</v>
      </c>
      <c r="K210" s="66">
        <f>K133</f>
        <v>0</v>
      </c>
      <c r="L210" s="66">
        <f>L133</f>
        <v>0</v>
      </c>
      <c r="M210"/>
      <c r="N210"/>
      <c r="O210" s="75" t="s">
        <v>1445</v>
      </c>
      <c r="P210" s="66">
        <f>P133</f>
        <v>0.75</v>
      </c>
      <c r="Q210" s="66">
        <f>Q133</f>
        <v>0.25</v>
      </c>
      <c r="R210" s="66">
        <f>R133</f>
        <v>0</v>
      </c>
      <c r="S210" s="66">
        <f>S133</f>
        <v>0</v>
      </c>
      <c r="T210"/>
      <c r="U210"/>
      <c r="V210" s="75" t="s">
        <v>1445</v>
      </c>
      <c r="W210" s="58" t="e">
        <f>W133</f>
        <v>#DIV/0!</v>
      </c>
      <c r="X210" s="58" t="e">
        <f>X133</f>
        <v>#DIV/0!</v>
      </c>
      <c r="Y210" s="58" t="e">
        <f>Y133</f>
        <v>#DIV/0!</v>
      </c>
      <c r="Z210" s="58" t="e">
        <f>Z133</f>
        <v>#DIV/0!</v>
      </c>
      <c r="AA210"/>
      <c r="AB210"/>
      <c r="AC210"/>
      <c r="AD210"/>
      <c r="AE210"/>
      <c r="AF210"/>
      <c r="AG210"/>
      <c r="AH210"/>
      <c r="AI210"/>
      <c r="AJ210"/>
      <c r="AK210"/>
      <c r="AL210"/>
      <c r="AM210"/>
      <c r="AN210"/>
      <c r="AO210"/>
      <c r="AP210"/>
      <c r="AQ210"/>
      <c r="AR210"/>
    </row>
    <row r="211" spans="1:44" s="118" customFormat="1" x14ac:dyDescent="0.25">
      <c r="A211" s="75" t="s">
        <v>1443</v>
      </c>
      <c r="B211" s="58">
        <f>B136</f>
        <v>0.625</v>
      </c>
      <c r="C211" s="58">
        <f>C136</f>
        <v>0.375</v>
      </c>
      <c r="D211" s="58">
        <f>D136</f>
        <v>0</v>
      </c>
      <c r="E211" s="58">
        <f>E136</f>
        <v>0</v>
      </c>
      <c r="H211" s="75" t="s">
        <v>1443</v>
      </c>
      <c r="I211" s="66">
        <f>I136</f>
        <v>0.75</v>
      </c>
      <c r="J211" s="66">
        <f>J136</f>
        <v>0.25</v>
      </c>
      <c r="K211" s="66">
        <f>K136</f>
        <v>0</v>
      </c>
      <c r="L211" s="66">
        <f>L136</f>
        <v>0</v>
      </c>
      <c r="M211"/>
      <c r="N211"/>
      <c r="O211" s="75" t="s">
        <v>1443</v>
      </c>
      <c r="P211" s="66">
        <f>P136</f>
        <v>0.5</v>
      </c>
      <c r="Q211" s="66">
        <f>Q136</f>
        <v>0.5</v>
      </c>
      <c r="R211" s="66">
        <f>R136</f>
        <v>0</v>
      </c>
      <c r="S211" s="66">
        <f>S136</f>
        <v>0</v>
      </c>
      <c r="T211"/>
      <c r="U211"/>
      <c r="V211" s="75" t="s">
        <v>1443</v>
      </c>
      <c r="W211" s="58" t="e">
        <f>W136</f>
        <v>#DIV/0!</v>
      </c>
      <c r="X211" s="58" t="e">
        <f>X136</f>
        <v>#DIV/0!</v>
      </c>
      <c r="Y211" s="58" t="e">
        <f>Y136</f>
        <v>#DIV/0!</v>
      </c>
      <c r="Z211" s="58" t="e">
        <f>Z136</f>
        <v>#DIV/0!</v>
      </c>
      <c r="AA211"/>
      <c r="AB211"/>
      <c r="AC211"/>
      <c r="AD211"/>
      <c r="AE211"/>
      <c r="AF211"/>
      <c r="AG211"/>
      <c r="AH211"/>
      <c r="AI211"/>
      <c r="AJ211"/>
      <c r="AK211"/>
      <c r="AL211"/>
      <c r="AM211"/>
      <c r="AN211"/>
      <c r="AO211"/>
      <c r="AP211"/>
      <c r="AQ211"/>
      <c r="AR211"/>
    </row>
    <row r="212" spans="1:44" s="118" customFormat="1" x14ac:dyDescent="0.25">
      <c r="A212" s="75" t="s">
        <v>661</v>
      </c>
      <c r="B212" s="58">
        <f>B139</f>
        <v>0.375</v>
      </c>
      <c r="C212" s="58">
        <f>C139</f>
        <v>0.375</v>
      </c>
      <c r="D212" s="58">
        <f>D139</f>
        <v>0.25</v>
      </c>
      <c r="E212" s="58">
        <f>E139</f>
        <v>0</v>
      </c>
      <c r="H212" s="75" t="s">
        <v>661</v>
      </c>
      <c r="I212" s="66">
        <f>I139</f>
        <v>0</v>
      </c>
      <c r="J212" s="66">
        <f>J139</f>
        <v>0.5</v>
      </c>
      <c r="K212" s="66">
        <f>K139</f>
        <v>0.5</v>
      </c>
      <c r="L212" s="66">
        <f>L139</f>
        <v>0</v>
      </c>
      <c r="M212"/>
      <c r="N212"/>
      <c r="O212" s="75" t="s">
        <v>661</v>
      </c>
      <c r="P212" s="66">
        <f>P139</f>
        <v>0.75</v>
      </c>
      <c r="Q212" s="66">
        <f>Q139</f>
        <v>0.25</v>
      </c>
      <c r="R212" s="66">
        <f>R139</f>
        <v>0</v>
      </c>
      <c r="S212" s="66">
        <f>S139</f>
        <v>0</v>
      </c>
      <c r="T212"/>
      <c r="U212"/>
      <c r="V212" s="75" t="s">
        <v>661</v>
      </c>
      <c r="W212" s="58" t="e">
        <f>W139</f>
        <v>#DIV/0!</v>
      </c>
      <c r="X212" s="58" t="e">
        <f>X139</f>
        <v>#DIV/0!</v>
      </c>
      <c r="Y212" s="58" t="e">
        <f>Y139</f>
        <v>#DIV/0!</v>
      </c>
      <c r="Z212" s="58" t="e">
        <f>Z139</f>
        <v>#DIV/0!</v>
      </c>
      <c r="AA212"/>
      <c r="AB212"/>
      <c r="AC212"/>
      <c r="AD212"/>
      <c r="AE212"/>
      <c r="AF212"/>
      <c r="AG212"/>
      <c r="AH212"/>
      <c r="AI212"/>
      <c r="AJ212"/>
      <c r="AK212"/>
      <c r="AL212"/>
      <c r="AM212"/>
      <c r="AN212"/>
      <c r="AO212"/>
      <c r="AP212"/>
      <c r="AQ212"/>
      <c r="AR212"/>
    </row>
    <row r="213" spans="1:44" s="118" customFormat="1" x14ac:dyDescent="0.25">
      <c r="A213" s="75" t="s">
        <v>1444</v>
      </c>
      <c r="B213" s="58">
        <f>B142</f>
        <v>0.75</v>
      </c>
      <c r="C213" s="58">
        <f>C142</f>
        <v>0.25</v>
      </c>
      <c r="D213" s="58">
        <f>D142</f>
        <v>0</v>
      </c>
      <c r="E213" s="58">
        <f>E142</f>
        <v>0</v>
      </c>
      <c r="H213" s="75" t="s">
        <v>1444</v>
      </c>
      <c r="I213" s="66">
        <f>I142</f>
        <v>0.75</v>
      </c>
      <c r="J213" s="66">
        <f>J142</f>
        <v>0.25</v>
      </c>
      <c r="K213" s="66">
        <f>K142</f>
        <v>0</v>
      </c>
      <c r="L213" s="66">
        <f>L142</f>
        <v>0</v>
      </c>
      <c r="M213"/>
      <c r="N213"/>
      <c r="O213" s="75" t="s">
        <v>1444</v>
      </c>
      <c r="P213" s="66">
        <f>P142</f>
        <v>0.75</v>
      </c>
      <c r="Q213" s="66">
        <f>Q142</f>
        <v>0.25</v>
      </c>
      <c r="R213" s="66">
        <f>R142</f>
        <v>0</v>
      </c>
      <c r="S213" s="66">
        <f>S142</f>
        <v>0</v>
      </c>
      <c r="T213"/>
      <c r="U213"/>
      <c r="V213" s="75" t="s">
        <v>1444</v>
      </c>
      <c r="W213" s="58" t="e">
        <f>W142</f>
        <v>#DIV/0!</v>
      </c>
      <c r="X213" s="58" t="e">
        <f>X142</f>
        <v>#DIV/0!</v>
      </c>
      <c r="Y213" s="58" t="e">
        <f>Y142</f>
        <v>#DIV/0!</v>
      </c>
      <c r="Z213" s="58" t="e">
        <f>Z142</f>
        <v>#DIV/0!</v>
      </c>
      <c r="AA213"/>
      <c r="AB213"/>
      <c r="AC213"/>
      <c r="AD213"/>
      <c r="AE213"/>
      <c r="AF213"/>
      <c r="AG213"/>
      <c r="AH213"/>
      <c r="AI213"/>
      <c r="AJ213"/>
      <c r="AK213"/>
      <c r="AL213"/>
      <c r="AM213"/>
      <c r="AN213"/>
      <c r="AO213"/>
      <c r="AP213"/>
      <c r="AQ213"/>
      <c r="AR213"/>
    </row>
    <row r="214" spans="1:44" s="118" customFormat="1" x14ac:dyDescent="0.25">
      <c r="A214" s="75" t="s">
        <v>663</v>
      </c>
      <c r="B214" s="58">
        <f>B147</f>
        <v>0.5625</v>
      </c>
      <c r="C214" s="58">
        <f>C147</f>
        <v>0.4375</v>
      </c>
      <c r="D214" s="58">
        <f>D147</f>
        <v>0</v>
      </c>
      <c r="E214" s="58">
        <f>E147</f>
        <v>0</v>
      </c>
      <c r="H214" s="75" t="s">
        <v>663</v>
      </c>
      <c r="I214" s="66">
        <f>I147</f>
        <v>0.625</v>
      </c>
      <c r="J214" s="66">
        <f>J147</f>
        <v>0.375</v>
      </c>
      <c r="K214" s="66">
        <f>K147</f>
        <v>0</v>
      </c>
      <c r="L214" s="66">
        <f>L147</f>
        <v>0</v>
      </c>
      <c r="M214"/>
      <c r="N214"/>
      <c r="O214" s="75" t="s">
        <v>663</v>
      </c>
      <c r="P214" s="66">
        <f>P147</f>
        <v>0.5</v>
      </c>
      <c r="Q214" s="66">
        <f>Q147</f>
        <v>0.5</v>
      </c>
      <c r="R214" s="66">
        <f>R147</f>
        <v>0</v>
      </c>
      <c r="S214" s="66">
        <f>S147</f>
        <v>0</v>
      </c>
      <c r="T214"/>
      <c r="U214"/>
      <c r="V214" s="75" t="s">
        <v>663</v>
      </c>
      <c r="W214" s="58" t="e">
        <f>W147</f>
        <v>#DIV/0!</v>
      </c>
      <c r="X214" s="58" t="e">
        <f>X147</f>
        <v>#DIV/0!</v>
      </c>
      <c r="Y214" s="58" t="e">
        <f>Y147</f>
        <v>#DIV/0!</v>
      </c>
      <c r="Z214" s="58" t="e">
        <f>Z147</f>
        <v>#DIV/0!</v>
      </c>
      <c r="AA214"/>
      <c r="AB214"/>
      <c r="AC214"/>
      <c r="AD214"/>
      <c r="AE214"/>
      <c r="AF214"/>
      <c r="AG214"/>
      <c r="AH214"/>
      <c r="AI214"/>
      <c r="AJ214"/>
      <c r="AK214"/>
      <c r="AL214"/>
      <c r="AM214"/>
      <c r="AN214"/>
      <c r="AO214"/>
      <c r="AP214"/>
      <c r="AQ214"/>
      <c r="AR214"/>
    </row>
    <row r="215" spans="1:44" s="118" customFormat="1" x14ac:dyDescent="0.25">
      <c r="A215" s="75" t="s">
        <v>1441</v>
      </c>
      <c r="B215" s="58">
        <f>B151</f>
        <v>0.66666666666666663</v>
      </c>
      <c r="C215" s="58">
        <f>C151</f>
        <v>0.33333333333333331</v>
      </c>
      <c r="D215" s="58">
        <f>D151</f>
        <v>0</v>
      </c>
      <c r="E215" s="58">
        <f>E151</f>
        <v>0</v>
      </c>
      <c r="H215" s="75" t="s">
        <v>1441</v>
      </c>
      <c r="I215" s="66">
        <f>I151</f>
        <v>0.66666666666666663</v>
      </c>
      <c r="J215" s="66">
        <f>J151</f>
        <v>0.33333333333333331</v>
      </c>
      <c r="K215" s="66">
        <f>K151</f>
        <v>0</v>
      </c>
      <c r="L215" s="66">
        <f>L151</f>
        <v>0</v>
      </c>
      <c r="M215"/>
      <c r="N215"/>
      <c r="O215" s="75" t="s">
        <v>1441</v>
      </c>
      <c r="P215" s="66">
        <f>P151</f>
        <v>0.66666666666666663</v>
      </c>
      <c r="Q215" s="66">
        <f>Q151</f>
        <v>0.33333333333333331</v>
      </c>
      <c r="R215" s="66">
        <f>R151</f>
        <v>0</v>
      </c>
      <c r="S215" s="66">
        <f>S151</f>
        <v>0</v>
      </c>
      <c r="T215"/>
      <c r="U215"/>
      <c r="V215" s="75" t="s">
        <v>1441</v>
      </c>
      <c r="W215" s="58" t="e">
        <f>W151</f>
        <v>#DIV/0!</v>
      </c>
      <c r="X215" s="58" t="e">
        <f>X151</f>
        <v>#DIV/0!</v>
      </c>
      <c r="Y215" s="58" t="e">
        <f>Y151</f>
        <v>#DIV/0!</v>
      </c>
      <c r="Z215" s="58" t="e">
        <f>Z151</f>
        <v>#DIV/0!</v>
      </c>
      <c r="AA215"/>
      <c r="AB215"/>
      <c r="AC215"/>
      <c r="AD215"/>
      <c r="AE215"/>
      <c r="AF215"/>
      <c r="AG215"/>
      <c r="AH215"/>
      <c r="AI215"/>
      <c r="AJ215"/>
      <c r="AK215"/>
      <c r="AL215"/>
      <c r="AM215"/>
      <c r="AN215"/>
      <c r="AO215"/>
      <c r="AP215"/>
      <c r="AQ215"/>
      <c r="AR215"/>
    </row>
    <row r="216" spans="1:44" s="118" customFormat="1" x14ac:dyDescent="0.25">
      <c r="A216" s="75" t="s">
        <v>91</v>
      </c>
      <c r="B216" s="58">
        <f>B156</f>
        <v>0.6875</v>
      </c>
      <c r="C216" s="58">
        <f>C156</f>
        <v>0.3125</v>
      </c>
      <c r="D216" s="58">
        <f>D156</f>
        <v>0</v>
      </c>
      <c r="E216" s="58">
        <f>E156</f>
        <v>0</v>
      </c>
      <c r="H216" s="75" t="s">
        <v>91</v>
      </c>
      <c r="I216" s="66">
        <f>I156</f>
        <v>0.625</v>
      </c>
      <c r="J216" s="66">
        <f>J156</f>
        <v>0.375</v>
      </c>
      <c r="K216" s="66">
        <f>K156</f>
        <v>0</v>
      </c>
      <c r="L216" s="66">
        <f>L156</f>
        <v>0</v>
      </c>
      <c r="M216"/>
      <c r="N216"/>
      <c r="O216" s="75" t="s">
        <v>91</v>
      </c>
      <c r="P216" s="66">
        <f>P156</f>
        <v>0.75</v>
      </c>
      <c r="Q216" s="66">
        <f>Q156</f>
        <v>0.25</v>
      </c>
      <c r="R216" s="66">
        <f>R156</f>
        <v>0</v>
      </c>
      <c r="S216" s="66">
        <f>S156</f>
        <v>0</v>
      </c>
      <c r="T216"/>
      <c r="U216"/>
      <c r="V216" s="75" t="s">
        <v>91</v>
      </c>
      <c r="W216" s="58" t="e">
        <f>W156</f>
        <v>#DIV/0!</v>
      </c>
      <c r="X216" s="58" t="e">
        <f>X156</f>
        <v>#DIV/0!</v>
      </c>
      <c r="Y216" s="58" t="e">
        <f>Y156</f>
        <v>#DIV/0!</v>
      </c>
      <c r="Z216" s="58" t="e">
        <f>Z156</f>
        <v>#DIV/0!</v>
      </c>
      <c r="AA216"/>
      <c r="AB216"/>
      <c r="AC216"/>
      <c r="AD216"/>
      <c r="AE216"/>
      <c r="AF216"/>
      <c r="AG216"/>
      <c r="AH216"/>
      <c r="AI216"/>
      <c r="AJ216"/>
      <c r="AK216"/>
      <c r="AL216"/>
      <c r="AM216"/>
      <c r="AN216"/>
      <c r="AO216"/>
      <c r="AP216"/>
      <c r="AQ216"/>
      <c r="AR216"/>
    </row>
    <row r="217" spans="1:44" s="118" customFormat="1" x14ac:dyDescent="0.25">
      <c r="A217" s="75" t="s">
        <v>1431</v>
      </c>
      <c r="B217" s="58">
        <f>B162</f>
        <v>0.625</v>
      </c>
      <c r="C217" s="58">
        <f>C162</f>
        <v>0.375</v>
      </c>
      <c r="D217" s="58">
        <f>D162</f>
        <v>0</v>
      </c>
      <c r="E217" s="58">
        <f>E162</f>
        <v>0</v>
      </c>
      <c r="H217" s="75" t="s">
        <v>1431</v>
      </c>
      <c r="I217" s="66">
        <f>I162</f>
        <v>0.5</v>
      </c>
      <c r="J217" s="66">
        <f>J162</f>
        <v>0.5</v>
      </c>
      <c r="K217" s="66">
        <f>K162</f>
        <v>0</v>
      </c>
      <c r="L217" s="66">
        <f>L162</f>
        <v>0</v>
      </c>
      <c r="M217"/>
      <c r="N217"/>
      <c r="O217" s="75" t="s">
        <v>1431</v>
      </c>
      <c r="P217" s="66">
        <f>P162</f>
        <v>0.75</v>
      </c>
      <c r="Q217" s="66">
        <f>Q162</f>
        <v>0.25</v>
      </c>
      <c r="R217" s="66">
        <f>R162</f>
        <v>0</v>
      </c>
      <c r="S217" s="66">
        <f>S162</f>
        <v>0</v>
      </c>
      <c r="T217"/>
      <c r="U217"/>
      <c r="V217" s="75" t="s">
        <v>1431</v>
      </c>
      <c r="W217" s="58" t="e">
        <f>W162</f>
        <v>#DIV/0!</v>
      </c>
      <c r="X217" s="58" t="e">
        <f>X162</f>
        <v>#DIV/0!</v>
      </c>
      <c r="Y217" s="58" t="e">
        <f>Y162</f>
        <v>#DIV/0!</v>
      </c>
      <c r="Z217" s="58" t="e">
        <f>Z162</f>
        <v>#DIV/0!</v>
      </c>
      <c r="AA217"/>
      <c r="AB217"/>
      <c r="AC217"/>
      <c r="AD217"/>
      <c r="AE217"/>
      <c r="AF217"/>
      <c r="AG217"/>
      <c r="AH217"/>
      <c r="AI217"/>
      <c r="AJ217"/>
      <c r="AK217"/>
      <c r="AL217"/>
      <c r="AM217"/>
      <c r="AN217"/>
      <c r="AO217"/>
      <c r="AP217"/>
      <c r="AQ217"/>
      <c r="AR217"/>
    </row>
    <row r="218" spans="1:44" s="118" customFormat="1" ht="15.75" thickBot="1" x14ac:dyDescent="0.3">
      <c r="A218" s="76" t="s">
        <v>1432</v>
      </c>
      <c r="B218" s="77">
        <f>B167</f>
        <v>0.375</v>
      </c>
      <c r="C218" s="77">
        <f>C167</f>
        <v>0.5625</v>
      </c>
      <c r="D218" s="77">
        <f>D167</f>
        <v>6.25E-2</v>
      </c>
      <c r="E218" s="77">
        <f>E167</f>
        <v>0</v>
      </c>
      <c r="H218" s="76" t="s">
        <v>1432</v>
      </c>
      <c r="I218" s="185">
        <f>I167</f>
        <v>0.5</v>
      </c>
      <c r="J218" s="185">
        <f>J167</f>
        <v>0.5</v>
      </c>
      <c r="K218" s="185">
        <f>K167</f>
        <v>0</v>
      </c>
      <c r="L218" s="185">
        <f>L167</f>
        <v>0</v>
      </c>
      <c r="M218"/>
      <c r="N218"/>
      <c r="O218" s="76" t="s">
        <v>1432</v>
      </c>
      <c r="P218" s="185">
        <f>P167</f>
        <v>0.25</v>
      </c>
      <c r="Q218" s="185">
        <f>Q167</f>
        <v>0.625</v>
      </c>
      <c r="R218" s="185">
        <f>R167</f>
        <v>0.125</v>
      </c>
      <c r="S218" s="185">
        <f>S167</f>
        <v>0</v>
      </c>
      <c r="T218"/>
      <c r="U218"/>
      <c r="V218" s="76" t="s">
        <v>1432</v>
      </c>
      <c r="W218" s="77" t="e">
        <f>W167</f>
        <v>#DIV/0!</v>
      </c>
      <c r="X218" s="77" t="e">
        <f>X167</f>
        <v>#DIV/0!</v>
      </c>
      <c r="Y218" s="77" t="e">
        <f>Y167</f>
        <v>#DIV/0!</v>
      </c>
      <c r="Z218" s="77" t="e">
        <f>Z167</f>
        <v>#DIV/0!</v>
      </c>
      <c r="AA218"/>
      <c r="AB218"/>
      <c r="AC218"/>
      <c r="AD218"/>
      <c r="AE218"/>
      <c r="AF218"/>
      <c r="AG218"/>
      <c r="AH218"/>
      <c r="AI218"/>
      <c r="AJ218"/>
      <c r="AK218"/>
      <c r="AL218"/>
      <c r="AM218"/>
      <c r="AN218"/>
      <c r="AO218"/>
      <c r="AP218"/>
      <c r="AQ218"/>
      <c r="AR218"/>
    </row>
    <row r="219" spans="1:44" s="118" customFormat="1" x14ac:dyDescent="0.25">
      <c r="A219" s="79" t="s">
        <v>669</v>
      </c>
      <c r="B219" s="81">
        <f>SUM(B210:B218)</f>
        <v>5.2291666666666661</v>
      </c>
      <c r="C219" s="81">
        <f>SUM(C210:C218)</f>
        <v>3.4583333333333335</v>
      </c>
      <c r="D219" s="81">
        <f>SUM(D210:D218)</f>
        <v>0.3125</v>
      </c>
      <c r="E219" s="84">
        <f>SUM(E210:E218)</f>
        <v>0</v>
      </c>
      <c r="H219" s="79" t="s">
        <v>669</v>
      </c>
      <c r="I219" s="81">
        <f>SUM(I210:I218)</f>
        <v>4.7916666666666661</v>
      </c>
      <c r="J219" s="81">
        <f>SUM(J210:J218)</f>
        <v>3.7083333333333335</v>
      </c>
      <c r="K219" s="81">
        <f>SUM(K210:K218)</f>
        <v>0.5</v>
      </c>
      <c r="L219" s="84">
        <f>SUM(L210:L218)</f>
        <v>0</v>
      </c>
      <c r="M219"/>
      <c r="N219"/>
      <c r="O219" s="79" t="s">
        <v>669</v>
      </c>
      <c r="P219" s="81">
        <f>SUM(P210:P218)</f>
        <v>5.6666666666666661</v>
      </c>
      <c r="Q219" s="81">
        <f>SUM(Q210:Q218)</f>
        <v>3.2083333333333335</v>
      </c>
      <c r="R219" s="81">
        <f>SUM(R210:R218)</f>
        <v>0.125</v>
      </c>
      <c r="S219" s="84">
        <f>SUM(S210:S218)</f>
        <v>0</v>
      </c>
      <c r="T219"/>
      <c r="U219"/>
      <c r="V219" s="79" t="s">
        <v>669</v>
      </c>
      <c r="W219" s="81" t="e">
        <f>SUM(W210:W218)</f>
        <v>#DIV/0!</v>
      </c>
      <c r="X219" s="81" t="e">
        <f>SUM(X210:X218)</f>
        <v>#DIV/0!</v>
      </c>
      <c r="Y219" s="81" t="e">
        <f>SUM(Y210:Y218)</f>
        <v>#DIV/0!</v>
      </c>
      <c r="Z219" s="84" t="e">
        <f>SUM(Z210:Z218)</f>
        <v>#DIV/0!</v>
      </c>
      <c r="AA219"/>
      <c r="AB219"/>
      <c r="AC219"/>
      <c r="AD219"/>
      <c r="AE219"/>
      <c r="AF219"/>
      <c r="AG219"/>
      <c r="AH219"/>
      <c r="AI219"/>
      <c r="AJ219"/>
      <c r="AK219"/>
      <c r="AL219"/>
      <c r="AM219"/>
      <c r="AN219"/>
      <c r="AO219"/>
      <c r="AP219"/>
      <c r="AQ219"/>
      <c r="AR219"/>
    </row>
    <row r="220" spans="1:44" s="118" customFormat="1" ht="15.75" thickBot="1" x14ac:dyDescent="0.3">
      <c r="A220" s="80" t="s">
        <v>670</v>
      </c>
      <c r="B220" s="82">
        <f>AVERAGE(B210:B218)</f>
        <v>0.58101851851851849</v>
      </c>
      <c r="C220" s="82">
        <f>AVERAGE(C210:C218)</f>
        <v>0.3842592592592593</v>
      </c>
      <c r="D220" s="82">
        <f>AVERAGE(D210:D218)</f>
        <v>3.4722222222222224E-2</v>
      </c>
      <c r="E220" s="85">
        <f>AVERAGE(E210:E218)</f>
        <v>0</v>
      </c>
      <c r="H220" s="80" t="s">
        <v>670</v>
      </c>
      <c r="I220" s="82">
        <f>AVERAGE(I210:I218)</f>
        <v>0.53240740740740733</v>
      </c>
      <c r="J220" s="82">
        <f>AVERAGE(J210:J218)</f>
        <v>0.41203703703703703</v>
      </c>
      <c r="K220" s="82">
        <f>AVERAGE(K210:K218)</f>
        <v>5.5555555555555552E-2</v>
      </c>
      <c r="L220" s="85">
        <f>AVERAGE(L210:L218)</f>
        <v>0</v>
      </c>
      <c r="M220"/>
      <c r="N220"/>
      <c r="O220" s="80" t="s">
        <v>670</v>
      </c>
      <c r="P220" s="82">
        <f>AVERAGE(P210:P218)</f>
        <v>0.62962962962962954</v>
      </c>
      <c r="Q220" s="82">
        <f>AVERAGE(Q210:Q218)</f>
        <v>0.35648148148148151</v>
      </c>
      <c r="R220" s="82">
        <f>AVERAGE(R210:R218)</f>
        <v>1.3888888888888888E-2</v>
      </c>
      <c r="S220" s="85">
        <f>AVERAGE(S210:S218)</f>
        <v>0</v>
      </c>
      <c r="T220"/>
      <c r="U220"/>
      <c r="V220" s="80" t="s">
        <v>670</v>
      </c>
      <c r="W220" s="82" t="e">
        <f>AVERAGE(W210:W218)</f>
        <v>#DIV/0!</v>
      </c>
      <c r="X220" s="82" t="e">
        <f>AVERAGE(X210:X218)</f>
        <v>#DIV/0!</v>
      </c>
      <c r="Y220" s="82" t="e">
        <f>AVERAGE(Y210:Y218)</f>
        <v>#DIV/0!</v>
      </c>
      <c r="Z220" s="85" t="e">
        <f>AVERAGE(Z210:Z218)</f>
        <v>#DIV/0!</v>
      </c>
      <c r="AA220"/>
      <c r="AB220"/>
      <c r="AC220"/>
      <c r="AD220"/>
      <c r="AE220"/>
      <c r="AF220"/>
      <c r="AG220"/>
      <c r="AH220"/>
      <c r="AI220"/>
      <c r="AJ220"/>
      <c r="AK220"/>
      <c r="AL220"/>
      <c r="AM220"/>
      <c r="AN220"/>
      <c r="AO220"/>
      <c r="AP220"/>
      <c r="AQ220"/>
      <c r="AR220"/>
    </row>
    <row r="221" spans="1:44" s="118" customFormat="1" ht="15.75" thickBot="1" x14ac:dyDescent="0.3">
      <c r="A221" s="119"/>
      <c r="B221" s="119"/>
      <c r="C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row>
    <row r="222" spans="1:44" s="118" customFormat="1" ht="17.25" thickBot="1" x14ac:dyDescent="0.3">
      <c r="A222" s="64" t="s">
        <v>647</v>
      </c>
      <c r="B222" s="65">
        <v>2024</v>
      </c>
      <c r="C222" s="237" t="s">
        <v>1446</v>
      </c>
      <c r="D222" s="238"/>
      <c r="E222" s="239"/>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row>
    <row r="223" spans="1:44" s="118" customFormat="1" ht="17.25" thickBot="1" x14ac:dyDescent="0.3">
      <c r="A223" s="69" t="s">
        <v>646</v>
      </c>
      <c r="B223" s="70">
        <f>B206+B189+B172</f>
        <v>12</v>
      </c>
      <c r="C223" s="240"/>
      <c r="D223" s="241"/>
      <c r="E223" s="242"/>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row>
    <row r="224" spans="1:44" s="118" customFormat="1" ht="15.75" thickBot="1" x14ac:dyDescent="0.3">
      <c r="A224" s="222" t="s">
        <v>658</v>
      </c>
      <c r="B224" s="243" t="s">
        <v>664</v>
      </c>
      <c r="C224" s="243"/>
      <c r="D224" s="243"/>
      <c r="E224" s="243"/>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row>
    <row r="225" spans="1:44" s="118" customFormat="1" ht="15.75" thickBot="1" x14ac:dyDescent="0.3">
      <c r="A225" s="222"/>
      <c r="B225" s="72" t="s">
        <v>645</v>
      </c>
      <c r="C225" s="72" t="s">
        <v>665</v>
      </c>
      <c r="D225" s="72" t="s">
        <v>666</v>
      </c>
      <c r="E225" s="72" t="s">
        <v>667</v>
      </c>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row>
    <row r="226" spans="1:44" s="118" customFormat="1" x14ac:dyDescent="0.25">
      <c r="A226" s="73">
        <v>2</v>
      </c>
      <c r="B226" s="71">
        <v>3</v>
      </c>
      <c r="C226" s="71">
        <v>4</v>
      </c>
      <c r="D226" s="71">
        <v>5</v>
      </c>
      <c r="E226" s="74">
        <v>6</v>
      </c>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row>
    <row r="227" spans="1:44" s="118" customFormat="1" x14ac:dyDescent="0.25">
      <c r="A227" s="75" t="s">
        <v>1445</v>
      </c>
      <c r="B227" s="66">
        <f>(B210+B193+B176)/3</f>
        <v>0.65416666666666667</v>
      </c>
      <c r="C227" s="66">
        <f t="shared" ref="C227:E228" si="22">(C210+C193+C176)/3</f>
        <v>0.34583333333333338</v>
      </c>
      <c r="D227" s="66">
        <f t="shared" si="22"/>
        <v>0</v>
      </c>
      <c r="E227" s="66">
        <f t="shared" si="22"/>
        <v>0</v>
      </c>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row>
    <row r="228" spans="1:44" s="118" customFormat="1" x14ac:dyDescent="0.25">
      <c r="A228" s="75" t="s">
        <v>1443</v>
      </c>
      <c r="B228" s="66">
        <f>(B211+B194+B177)/3</f>
        <v>0.54166666666666663</v>
      </c>
      <c r="C228" s="66">
        <f t="shared" si="22"/>
        <v>0.45833333333333331</v>
      </c>
      <c r="D228" s="66">
        <f t="shared" si="22"/>
        <v>0</v>
      </c>
      <c r="E228" s="66">
        <f t="shared" si="22"/>
        <v>0</v>
      </c>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row>
    <row r="229" spans="1:44" s="118" customFormat="1" x14ac:dyDescent="0.25">
      <c r="A229" s="75" t="s">
        <v>661</v>
      </c>
      <c r="B229" s="66">
        <f t="shared" ref="B229:E235" si="23">(B212+B195+B178)/3</f>
        <v>0.20833333333333334</v>
      </c>
      <c r="C229" s="66">
        <f t="shared" si="23"/>
        <v>0.70833333333333337</v>
      </c>
      <c r="D229" s="66">
        <f t="shared" si="23"/>
        <v>8.3333333333333329E-2</v>
      </c>
      <c r="E229" s="66">
        <f t="shared" si="23"/>
        <v>0</v>
      </c>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row>
    <row r="230" spans="1:44" s="118" customFormat="1" x14ac:dyDescent="0.25">
      <c r="A230" s="75" t="s">
        <v>1444</v>
      </c>
      <c r="B230" s="66">
        <f t="shared" si="23"/>
        <v>0.63888888888888884</v>
      </c>
      <c r="C230" s="66">
        <f t="shared" si="23"/>
        <v>0.3611111111111111</v>
      </c>
      <c r="D230" s="66">
        <f t="shared" si="23"/>
        <v>0</v>
      </c>
      <c r="E230" s="66">
        <f t="shared" si="23"/>
        <v>0</v>
      </c>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row>
    <row r="231" spans="1:44" s="118" customFormat="1" x14ac:dyDescent="0.25">
      <c r="A231" s="75" t="s">
        <v>663</v>
      </c>
      <c r="B231" s="66">
        <f t="shared" si="23"/>
        <v>0.40972222222222227</v>
      </c>
      <c r="C231" s="66">
        <f t="shared" si="23"/>
        <v>0.59027777777777779</v>
      </c>
      <c r="D231" s="66">
        <f t="shared" si="23"/>
        <v>0</v>
      </c>
      <c r="E231" s="66">
        <f t="shared" si="23"/>
        <v>0</v>
      </c>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row>
    <row r="232" spans="1:44" s="118" customFormat="1" x14ac:dyDescent="0.25">
      <c r="A232" s="75" t="s">
        <v>1441</v>
      </c>
      <c r="B232" s="66">
        <f t="shared" si="23"/>
        <v>0.55555555555555547</v>
      </c>
      <c r="C232" s="66">
        <f t="shared" si="23"/>
        <v>0.44444444444444442</v>
      </c>
      <c r="D232" s="66">
        <f t="shared" si="23"/>
        <v>0</v>
      </c>
      <c r="E232" s="66">
        <f t="shared" si="23"/>
        <v>0</v>
      </c>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row>
    <row r="233" spans="1:44" s="118" customFormat="1" x14ac:dyDescent="0.25">
      <c r="A233" s="75" t="s">
        <v>91</v>
      </c>
      <c r="B233" s="66">
        <f t="shared" si="23"/>
        <v>0.5625</v>
      </c>
      <c r="C233" s="66">
        <f t="shared" si="23"/>
        <v>0.4375</v>
      </c>
      <c r="D233" s="66">
        <f t="shared" si="23"/>
        <v>0</v>
      </c>
      <c r="E233" s="66">
        <f t="shared" si="23"/>
        <v>0</v>
      </c>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row>
    <row r="234" spans="1:44" s="118" customFormat="1" x14ac:dyDescent="0.25">
      <c r="A234" s="75" t="s">
        <v>1431</v>
      </c>
      <c r="B234" s="66">
        <f t="shared" si="23"/>
        <v>0.41666666666666669</v>
      </c>
      <c r="C234" s="66">
        <f t="shared" si="23"/>
        <v>0.33333333333333331</v>
      </c>
      <c r="D234" s="66">
        <f t="shared" si="23"/>
        <v>9.9999999999999992E-2</v>
      </c>
      <c r="E234" s="66">
        <f t="shared" si="23"/>
        <v>0.15</v>
      </c>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row>
    <row r="235" spans="1:44" s="118" customFormat="1" ht="15.75" thickBot="1" x14ac:dyDescent="0.3">
      <c r="A235" s="76" t="s">
        <v>1432</v>
      </c>
      <c r="B235" s="66">
        <f>(B218+B201+B184)/3</f>
        <v>0.22916666666666666</v>
      </c>
      <c r="C235" s="66">
        <f t="shared" si="23"/>
        <v>0.5</v>
      </c>
      <c r="D235" s="66">
        <f t="shared" si="23"/>
        <v>0.10416666666666667</v>
      </c>
      <c r="E235" s="66">
        <f>(E218+E201+E184)/3</f>
        <v>0.16666666666666666</v>
      </c>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row>
    <row r="236" spans="1:44" s="118" customFormat="1" x14ac:dyDescent="0.25">
      <c r="A236" s="79" t="s">
        <v>669</v>
      </c>
      <c r="B236" s="81">
        <f>SUM(B227:B235)</f>
        <v>4.2166666666666659</v>
      </c>
      <c r="C236" s="81">
        <f>SUM(C227:C235)</f>
        <v>4.1791666666666671</v>
      </c>
      <c r="D236" s="81">
        <f>SUM(D227:D235)</f>
        <v>0.28749999999999998</v>
      </c>
      <c r="E236" s="84">
        <f>SUM(E227:E235)</f>
        <v>0.31666666666666665</v>
      </c>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row>
    <row r="237" spans="1:44" s="118" customFormat="1" ht="15.75" thickBot="1" x14ac:dyDescent="0.3">
      <c r="A237" s="80" t="s">
        <v>670</v>
      </c>
      <c r="B237" s="82">
        <f>AVERAGE(B227:B235)</f>
        <v>0.46851851851851845</v>
      </c>
      <c r="C237" s="82">
        <f>AVERAGE(C227:C235)</f>
        <v>0.4643518518518519</v>
      </c>
      <c r="D237" s="82">
        <f>AVERAGE(D227:D235)</f>
        <v>3.1944444444444442E-2</v>
      </c>
      <c r="E237" s="85">
        <f>AVERAGE(E227:E235)</f>
        <v>3.518518518518518E-2</v>
      </c>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row>
  </sheetData>
  <mergeCells count="39">
    <mergeCell ref="V207:V208"/>
    <mergeCell ref="W207:Z207"/>
    <mergeCell ref="C222:E223"/>
    <mergeCell ref="A224:A225"/>
    <mergeCell ref="B224:E224"/>
    <mergeCell ref="A207:A208"/>
    <mergeCell ref="B207:E207"/>
    <mergeCell ref="H207:H208"/>
    <mergeCell ref="I207:L207"/>
    <mergeCell ref="O207:O208"/>
    <mergeCell ref="P207:S207"/>
    <mergeCell ref="C205:E206"/>
    <mergeCell ref="J205:L206"/>
    <mergeCell ref="Q205:S206"/>
    <mergeCell ref="X205:Z206"/>
    <mergeCell ref="P190:S190"/>
    <mergeCell ref="C188:E189"/>
    <mergeCell ref="J188:L189"/>
    <mergeCell ref="Q188:S189"/>
    <mergeCell ref="X188:Z189"/>
    <mergeCell ref="A190:A191"/>
    <mergeCell ref="B190:E190"/>
    <mergeCell ref="H190:H191"/>
    <mergeCell ref="I190:L190"/>
    <mergeCell ref="O190:O191"/>
    <mergeCell ref="V190:V191"/>
    <mergeCell ref="W190:Z190"/>
    <mergeCell ref="C171:E172"/>
    <mergeCell ref="J171:L172"/>
    <mergeCell ref="Q171:S172"/>
    <mergeCell ref="X171:Z172"/>
    <mergeCell ref="A173:A174"/>
    <mergeCell ref="B173:E173"/>
    <mergeCell ref="H173:H174"/>
    <mergeCell ref="I173:L173"/>
    <mergeCell ref="O173:O174"/>
    <mergeCell ref="P173:S173"/>
    <mergeCell ref="V173:V174"/>
    <mergeCell ref="W173:Z173"/>
  </mergeCells>
  <pageMargins left="0.7" right="0.7" top="0.75" bottom="0.75" header="0.3" footer="0.3"/>
  <pageSetup orientation="portrait" horizontalDpi="0" verticalDpi="0"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4"/>
  <sheetViews>
    <sheetView tabSelected="1" topLeftCell="A6" workbookViewId="0">
      <selection activeCell="C24" sqref="C24"/>
    </sheetView>
  </sheetViews>
  <sheetFormatPr defaultRowHeight="15" x14ac:dyDescent="0.25"/>
  <cols>
    <col min="1" max="1" width="2.7109375" customWidth="1"/>
    <col min="2" max="2" width="3.28515625" bestFit="1" customWidth="1"/>
    <col min="3" max="3" width="39.28515625" bestFit="1" customWidth="1"/>
    <col min="7" max="7" width="12.42578125" customWidth="1"/>
  </cols>
  <sheetData>
    <row r="2" spans="2:7" ht="28.5" customHeight="1" x14ac:dyDescent="0.25">
      <c r="B2" s="244" t="s">
        <v>1714</v>
      </c>
      <c r="C2" s="244" t="s">
        <v>1715</v>
      </c>
      <c r="D2" s="244" t="s">
        <v>1716</v>
      </c>
      <c r="E2" s="244"/>
      <c r="F2" s="244"/>
      <c r="G2" s="244"/>
    </row>
    <row r="3" spans="2:7" ht="25.5" x14ac:dyDescent="0.25">
      <c r="B3" s="244"/>
      <c r="C3" s="244"/>
      <c r="D3" s="217" t="s">
        <v>645</v>
      </c>
      <c r="E3" s="217" t="s">
        <v>665</v>
      </c>
      <c r="F3" s="217" t="s">
        <v>666</v>
      </c>
      <c r="G3" s="217" t="s">
        <v>667</v>
      </c>
    </row>
    <row r="4" spans="2:7" x14ac:dyDescent="0.25">
      <c r="B4" s="218">
        <v>1</v>
      </c>
      <c r="C4" s="218">
        <v>2</v>
      </c>
      <c r="D4" s="218">
        <v>3</v>
      </c>
      <c r="E4" s="218">
        <v>4</v>
      </c>
      <c r="F4" s="218">
        <v>5</v>
      </c>
      <c r="G4" s="218">
        <v>6</v>
      </c>
    </row>
    <row r="5" spans="2:7" x14ac:dyDescent="0.25">
      <c r="B5" s="214">
        <v>1</v>
      </c>
      <c r="C5" s="215" t="s">
        <v>1445</v>
      </c>
      <c r="D5" s="216">
        <f>('Th. Lulus 2021'!B249+'Th. Lulus 2022'!B277+'Th. Lulus 2023'!B240)/3</f>
        <v>0.49336155202821869</v>
      </c>
      <c r="E5" s="216">
        <f>('Th. Lulus 2021'!C249+'Th. Lulus 2022'!C277+'Th. Lulus 2023'!C240)/3</f>
        <v>0.46141887125220454</v>
      </c>
      <c r="F5" s="216">
        <f>('Th. Lulus 2021'!D249+'Th. Lulus 2022'!D277+'Th. Lulus 2023'!D240)/3</f>
        <v>3.1330687830687827E-2</v>
      </c>
      <c r="G5" s="216">
        <f>('Th. Lulus 2021'!E249+'Th. Lulus 2022'!E277+'Th. Lulus 2023'!E240)/3</f>
        <v>1.3888888888888888E-2</v>
      </c>
    </row>
    <row r="6" spans="2:7" x14ac:dyDescent="0.25">
      <c r="B6" s="214">
        <v>2</v>
      </c>
      <c r="C6" s="215" t="s">
        <v>660</v>
      </c>
      <c r="D6" s="216">
        <f>('Th. Lulus 2021'!B250+'Th. Lulus 2022'!B278+'Th. Lulus 2023'!B241)/3</f>
        <v>0.61282467532467533</v>
      </c>
      <c r="E6" s="216">
        <f>('Th. Lulus 2021'!C250+'Th. Lulus 2022'!C278+'Th. Lulus 2023'!C241)/3</f>
        <v>0.38317700817700823</v>
      </c>
      <c r="F6" s="216">
        <f>('Th. Lulus 2021'!D250+'Th. Lulus 2022'!D278+'Th. Lulus 2023'!D241)/3</f>
        <v>3.9983164983164983E-3</v>
      </c>
      <c r="G6" s="216">
        <f>('Th. Lulus 2021'!E250+'Th. Lulus 2022'!E278+'Th. Lulus 2023'!E241)/3</f>
        <v>0</v>
      </c>
    </row>
    <row r="7" spans="2:7" x14ac:dyDescent="0.25">
      <c r="B7" s="214">
        <v>3</v>
      </c>
      <c r="C7" s="215" t="s">
        <v>661</v>
      </c>
      <c r="D7" s="216">
        <f>('Th. Lulus 2021'!B251+'Th. Lulus 2022'!B279+'Th. Lulus 2023'!B242)/3</f>
        <v>0.45348725348725344</v>
      </c>
      <c r="E7" s="216">
        <f>('Th. Lulus 2021'!C251+'Th. Lulus 2022'!C279+'Th. Lulus 2023'!C242)/3</f>
        <v>0.45679232804232806</v>
      </c>
      <c r="F7" s="216">
        <f>('Th. Lulus 2021'!D251+'Th. Lulus 2022'!D279+'Th. Lulus 2023'!D242)/3</f>
        <v>7.9303751803751807E-2</v>
      </c>
      <c r="G7" s="216">
        <f>('Th. Lulus 2021'!E251+'Th. Lulus 2022'!E279+'Th. Lulus 2023'!E242)/3</f>
        <v>1.0416666666666666E-2</v>
      </c>
    </row>
    <row r="8" spans="2:7" x14ac:dyDescent="0.25">
      <c r="B8" s="214">
        <v>4</v>
      </c>
      <c r="C8" s="215" t="s">
        <v>1713</v>
      </c>
      <c r="D8" s="216">
        <f>('Th. Lulus 2021'!B252+'Th. Lulus 2022'!B280+'Th. Lulus 2023'!B243)/3</f>
        <v>0.7019660894660894</v>
      </c>
      <c r="E8" s="216">
        <f>('Th. Lulus 2021'!C252+'Th. Lulus 2022'!C280+'Th. Lulus 2023'!C243)/3</f>
        <v>0.28877465127465124</v>
      </c>
      <c r="F8" s="216">
        <f>('Th. Lulus 2021'!D252+'Th. Lulus 2022'!D280+'Th. Lulus 2023'!D243)/3</f>
        <v>4.6296296296296294E-3</v>
      </c>
      <c r="G8" s="216">
        <f>('Th. Lulus 2021'!E252+'Th. Lulus 2022'!E280+'Th. Lulus 2023'!E243)/3</f>
        <v>4.6296296296296294E-3</v>
      </c>
    </row>
    <row r="9" spans="2:7" x14ac:dyDescent="0.25">
      <c r="B9" s="214">
        <v>5</v>
      </c>
      <c r="C9" s="215" t="s">
        <v>663</v>
      </c>
      <c r="D9" s="216">
        <f>('Th. Lulus 2021'!B253+'Th. Lulus 2022'!B281+'Th. Lulus 2023'!B244)/3</f>
        <v>0.51852733686067021</v>
      </c>
      <c r="E9" s="216">
        <f>('Th. Lulus 2021'!C253+'Th. Lulus 2022'!C281+'Th. Lulus 2023'!C244)/3</f>
        <v>0.42815937149270483</v>
      </c>
      <c r="F9" s="216">
        <f>('Th. Lulus 2021'!D253+'Th. Lulus 2022'!D281+'Th. Lulus 2023'!D244)/3</f>
        <v>5.3313291646624981E-2</v>
      </c>
      <c r="G9" s="216">
        <f>('Th. Lulus 2021'!E253+'Th. Lulus 2022'!E281+'Th. Lulus 2023'!E244)/3</f>
        <v>0</v>
      </c>
    </row>
    <row r="10" spans="2:7" x14ac:dyDescent="0.25">
      <c r="B10" s="214">
        <v>6</v>
      </c>
      <c r="C10" s="215" t="s">
        <v>617</v>
      </c>
      <c r="D10" s="216">
        <f>('Th. Lulus 2021'!B254+'Th. Lulus 2022'!B282+'Th. Lulus 2023'!B245)/3</f>
        <v>0.62082932499599164</v>
      </c>
      <c r="E10" s="216">
        <f>('Th. Lulus 2021'!C254+'Th. Lulus 2022'!C282+'Th. Lulus 2023'!C245)/3</f>
        <v>0.36770181978515309</v>
      </c>
      <c r="F10" s="216">
        <f>('Th. Lulus 2021'!D254+'Th. Lulus 2022'!D282+'Th. Lulus 2023'!D245)/3</f>
        <v>6.9444444444444441E-3</v>
      </c>
      <c r="G10" s="216">
        <f>('Th. Lulus 2021'!E254+'Th. Lulus 2022'!E282+'Th. Lulus 2023'!E245)/3</f>
        <v>4.5244107744107746E-3</v>
      </c>
    </row>
    <row r="11" spans="2:7" x14ac:dyDescent="0.25">
      <c r="B11" s="214">
        <v>7</v>
      </c>
      <c r="C11" s="215" t="s">
        <v>330</v>
      </c>
      <c r="D11" s="216">
        <f>('Th. Lulus 2021'!B255+'Th. Lulus 2022'!B283+'Th. Lulus 2023'!B246)/3</f>
        <v>0.61237373737373735</v>
      </c>
      <c r="E11" s="216">
        <f>('Th. Lulus 2021'!C255+'Th. Lulus 2022'!C283+'Th. Lulus 2023'!C246)/3</f>
        <v>0.34788089225589225</v>
      </c>
      <c r="F11" s="216">
        <f>('Th. Lulus 2021'!D255+'Th. Lulus 2022'!D283+'Th. Lulus 2023'!D246)/3</f>
        <v>3.4537037037037033E-2</v>
      </c>
      <c r="G11" s="216">
        <f>('Th. Lulus 2021'!E255+'Th. Lulus 2022'!E283+'Th. Lulus 2023'!E246)/3</f>
        <v>5.208333333333333E-3</v>
      </c>
    </row>
    <row r="13" spans="2:7" x14ac:dyDescent="0.25">
      <c r="B13" s="244" t="s">
        <v>1714</v>
      </c>
      <c r="C13" s="244" t="s">
        <v>1715</v>
      </c>
      <c r="D13" s="244" t="s">
        <v>1716</v>
      </c>
      <c r="E13" s="244"/>
      <c r="F13" s="244"/>
      <c r="G13" s="244"/>
    </row>
    <row r="14" spans="2:7" ht="25.5" x14ac:dyDescent="0.25">
      <c r="B14" s="244"/>
      <c r="C14" s="244"/>
      <c r="D14" s="221" t="s">
        <v>645</v>
      </c>
      <c r="E14" s="221" t="s">
        <v>665</v>
      </c>
      <c r="F14" s="221" t="s">
        <v>666</v>
      </c>
      <c r="G14" s="221" t="s">
        <v>667</v>
      </c>
    </row>
    <row r="15" spans="2:7" x14ac:dyDescent="0.25">
      <c r="B15" s="218">
        <v>1</v>
      </c>
      <c r="C15" s="218">
        <v>2</v>
      </c>
      <c r="D15" s="218">
        <v>3</v>
      </c>
      <c r="E15" s="218">
        <v>4</v>
      </c>
      <c r="F15" s="218">
        <v>5</v>
      </c>
      <c r="G15" s="218">
        <v>6</v>
      </c>
    </row>
    <row r="16" spans="2:7" x14ac:dyDescent="0.25">
      <c r="B16" s="214">
        <v>1</v>
      </c>
      <c r="C16" s="215" t="s">
        <v>1445</v>
      </c>
      <c r="D16" s="246">
        <f>('Th. Lulus 2024'!B227+'Th. Lulus 2023'!B240+'Th. Lulus 2022'!B277)/3</f>
        <v>0.49940476190476191</v>
      </c>
      <c r="E16" s="246">
        <f>('Th. Lulus 2024'!C227+'Th. Lulus 2023'!C240+'Th. Lulus 2022'!C277)/3</f>
        <v>0.46396825396825397</v>
      </c>
      <c r="F16" s="246">
        <f>('Th. Lulus 2024'!D227+'Th. Lulus 2023'!D240+'Th. Lulus 2022'!D277)/3</f>
        <v>2.2738095238095238E-2</v>
      </c>
      <c r="G16" s="246">
        <f>('Th. Lulus 2024'!E227+'Th. Lulus 2023'!E240+'Th. Lulus 2022'!E277)/3</f>
        <v>1.3888888888888888E-2</v>
      </c>
    </row>
    <row r="17" spans="2:7" x14ac:dyDescent="0.25">
      <c r="B17" s="214">
        <v>2</v>
      </c>
      <c r="C17" s="215" t="s">
        <v>660</v>
      </c>
      <c r="D17" s="246">
        <f>('Th. Lulus 2024'!B228+'Th. Lulus 2023'!B241+'Th. Lulus 2022'!B278)/3</f>
        <v>0.59430615680615684</v>
      </c>
      <c r="E17" s="246">
        <f>('Th. Lulus 2024'!C228+'Th. Lulus 2023'!C241+'Th. Lulus 2022'!C278)/3</f>
        <v>0.40169552669552666</v>
      </c>
      <c r="F17" s="246">
        <f>('Th. Lulus 2024'!D228+'Th. Lulus 2023'!D241+'Th. Lulus 2022'!D278)/3</f>
        <v>3.9983164983164983E-3</v>
      </c>
      <c r="G17" s="246">
        <f>('Th. Lulus 2024'!E228+'Th. Lulus 2023'!E241+'Th. Lulus 2022'!E278)/3</f>
        <v>0</v>
      </c>
    </row>
    <row r="18" spans="2:7" x14ac:dyDescent="0.25">
      <c r="B18" s="214">
        <v>3</v>
      </c>
      <c r="C18" s="215" t="s">
        <v>661</v>
      </c>
      <c r="D18" s="246">
        <f>('Th. Lulus 2024'!B229+'Th. Lulus 2023'!B242+'Th. Lulus 2022'!B279)/3</f>
        <v>0.34145021645021645</v>
      </c>
      <c r="E18" s="246">
        <f>('Th. Lulus 2024'!C229+'Th. Lulus 2023'!C242+'Th. Lulus 2022'!C279)/3</f>
        <v>0.55327380952380956</v>
      </c>
      <c r="F18" s="246">
        <f>('Th. Lulus 2024'!D229+'Th. Lulus 2023'!D242+'Th. Lulus 2022'!D279)/3</f>
        <v>9.4859307359307352E-2</v>
      </c>
      <c r="G18" s="246">
        <f>('Th. Lulus 2024'!E229+'Th. Lulus 2023'!E242+'Th. Lulus 2022'!E279)/3</f>
        <v>1.0416666666666666E-2</v>
      </c>
    </row>
    <row r="19" spans="2:7" x14ac:dyDescent="0.25">
      <c r="B19" s="214">
        <v>4</v>
      </c>
      <c r="C19" s="215" t="s">
        <v>1713</v>
      </c>
      <c r="D19" s="246">
        <f>('Th. Lulus 2024'!B230+'Th. Lulus 2023'!B243+'Th. Lulus 2022'!B280)/3</f>
        <v>0.6219396344396344</v>
      </c>
      <c r="E19" s="246">
        <f>('Th. Lulus 2024'!C230+'Th. Lulus 2023'!C243+'Th. Lulus 2022'!C280)/3</f>
        <v>0.3688011063011063</v>
      </c>
      <c r="F19" s="246">
        <f>('Th. Lulus 2024'!D230+'Th. Lulus 2023'!D243+'Th. Lulus 2022'!D280)/3</f>
        <v>4.6296296296296294E-3</v>
      </c>
      <c r="G19" s="246">
        <f>('Th. Lulus 2024'!E230+'Th. Lulus 2023'!E243+'Th. Lulus 2022'!E280)/3</f>
        <v>4.6296296296296294E-3</v>
      </c>
    </row>
    <row r="20" spans="2:7" x14ac:dyDescent="0.25">
      <c r="B20" s="214">
        <v>5</v>
      </c>
      <c r="C20" s="215" t="s">
        <v>663</v>
      </c>
      <c r="D20" s="246">
        <f>('Th. Lulus 2024'!B231+'Th. Lulus 2023'!B244+'Th. Lulus 2022'!B281)/3</f>
        <v>0.43416005291005294</v>
      </c>
      <c r="E20" s="246">
        <f>('Th. Lulus 2024'!C231+'Th. Lulus 2023'!C244+'Th. Lulus 2022'!C281)/3</f>
        <v>0.52481060606060603</v>
      </c>
      <c r="F20" s="246">
        <f>('Th. Lulus 2024'!D231+'Th. Lulus 2023'!D244+'Th. Lulus 2022'!D281)/3</f>
        <v>4.1029341029341027E-2</v>
      </c>
      <c r="G20" s="246">
        <f>('Th. Lulus 2024'!E231+'Th. Lulus 2023'!E244+'Th. Lulus 2022'!E281)/3</f>
        <v>0</v>
      </c>
    </row>
    <row r="21" spans="2:7" x14ac:dyDescent="0.25">
      <c r="B21" s="214">
        <v>6</v>
      </c>
      <c r="C21" s="215" t="s">
        <v>617</v>
      </c>
      <c r="D21" s="246">
        <f>('Th. Lulus 2024'!B232+'Th. Lulus 2023'!B245+'Th. Lulus 2022'!B282)/3</f>
        <v>0.5557058682058682</v>
      </c>
      <c r="E21" s="246">
        <f>('Th. Lulus 2024'!C232+'Th. Lulus 2023'!C245+'Th. Lulus 2022'!C282)/3</f>
        <v>0.44092712842712833</v>
      </c>
      <c r="F21" s="246">
        <f>('Th. Lulus 2024'!D232+'Th. Lulus 2023'!D245+'Th. Lulus 2022'!D282)/3</f>
        <v>0</v>
      </c>
      <c r="G21" s="246">
        <f>('Th. Lulus 2024'!E232+'Th. Lulus 2023'!E245+'Th. Lulus 2022'!E282)/3</f>
        <v>3.3670033670033673E-3</v>
      </c>
    </row>
    <row r="22" spans="2:7" x14ac:dyDescent="0.25">
      <c r="B22" s="214">
        <v>7</v>
      </c>
      <c r="C22" s="215" t="s">
        <v>330</v>
      </c>
      <c r="D22" s="246">
        <f>('Th. Lulus 2024'!B233+'Th. Lulus 2023'!B246+'Th. Lulus 2022'!B283)/3</f>
        <v>0.54431818181818181</v>
      </c>
      <c r="E22" s="246">
        <f>('Th. Lulus 2024'!C233+'Th. Lulus 2023'!C246+'Th. Lulus 2022'!C283)/3</f>
        <v>0.4213068181818182</v>
      </c>
      <c r="F22" s="246">
        <f>('Th. Lulus 2024'!D233+'Th. Lulus 2023'!D246+'Th. Lulus 2022'!D283)/3</f>
        <v>2.9166666666666664E-2</v>
      </c>
      <c r="G22" s="246">
        <f>('Th. Lulus 2024'!E233+'Th. Lulus 2023'!E246+'Th. Lulus 2022'!E283)/3</f>
        <v>5.208333333333333E-3</v>
      </c>
    </row>
    <row r="24" spans="2:7" x14ac:dyDescent="0.25">
      <c r="C24">
        <f>'Th. Lulus 2024'!B223+'Th. Lulus 2023'!B236+'Th. Lulus 2022'!B273</f>
        <v>99</v>
      </c>
    </row>
  </sheetData>
  <mergeCells count="6">
    <mergeCell ref="B2:B3"/>
    <mergeCell ref="C2:C3"/>
    <mergeCell ref="D2:G2"/>
    <mergeCell ref="B13:B14"/>
    <mergeCell ref="C13:C14"/>
    <mergeCell ref="D13:G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
  <sheetViews>
    <sheetView workbookViewId="0">
      <selection activeCell="F4" sqref="F4:I4"/>
    </sheetView>
  </sheetViews>
  <sheetFormatPr defaultRowHeight="15" x14ac:dyDescent="0.25"/>
  <cols>
    <col min="2" max="2" width="10.85546875" customWidth="1"/>
    <col min="3" max="3" width="26.7109375" customWidth="1"/>
    <col min="4" max="4" width="19.85546875" customWidth="1"/>
    <col min="5" max="5" width="18.28515625" customWidth="1"/>
    <col min="6" max="6" width="15.140625" customWidth="1"/>
    <col min="7" max="7" width="10.140625" bestFit="1" customWidth="1"/>
    <col min="8" max="8" width="14.42578125" customWidth="1"/>
    <col min="9" max="9" width="12.5703125" customWidth="1"/>
  </cols>
  <sheetData>
    <row r="2" spans="1:9" ht="30.75" customHeight="1" x14ac:dyDescent="0.25">
      <c r="A2" s="158" t="s">
        <v>1718</v>
      </c>
      <c r="B2" s="158" t="s">
        <v>659</v>
      </c>
      <c r="C2" s="158" t="s">
        <v>660</v>
      </c>
      <c r="D2" s="158" t="s">
        <v>661</v>
      </c>
      <c r="E2" s="158" t="s">
        <v>662</v>
      </c>
      <c r="F2" s="158" t="s">
        <v>663</v>
      </c>
      <c r="G2" s="158" t="s">
        <v>617</v>
      </c>
      <c r="H2" s="158" t="s">
        <v>330</v>
      </c>
      <c r="I2" s="158" t="s">
        <v>1717</v>
      </c>
    </row>
    <row r="3" spans="1:9" x14ac:dyDescent="0.25">
      <c r="A3" s="116">
        <v>2016</v>
      </c>
      <c r="B3" s="219">
        <f>'Th. Lulus 2016'!C119+'Th. Lulus 2016'!D119</f>
        <v>0.99365079365079367</v>
      </c>
      <c r="C3" s="219">
        <f>'Th. Lulus 2016'!C120+'Th. Lulus 2016'!D120</f>
        <v>0.96031746031746024</v>
      </c>
      <c r="D3" s="219">
        <f>'Th. Lulus 2016'!C121+'Th. Lulus 2016'!D121</f>
        <v>0.69047619047619047</v>
      </c>
      <c r="E3" s="219">
        <f>'Th. Lulus 2016'!C122+'Th. Lulus 2016'!D122</f>
        <v>0.97619047619047616</v>
      </c>
      <c r="F3" s="219">
        <f>'Th. Lulus 2016'!C123+'Th. Lulus 2016'!D123</f>
        <v>0.97354497354497349</v>
      </c>
      <c r="G3" s="219">
        <f>'Th. Lulus 2016'!C124+'Th. Lulus 2016'!D124</f>
        <v>0.96031746031746035</v>
      </c>
      <c r="H3" s="219">
        <f>'Th. Lulus 2016'!C125+'Th. Lulus 2016'!D125</f>
        <v>0.94047619047619047</v>
      </c>
      <c r="I3" s="116">
        <v>63</v>
      </c>
    </row>
    <row r="4" spans="1:9" x14ac:dyDescent="0.25">
      <c r="A4" s="116">
        <v>2017</v>
      </c>
      <c r="B4" s="219">
        <f>'Th. Lulus 2017'!C112+'Th. Lulus 2017'!D112</f>
        <v>0.97500000000000009</v>
      </c>
      <c r="C4" s="219">
        <f>'Th. Lulus 2017'!C113+'Th. Lulus 2017'!D113</f>
        <v>0.9285714285714286</v>
      </c>
      <c r="D4" s="219">
        <f>'Th. Lulus 2017'!C114+'Th. Lulus 2017'!D114</f>
        <v>0.8035714285714286</v>
      </c>
      <c r="E4" s="219">
        <f>'Th. Lulus 2017'!C115+'Th. Lulus 2017'!D115</f>
        <v>0.95535714285714279</v>
      </c>
      <c r="F4" s="219">
        <f>'Th. Lulus 2017'!C116+'Th. Lulus 2017'!D116</f>
        <v>0.99404761904761896</v>
      </c>
      <c r="G4" s="219">
        <f>'Th. Lulus 2017'!C117+'Th. Lulus 2017'!D117</f>
        <v>0.9285714285714286</v>
      </c>
      <c r="H4" s="219">
        <f>'Th. Lulus 2017'!C118+'Th. Lulus 2017'!D118</f>
        <v>0.90625</v>
      </c>
      <c r="I4" s="116">
        <v>56</v>
      </c>
    </row>
    <row r="5" spans="1:9" x14ac:dyDescent="0.25">
      <c r="A5" s="116">
        <v>2018</v>
      </c>
      <c r="B5" s="219">
        <f>'Th. Lulus 2018'!C62+'Th. Lulus 2018'!D62</f>
        <v>0.93333333333333335</v>
      </c>
      <c r="C5" s="219">
        <f>'Th. Lulus 2018'!C63+'Th. Lulus 2018'!D63</f>
        <v>1</v>
      </c>
      <c r="D5" s="219">
        <f>'Th. Lulus 2018'!C64+'Th. Lulus 2018'!D64</f>
        <v>0.66666666666666663</v>
      </c>
      <c r="E5" s="219">
        <f>'Th. Lulus 2018'!C65+'Th. Lulus 2018'!D65</f>
        <v>1</v>
      </c>
      <c r="F5" s="219">
        <f>'Th. Lulus 2018'!C66+'Th. Lulus 2018'!D66</f>
        <v>1</v>
      </c>
      <c r="G5" s="219">
        <f>'Th. Lulus 2018'!C67+'Th. Lulus 2018'!D67</f>
        <v>0.83333333333333326</v>
      </c>
      <c r="H5" s="219">
        <f>'Th. Lulus 2018'!C68+'Th. Lulus 2018'!D68</f>
        <v>0.95833333333333326</v>
      </c>
      <c r="I5" s="116">
        <v>6</v>
      </c>
    </row>
    <row r="6" spans="1:9" x14ac:dyDescent="0.25">
      <c r="A6" s="116">
        <v>2019</v>
      </c>
      <c r="B6" s="219">
        <f>'Th. Lulus 2019'!C151+'Th. Lulus 2019'!D151</f>
        <v>0.96190476190476182</v>
      </c>
      <c r="C6" s="219">
        <f>'Th. Lulus 2019'!C152+'Th. Lulus 2019'!D152</f>
        <v>0.99999999999999989</v>
      </c>
      <c r="D6" s="219">
        <f>'Th. Lulus 2019'!C153+'Th. Lulus 2019'!D153</f>
        <v>0.52380952380952372</v>
      </c>
      <c r="E6" s="219">
        <f>'Th. Lulus 2019'!C154+'Th. Lulus 2019'!D154</f>
        <v>1</v>
      </c>
      <c r="F6" s="219">
        <f>'Th. Lulus 2019'!C155+'Th. Lulus 2019'!D155</f>
        <v>1</v>
      </c>
      <c r="G6" s="219">
        <f>'Th. Lulus 2019'!C156+'Th. Lulus 2019'!D156</f>
        <v>1</v>
      </c>
      <c r="H6" s="219">
        <f>'Th. Lulus 2019'!C157+'Th. Lulus 2019'!D157</f>
        <v>0.90476190476190477</v>
      </c>
      <c r="I6" s="116">
        <v>21</v>
      </c>
    </row>
    <row r="7" spans="1:9" x14ac:dyDescent="0.25">
      <c r="A7" s="116">
        <v>2020</v>
      </c>
      <c r="B7" s="219">
        <f>'Th. Lulus 2020'!C94+'Th. Lulus 2020'!D94</f>
        <v>0.96756756756756768</v>
      </c>
      <c r="C7" s="219">
        <f>'Th. Lulus 2020'!C95+'Th. Lulus 2020'!D95</f>
        <v>1</v>
      </c>
      <c r="D7" s="219">
        <f>'Th. Lulus 2020'!C96+'Th. Lulus 2020'!D96</f>
        <v>0.78378378378378377</v>
      </c>
      <c r="E7" s="219">
        <f>'Th. Lulus 2020'!C97+'Th. Lulus 2020'!D97</f>
        <v>1</v>
      </c>
      <c r="F7" s="219">
        <f>'Th. Lulus 2020'!C98+'Th. Lulus 2020'!D98</f>
        <v>0.98198198198198217</v>
      </c>
      <c r="G7" s="219">
        <f>'Th. Lulus 2020'!C99+'Th. Lulus 2020'!D99</f>
        <v>1</v>
      </c>
      <c r="H7" s="219">
        <f>'Th. Lulus 2020'!C100+'Th. Lulus 2020'!D100</f>
        <v>0.91891891891891897</v>
      </c>
      <c r="I7" s="116">
        <v>37</v>
      </c>
    </row>
    <row r="8" spans="1:9" x14ac:dyDescent="0.25">
      <c r="A8" s="116">
        <v>2021</v>
      </c>
      <c r="B8" s="219">
        <f>'Th. Lulus 2021'!B249+'Th. Lulus 2021'!C249</f>
        <v>0.97422222222222221</v>
      </c>
      <c r="C8" s="219">
        <f>'Th. Lulus 2021'!B250+'Th. Lulus 2021'!C250</f>
        <v>1</v>
      </c>
      <c r="D8" s="219">
        <f>'Th. Lulus 2021'!B251+'Th. Lulus 2021'!C251</f>
        <v>0.96333333333333326</v>
      </c>
      <c r="E8" s="219">
        <f>'Th. Lulus 2021'!B252+'Th. Lulus 2021'!C252</f>
        <v>1</v>
      </c>
      <c r="F8" s="219">
        <f>'Th. Lulus 2021'!B253+'Th. Lulus 2021'!C253</f>
        <v>0.96314814814814809</v>
      </c>
      <c r="G8" s="219">
        <f>'Th. Lulus 2021'!B254+'Th. Lulus 2021'!C254</f>
        <v>0.97569444444444442</v>
      </c>
      <c r="H8" s="219">
        <f>'Th. Lulus 2021'!B255+'Th. Lulus 2021'!C255</f>
        <v>0.98388888888888892</v>
      </c>
      <c r="I8" s="116">
        <v>40</v>
      </c>
    </row>
    <row r="9" spans="1:9" x14ac:dyDescent="0.25">
      <c r="A9" s="116">
        <v>2022</v>
      </c>
      <c r="B9" s="219">
        <f>'Th. Lulus 2022'!B277+'Th. Lulus 2022'!C277</f>
        <v>0.99428571428571422</v>
      </c>
      <c r="C9" s="219">
        <f>'Th. Lulus 2022'!B278+'Th. Lulus 2022'!C278</f>
        <v>0.99494949494949481</v>
      </c>
      <c r="D9" s="219">
        <f>'Th. Lulus 2022'!B279+'Th. Lulus 2022'!C279</f>
        <v>0.90887445887445883</v>
      </c>
      <c r="E9" s="219">
        <f>'Th. Lulus 2022'!B280+'Th. Lulus 2022'!C280</f>
        <v>1</v>
      </c>
      <c r="F9" s="219">
        <f>'Th. Lulus 2022'!B281+'Th. Lulus 2022'!C281</f>
        <v>0.94040404040404035</v>
      </c>
      <c r="G9" s="219">
        <f>'Th. Lulus 2022'!B282+'Th. Lulus 2022'!C282</f>
        <v>0.98989898989898983</v>
      </c>
      <c r="H9" s="219">
        <f>'Th. Lulus 2022'!B283+'Th. Lulus 2022'!C283</f>
        <v>0.98095238095238102</v>
      </c>
      <c r="I9" s="116">
        <v>62</v>
      </c>
    </row>
    <row r="10" spans="1:9" x14ac:dyDescent="0.25">
      <c r="A10" s="116">
        <v>2023</v>
      </c>
      <c r="B10" s="219">
        <f>'Th. Lulus 2023'!B240+'Th. Lulus 2023'!C240</f>
        <v>0.89583333333333326</v>
      </c>
      <c r="C10" s="219">
        <f>'Th. Lulus 2023'!B241+'Th. Lulus 2023'!C241</f>
        <v>0.99305555555555558</v>
      </c>
      <c r="D10" s="219">
        <f>'Th. Lulus 2023'!B242+'Th. Lulus 2023'!C242</f>
        <v>0.85863095238095233</v>
      </c>
      <c r="E10" s="219">
        <f>'Th. Lulus 2023'!B243+'Th. Lulus 2023'!C243</f>
        <v>0.9722222222222221</v>
      </c>
      <c r="F10" s="219">
        <f>'Th. Lulus 2023'!B244+'Th. Lulus 2023'!C244</f>
        <v>0.93650793650793662</v>
      </c>
      <c r="G10" s="219">
        <f>'Th. Lulus 2023'!B245+'Th. Lulus 2023'!C245</f>
        <v>1</v>
      </c>
      <c r="H10" s="219">
        <f>'Th. Lulus 2023'!B246+'Th. Lulus 2023'!C246</f>
        <v>0.91592261904761907</v>
      </c>
      <c r="I10" s="116">
        <v>25</v>
      </c>
    </row>
    <row r="11" spans="1:9" x14ac:dyDescent="0.25">
      <c r="A11" s="245">
        <v>2024</v>
      </c>
      <c r="B11" s="194">
        <f>'Th. Lulus 2024'!B240+'Th. Lulus 2024'!C240</f>
        <v>0</v>
      </c>
    </row>
  </sheetData>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8"/>
  <sheetViews>
    <sheetView workbookViewId="0">
      <selection activeCell="F2" sqref="F2:H32"/>
    </sheetView>
  </sheetViews>
  <sheetFormatPr defaultRowHeight="15" x14ac:dyDescent="0.25"/>
  <cols>
    <col min="1" max="1" width="1.7109375" customWidth="1"/>
    <col min="2" max="2" width="30.7109375" bestFit="1" customWidth="1"/>
    <col min="3" max="4" width="9.140625" style="115"/>
    <col min="5" max="5" width="3.7109375" style="115" customWidth="1"/>
    <col min="6" max="6" width="30.7109375" bestFit="1" customWidth="1"/>
    <col min="7" max="9" width="9.140625" style="115"/>
    <col min="10" max="10" width="30.7109375" bestFit="1" customWidth="1"/>
  </cols>
  <sheetData>
    <row r="2" spans="2:12" ht="16.5" x14ac:dyDescent="0.25">
      <c r="B2" s="57" t="s">
        <v>1166</v>
      </c>
      <c r="C2" s="116"/>
      <c r="D2" s="116"/>
      <c r="F2" s="57" t="s">
        <v>1185</v>
      </c>
      <c r="G2" s="116"/>
      <c r="J2" s="57" t="s">
        <v>1161</v>
      </c>
      <c r="K2" s="116"/>
      <c r="L2" s="116"/>
    </row>
    <row r="3" spans="2:12" x14ac:dyDescent="0.25">
      <c r="B3" s="117" t="s">
        <v>1162</v>
      </c>
      <c r="C3" s="116" t="s">
        <v>26</v>
      </c>
      <c r="D3" s="116"/>
      <c r="F3" s="117" t="s">
        <v>1186</v>
      </c>
      <c r="G3" s="116" t="s">
        <v>26</v>
      </c>
      <c r="H3" s="116"/>
      <c r="J3" s="117" t="s">
        <v>1186</v>
      </c>
      <c r="K3" s="116" t="s">
        <v>26</v>
      </c>
      <c r="L3" s="116"/>
    </row>
    <row r="4" spans="2:12" x14ac:dyDescent="0.25">
      <c r="B4" s="117"/>
      <c r="C4" s="116" t="s">
        <v>27</v>
      </c>
      <c r="D4" s="116"/>
      <c r="F4" s="117"/>
      <c r="G4" s="116" t="s">
        <v>27</v>
      </c>
      <c r="H4" s="116"/>
      <c r="J4" s="117"/>
      <c r="K4" s="116" t="s">
        <v>27</v>
      </c>
      <c r="L4" s="116"/>
    </row>
    <row r="5" spans="2:12" x14ac:dyDescent="0.25">
      <c r="B5" s="117"/>
      <c r="C5" s="116" t="s">
        <v>28</v>
      </c>
      <c r="D5" s="116"/>
      <c r="F5" s="117"/>
      <c r="G5" s="116" t="s">
        <v>28</v>
      </c>
      <c r="H5" s="116"/>
      <c r="J5" s="117"/>
      <c r="K5" s="116" t="s">
        <v>28</v>
      </c>
      <c r="L5" s="116"/>
    </row>
    <row r="6" spans="2:12" x14ac:dyDescent="0.25">
      <c r="B6" s="117"/>
      <c r="C6" s="116" t="s">
        <v>29</v>
      </c>
      <c r="D6" s="116"/>
      <c r="F6" s="117"/>
      <c r="G6" s="116" t="s">
        <v>29</v>
      </c>
      <c r="H6" s="116"/>
      <c r="J6" s="117"/>
      <c r="K6" s="116" t="s">
        <v>29</v>
      </c>
      <c r="L6" s="116"/>
    </row>
    <row r="7" spans="2:12" x14ac:dyDescent="0.25">
      <c r="B7" s="117" t="s">
        <v>1163</v>
      </c>
      <c r="C7" s="116" t="s">
        <v>31</v>
      </c>
      <c r="D7" s="116"/>
      <c r="F7" s="117" t="s">
        <v>1187</v>
      </c>
      <c r="G7" s="116" t="s">
        <v>31</v>
      </c>
      <c r="H7" s="116"/>
      <c r="J7" s="117"/>
      <c r="K7" s="116" t="s">
        <v>30</v>
      </c>
      <c r="L7" s="116"/>
    </row>
    <row r="8" spans="2:12" x14ac:dyDescent="0.25">
      <c r="B8" s="117"/>
      <c r="C8" s="116" t="s">
        <v>32</v>
      </c>
      <c r="D8" s="116"/>
      <c r="F8" s="117"/>
      <c r="G8" s="116" t="s">
        <v>32</v>
      </c>
      <c r="H8" s="116"/>
      <c r="J8" s="117" t="s">
        <v>1187</v>
      </c>
      <c r="K8" s="116" t="s">
        <v>31</v>
      </c>
      <c r="L8" s="116"/>
    </row>
    <row r="9" spans="2:12" x14ac:dyDescent="0.25">
      <c r="B9" s="117"/>
      <c r="C9" s="116" t="s">
        <v>1164</v>
      </c>
      <c r="D9" s="116"/>
      <c r="F9" s="117" t="s">
        <v>1165</v>
      </c>
      <c r="G9" s="116" t="s">
        <v>33</v>
      </c>
      <c r="H9" s="116"/>
      <c r="J9" s="117"/>
      <c r="K9" s="116" t="s">
        <v>32</v>
      </c>
      <c r="L9" s="116"/>
    </row>
    <row r="10" spans="2:12" x14ac:dyDescent="0.25">
      <c r="B10" s="117" t="s">
        <v>1165</v>
      </c>
      <c r="C10" s="116" t="s">
        <v>33</v>
      </c>
      <c r="D10" s="116"/>
      <c r="F10" s="117"/>
      <c r="G10" s="116" t="s">
        <v>34</v>
      </c>
      <c r="H10" s="116"/>
      <c r="J10" s="117" t="s">
        <v>1165</v>
      </c>
      <c r="K10" s="116" t="s">
        <v>33</v>
      </c>
      <c r="L10" s="116"/>
    </row>
    <row r="11" spans="2:12" x14ac:dyDescent="0.25">
      <c r="B11" s="117"/>
      <c r="C11" s="116" t="s">
        <v>34</v>
      </c>
      <c r="D11" s="116"/>
      <c r="F11" s="117" t="s">
        <v>1188</v>
      </c>
      <c r="G11" s="116" t="s">
        <v>35</v>
      </c>
      <c r="H11" s="116"/>
      <c r="J11" s="117"/>
      <c r="K11" s="116" t="s">
        <v>34</v>
      </c>
      <c r="L11" s="116"/>
    </row>
    <row r="12" spans="2:12" x14ac:dyDescent="0.25">
      <c r="B12" s="117" t="s">
        <v>1167</v>
      </c>
      <c r="C12" s="116" t="s">
        <v>35</v>
      </c>
      <c r="D12" s="116"/>
      <c r="F12" s="117"/>
      <c r="G12" s="116" t="s">
        <v>36</v>
      </c>
      <c r="H12" s="116"/>
      <c r="J12" s="117" t="s">
        <v>1188</v>
      </c>
      <c r="K12" s="116" t="s">
        <v>35</v>
      </c>
      <c r="L12" s="116"/>
    </row>
    <row r="13" spans="2:12" x14ac:dyDescent="0.25">
      <c r="B13" s="117"/>
      <c r="C13" s="116" t="s">
        <v>36</v>
      </c>
      <c r="D13" s="116"/>
      <c r="F13" s="117" t="s">
        <v>1169</v>
      </c>
      <c r="G13" s="116" t="s">
        <v>37</v>
      </c>
      <c r="H13" s="116"/>
      <c r="J13" s="117"/>
      <c r="K13" s="116" t="s">
        <v>36</v>
      </c>
      <c r="L13" s="116"/>
    </row>
    <row r="14" spans="2:12" x14ac:dyDescent="0.25">
      <c r="B14" s="117"/>
      <c r="C14" s="116" t="s">
        <v>1168</v>
      </c>
      <c r="D14" s="116"/>
      <c r="F14" s="117"/>
      <c r="G14" s="116" t="s">
        <v>38</v>
      </c>
      <c r="H14" s="116"/>
      <c r="J14" s="117"/>
      <c r="K14" s="116" t="s">
        <v>1168</v>
      </c>
      <c r="L14" s="116"/>
    </row>
    <row r="15" spans="2:12" x14ac:dyDescent="0.25">
      <c r="B15" s="117" t="s">
        <v>1169</v>
      </c>
      <c r="C15" s="116" t="s">
        <v>37</v>
      </c>
      <c r="D15" s="116"/>
      <c r="F15" s="117"/>
      <c r="G15" s="116" t="s">
        <v>39</v>
      </c>
      <c r="H15" s="116"/>
      <c r="J15" s="117" t="s">
        <v>1169</v>
      </c>
      <c r="K15" s="116" t="s">
        <v>37</v>
      </c>
      <c r="L15" s="116"/>
    </row>
    <row r="16" spans="2:12" x14ac:dyDescent="0.25">
      <c r="B16" s="117"/>
      <c r="C16" s="116" t="s">
        <v>38</v>
      </c>
      <c r="D16" s="116"/>
      <c r="F16" s="117"/>
      <c r="G16" s="116" t="s">
        <v>1170</v>
      </c>
      <c r="H16" s="116"/>
      <c r="J16" s="117"/>
      <c r="K16" s="116" t="s">
        <v>38</v>
      </c>
      <c r="L16" s="116"/>
    </row>
    <row r="17" spans="2:12" x14ac:dyDescent="0.25">
      <c r="B17" s="117"/>
      <c r="C17" s="116" t="s">
        <v>39</v>
      </c>
      <c r="D17" s="116"/>
      <c r="F17" s="117" t="s">
        <v>1171</v>
      </c>
      <c r="G17" s="116" t="s">
        <v>40</v>
      </c>
      <c r="H17" s="116"/>
      <c r="J17" s="117"/>
      <c r="K17" s="116" t="s">
        <v>39</v>
      </c>
      <c r="L17" s="116"/>
    </row>
    <row r="18" spans="2:12" x14ac:dyDescent="0.25">
      <c r="B18" s="117"/>
      <c r="C18" s="116" t="s">
        <v>1170</v>
      </c>
      <c r="D18" s="116"/>
      <c r="F18" s="117"/>
      <c r="G18" s="116" t="s">
        <v>41</v>
      </c>
      <c r="H18" s="116"/>
      <c r="J18" s="117" t="s">
        <v>1171</v>
      </c>
      <c r="K18" s="116" t="s">
        <v>40</v>
      </c>
      <c r="L18" s="116"/>
    </row>
    <row r="19" spans="2:12" x14ac:dyDescent="0.25">
      <c r="B19" s="117" t="s">
        <v>1171</v>
      </c>
      <c r="C19" s="116" t="s">
        <v>40</v>
      </c>
      <c r="D19" s="116"/>
      <c r="F19" s="117"/>
      <c r="G19" s="116" t="s">
        <v>1172</v>
      </c>
      <c r="H19" s="116"/>
      <c r="J19" s="117"/>
      <c r="K19" s="116" t="s">
        <v>41</v>
      </c>
      <c r="L19" s="116"/>
    </row>
    <row r="20" spans="2:12" x14ac:dyDescent="0.25">
      <c r="B20" s="117"/>
      <c r="C20" s="116" t="s">
        <v>41</v>
      </c>
      <c r="D20" s="116"/>
      <c r="F20" s="117" t="s">
        <v>1173</v>
      </c>
      <c r="G20" s="116" t="s">
        <v>42</v>
      </c>
      <c r="H20" s="116"/>
      <c r="J20" s="117"/>
      <c r="K20" s="116" t="s">
        <v>1172</v>
      </c>
      <c r="L20" s="116"/>
    </row>
    <row r="21" spans="2:12" x14ac:dyDescent="0.25">
      <c r="B21" s="117"/>
      <c r="C21" s="116" t="s">
        <v>1172</v>
      </c>
      <c r="D21" s="116"/>
      <c r="F21" s="117"/>
      <c r="G21" s="116" t="s">
        <v>43</v>
      </c>
      <c r="H21" s="116"/>
      <c r="J21" s="117" t="s">
        <v>1173</v>
      </c>
      <c r="K21" s="116" t="s">
        <v>42</v>
      </c>
      <c r="L21" s="116"/>
    </row>
    <row r="22" spans="2:12" x14ac:dyDescent="0.25">
      <c r="B22" s="117" t="s">
        <v>1173</v>
      </c>
      <c r="C22" s="116" t="s">
        <v>42</v>
      </c>
      <c r="D22" s="116"/>
      <c r="F22" s="117"/>
      <c r="G22" s="116" t="s">
        <v>44</v>
      </c>
      <c r="H22" s="116"/>
      <c r="J22" s="117"/>
      <c r="K22" s="116" t="s">
        <v>43</v>
      </c>
      <c r="L22" s="116"/>
    </row>
    <row r="23" spans="2:12" x14ac:dyDescent="0.25">
      <c r="B23" s="117"/>
      <c r="C23" s="116" t="s">
        <v>43</v>
      </c>
      <c r="D23" s="116"/>
      <c r="F23" s="117"/>
      <c r="G23" s="116" t="s">
        <v>45</v>
      </c>
      <c r="H23" s="116"/>
      <c r="J23" s="117"/>
      <c r="K23" s="116" t="s">
        <v>44</v>
      </c>
      <c r="L23" s="116"/>
    </row>
    <row r="24" spans="2:12" x14ac:dyDescent="0.25">
      <c r="B24" s="117"/>
      <c r="C24" s="116" t="s">
        <v>44</v>
      </c>
      <c r="D24" s="116"/>
      <c r="F24" s="117" t="s">
        <v>1174</v>
      </c>
      <c r="G24" s="116" t="s">
        <v>1175</v>
      </c>
      <c r="H24" s="116"/>
      <c r="J24" s="117"/>
      <c r="K24" s="116" t="s">
        <v>45</v>
      </c>
      <c r="L24" s="116"/>
    </row>
    <row r="25" spans="2:12" x14ac:dyDescent="0.25">
      <c r="B25" s="117"/>
      <c r="C25" s="116" t="s">
        <v>45</v>
      </c>
      <c r="D25" s="116"/>
      <c r="F25" s="117"/>
      <c r="G25" s="116" t="s">
        <v>1176</v>
      </c>
      <c r="H25" s="116"/>
      <c r="J25" s="117" t="s">
        <v>1174</v>
      </c>
      <c r="K25" s="116" t="s">
        <v>1175</v>
      </c>
      <c r="L25" s="116"/>
    </row>
    <row r="26" spans="2:12" x14ac:dyDescent="0.25">
      <c r="B26" s="117" t="s">
        <v>1174</v>
      </c>
      <c r="C26" s="116" t="s">
        <v>1175</v>
      </c>
      <c r="D26" s="116"/>
      <c r="F26" s="117"/>
      <c r="G26" s="116" t="s">
        <v>1177</v>
      </c>
      <c r="H26" s="116"/>
      <c r="J26" s="117"/>
      <c r="K26" s="116" t="s">
        <v>1176</v>
      </c>
      <c r="L26" s="116"/>
    </row>
    <row r="27" spans="2:12" x14ac:dyDescent="0.25">
      <c r="B27" s="117"/>
      <c r="C27" s="116" t="s">
        <v>1176</v>
      </c>
      <c r="D27" s="116"/>
      <c r="F27" s="117"/>
      <c r="G27" s="116" t="s">
        <v>1178</v>
      </c>
      <c r="H27" s="116"/>
      <c r="J27" s="117"/>
      <c r="K27" s="116" t="s">
        <v>1177</v>
      </c>
      <c r="L27" s="116"/>
    </row>
    <row r="28" spans="2:12" x14ac:dyDescent="0.25">
      <c r="B28" s="117"/>
      <c r="C28" s="116" t="s">
        <v>1177</v>
      </c>
      <c r="D28" s="116"/>
      <c r="F28" s="117"/>
      <c r="G28" s="116" t="s">
        <v>1179</v>
      </c>
      <c r="H28" s="116"/>
      <c r="J28" s="117"/>
      <c r="K28" s="116" t="s">
        <v>1178</v>
      </c>
      <c r="L28" s="116"/>
    </row>
    <row r="29" spans="2:12" x14ac:dyDescent="0.25">
      <c r="B29" s="117"/>
      <c r="C29" s="116" t="s">
        <v>1178</v>
      </c>
      <c r="D29" s="116"/>
      <c r="F29" s="117" t="s">
        <v>1180</v>
      </c>
      <c r="G29" s="116" t="s">
        <v>1181</v>
      </c>
      <c r="H29" s="116"/>
      <c r="J29" s="117"/>
      <c r="K29" s="116" t="s">
        <v>1179</v>
      </c>
      <c r="L29" s="116"/>
    </row>
    <row r="30" spans="2:12" x14ac:dyDescent="0.25">
      <c r="B30" s="117"/>
      <c r="C30" s="116" t="s">
        <v>1179</v>
      </c>
      <c r="D30" s="116"/>
      <c r="F30" s="117"/>
      <c r="G30" s="116" t="s">
        <v>1182</v>
      </c>
      <c r="H30" s="116"/>
      <c r="J30" s="117" t="s">
        <v>1180</v>
      </c>
      <c r="K30" s="116" t="s">
        <v>1181</v>
      </c>
      <c r="L30" s="116"/>
    </row>
    <row r="31" spans="2:12" x14ac:dyDescent="0.25">
      <c r="B31" s="117" t="s">
        <v>1180</v>
      </c>
      <c r="C31" s="116" t="s">
        <v>1181</v>
      </c>
      <c r="D31" s="116"/>
      <c r="F31" s="117"/>
      <c r="G31" s="116" t="s">
        <v>1183</v>
      </c>
      <c r="H31" s="116"/>
      <c r="J31" s="117"/>
      <c r="K31" s="116" t="s">
        <v>1182</v>
      </c>
      <c r="L31" s="116"/>
    </row>
    <row r="32" spans="2:12" x14ac:dyDescent="0.25">
      <c r="B32" s="117"/>
      <c r="C32" s="116" t="s">
        <v>1182</v>
      </c>
      <c r="D32" s="116"/>
      <c r="F32" s="117"/>
      <c r="G32" s="116" t="s">
        <v>1184</v>
      </c>
      <c r="H32" s="116"/>
      <c r="J32" s="117"/>
      <c r="K32" s="116" t="s">
        <v>1183</v>
      </c>
      <c r="L32" s="116"/>
    </row>
    <row r="33" spans="2:12" x14ac:dyDescent="0.25">
      <c r="B33" s="117"/>
      <c r="C33" s="116" t="s">
        <v>1183</v>
      </c>
      <c r="J33" s="117"/>
      <c r="K33" s="116" t="s">
        <v>1184</v>
      </c>
      <c r="L33" s="116"/>
    </row>
    <row r="34" spans="2:12" x14ac:dyDescent="0.25">
      <c r="B34" s="117"/>
      <c r="C34" s="116" t="s">
        <v>1184</v>
      </c>
      <c r="G34"/>
      <c r="H34"/>
      <c r="I34"/>
    </row>
    <row r="35" spans="2:12" x14ac:dyDescent="0.25">
      <c r="G35"/>
      <c r="H35"/>
      <c r="I35"/>
    </row>
    <row r="36" spans="2:12" x14ac:dyDescent="0.25">
      <c r="G36"/>
      <c r="H36"/>
      <c r="I36"/>
    </row>
    <row r="37" spans="2:12" x14ac:dyDescent="0.25">
      <c r="G37"/>
      <c r="H37"/>
      <c r="I37"/>
    </row>
    <row r="38" spans="2:12" x14ac:dyDescent="0.25">
      <c r="G38"/>
      <c r="H38"/>
      <c r="I38"/>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 Lulus 2016</vt:lpstr>
      <vt:lpstr>Th. Lulus 2017</vt:lpstr>
      <vt:lpstr>Th. Lulus 2018</vt:lpstr>
      <vt:lpstr>Th. Lulus 2019</vt:lpstr>
      <vt:lpstr>Th. Lulus 2020</vt:lpstr>
      <vt:lpstr>Th. Lulus 2021</vt:lpstr>
      <vt:lpstr>Th. Lulus 2022</vt:lpstr>
      <vt:lpstr>Th. Lulus 2023</vt:lpstr>
      <vt:lpstr>untuk D3 Si (2018-2020)</vt:lpstr>
      <vt:lpstr>Th. Lulus 2024</vt:lpstr>
      <vt:lpstr>Sheet1</vt:lpstr>
      <vt:lpstr>Grafik 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Wigananda Firdaus Putra Aditya</dc:creator>
  <cp:lastModifiedBy>Wiga</cp:lastModifiedBy>
  <cp:lastPrinted>2024-06-03T08:07:53Z</cp:lastPrinted>
  <dcterms:created xsi:type="dcterms:W3CDTF">2023-08-31T07:23:07Z</dcterms:created>
  <dcterms:modified xsi:type="dcterms:W3CDTF">2026-05-20T06:58:58Z</dcterms:modified>
</cp:coreProperties>
</file>